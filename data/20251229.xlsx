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ater\Desktop\최예은\25년 하반기 보고서\"/>
    </mc:Choice>
  </mc:AlternateContent>
  <xr:revisionPtr revIDLastSave="0" documentId="13_ncr:1_{D1F60A05-52E4-4AD4-9077-99B793A77792}" xr6:coauthVersionLast="36" xr6:coauthVersionMax="47" xr10:uidLastSave="{00000000-0000-0000-0000-000000000000}"/>
  <bookViews>
    <workbookView xWindow="6690" yWindow="1080" windowWidth="21600" windowHeight="11295" tabRatio="926" activeTab="1" xr2:uid="{D18B7F1D-30CE-4D94-A713-B380DBA1F9FE}"/>
  </bookViews>
  <sheets>
    <sheet name="주간운영" sheetId="16" r:id="rId1"/>
    <sheet name="운영일보" sheetId="2" r:id="rId2"/>
    <sheet name="MNF산정" sheetId="4" r:id="rId3"/>
    <sheet name="1. 중블록 공급량 합산(동부)" sheetId="8" r:id="rId4"/>
    <sheet name="2. 중블록 공급량(동부)" sheetId="9" r:id="rId5"/>
    <sheet name="3. 공급량(동부)" sheetId="10" r:id="rId6"/>
    <sheet name="4. 공급량 수압(동부)" sheetId="11" r:id="rId7"/>
    <sheet name="1. 공급량(서부)" sheetId="12" r:id="rId8"/>
    <sheet name="2. 중블록 공급량(서부)" sheetId="13" r:id="rId9"/>
    <sheet name="3. 소블록 공급량(서부)" sheetId="14" r:id="rId10"/>
    <sheet name="4. MNF(서부)" sheetId="15" r:id="rId11"/>
  </sheets>
  <externalReferences>
    <externalReference r:id="rId12"/>
  </externalReferences>
  <definedNames>
    <definedName name="_xlnm._FilterDatabase" localSheetId="1" hidden="1">운영일보!$A$1:$G$136</definedName>
    <definedName name="_xlnm._FilterDatabase" localSheetId="0" hidden="1">주간운영!$A$1:$L$249</definedName>
    <definedName name="_xlnm.Print_Area" localSheetId="7">'1. 공급량(서부)'!$A$1:$U$133</definedName>
    <definedName name="_xlnm.Print_Area" localSheetId="3">'1. 중블록 공급량 합산(동부)'!$A$1:$AV$33</definedName>
    <definedName name="_xlnm.Print_Area" localSheetId="4">'2. 중블록 공급량(동부)'!$A$1:$U$100</definedName>
    <definedName name="_xlnm.Print_Area" localSheetId="8">'2. 중블록 공급량(서부)'!$A$1:$U$106</definedName>
    <definedName name="_xlnm.Print_Area" localSheetId="5">'3. 공급량(동부)'!$A$1:$U$198</definedName>
    <definedName name="_xlnm.Print_Area" localSheetId="9">'3. 소블록 공급량(서부)'!$A$1:$U$133</definedName>
    <definedName name="_xlnm.Print_Area" localSheetId="10">'4. MNF(서부)'!$B$1:$AG$6</definedName>
    <definedName name="_xlnm.Print_Area" localSheetId="6">'4. 공급량 수압(동부)'!$A$1:$U$265</definedName>
    <definedName name="_xlnm.Print_Area" localSheetId="1">운영일보!$A$1:$F$137</definedName>
    <definedName name="_xlnm.Print_Area" localSheetId="0">주간운영!$A$1:$L$251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D443" i="4" l="1"/>
  <c r="EC443" i="4"/>
  <c r="EB443" i="4"/>
  <c r="EA443" i="4"/>
  <c r="DZ443" i="4" l="1"/>
  <c r="DY443" i="4"/>
  <c r="DX443" i="4"/>
  <c r="DW443" i="4"/>
  <c r="DV443" i="4"/>
  <c r="DU443" i="4"/>
  <c r="DT443" i="4"/>
  <c r="DS443" i="4"/>
  <c r="DR443" i="4"/>
  <c r="DQ443" i="4"/>
  <c r="DP443" i="4"/>
  <c r="DO443" i="4"/>
  <c r="DN443" i="4"/>
  <c r="DM443" i="4"/>
  <c r="DL443" i="4"/>
  <c r="DJ443" i="4"/>
  <c r="DK443" i="4"/>
  <c r="DI443" i="4"/>
  <c r="DH443" i="4"/>
  <c r="DG443" i="4"/>
  <c r="DF443" i="4"/>
  <c r="DE443" i="4"/>
  <c r="DD443" i="4"/>
  <c r="DC443" i="4"/>
  <c r="DB443" i="4"/>
  <c r="DA443" i="4"/>
  <c r="CZ443" i="4"/>
  <c r="CY443" i="4"/>
  <c r="CX443" i="4"/>
  <c r="CW443" i="4"/>
  <c r="CV443" i="4"/>
  <c r="CU443" i="4"/>
  <c r="CT443" i="4"/>
  <c r="CS443" i="4"/>
  <c r="CR443" i="4"/>
  <c r="CQ443" i="4"/>
  <c r="CP443" i="4"/>
  <c r="CO443" i="4"/>
  <c r="CN443" i="4"/>
  <c r="CM443" i="4"/>
  <c r="CL443" i="4"/>
  <c r="CK443" i="4"/>
  <c r="CJ443" i="4"/>
  <c r="CI443" i="4"/>
  <c r="CH443" i="4"/>
  <c r="CG443" i="4"/>
  <c r="CF443" i="4"/>
  <c r="CE443" i="4"/>
  <c r="CD443" i="4"/>
  <c r="CB443" i="4"/>
  <c r="CA443" i="4"/>
  <c r="BZ443" i="4"/>
  <c r="BY443" i="4"/>
  <c r="BX443" i="4"/>
  <c r="BW443" i="4"/>
  <c r="BV443" i="4"/>
  <c r="BU443" i="4"/>
  <c r="BT443" i="4"/>
  <c r="BS443" i="4"/>
  <c r="BR443" i="4"/>
  <c r="BQ443" i="4"/>
  <c r="BP443" i="4"/>
  <c r="BO443" i="4"/>
  <c r="BL443" i="4"/>
  <c r="BK443" i="4"/>
  <c r="BI443" i="4"/>
  <c r="BH443" i="4"/>
  <c r="BG443" i="4"/>
  <c r="BF443" i="4"/>
  <c r="BE443" i="4"/>
  <c r="BD443" i="4"/>
  <c r="BC443" i="4"/>
  <c r="BB443" i="4"/>
  <c r="BA443" i="4"/>
  <c r="AZ443" i="4"/>
  <c r="AY443" i="4"/>
  <c r="AX443" i="4"/>
  <c r="AW443" i="4"/>
  <c r="AV443" i="4"/>
  <c r="AU443" i="4"/>
  <c r="AT443" i="4"/>
  <c r="AS443" i="4"/>
  <c r="AR443" i="4"/>
  <c r="AQ443" i="4"/>
  <c r="AP443" i="4"/>
  <c r="AO443" i="4"/>
  <c r="AN443" i="4" l="1"/>
  <c r="AM443" i="4"/>
  <c r="AL443" i="4"/>
  <c r="AK443" i="4"/>
  <c r="AJ443" i="4"/>
  <c r="AI443" i="4"/>
  <c r="AH443" i="4"/>
  <c r="AG443" i="4"/>
  <c r="AF443" i="4"/>
  <c r="AE443" i="4"/>
  <c r="AD443" i="4"/>
  <c r="AC443" i="4"/>
  <c r="AB443" i="4"/>
  <c r="AA443" i="4"/>
  <c r="Z443" i="4"/>
  <c r="Y443" i="4"/>
  <c r="X443" i="4"/>
  <c r="W443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A3" i="4" l="1"/>
  <c r="A443" i="4"/>
  <c r="A440" i="4"/>
  <c r="ED437" i="4"/>
  <c r="EC437" i="4"/>
  <c r="EB437" i="4"/>
  <c r="EA437" i="4"/>
  <c r="DZ437" i="4"/>
  <c r="DY437" i="4"/>
  <c r="DX437" i="4"/>
  <c r="DW437" i="4"/>
  <c r="DV437" i="4"/>
  <c r="DU437" i="4"/>
  <c r="DT437" i="4"/>
  <c r="DS437" i="4"/>
  <c r="DR437" i="4"/>
  <c r="DQ437" i="4"/>
  <c r="DP437" i="4"/>
  <c r="DO437" i="4"/>
  <c r="DN437" i="4"/>
  <c r="DM437" i="4"/>
  <c r="DL437" i="4"/>
  <c r="DK437" i="4"/>
  <c r="DJ437" i="4"/>
  <c r="DI437" i="4"/>
  <c r="DH437" i="4"/>
  <c r="DG437" i="4"/>
  <c r="DF437" i="4"/>
  <c r="DE437" i="4"/>
  <c r="DD437" i="4"/>
  <c r="DC437" i="4"/>
  <c r="DB437" i="4"/>
  <c r="DA437" i="4"/>
  <c r="CZ437" i="4"/>
  <c r="CY437" i="4"/>
  <c r="CX437" i="4"/>
  <c r="CW437" i="4"/>
  <c r="CV437" i="4"/>
  <c r="CU437" i="4"/>
  <c r="CT437" i="4"/>
  <c r="CS437" i="4"/>
  <c r="CR437" i="4"/>
  <c r="CQ437" i="4"/>
  <c r="CP437" i="4"/>
  <c r="CO437" i="4"/>
  <c r="CN437" i="4"/>
  <c r="CM437" i="4"/>
  <c r="CL437" i="4"/>
  <c r="CK437" i="4"/>
  <c r="CJ437" i="4"/>
  <c r="CI437" i="4"/>
  <c r="CH437" i="4"/>
  <c r="CG437" i="4"/>
  <c r="CF437" i="4"/>
  <c r="CE437" i="4"/>
  <c r="CD437" i="4"/>
  <c r="CC437" i="4"/>
  <c r="CB437" i="4"/>
  <c r="CA437" i="4"/>
  <c r="BZ437" i="4"/>
  <c r="BY437" i="4"/>
  <c r="BX437" i="4"/>
  <c r="BW437" i="4"/>
  <c r="BV437" i="4"/>
  <c r="BU437" i="4"/>
  <c r="BT437" i="4"/>
  <c r="BS437" i="4"/>
  <c r="BR437" i="4"/>
  <c r="BQ437" i="4"/>
  <c r="BP437" i="4"/>
  <c r="BO437" i="4"/>
  <c r="BM437" i="4"/>
  <c r="BL437" i="4"/>
  <c r="BK437" i="4"/>
  <c r="BI437" i="4"/>
  <c r="BH437" i="4"/>
  <c r="BG437" i="4"/>
  <c r="BF437" i="4"/>
  <c r="BE437" i="4"/>
  <c r="BD437" i="4"/>
  <c r="BC437" i="4"/>
  <c r="BB437" i="4"/>
  <c r="BA437" i="4"/>
  <c r="AZ437" i="4"/>
  <c r="AY437" i="4"/>
  <c r="AX437" i="4"/>
  <c r="AW437" i="4"/>
  <c r="AV437" i="4"/>
  <c r="AU437" i="4"/>
  <c r="AT437" i="4"/>
  <c r="AS437" i="4"/>
  <c r="AR437" i="4"/>
  <c r="AQ437" i="4"/>
  <c r="AP437" i="4"/>
  <c r="AO437" i="4"/>
  <c r="AN437" i="4"/>
  <c r="AM437" i="4"/>
  <c r="AL437" i="4"/>
  <c r="AK437" i="4"/>
  <c r="AJ437" i="4"/>
  <c r="AI437" i="4"/>
  <c r="AH437" i="4"/>
  <c r="AG437" i="4"/>
  <c r="AF437" i="4"/>
  <c r="AE437" i="4"/>
  <c r="AD437" i="4"/>
  <c r="AC437" i="4"/>
  <c r="AB437" i="4"/>
  <c r="AA437" i="4"/>
  <c r="Z437" i="4"/>
  <c r="Y437" i="4"/>
  <c r="X437" i="4"/>
  <c r="W437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ED436" i="4"/>
  <c r="EC436" i="4"/>
  <c r="EB436" i="4"/>
  <c r="EA436" i="4"/>
  <c r="DZ436" i="4"/>
  <c r="DY436" i="4"/>
  <c r="DX436" i="4"/>
  <c r="DW436" i="4"/>
  <c r="DV436" i="4"/>
  <c r="DU436" i="4"/>
  <c r="DT436" i="4"/>
  <c r="DS436" i="4"/>
  <c r="DR436" i="4"/>
  <c r="DQ436" i="4"/>
  <c r="DP436" i="4"/>
  <c r="DO436" i="4"/>
  <c r="DN436" i="4"/>
  <c r="DM436" i="4"/>
  <c r="DL436" i="4"/>
  <c r="DK436" i="4"/>
  <c r="DJ436" i="4"/>
  <c r="DI436" i="4"/>
  <c r="DH436" i="4"/>
  <c r="DG436" i="4"/>
  <c r="DF436" i="4"/>
  <c r="DE436" i="4"/>
  <c r="DD436" i="4"/>
  <c r="DC436" i="4"/>
  <c r="DB436" i="4"/>
  <c r="DA436" i="4"/>
  <c r="CZ436" i="4"/>
  <c r="CY436" i="4"/>
  <c r="CX436" i="4"/>
  <c r="CW436" i="4"/>
  <c r="CV436" i="4"/>
  <c r="CU436" i="4"/>
  <c r="CT436" i="4"/>
  <c r="CS436" i="4"/>
  <c r="CR436" i="4"/>
  <c r="CQ436" i="4"/>
  <c r="CP436" i="4"/>
  <c r="CO436" i="4"/>
  <c r="CN436" i="4"/>
  <c r="CM436" i="4"/>
  <c r="CL436" i="4"/>
  <c r="CK436" i="4"/>
  <c r="CJ436" i="4"/>
  <c r="CI436" i="4"/>
  <c r="CH436" i="4"/>
  <c r="CG436" i="4"/>
  <c r="CF436" i="4"/>
  <c r="CE436" i="4"/>
  <c r="CD436" i="4"/>
  <c r="CC436" i="4"/>
  <c r="CB436" i="4"/>
  <c r="CA436" i="4"/>
  <c r="BZ436" i="4"/>
  <c r="BY436" i="4"/>
  <c r="BX436" i="4"/>
  <c r="BW436" i="4"/>
  <c r="BV436" i="4"/>
  <c r="BU436" i="4"/>
  <c r="BT436" i="4"/>
  <c r="BS436" i="4"/>
  <c r="BR436" i="4"/>
  <c r="BQ436" i="4"/>
  <c r="BP436" i="4"/>
  <c r="BO436" i="4"/>
  <c r="BM436" i="4"/>
  <c r="BL436" i="4"/>
  <c r="BK436" i="4"/>
  <c r="BI436" i="4"/>
  <c r="BH436" i="4"/>
  <c r="BG436" i="4"/>
  <c r="BF436" i="4"/>
  <c r="BE436" i="4"/>
  <c r="BD436" i="4"/>
  <c r="BC436" i="4"/>
  <c r="BB436" i="4"/>
  <c r="BA436" i="4"/>
  <c r="AZ436" i="4"/>
  <c r="AY436" i="4"/>
  <c r="AX436" i="4"/>
  <c r="AW436" i="4"/>
  <c r="AV436" i="4"/>
  <c r="AU436" i="4"/>
  <c r="AT436" i="4"/>
  <c r="AS436" i="4"/>
  <c r="AR436" i="4"/>
  <c r="AQ436" i="4"/>
  <c r="AP436" i="4"/>
  <c r="AO436" i="4"/>
  <c r="AN436" i="4"/>
  <c r="AM436" i="4"/>
  <c r="AL436" i="4"/>
  <c r="AK436" i="4"/>
  <c r="AJ436" i="4"/>
  <c r="AI436" i="4"/>
  <c r="AH436" i="4"/>
  <c r="AG436" i="4"/>
  <c r="AF436" i="4"/>
  <c r="AE436" i="4"/>
  <c r="AD436" i="4"/>
  <c r="AC436" i="4"/>
  <c r="AB436" i="4"/>
  <c r="AA436" i="4"/>
  <c r="Z436" i="4"/>
  <c r="Y436" i="4"/>
  <c r="X436" i="4"/>
  <c r="W436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ED435" i="4"/>
  <c r="EC435" i="4"/>
  <c r="EB435" i="4"/>
  <c r="EA435" i="4"/>
  <c r="DZ435" i="4"/>
  <c r="DY435" i="4"/>
  <c r="DX435" i="4"/>
  <c r="DW435" i="4"/>
  <c r="DV435" i="4"/>
  <c r="DU435" i="4"/>
  <c r="DT435" i="4"/>
  <c r="DS435" i="4"/>
  <c r="DR435" i="4"/>
  <c r="DQ435" i="4"/>
  <c r="DP435" i="4"/>
  <c r="DO435" i="4"/>
  <c r="DN435" i="4"/>
  <c r="DM435" i="4"/>
  <c r="DL435" i="4"/>
  <c r="DK435" i="4"/>
  <c r="DJ435" i="4"/>
  <c r="DI435" i="4"/>
  <c r="DH435" i="4"/>
  <c r="DG435" i="4"/>
  <c r="DF435" i="4"/>
  <c r="DE435" i="4"/>
  <c r="DD435" i="4"/>
  <c r="DC435" i="4"/>
  <c r="DB435" i="4"/>
  <c r="DA435" i="4"/>
  <c r="CZ435" i="4"/>
  <c r="CY435" i="4"/>
  <c r="CX435" i="4"/>
  <c r="CW435" i="4"/>
  <c r="CV435" i="4"/>
  <c r="CU435" i="4"/>
  <c r="CT435" i="4"/>
  <c r="CS435" i="4"/>
  <c r="CR435" i="4"/>
  <c r="CQ435" i="4"/>
  <c r="CP435" i="4"/>
  <c r="CO435" i="4"/>
  <c r="CN435" i="4"/>
  <c r="CM435" i="4"/>
  <c r="CL435" i="4"/>
  <c r="CK435" i="4"/>
  <c r="CJ435" i="4"/>
  <c r="CI435" i="4"/>
  <c r="CH435" i="4"/>
  <c r="CG435" i="4"/>
  <c r="CF435" i="4"/>
  <c r="CE435" i="4"/>
  <c r="CD435" i="4"/>
  <c r="CC435" i="4"/>
  <c r="CB435" i="4"/>
  <c r="CA435" i="4"/>
  <c r="BZ435" i="4"/>
  <c r="BY435" i="4"/>
  <c r="BX435" i="4"/>
  <c r="BW435" i="4"/>
  <c r="BV435" i="4"/>
  <c r="BU435" i="4"/>
  <c r="BT435" i="4"/>
  <c r="BS435" i="4"/>
  <c r="BR435" i="4"/>
  <c r="BQ435" i="4"/>
  <c r="BP435" i="4"/>
  <c r="BO435" i="4"/>
  <c r="BM435" i="4"/>
  <c r="BL435" i="4"/>
  <c r="BK435" i="4"/>
  <c r="BI435" i="4"/>
  <c r="BH435" i="4"/>
  <c r="BG435" i="4"/>
  <c r="BF435" i="4"/>
  <c r="BE435" i="4"/>
  <c r="BD435" i="4"/>
  <c r="BC435" i="4"/>
  <c r="BB435" i="4"/>
  <c r="BA435" i="4"/>
  <c r="AZ435" i="4"/>
  <c r="AY435" i="4"/>
  <c r="AX435" i="4"/>
  <c r="AW435" i="4"/>
  <c r="AV435" i="4"/>
  <c r="AU435" i="4"/>
  <c r="AT435" i="4"/>
  <c r="AS435" i="4"/>
  <c r="AR435" i="4"/>
  <c r="AQ435" i="4"/>
  <c r="AP435" i="4"/>
  <c r="AO435" i="4"/>
  <c r="AN435" i="4"/>
  <c r="AM435" i="4"/>
  <c r="AL435" i="4"/>
  <c r="AK435" i="4"/>
  <c r="AJ435" i="4"/>
  <c r="AI435" i="4"/>
  <c r="AH435" i="4"/>
  <c r="AG435" i="4"/>
  <c r="AF435" i="4"/>
  <c r="AE435" i="4"/>
  <c r="AD435" i="4"/>
  <c r="AC435" i="4"/>
  <c r="AB435" i="4"/>
  <c r="AA435" i="4"/>
  <c r="Z435" i="4"/>
  <c r="Y435" i="4"/>
  <c r="X435" i="4"/>
  <c r="W435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ED434" i="4"/>
  <c r="EC434" i="4"/>
  <c r="EB434" i="4"/>
  <c r="EA434" i="4"/>
  <c r="DZ434" i="4"/>
  <c r="DY434" i="4"/>
  <c r="DX434" i="4"/>
  <c r="DW434" i="4"/>
  <c r="DV434" i="4"/>
  <c r="DU434" i="4"/>
  <c r="DT434" i="4"/>
  <c r="DS434" i="4"/>
  <c r="DR434" i="4"/>
  <c r="DQ434" i="4"/>
  <c r="DP434" i="4"/>
  <c r="DO434" i="4"/>
  <c r="DN434" i="4"/>
  <c r="DM434" i="4"/>
  <c r="DL434" i="4"/>
  <c r="DK434" i="4"/>
  <c r="DJ434" i="4"/>
  <c r="DI434" i="4"/>
  <c r="DH434" i="4"/>
  <c r="DG434" i="4"/>
  <c r="DF434" i="4"/>
  <c r="DE434" i="4"/>
  <c r="DD434" i="4"/>
  <c r="DC434" i="4"/>
  <c r="DB434" i="4"/>
  <c r="DA434" i="4"/>
  <c r="CZ434" i="4"/>
  <c r="CY434" i="4"/>
  <c r="CX434" i="4"/>
  <c r="CW434" i="4"/>
  <c r="CV434" i="4"/>
  <c r="CU434" i="4"/>
  <c r="CT434" i="4"/>
  <c r="CS434" i="4"/>
  <c r="CR434" i="4"/>
  <c r="CQ434" i="4"/>
  <c r="CP434" i="4"/>
  <c r="CO434" i="4"/>
  <c r="CN434" i="4"/>
  <c r="CM434" i="4"/>
  <c r="CL434" i="4"/>
  <c r="CK434" i="4"/>
  <c r="CJ434" i="4"/>
  <c r="CI434" i="4"/>
  <c r="CH434" i="4"/>
  <c r="CG434" i="4"/>
  <c r="CF434" i="4"/>
  <c r="CE434" i="4"/>
  <c r="CD434" i="4"/>
  <c r="CC434" i="4"/>
  <c r="CB434" i="4"/>
  <c r="CA434" i="4"/>
  <c r="BZ434" i="4"/>
  <c r="BY434" i="4"/>
  <c r="BX434" i="4"/>
  <c r="BW434" i="4"/>
  <c r="BV434" i="4"/>
  <c r="BU434" i="4"/>
  <c r="BT434" i="4"/>
  <c r="BS434" i="4"/>
  <c r="BR434" i="4"/>
  <c r="BQ434" i="4"/>
  <c r="BP434" i="4"/>
  <c r="BO434" i="4"/>
  <c r="BM434" i="4"/>
  <c r="BL434" i="4"/>
  <c r="BK434" i="4"/>
  <c r="BI434" i="4"/>
  <c r="BH434" i="4"/>
  <c r="BG434" i="4"/>
  <c r="BF434" i="4"/>
  <c r="BE434" i="4"/>
  <c r="BD434" i="4"/>
  <c r="BC434" i="4"/>
  <c r="BB434" i="4"/>
  <c r="BA434" i="4"/>
  <c r="AZ434" i="4"/>
  <c r="AY434" i="4"/>
  <c r="AX434" i="4"/>
  <c r="AW434" i="4"/>
  <c r="AV434" i="4"/>
  <c r="AU434" i="4"/>
  <c r="AT434" i="4"/>
  <c r="AS434" i="4"/>
  <c r="AR434" i="4"/>
  <c r="AQ434" i="4"/>
  <c r="AP434" i="4"/>
  <c r="AO434" i="4"/>
  <c r="AN434" i="4"/>
  <c r="AM434" i="4"/>
  <c r="AL434" i="4"/>
  <c r="AK434" i="4"/>
  <c r="AJ434" i="4"/>
  <c r="AI434" i="4"/>
  <c r="AH434" i="4"/>
  <c r="AG434" i="4"/>
  <c r="AF434" i="4"/>
  <c r="AE434" i="4"/>
  <c r="AD434" i="4"/>
  <c r="AC434" i="4"/>
  <c r="AB434" i="4"/>
  <c r="AA434" i="4"/>
  <c r="Z434" i="4"/>
  <c r="Y434" i="4"/>
  <c r="X434" i="4"/>
  <c r="W434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ED433" i="4"/>
  <c r="EC433" i="4"/>
  <c r="EB433" i="4"/>
  <c r="EA433" i="4"/>
  <c r="DZ433" i="4"/>
  <c r="DY433" i="4"/>
  <c r="DX433" i="4"/>
  <c r="DW433" i="4"/>
  <c r="DV433" i="4"/>
  <c r="DU433" i="4"/>
  <c r="DT433" i="4"/>
  <c r="DS433" i="4"/>
  <c r="DR433" i="4"/>
  <c r="DQ433" i="4"/>
  <c r="DP433" i="4"/>
  <c r="DO433" i="4"/>
  <c r="DN433" i="4"/>
  <c r="DM433" i="4"/>
  <c r="DL433" i="4"/>
  <c r="DK433" i="4"/>
  <c r="DJ433" i="4"/>
  <c r="DI433" i="4"/>
  <c r="DH433" i="4"/>
  <c r="DG433" i="4"/>
  <c r="DF433" i="4"/>
  <c r="DE433" i="4"/>
  <c r="DD433" i="4"/>
  <c r="DC433" i="4"/>
  <c r="DB433" i="4"/>
  <c r="DA433" i="4"/>
  <c r="CZ433" i="4"/>
  <c r="CY433" i="4"/>
  <c r="CX433" i="4"/>
  <c r="CW433" i="4"/>
  <c r="CV433" i="4"/>
  <c r="CU433" i="4"/>
  <c r="CT433" i="4"/>
  <c r="CS433" i="4"/>
  <c r="CR433" i="4"/>
  <c r="CQ433" i="4"/>
  <c r="CP433" i="4"/>
  <c r="CO433" i="4"/>
  <c r="CN433" i="4"/>
  <c r="CM433" i="4"/>
  <c r="CL433" i="4"/>
  <c r="CK433" i="4"/>
  <c r="CJ433" i="4"/>
  <c r="CI433" i="4"/>
  <c r="CH433" i="4"/>
  <c r="CG433" i="4"/>
  <c r="CF433" i="4"/>
  <c r="CE433" i="4"/>
  <c r="CD433" i="4"/>
  <c r="CC433" i="4"/>
  <c r="CB433" i="4"/>
  <c r="CA433" i="4"/>
  <c r="BZ433" i="4"/>
  <c r="BY433" i="4"/>
  <c r="BX433" i="4"/>
  <c r="BW433" i="4"/>
  <c r="BV433" i="4"/>
  <c r="BU433" i="4"/>
  <c r="BT433" i="4"/>
  <c r="BS433" i="4"/>
  <c r="BR433" i="4"/>
  <c r="BQ433" i="4"/>
  <c r="BP433" i="4"/>
  <c r="BO433" i="4"/>
  <c r="BM433" i="4"/>
  <c r="BL433" i="4"/>
  <c r="BK433" i="4"/>
  <c r="BI433" i="4"/>
  <c r="BH433" i="4"/>
  <c r="BG433" i="4"/>
  <c r="BF433" i="4"/>
  <c r="BE433" i="4"/>
  <c r="BD433" i="4"/>
  <c r="BC433" i="4"/>
  <c r="BB433" i="4"/>
  <c r="BA433" i="4"/>
  <c r="AZ433" i="4"/>
  <c r="AY433" i="4"/>
  <c r="AX433" i="4"/>
  <c r="AW433" i="4"/>
  <c r="AV433" i="4"/>
  <c r="AU433" i="4"/>
  <c r="AT433" i="4"/>
  <c r="AS433" i="4"/>
  <c r="AR433" i="4"/>
  <c r="AQ433" i="4"/>
  <c r="AP433" i="4"/>
  <c r="AO433" i="4"/>
  <c r="AN433" i="4"/>
  <c r="AM433" i="4"/>
  <c r="AL433" i="4"/>
  <c r="AK433" i="4"/>
  <c r="AJ433" i="4"/>
  <c r="AI433" i="4"/>
  <c r="AH433" i="4"/>
  <c r="AG433" i="4"/>
  <c r="AF433" i="4"/>
  <c r="AE433" i="4"/>
  <c r="AD433" i="4"/>
  <c r="AC433" i="4"/>
  <c r="AB433" i="4"/>
  <c r="AA433" i="4"/>
  <c r="Z433" i="4"/>
  <c r="Y433" i="4"/>
  <c r="X433" i="4"/>
  <c r="W433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ED432" i="4"/>
  <c r="EC432" i="4"/>
  <c r="EB432" i="4"/>
  <c r="EA432" i="4"/>
  <c r="DZ432" i="4"/>
  <c r="DY432" i="4"/>
  <c r="DX432" i="4"/>
  <c r="DW432" i="4"/>
  <c r="DV432" i="4"/>
  <c r="DU432" i="4"/>
  <c r="DT432" i="4"/>
  <c r="DS432" i="4"/>
  <c r="DR432" i="4"/>
  <c r="DQ432" i="4"/>
  <c r="DP432" i="4"/>
  <c r="DO432" i="4"/>
  <c r="DN432" i="4"/>
  <c r="DM432" i="4"/>
  <c r="DL432" i="4"/>
  <c r="DK432" i="4"/>
  <c r="DJ432" i="4"/>
  <c r="DI432" i="4"/>
  <c r="DH432" i="4"/>
  <c r="DG432" i="4"/>
  <c r="DF432" i="4"/>
  <c r="DE432" i="4"/>
  <c r="DD432" i="4"/>
  <c r="DC432" i="4"/>
  <c r="DB432" i="4"/>
  <c r="DA432" i="4"/>
  <c r="CZ432" i="4"/>
  <c r="CY432" i="4"/>
  <c r="CX432" i="4"/>
  <c r="CW432" i="4"/>
  <c r="CV432" i="4"/>
  <c r="CU432" i="4"/>
  <c r="CT432" i="4"/>
  <c r="CS432" i="4"/>
  <c r="CR432" i="4"/>
  <c r="CQ432" i="4"/>
  <c r="CP432" i="4"/>
  <c r="CO432" i="4"/>
  <c r="CN432" i="4"/>
  <c r="CM432" i="4"/>
  <c r="CL432" i="4"/>
  <c r="CK432" i="4"/>
  <c r="CJ432" i="4"/>
  <c r="CI432" i="4"/>
  <c r="CH432" i="4"/>
  <c r="CG432" i="4"/>
  <c r="CF432" i="4"/>
  <c r="CE432" i="4"/>
  <c r="CD432" i="4"/>
  <c r="CC432" i="4"/>
  <c r="CB432" i="4"/>
  <c r="CA432" i="4"/>
  <c r="BZ432" i="4"/>
  <c r="BY432" i="4"/>
  <c r="BX432" i="4"/>
  <c r="BW432" i="4"/>
  <c r="BV432" i="4"/>
  <c r="BU432" i="4"/>
  <c r="BT432" i="4"/>
  <c r="BS432" i="4"/>
  <c r="BR432" i="4"/>
  <c r="BQ432" i="4"/>
  <c r="BP432" i="4"/>
  <c r="BO432" i="4"/>
  <c r="BM432" i="4"/>
  <c r="BL432" i="4"/>
  <c r="BK432" i="4"/>
  <c r="BI432" i="4"/>
  <c r="BH432" i="4"/>
  <c r="BG432" i="4"/>
  <c r="BF432" i="4"/>
  <c r="BE432" i="4"/>
  <c r="BD432" i="4"/>
  <c r="BC432" i="4"/>
  <c r="BB432" i="4"/>
  <c r="BA432" i="4"/>
  <c r="AZ432" i="4"/>
  <c r="AY432" i="4"/>
  <c r="AX432" i="4"/>
  <c r="AW432" i="4"/>
  <c r="AV432" i="4"/>
  <c r="AU432" i="4"/>
  <c r="AT432" i="4"/>
  <c r="AS432" i="4"/>
  <c r="AR432" i="4"/>
  <c r="AQ432" i="4"/>
  <c r="AP432" i="4"/>
  <c r="AO432" i="4"/>
  <c r="AN432" i="4"/>
  <c r="AM432" i="4"/>
  <c r="AL432" i="4"/>
  <c r="AK432" i="4"/>
  <c r="AJ432" i="4"/>
  <c r="AI432" i="4"/>
  <c r="AH432" i="4"/>
  <c r="AG432" i="4"/>
  <c r="AF432" i="4"/>
  <c r="AE432" i="4"/>
  <c r="AD432" i="4"/>
  <c r="AC432" i="4"/>
  <c r="AB432" i="4"/>
  <c r="AA432" i="4"/>
  <c r="Z432" i="4"/>
  <c r="Y432" i="4"/>
  <c r="X432" i="4"/>
  <c r="W432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ED431" i="4"/>
  <c r="EC431" i="4"/>
  <c r="EB431" i="4"/>
  <c r="EA431" i="4"/>
  <c r="DZ431" i="4"/>
  <c r="DY431" i="4"/>
  <c r="DX431" i="4"/>
  <c r="DW431" i="4"/>
  <c r="DV431" i="4"/>
  <c r="DU431" i="4"/>
  <c r="DT431" i="4"/>
  <c r="DS431" i="4"/>
  <c r="DR431" i="4"/>
  <c r="DQ431" i="4"/>
  <c r="DP431" i="4"/>
  <c r="DO431" i="4"/>
  <c r="DN431" i="4"/>
  <c r="DM431" i="4"/>
  <c r="DL431" i="4"/>
  <c r="DK431" i="4"/>
  <c r="DJ431" i="4"/>
  <c r="DI431" i="4"/>
  <c r="DH431" i="4"/>
  <c r="DG431" i="4"/>
  <c r="DF431" i="4"/>
  <c r="DE431" i="4"/>
  <c r="DD431" i="4"/>
  <c r="DC431" i="4"/>
  <c r="DB431" i="4"/>
  <c r="DA431" i="4"/>
  <c r="CZ431" i="4"/>
  <c r="CY431" i="4"/>
  <c r="CX431" i="4"/>
  <c r="CW431" i="4"/>
  <c r="CV431" i="4"/>
  <c r="CU431" i="4"/>
  <c r="CT431" i="4"/>
  <c r="CS431" i="4"/>
  <c r="CR431" i="4"/>
  <c r="CQ431" i="4"/>
  <c r="CP431" i="4"/>
  <c r="CO431" i="4"/>
  <c r="CN431" i="4"/>
  <c r="CM431" i="4"/>
  <c r="CL431" i="4"/>
  <c r="CK431" i="4"/>
  <c r="CJ431" i="4"/>
  <c r="CI431" i="4"/>
  <c r="CH431" i="4"/>
  <c r="CG431" i="4"/>
  <c r="CF431" i="4"/>
  <c r="CE431" i="4"/>
  <c r="CD431" i="4"/>
  <c r="CC431" i="4"/>
  <c r="CB431" i="4"/>
  <c r="CA431" i="4"/>
  <c r="BZ431" i="4"/>
  <c r="BY431" i="4"/>
  <c r="BX431" i="4"/>
  <c r="BW431" i="4"/>
  <c r="BV431" i="4"/>
  <c r="BU431" i="4"/>
  <c r="BT431" i="4"/>
  <c r="BS431" i="4"/>
  <c r="BR431" i="4"/>
  <c r="BQ431" i="4"/>
  <c r="BP431" i="4"/>
  <c r="BO431" i="4"/>
  <c r="BM431" i="4"/>
  <c r="BL431" i="4"/>
  <c r="BK431" i="4"/>
  <c r="BI431" i="4"/>
  <c r="BH431" i="4"/>
  <c r="BG431" i="4"/>
  <c r="BF431" i="4"/>
  <c r="BE431" i="4"/>
  <c r="BD431" i="4"/>
  <c r="BC431" i="4"/>
  <c r="BB431" i="4"/>
  <c r="BA431" i="4"/>
  <c r="AZ431" i="4"/>
  <c r="AY431" i="4"/>
  <c r="AX431" i="4"/>
  <c r="AW431" i="4"/>
  <c r="AV431" i="4"/>
  <c r="AU431" i="4"/>
  <c r="AT431" i="4"/>
  <c r="AS431" i="4"/>
  <c r="AR431" i="4"/>
  <c r="AQ431" i="4"/>
  <c r="AP431" i="4"/>
  <c r="AO431" i="4"/>
  <c r="AN431" i="4"/>
  <c r="AM431" i="4"/>
  <c r="AL431" i="4"/>
  <c r="AK431" i="4"/>
  <c r="AJ431" i="4"/>
  <c r="AI431" i="4"/>
  <c r="AH431" i="4"/>
  <c r="AG431" i="4"/>
  <c r="AF431" i="4"/>
  <c r="AE431" i="4"/>
  <c r="AD431" i="4"/>
  <c r="AC431" i="4"/>
  <c r="AB431" i="4"/>
  <c r="AA431" i="4"/>
  <c r="Z431" i="4"/>
  <c r="Y431" i="4"/>
  <c r="X431" i="4"/>
  <c r="W431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ED430" i="4"/>
  <c r="EC430" i="4"/>
  <c r="EB430" i="4"/>
  <c r="EA430" i="4"/>
  <c r="DZ430" i="4"/>
  <c r="DY430" i="4"/>
  <c r="DX430" i="4"/>
  <c r="DW430" i="4"/>
  <c r="DV430" i="4"/>
  <c r="DU430" i="4"/>
  <c r="DT430" i="4"/>
  <c r="DS430" i="4"/>
  <c r="DR430" i="4"/>
  <c r="DQ430" i="4"/>
  <c r="DP430" i="4"/>
  <c r="DO430" i="4"/>
  <c r="DN430" i="4"/>
  <c r="DM430" i="4"/>
  <c r="DL430" i="4"/>
  <c r="DK430" i="4"/>
  <c r="DJ430" i="4"/>
  <c r="DI430" i="4"/>
  <c r="DH430" i="4"/>
  <c r="DG430" i="4"/>
  <c r="DF430" i="4"/>
  <c r="DE430" i="4"/>
  <c r="DD430" i="4"/>
  <c r="DC430" i="4"/>
  <c r="DB430" i="4"/>
  <c r="DA430" i="4"/>
  <c r="CZ430" i="4"/>
  <c r="CY430" i="4"/>
  <c r="CX430" i="4"/>
  <c r="CW430" i="4"/>
  <c r="CV430" i="4"/>
  <c r="CU430" i="4"/>
  <c r="CT430" i="4"/>
  <c r="CS430" i="4"/>
  <c r="CR430" i="4"/>
  <c r="CQ430" i="4"/>
  <c r="CP430" i="4"/>
  <c r="CO430" i="4"/>
  <c r="CN430" i="4"/>
  <c r="CM430" i="4"/>
  <c r="CL430" i="4"/>
  <c r="CK430" i="4"/>
  <c r="CJ430" i="4"/>
  <c r="CI430" i="4"/>
  <c r="CH430" i="4"/>
  <c r="CG430" i="4"/>
  <c r="CF430" i="4"/>
  <c r="CE430" i="4"/>
  <c r="CD430" i="4"/>
  <c r="CC430" i="4"/>
  <c r="CB430" i="4"/>
  <c r="CA430" i="4"/>
  <c r="BZ430" i="4"/>
  <c r="BY430" i="4"/>
  <c r="BX430" i="4"/>
  <c r="BW430" i="4"/>
  <c r="BV430" i="4"/>
  <c r="BU430" i="4"/>
  <c r="BT430" i="4"/>
  <c r="BS430" i="4"/>
  <c r="BR430" i="4"/>
  <c r="BQ430" i="4"/>
  <c r="BP430" i="4"/>
  <c r="BO430" i="4"/>
  <c r="BM430" i="4"/>
  <c r="BL430" i="4"/>
  <c r="BK430" i="4"/>
  <c r="BI430" i="4"/>
  <c r="BH430" i="4"/>
  <c r="BG430" i="4"/>
  <c r="BF430" i="4"/>
  <c r="BE430" i="4"/>
  <c r="BD430" i="4"/>
  <c r="BC430" i="4"/>
  <c r="BB430" i="4"/>
  <c r="BA430" i="4"/>
  <c r="AZ430" i="4"/>
  <c r="AY430" i="4"/>
  <c r="AX430" i="4"/>
  <c r="AW430" i="4"/>
  <c r="AV430" i="4"/>
  <c r="AU430" i="4"/>
  <c r="AT430" i="4"/>
  <c r="AS430" i="4"/>
  <c r="AR430" i="4"/>
  <c r="AQ430" i="4"/>
  <c r="AP430" i="4"/>
  <c r="AO430" i="4"/>
  <c r="AN430" i="4"/>
  <c r="AM430" i="4"/>
  <c r="AL430" i="4"/>
  <c r="AK430" i="4"/>
  <c r="AJ430" i="4"/>
  <c r="AI430" i="4"/>
  <c r="AH430" i="4"/>
  <c r="AG430" i="4"/>
  <c r="AF430" i="4"/>
  <c r="AE430" i="4"/>
  <c r="AD430" i="4"/>
  <c r="AC430" i="4"/>
  <c r="AB430" i="4"/>
  <c r="AA430" i="4"/>
  <c r="Z430" i="4"/>
  <c r="Y430" i="4"/>
  <c r="X430" i="4"/>
  <c r="W430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ED429" i="4"/>
  <c r="EC429" i="4"/>
  <c r="EB429" i="4"/>
  <c r="EA429" i="4"/>
  <c r="DZ429" i="4"/>
  <c r="DY429" i="4"/>
  <c r="DX429" i="4"/>
  <c r="DW429" i="4"/>
  <c r="DV429" i="4"/>
  <c r="DU429" i="4"/>
  <c r="DT429" i="4"/>
  <c r="DS429" i="4"/>
  <c r="DR429" i="4"/>
  <c r="DQ429" i="4"/>
  <c r="DP429" i="4"/>
  <c r="DO429" i="4"/>
  <c r="DN429" i="4"/>
  <c r="DM429" i="4"/>
  <c r="DL429" i="4"/>
  <c r="DK429" i="4"/>
  <c r="DJ429" i="4"/>
  <c r="DI429" i="4"/>
  <c r="DH429" i="4"/>
  <c r="DG429" i="4"/>
  <c r="DF429" i="4"/>
  <c r="DE429" i="4"/>
  <c r="DD429" i="4"/>
  <c r="DC429" i="4"/>
  <c r="DB429" i="4"/>
  <c r="DA429" i="4"/>
  <c r="CZ429" i="4"/>
  <c r="CY429" i="4"/>
  <c r="CX429" i="4"/>
  <c r="CW429" i="4"/>
  <c r="CV429" i="4"/>
  <c r="CU429" i="4"/>
  <c r="CT429" i="4"/>
  <c r="CS429" i="4"/>
  <c r="CR429" i="4"/>
  <c r="CQ429" i="4"/>
  <c r="CP429" i="4"/>
  <c r="CO429" i="4"/>
  <c r="CN429" i="4"/>
  <c r="CM429" i="4"/>
  <c r="CL429" i="4"/>
  <c r="CK429" i="4"/>
  <c r="CJ429" i="4"/>
  <c r="CI429" i="4"/>
  <c r="CH429" i="4"/>
  <c r="CG429" i="4"/>
  <c r="CF429" i="4"/>
  <c r="CE429" i="4"/>
  <c r="CD429" i="4"/>
  <c r="CC429" i="4"/>
  <c r="CB429" i="4"/>
  <c r="CA429" i="4"/>
  <c r="BZ429" i="4"/>
  <c r="BY429" i="4"/>
  <c r="BX429" i="4"/>
  <c r="BW429" i="4"/>
  <c r="BV429" i="4"/>
  <c r="BU429" i="4"/>
  <c r="BT429" i="4"/>
  <c r="BS429" i="4"/>
  <c r="BR429" i="4"/>
  <c r="BQ429" i="4"/>
  <c r="BP429" i="4"/>
  <c r="BO429" i="4"/>
  <c r="BM429" i="4"/>
  <c r="BL429" i="4"/>
  <c r="BK429" i="4"/>
  <c r="BI429" i="4"/>
  <c r="BH429" i="4"/>
  <c r="BG429" i="4"/>
  <c r="BF429" i="4"/>
  <c r="BE429" i="4"/>
  <c r="BD429" i="4"/>
  <c r="BC429" i="4"/>
  <c r="BB429" i="4"/>
  <c r="BA429" i="4"/>
  <c r="AZ429" i="4"/>
  <c r="AY429" i="4"/>
  <c r="AX429" i="4"/>
  <c r="AW429" i="4"/>
  <c r="AV429" i="4"/>
  <c r="AU429" i="4"/>
  <c r="AT429" i="4"/>
  <c r="AS429" i="4"/>
  <c r="AR429" i="4"/>
  <c r="AQ429" i="4"/>
  <c r="AP429" i="4"/>
  <c r="AO429" i="4"/>
  <c r="AN429" i="4"/>
  <c r="AM429" i="4"/>
  <c r="AL429" i="4"/>
  <c r="AK429" i="4"/>
  <c r="AJ429" i="4"/>
  <c r="AI429" i="4"/>
  <c r="AH429" i="4"/>
  <c r="AG429" i="4"/>
  <c r="AF429" i="4"/>
  <c r="AE429" i="4"/>
  <c r="AD429" i="4"/>
  <c r="AC429" i="4"/>
  <c r="AB429" i="4"/>
  <c r="AA429" i="4"/>
  <c r="Z429" i="4"/>
  <c r="Y429" i="4"/>
  <c r="X429" i="4"/>
  <c r="W429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ED428" i="4"/>
  <c r="EC428" i="4"/>
  <c r="EB428" i="4"/>
  <c r="EA428" i="4"/>
  <c r="DZ428" i="4"/>
  <c r="DY428" i="4"/>
  <c r="DX428" i="4"/>
  <c r="DW428" i="4"/>
  <c r="DV428" i="4"/>
  <c r="DU428" i="4"/>
  <c r="DT428" i="4"/>
  <c r="DS428" i="4"/>
  <c r="DR428" i="4"/>
  <c r="DQ428" i="4"/>
  <c r="DP428" i="4"/>
  <c r="DO428" i="4"/>
  <c r="DN428" i="4"/>
  <c r="DM428" i="4"/>
  <c r="DL428" i="4"/>
  <c r="DK428" i="4"/>
  <c r="DJ428" i="4"/>
  <c r="DI428" i="4"/>
  <c r="DH428" i="4"/>
  <c r="DG428" i="4"/>
  <c r="DF428" i="4"/>
  <c r="DE428" i="4"/>
  <c r="DD428" i="4"/>
  <c r="DC428" i="4"/>
  <c r="DB428" i="4"/>
  <c r="DA428" i="4"/>
  <c r="CZ428" i="4"/>
  <c r="CY428" i="4"/>
  <c r="CX428" i="4"/>
  <c r="CW428" i="4"/>
  <c r="CV428" i="4"/>
  <c r="CU428" i="4"/>
  <c r="CT428" i="4"/>
  <c r="CS428" i="4"/>
  <c r="CR428" i="4"/>
  <c r="CQ428" i="4"/>
  <c r="CP428" i="4"/>
  <c r="CO428" i="4"/>
  <c r="CN428" i="4"/>
  <c r="CM428" i="4"/>
  <c r="CL428" i="4"/>
  <c r="CK428" i="4"/>
  <c r="CJ428" i="4"/>
  <c r="CI428" i="4"/>
  <c r="CH428" i="4"/>
  <c r="CG428" i="4"/>
  <c r="CF428" i="4"/>
  <c r="CE428" i="4"/>
  <c r="CD428" i="4"/>
  <c r="CC428" i="4"/>
  <c r="CB428" i="4"/>
  <c r="CA428" i="4"/>
  <c r="BZ428" i="4"/>
  <c r="BY428" i="4"/>
  <c r="BX428" i="4"/>
  <c r="BW428" i="4"/>
  <c r="BV428" i="4"/>
  <c r="BU428" i="4"/>
  <c r="BT428" i="4"/>
  <c r="BS428" i="4"/>
  <c r="BR428" i="4"/>
  <c r="BQ428" i="4"/>
  <c r="BP428" i="4"/>
  <c r="BO428" i="4"/>
  <c r="BM428" i="4"/>
  <c r="BL428" i="4"/>
  <c r="BK428" i="4"/>
  <c r="BI428" i="4"/>
  <c r="BH428" i="4"/>
  <c r="BG428" i="4"/>
  <c r="BF428" i="4"/>
  <c r="BE428" i="4"/>
  <c r="BD428" i="4"/>
  <c r="BC428" i="4"/>
  <c r="BB428" i="4"/>
  <c r="BA428" i="4"/>
  <c r="AZ428" i="4"/>
  <c r="AY428" i="4"/>
  <c r="AX428" i="4"/>
  <c r="AW428" i="4"/>
  <c r="AV428" i="4"/>
  <c r="AU428" i="4"/>
  <c r="AT428" i="4"/>
  <c r="AS428" i="4"/>
  <c r="AR428" i="4"/>
  <c r="AQ428" i="4"/>
  <c r="AP428" i="4"/>
  <c r="AO428" i="4"/>
  <c r="AN428" i="4"/>
  <c r="AM428" i="4"/>
  <c r="AL428" i="4"/>
  <c r="AK428" i="4"/>
  <c r="AJ428" i="4"/>
  <c r="AI428" i="4"/>
  <c r="AH428" i="4"/>
  <c r="AG428" i="4"/>
  <c r="AF428" i="4"/>
  <c r="AE428" i="4"/>
  <c r="AD428" i="4"/>
  <c r="AC428" i="4"/>
  <c r="AB428" i="4"/>
  <c r="AA428" i="4"/>
  <c r="Z428" i="4"/>
  <c r="Y428" i="4"/>
  <c r="X428" i="4"/>
  <c r="W428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ED427" i="4"/>
  <c r="EC427" i="4"/>
  <c r="EB427" i="4"/>
  <c r="EA427" i="4"/>
  <c r="DZ427" i="4"/>
  <c r="DY427" i="4"/>
  <c r="DX427" i="4"/>
  <c r="DW427" i="4"/>
  <c r="DV427" i="4"/>
  <c r="DU427" i="4"/>
  <c r="DT427" i="4"/>
  <c r="DS427" i="4"/>
  <c r="DR427" i="4"/>
  <c r="DQ427" i="4"/>
  <c r="DP427" i="4"/>
  <c r="DO427" i="4"/>
  <c r="DN427" i="4"/>
  <c r="DM427" i="4"/>
  <c r="DL427" i="4"/>
  <c r="DK427" i="4"/>
  <c r="DJ427" i="4"/>
  <c r="DI427" i="4"/>
  <c r="DH427" i="4"/>
  <c r="DG427" i="4"/>
  <c r="DF427" i="4"/>
  <c r="DE427" i="4"/>
  <c r="DD427" i="4"/>
  <c r="DC427" i="4"/>
  <c r="DB427" i="4"/>
  <c r="DA427" i="4"/>
  <c r="CZ427" i="4"/>
  <c r="CY427" i="4"/>
  <c r="CX427" i="4"/>
  <c r="CW427" i="4"/>
  <c r="CV427" i="4"/>
  <c r="CU427" i="4"/>
  <c r="CT427" i="4"/>
  <c r="CS427" i="4"/>
  <c r="CR427" i="4"/>
  <c r="CQ427" i="4"/>
  <c r="CP427" i="4"/>
  <c r="CO427" i="4"/>
  <c r="CN427" i="4"/>
  <c r="CM427" i="4"/>
  <c r="CL427" i="4"/>
  <c r="CK427" i="4"/>
  <c r="CJ427" i="4"/>
  <c r="CI427" i="4"/>
  <c r="CH427" i="4"/>
  <c r="CG427" i="4"/>
  <c r="CF427" i="4"/>
  <c r="CE427" i="4"/>
  <c r="CD427" i="4"/>
  <c r="CC427" i="4"/>
  <c r="CB427" i="4"/>
  <c r="CA427" i="4"/>
  <c r="BZ427" i="4"/>
  <c r="BY427" i="4"/>
  <c r="BX427" i="4"/>
  <c r="BW427" i="4"/>
  <c r="BV427" i="4"/>
  <c r="BU427" i="4"/>
  <c r="BT427" i="4"/>
  <c r="BS427" i="4"/>
  <c r="BR427" i="4"/>
  <c r="BQ427" i="4"/>
  <c r="BP427" i="4"/>
  <c r="BO427" i="4"/>
  <c r="BM427" i="4"/>
  <c r="BL427" i="4"/>
  <c r="BK427" i="4"/>
  <c r="BI427" i="4"/>
  <c r="BH427" i="4"/>
  <c r="BG427" i="4"/>
  <c r="BF427" i="4"/>
  <c r="BE427" i="4"/>
  <c r="BD427" i="4"/>
  <c r="BC427" i="4"/>
  <c r="BB427" i="4"/>
  <c r="BA427" i="4"/>
  <c r="AZ427" i="4"/>
  <c r="AY427" i="4"/>
  <c r="AX427" i="4"/>
  <c r="AW427" i="4"/>
  <c r="AV427" i="4"/>
  <c r="AU427" i="4"/>
  <c r="AT427" i="4"/>
  <c r="AS427" i="4"/>
  <c r="AR427" i="4"/>
  <c r="AQ427" i="4"/>
  <c r="AP427" i="4"/>
  <c r="AO427" i="4"/>
  <c r="AN427" i="4"/>
  <c r="AM427" i="4"/>
  <c r="AL427" i="4"/>
  <c r="AK427" i="4"/>
  <c r="AJ427" i="4"/>
  <c r="AI427" i="4"/>
  <c r="AH427" i="4"/>
  <c r="AG427" i="4"/>
  <c r="AF427" i="4"/>
  <c r="AE427" i="4"/>
  <c r="AD427" i="4"/>
  <c r="AC427" i="4"/>
  <c r="AB427" i="4"/>
  <c r="AA427" i="4"/>
  <c r="Z427" i="4"/>
  <c r="Y427" i="4"/>
  <c r="X427" i="4"/>
  <c r="W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ED426" i="4"/>
  <c r="EC426" i="4"/>
  <c r="EB426" i="4"/>
  <c r="EA426" i="4"/>
  <c r="DZ426" i="4"/>
  <c r="DY426" i="4"/>
  <c r="DX426" i="4"/>
  <c r="DW426" i="4"/>
  <c r="DV426" i="4"/>
  <c r="DU426" i="4"/>
  <c r="DT426" i="4"/>
  <c r="DS426" i="4"/>
  <c r="DR426" i="4"/>
  <c r="DQ426" i="4"/>
  <c r="DP426" i="4"/>
  <c r="DO426" i="4"/>
  <c r="DN426" i="4"/>
  <c r="DM426" i="4"/>
  <c r="DL426" i="4"/>
  <c r="DK426" i="4"/>
  <c r="DJ426" i="4"/>
  <c r="DI426" i="4"/>
  <c r="DH426" i="4"/>
  <c r="DG426" i="4"/>
  <c r="DF426" i="4"/>
  <c r="DE426" i="4"/>
  <c r="DD426" i="4"/>
  <c r="DC426" i="4"/>
  <c r="DB426" i="4"/>
  <c r="DA426" i="4"/>
  <c r="CZ426" i="4"/>
  <c r="CY426" i="4"/>
  <c r="CX426" i="4"/>
  <c r="CW426" i="4"/>
  <c r="CV426" i="4"/>
  <c r="CU426" i="4"/>
  <c r="CT426" i="4"/>
  <c r="CS426" i="4"/>
  <c r="CR426" i="4"/>
  <c r="CQ426" i="4"/>
  <c r="CP426" i="4"/>
  <c r="CO426" i="4"/>
  <c r="CN426" i="4"/>
  <c r="CM426" i="4"/>
  <c r="CL426" i="4"/>
  <c r="CK426" i="4"/>
  <c r="CJ426" i="4"/>
  <c r="CI426" i="4"/>
  <c r="CH426" i="4"/>
  <c r="CG426" i="4"/>
  <c r="CF426" i="4"/>
  <c r="CE426" i="4"/>
  <c r="CD426" i="4"/>
  <c r="CC426" i="4"/>
  <c r="CB426" i="4"/>
  <c r="CA426" i="4"/>
  <c r="BZ426" i="4"/>
  <c r="BY426" i="4"/>
  <c r="BX426" i="4"/>
  <c r="BW426" i="4"/>
  <c r="BV426" i="4"/>
  <c r="BU426" i="4"/>
  <c r="BT426" i="4"/>
  <c r="BS426" i="4"/>
  <c r="BR426" i="4"/>
  <c r="BQ426" i="4"/>
  <c r="BP426" i="4"/>
  <c r="BO426" i="4"/>
  <c r="BM426" i="4"/>
  <c r="BL426" i="4"/>
  <c r="BK426" i="4"/>
  <c r="BI426" i="4"/>
  <c r="BH426" i="4"/>
  <c r="BG426" i="4"/>
  <c r="BF426" i="4"/>
  <c r="BE426" i="4"/>
  <c r="BD426" i="4"/>
  <c r="BC426" i="4"/>
  <c r="BB426" i="4"/>
  <c r="BA426" i="4"/>
  <c r="AZ426" i="4"/>
  <c r="AY426" i="4"/>
  <c r="AX426" i="4"/>
  <c r="AW426" i="4"/>
  <c r="AV426" i="4"/>
  <c r="AU426" i="4"/>
  <c r="AT426" i="4"/>
  <c r="AS426" i="4"/>
  <c r="AR426" i="4"/>
  <c r="AQ426" i="4"/>
  <c r="AP426" i="4"/>
  <c r="AO426" i="4"/>
  <c r="AN426" i="4"/>
  <c r="AM426" i="4"/>
  <c r="AL426" i="4"/>
  <c r="AK426" i="4"/>
  <c r="AJ426" i="4"/>
  <c r="AI426" i="4"/>
  <c r="AH426" i="4"/>
  <c r="AG426" i="4"/>
  <c r="AF426" i="4"/>
  <c r="AE426" i="4"/>
  <c r="AD426" i="4"/>
  <c r="AC426" i="4"/>
  <c r="AB426" i="4"/>
  <c r="AA426" i="4"/>
  <c r="Z426" i="4"/>
  <c r="Y426" i="4"/>
  <c r="X426" i="4"/>
  <c r="W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ED425" i="4"/>
  <c r="EC425" i="4"/>
  <c r="EB425" i="4"/>
  <c r="EA425" i="4"/>
  <c r="DZ425" i="4"/>
  <c r="DY425" i="4"/>
  <c r="DX425" i="4"/>
  <c r="DW425" i="4"/>
  <c r="DV425" i="4"/>
  <c r="DU425" i="4"/>
  <c r="DT425" i="4"/>
  <c r="DS425" i="4"/>
  <c r="DR425" i="4"/>
  <c r="DQ425" i="4"/>
  <c r="DP425" i="4"/>
  <c r="DO425" i="4"/>
  <c r="DN425" i="4"/>
  <c r="DM425" i="4"/>
  <c r="DL425" i="4"/>
  <c r="DK425" i="4"/>
  <c r="DJ425" i="4"/>
  <c r="DI425" i="4"/>
  <c r="DH425" i="4"/>
  <c r="DG425" i="4"/>
  <c r="DF425" i="4"/>
  <c r="DE425" i="4"/>
  <c r="DD425" i="4"/>
  <c r="DC425" i="4"/>
  <c r="DB425" i="4"/>
  <c r="DA425" i="4"/>
  <c r="CZ425" i="4"/>
  <c r="CY425" i="4"/>
  <c r="CX425" i="4"/>
  <c r="CW425" i="4"/>
  <c r="CV425" i="4"/>
  <c r="CU425" i="4"/>
  <c r="CT425" i="4"/>
  <c r="CS425" i="4"/>
  <c r="CR425" i="4"/>
  <c r="CQ425" i="4"/>
  <c r="CP425" i="4"/>
  <c r="CO425" i="4"/>
  <c r="CN425" i="4"/>
  <c r="CM425" i="4"/>
  <c r="CL425" i="4"/>
  <c r="CK425" i="4"/>
  <c r="CJ425" i="4"/>
  <c r="CI425" i="4"/>
  <c r="CH425" i="4"/>
  <c r="CG425" i="4"/>
  <c r="CF425" i="4"/>
  <c r="CE425" i="4"/>
  <c r="CD425" i="4"/>
  <c r="CC425" i="4"/>
  <c r="CB425" i="4"/>
  <c r="CA425" i="4"/>
  <c r="BZ425" i="4"/>
  <c r="BY425" i="4"/>
  <c r="BX425" i="4"/>
  <c r="BW425" i="4"/>
  <c r="BV425" i="4"/>
  <c r="BU425" i="4"/>
  <c r="BT425" i="4"/>
  <c r="BS425" i="4"/>
  <c r="BR425" i="4"/>
  <c r="BQ425" i="4"/>
  <c r="BP425" i="4"/>
  <c r="BO425" i="4"/>
  <c r="BM425" i="4"/>
  <c r="BL425" i="4"/>
  <c r="BK425" i="4"/>
  <c r="BI425" i="4"/>
  <c r="BH425" i="4"/>
  <c r="BG425" i="4"/>
  <c r="BF425" i="4"/>
  <c r="BE425" i="4"/>
  <c r="BD425" i="4"/>
  <c r="BC425" i="4"/>
  <c r="BB425" i="4"/>
  <c r="BA425" i="4"/>
  <c r="AZ425" i="4"/>
  <c r="AY425" i="4"/>
  <c r="AX425" i="4"/>
  <c r="AW425" i="4"/>
  <c r="AV425" i="4"/>
  <c r="AU425" i="4"/>
  <c r="AT425" i="4"/>
  <c r="AS425" i="4"/>
  <c r="AR425" i="4"/>
  <c r="AQ425" i="4"/>
  <c r="AP425" i="4"/>
  <c r="AO425" i="4"/>
  <c r="AN425" i="4"/>
  <c r="AM425" i="4"/>
  <c r="AL425" i="4"/>
  <c r="AK425" i="4"/>
  <c r="AJ425" i="4"/>
  <c r="AI425" i="4"/>
  <c r="AH425" i="4"/>
  <c r="AG425" i="4"/>
  <c r="AF425" i="4"/>
  <c r="AE425" i="4"/>
  <c r="AD425" i="4"/>
  <c r="AC425" i="4"/>
  <c r="AB425" i="4"/>
  <c r="AA425" i="4"/>
  <c r="Z425" i="4"/>
  <c r="Y425" i="4"/>
  <c r="X425" i="4"/>
  <c r="W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ED424" i="4"/>
  <c r="EC424" i="4"/>
  <c r="EB424" i="4"/>
  <c r="EA424" i="4"/>
  <c r="DZ424" i="4"/>
  <c r="DY424" i="4"/>
  <c r="DX424" i="4"/>
  <c r="DW424" i="4"/>
  <c r="DV424" i="4"/>
  <c r="DU424" i="4"/>
  <c r="DT424" i="4"/>
  <c r="DS424" i="4"/>
  <c r="DR424" i="4"/>
  <c r="DQ424" i="4"/>
  <c r="DP424" i="4"/>
  <c r="DO424" i="4"/>
  <c r="DN424" i="4"/>
  <c r="DM424" i="4"/>
  <c r="DL424" i="4"/>
  <c r="DK424" i="4"/>
  <c r="DJ424" i="4"/>
  <c r="DI424" i="4"/>
  <c r="DH424" i="4"/>
  <c r="DG424" i="4"/>
  <c r="DF424" i="4"/>
  <c r="DE424" i="4"/>
  <c r="DD424" i="4"/>
  <c r="DC424" i="4"/>
  <c r="DB424" i="4"/>
  <c r="DA424" i="4"/>
  <c r="CZ424" i="4"/>
  <c r="CY424" i="4"/>
  <c r="CX424" i="4"/>
  <c r="CW424" i="4"/>
  <c r="CV424" i="4"/>
  <c r="CU424" i="4"/>
  <c r="CT424" i="4"/>
  <c r="CS424" i="4"/>
  <c r="CR424" i="4"/>
  <c r="CQ424" i="4"/>
  <c r="CP424" i="4"/>
  <c r="CO424" i="4"/>
  <c r="CN424" i="4"/>
  <c r="CM424" i="4"/>
  <c r="CL424" i="4"/>
  <c r="CK424" i="4"/>
  <c r="CJ424" i="4"/>
  <c r="CI424" i="4"/>
  <c r="CH424" i="4"/>
  <c r="CG424" i="4"/>
  <c r="CF424" i="4"/>
  <c r="CE424" i="4"/>
  <c r="CD424" i="4"/>
  <c r="CC424" i="4"/>
  <c r="CB424" i="4"/>
  <c r="CA424" i="4"/>
  <c r="BZ424" i="4"/>
  <c r="BY424" i="4"/>
  <c r="BX424" i="4"/>
  <c r="BW424" i="4"/>
  <c r="BV424" i="4"/>
  <c r="BU424" i="4"/>
  <c r="BT424" i="4"/>
  <c r="BS424" i="4"/>
  <c r="BR424" i="4"/>
  <c r="BQ424" i="4"/>
  <c r="BP424" i="4"/>
  <c r="BO424" i="4"/>
  <c r="BM424" i="4"/>
  <c r="BL424" i="4"/>
  <c r="BK424" i="4"/>
  <c r="BI424" i="4"/>
  <c r="BH424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/>
  <c r="AR424" i="4"/>
  <c r="AQ424" i="4"/>
  <c r="AP424" i="4"/>
  <c r="AO424" i="4"/>
  <c r="AN424" i="4"/>
  <c r="AM424" i="4"/>
  <c r="AL424" i="4"/>
  <c r="AK424" i="4"/>
  <c r="AJ424" i="4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ED423" i="4"/>
  <c r="EC423" i="4"/>
  <c r="EB423" i="4"/>
  <c r="EA423" i="4"/>
  <c r="DZ423" i="4"/>
  <c r="DY423" i="4"/>
  <c r="DX423" i="4"/>
  <c r="DW423" i="4"/>
  <c r="DV423" i="4"/>
  <c r="DU423" i="4"/>
  <c r="DT423" i="4"/>
  <c r="DS423" i="4"/>
  <c r="DR423" i="4"/>
  <c r="DQ423" i="4"/>
  <c r="DP423" i="4"/>
  <c r="DO423" i="4"/>
  <c r="DN423" i="4"/>
  <c r="DM423" i="4"/>
  <c r="DL423" i="4"/>
  <c r="DK423" i="4"/>
  <c r="DJ423" i="4"/>
  <c r="DI423" i="4"/>
  <c r="DH423" i="4"/>
  <c r="DG423" i="4"/>
  <c r="DF423" i="4"/>
  <c r="DE423" i="4"/>
  <c r="DD423" i="4"/>
  <c r="DC423" i="4"/>
  <c r="DB423" i="4"/>
  <c r="DA423" i="4"/>
  <c r="CZ423" i="4"/>
  <c r="CY423" i="4"/>
  <c r="CX423" i="4"/>
  <c r="CW423" i="4"/>
  <c r="CV423" i="4"/>
  <c r="CU423" i="4"/>
  <c r="CT423" i="4"/>
  <c r="CS423" i="4"/>
  <c r="CR423" i="4"/>
  <c r="CQ423" i="4"/>
  <c r="CP423" i="4"/>
  <c r="CO423" i="4"/>
  <c r="CN423" i="4"/>
  <c r="CM423" i="4"/>
  <c r="CL423" i="4"/>
  <c r="CK423" i="4"/>
  <c r="CJ423" i="4"/>
  <c r="CI423" i="4"/>
  <c r="CH423" i="4"/>
  <c r="CG423" i="4"/>
  <c r="CF423" i="4"/>
  <c r="CE423" i="4"/>
  <c r="CD423" i="4"/>
  <c r="CC423" i="4"/>
  <c r="CB423" i="4"/>
  <c r="CA423" i="4"/>
  <c r="BZ423" i="4"/>
  <c r="BY423" i="4"/>
  <c r="BX423" i="4"/>
  <c r="BW423" i="4"/>
  <c r="BV423" i="4"/>
  <c r="BU423" i="4"/>
  <c r="BT423" i="4"/>
  <c r="BS423" i="4"/>
  <c r="BR423" i="4"/>
  <c r="BQ423" i="4"/>
  <c r="BP423" i="4"/>
  <c r="BO423" i="4"/>
  <c r="BM423" i="4"/>
  <c r="BL423" i="4"/>
  <c r="BK423" i="4"/>
  <c r="BI423" i="4"/>
  <c r="BH423" i="4"/>
  <c r="BG423" i="4"/>
  <c r="BF423" i="4"/>
  <c r="BE423" i="4"/>
  <c r="BD423" i="4"/>
  <c r="BC423" i="4"/>
  <c r="BB423" i="4"/>
  <c r="BA423" i="4"/>
  <c r="AZ423" i="4"/>
  <c r="AY423" i="4"/>
  <c r="AX423" i="4"/>
  <c r="AW423" i="4"/>
  <c r="AV423" i="4"/>
  <c r="AU423" i="4"/>
  <c r="AT423" i="4"/>
  <c r="AS423" i="4"/>
  <c r="AR423" i="4"/>
  <c r="AQ423" i="4"/>
  <c r="AP423" i="4"/>
  <c r="AO423" i="4"/>
  <c r="AN423" i="4"/>
  <c r="AM423" i="4"/>
  <c r="AL423" i="4"/>
  <c r="AK423" i="4"/>
  <c r="AJ423" i="4"/>
  <c r="AI423" i="4"/>
  <c r="AH423" i="4"/>
  <c r="AG423" i="4"/>
  <c r="AF423" i="4"/>
  <c r="AE423" i="4"/>
  <c r="AD423" i="4"/>
  <c r="AC423" i="4"/>
  <c r="AB423" i="4"/>
  <c r="AA423" i="4"/>
  <c r="Z423" i="4"/>
  <c r="Y423" i="4"/>
  <c r="X423" i="4"/>
  <c r="W423" i="4"/>
  <c r="V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ED422" i="4"/>
  <c r="EC422" i="4"/>
  <c r="EB422" i="4"/>
  <c r="EA422" i="4"/>
  <c r="DZ422" i="4"/>
  <c r="DY422" i="4"/>
  <c r="DX422" i="4"/>
  <c r="DW422" i="4"/>
  <c r="DV422" i="4"/>
  <c r="DU422" i="4"/>
  <c r="DT422" i="4"/>
  <c r="DS422" i="4"/>
  <c r="DR422" i="4"/>
  <c r="DQ422" i="4"/>
  <c r="DP422" i="4"/>
  <c r="DO422" i="4"/>
  <c r="DN422" i="4"/>
  <c r="DM422" i="4"/>
  <c r="DL422" i="4"/>
  <c r="DK422" i="4"/>
  <c r="DJ422" i="4"/>
  <c r="DI422" i="4"/>
  <c r="DH422" i="4"/>
  <c r="DG422" i="4"/>
  <c r="DF422" i="4"/>
  <c r="DE422" i="4"/>
  <c r="DD422" i="4"/>
  <c r="DC422" i="4"/>
  <c r="DB422" i="4"/>
  <c r="DA422" i="4"/>
  <c r="CZ422" i="4"/>
  <c r="CY422" i="4"/>
  <c r="CX422" i="4"/>
  <c r="CW422" i="4"/>
  <c r="CV422" i="4"/>
  <c r="CU422" i="4"/>
  <c r="CT422" i="4"/>
  <c r="CS422" i="4"/>
  <c r="CR422" i="4"/>
  <c r="CQ422" i="4"/>
  <c r="CP422" i="4"/>
  <c r="CO422" i="4"/>
  <c r="CN422" i="4"/>
  <c r="CM422" i="4"/>
  <c r="CL422" i="4"/>
  <c r="CK422" i="4"/>
  <c r="CJ422" i="4"/>
  <c r="CI422" i="4"/>
  <c r="CH422" i="4"/>
  <c r="CG422" i="4"/>
  <c r="CF422" i="4"/>
  <c r="CE422" i="4"/>
  <c r="CD422" i="4"/>
  <c r="CC422" i="4"/>
  <c r="CB422" i="4"/>
  <c r="CA422" i="4"/>
  <c r="BZ422" i="4"/>
  <c r="BY422" i="4"/>
  <c r="BX422" i="4"/>
  <c r="BW422" i="4"/>
  <c r="BV422" i="4"/>
  <c r="BU422" i="4"/>
  <c r="BT422" i="4"/>
  <c r="BS422" i="4"/>
  <c r="BR422" i="4"/>
  <c r="BQ422" i="4"/>
  <c r="BP422" i="4"/>
  <c r="BO422" i="4"/>
  <c r="BM422" i="4"/>
  <c r="BL422" i="4"/>
  <c r="BK422" i="4"/>
  <c r="BI422" i="4"/>
  <c r="BH422" i="4"/>
  <c r="BG422" i="4"/>
  <c r="BF422" i="4"/>
  <c r="BE422" i="4"/>
  <c r="BD422" i="4"/>
  <c r="BC422" i="4"/>
  <c r="BB422" i="4"/>
  <c r="BA422" i="4"/>
  <c r="AZ422" i="4"/>
  <c r="AY422" i="4"/>
  <c r="AX422" i="4"/>
  <c r="AW422" i="4"/>
  <c r="AV422" i="4"/>
  <c r="AU422" i="4"/>
  <c r="AT422" i="4"/>
  <c r="AS422" i="4"/>
  <c r="AR422" i="4"/>
  <c r="AQ422" i="4"/>
  <c r="AP422" i="4"/>
  <c r="AO422" i="4"/>
  <c r="AN422" i="4"/>
  <c r="AM422" i="4"/>
  <c r="AL422" i="4"/>
  <c r="AK422" i="4"/>
  <c r="AJ422" i="4"/>
  <c r="AI422" i="4"/>
  <c r="AH422" i="4"/>
  <c r="AG422" i="4"/>
  <c r="AF422" i="4"/>
  <c r="AE422" i="4"/>
  <c r="AD422" i="4"/>
  <c r="AC422" i="4"/>
  <c r="AB422" i="4"/>
  <c r="AA422" i="4"/>
  <c r="Z422" i="4"/>
  <c r="Y422" i="4"/>
  <c r="X422" i="4"/>
  <c r="W422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ED421" i="4"/>
  <c r="EC421" i="4"/>
  <c r="EB421" i="4"/>
  <c r="EA421" i="4"/>
  <c r="DZ421" i="4"/>
  <c r="DY421" i="4"/>
  <c r="DX421" i="4"/>
  <c r="DW421" i="4"/>
  <c r="DV421" i="4"/>
  <c r="DU421" i="4"/>
  <c r="DT421" i="4"/>
  <c r="DS421" i="4"/>
  <c r="DR421" i="4"/>
  <c r="DQ421" i="4"/>
  <c r="DP421" i="4"/>
  <c r="DO421" i="4"/>
  <c r="DN421" i="4"/>
  <c r="DM421" i="4"/>
  <c r="DL421" i="4"/>
  <c r="DK421" i="4"/>
  <c r="DJ421" i="4"/>
  <c r="DI421" i="4"/>
  <c r="DH421" i="4"/>
  <c r="DG421" i="4"/>
  <c r="DF421" i="4"/>
  <c r="DE421" i="4"/>
  <c r="DD421" i="4"/>
  <c r="DC421" i="4"/>
  <c r="DB421" i="4"/>
  <c r="DA421" i="4"/>
  <c r="CZ421" i="4"/>
  <c r="CY421" i="4"/>
  <c r="CX421" i="4"/>
  <c r="CW421" i="4"/>
  <c r="CV421" i="4"/>
  <c r="CU421" i="4"/>
  <c r="CT421" i="4"/>
  <c r="CS421" i="4"/>
  <c r="CR421" i="4"/>
  <c r="CQ421" i="4"/>
  <c r="CP421" i="4"/>
  <c r="CO421" i="4"/>
  <c r="CN421" i="4"/>
  <c r="CM421" i="4"/>
  <c r="CL421" i="4"/>
  <c r="CK421" i="4"/>
  <c r="CJ421" i="4"/>
  <c r="CI421" i="4"/>
  <c r="CH421" i="4"/>
  <c r="CG421" i="4"/>
  <c r="CF421" i="4"/>
  <c r="CE421" i="4"/>
  <c r="CD421" i="4"/>
  <c r="CC421" i="4"/>
  <c r="CB421" i="4"/>
  <c r="CA421" i="4"/>
  <c r="BZ421" i="4"/>
  <c r="BY421" i="4"/>
  <c r="BX421" i="4"/>
  <c r="BW421" i="4"/>
  <c r="BV421" i="4"/>
  <c r="BU421" i="4"/>
  <c r="BT421" i="4"/>
  <c r="BS421" i="4"/>
  <c r="BR421" i="4"/>
  <c r="BQ421" i="4"/>
  <c r="BP421" i="4"/>
  <c r="BO421" i="4"/>
  <c r="BM421" i="4"/>
  <c r="BL421" i="4"/>
  <c r="BK421" i="4"/>
  <c r="BI421" i="4"/>
  <c r="BH421" i="4"/>
  <c r="BG421" i="4"/>
  <c r="BF421" i="4"/>
  <c r="BE421" i="4"/>
  <c r="BD421" i="4"/>
  <c r="BC421" i="4"/>
  <c r="BB421" i="4"/>
  <c r="BA421" i="4"/>
  <c r="AZ421" i="4"/>
  <c r="AY421" i="4"/>
  <c r="AX421" i="4"/>
  <c r="AW421" i="4"/>
  <c r="AV421" i="4"/>
  <c r="AU421" i="4"/>
  <c r="AT421" i="4"/>
  <c r="AS421" i="4"/>
  <c r="AR421" i="4"/>
  <c r="AQ421" i="4"/>
  <c r="AP421" i="4"/>
  <c r="AO421" i="4"/>
  <c r="AN421" i="4"/>
  <c r="AM421" i="4"/>
  <c r="AL421" i="4"/>
  <c r="AK421" i="4"/>
  <c r="AJ421" i="4"/>
  <c r="AI421" i="4"/>
  <c r="AH421" i="4"/>
  <c r="AG421" i="4"/>
  <c r="AF421" i="4"/>
  <c r="AE421" i="4"/>
  <c r="AD421" i="4"/>
  <c r="AC421" i="4"/>
  <c r="AB421" i="4"/>
  <c r="AA421" i="4"/>
  <c r="Z421" i="4"/>
  <c r="Y421" i="4"/>
  <c r="X421" i="4"/>
  <c r="W421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ED420" i="4"/>
  <c r="EC420" i="4"/>
  <c r="EB420" i="4"/>
  <c r="EA420" i="4"/>
  <c r="DZ420" i="4"/>
  <c r="DY420" i="4"/>
  <c r="DX420" i="4"/>
  <c r="DW420" i="4"/>
  <c r="DV420" i="4"/>
  <c r="DU420" i="4"/>
  <c r="DT420" i="4"/>
  <c r="DS420" i="4"/>
  <c r="DR420" i="4"/>
  <c r="DQ420" i="4"/>
  <c r="DP420" i="4"/>
  <c r="DO420" i="4"/>
  <c r="DN420" i="4"/>
  <c r="DM420" i="4"/>
  <c r="DL420" i="4"/>
  <c r="DK420" i="4"/>
  <c r="DJ420" i="4"/>
  <c r="DI420" i="4"/>
  <c r="DH420" i="4"/>
  <c r="DG420" i="4"/>
  <c r="DF420" i="4"/>
  <c r="DE420" i="4"/>
  <c r="DD420" i="4"/>
  <c r="DC420" i="4"/>
  <c r="DB420" i="4"/>
  <c r="DA420" i="4"/>
  <c r="CZ420" i="4"/>
  <c r="CY420" i="4"/>
  <c r="CX420" i="4"/>
  <c r="CW420" i="4"/>
  <c r="CV420" i="4"/>
  <c r="CU420" i="4"/>
  <c r="CT420" i="4"/>
  <c r="CS420" i="4"/>
  <c r="CR420" i="4"/>
  <c r="CQ420" i="4"/>
  <c r="CP420" i="4"/>
  <c r="CO420" i="4"/>
  <c r="CN420" i="4"/>
  <c r="CM420" i="4"/>
  <c r="CL420" i="4"/>
  <c r="CK420" i="4"/>
  <c r="CJ420" i="4"/>
  <c r="CI420" i="4"/>
  <c r="CH420" i="4"/>
  <c r="CG420" i="4"/>
  <c r="CF420" i="4"/>
  <c r="CE420" i="4"/>
  <c r="CD420" i="4"/>
  <c r="CC420" i="4"/>
  <c r="CB420" i="4"/>
  <c r="CA420" i="4"/>
  <c r="BZ420" i="4"/>
  <c r="BY420" i="4"/>
  <c r="BX420" i="4"/>
  <c r="BW420" i="4"/>
  <c r="BV420" i="4"/>
  <c r="BU420" i="4"/>
  <c r="BT420" i="4"/>
  <c r="BS420" i="4"/>
  <c r="BR420" i="4"/>
  <c r="BQ420" i="4"/>
  <c r="BP420" i="4"/>
  <c r="BO420" i="4"/>
  <c r="BM420" i="4"/>
  <c r="BL420" i="4"/>
  <c r="BK420" i="4"/>
  <c r="BI420" i="4"/>
  <c r="BH420" i="4"/>
  <c r="BG420" i="4"/>
  <c r="BF420" i="4"/>
  <c r="BE420" i="4"/>
  <c r="BD420" i="4"/>
  <c r="BC420" i="4"/>
  <c r="BB420" i="4"/>
  <c r="BA420" i="4"/>
  <c r="AZ420" i="4"/>
  <c r="AY420" i="4"/>
  <c r="AX420" i="4"/>
  <c r="AW420" i="4"/>
  <c r="AV420" i="4"/>
  <c r="AU420" i="4"/>
  <c r="AT420" i="4"/>
  <c r="AS420" i="4"/>
  <c r="AR420" i="4"/>
  <c r="AQ420" i="4"/>
  <c r="AP420" i="4"/>
  <c r="AO420" i="4"/>
  <c r="AN420" i="4"/>
  <c r="AM420" i="4"/>
  <c r="AL420" i="4"/>
  <c r="AK420" i="4"/>
  <c r="AJ420" i="4"/>
  <c r="AI420" i="4"/>
  <c r="AH420" i="4"/>
  <c r="AG420" i="4"/>
  <c r="AF420" i="4"/>
  <c r="AE420" i="4"/>
  <c r="AD420" i="4"/>
  <c r="AC420" i="4"/>
  <c r="AB420" i="4"/>
  <c r="AA420" i="4"/>
  <c r="Z420" i="4"/>
  <c r="Y420" i="4"/>
  <c r="X420" i="4"/>
  <c r="W420" i="4"/>
  <c r="V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ED419" i="4"/>
  <c r="EC419" i="4"/>
  <c r="EB419" i="4"/>
  <c r="EA419" i="4"/>
  <c r="DZ419" i="4"/>
  <c r="DY419" i="4"/>
  <c r="DX419" i="4"/>
  <c r="DW419" i="4"/>
  <c r="DV419" i="4"/>
  <c r="DU419" i="4"/>
  <c r="DT419" i="4"/>
  <c r="DS419" i="4"/>
  <c r="DR419" i="4"/>
  <c r="DQ419" i="4"/>
  <c r="DP419" i="4"/>
  <c r="DO419" i="4"/>
  <c r="DN419" i="4"/>
  <c r="DM419" i="4"/>
  <c r="DL419" i="4"/>
  <c r="DK419" i="4"/>
  <c r="DJ419" i="4"/>
  <c r="DI419" i="4"/>
  <c r="DH419" i="4"/>
  <c r="DG419" i="4"/>
  <c r="DF419" i="4"/>
  <c r="DE419" i="4"/>
  <c r="DD419" i="4"/>
  <c r="DC419" i="4"/>
  <c r="DB419" i="4"/>
  <c r="DA419" i="4"/>
  <c r="CZ419" i="4"/>
  <c r="CY419" i="4"/>
  <c r="CX419" i="4"/>
  <c r="CW419" i="4"/>
  <c r="CV419" i="4"/>
  <c r="CU419" i="4"/>
  <c r="CT419" i="4"/>
  <c r="CS419" i="4"/>
  <c r="CR419" i="4"/>
  <c r="CQ419" i="4"/>
  <c r="CP419" i="4"/>
  <c r="CO419" i="4"/>
  <c r="CN419" i="4"/>
  <c r="CM419" i="4"/>
  <c r="CL419" i="4"/>
  <c r="CK419" i="4"/>
  <c r="CJ419" i="4"/>
  <c r="CI419" i="4"/>
  <c r="CH419" i="4"/>
  <c r="CG419" i="4"/>
  <c r="CF419" i="4"/>
  <c r="CE419" i="4"/>
  <c r="CD419" i="4"/>
  <c r="CC419" i="4"/>
  <c r="CB419" i="4"/>
  <c r="CA419" i="4"/>
  <c r="BZ419" i="4"/>
  <c r="BY419" i="4"/>
  <c r="BX419" i="4"/>
  <c r="BW419" i="4"/>
  <c r="BV419" i="4"/>
  <c r="BU419" i="4"/>
  <c r="BT419" i="4"/>
  <c r="BS419" i="4"/>
  <c r="BR419" i="4"/>
  <c r="BQ419" i="4"/>
  <c r="BP419" i="4"/>
  <c r="BO419" i="4"/>
  <c r="BM419" i="4"/>
  <c r="BL419" i="4"/>
  <c r="BK419" i="4"/>
  <c r="BI419" i="4"/>
  <c r="BH419" i="4"/>
  <c r="BG419" i="4"/>
  <c r="BF419" i="4"/>
  <c r="BE419" i="4"/>
  <c r="BD419" i="4"/>
  <c r="BC419" i="4"/>
  <c r="BB419" i="4"/>
  <c r="BA419" i="4"/>
  <c r="AZ419" i="4"/>
  <c r="AY419" i="4"/>
  <c r="AX419" i="4"/>
  <c r="AW419" i="4"/>
  <c r="AV419" i="4"/>
  <c r="AU419" i="4"/>
  <c r="AT419" i="4"/>
  <c r="AS419" i="4"/>
  <c r="AR419" i="4"/>
  <c r="AQ419" i="4"/>
  <c r="AP419" i="4"/>
  <c r="AO419" i="4"/>
  <c r="AN419" i="4"/>
  <c r="AM419" i="4"/>
  <c r="AL419" i="4"/>
  <c r="AK419" i="4"/>
  <c r="AJ419" i="4"/>
  <c r="AI419" i="4"/>
  <c r="AH419" i="4"/>
  <c r="AG419" i="4"/>
  <c r="AF419" i="4"/>
  <c r="AE419" i="4"/>
  <c r="AD419" i="4"/>
  <c r="AC419" i="4"/>
  <c r="AB419" i="4"/>
  <c r="AA419" i="4"/>
  <c r="Z419" i="4"/>
  <c r="Y419" i="4"/>
  <c r="X419" i="4"/>
  <c r="W419" i="4"/>
  <c r="V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ED418" i="4"/>
  <c r="EC418" i="4"/>
  <c r="EB418" i="4"/>
  <c r="EA418" i="4"/>
  <c r="DZ418" i="4"/>
  <c r="DY418" i="4"/>
  <c r="DX418" i="4"/>
  <c r="DW418" i="4"/>
  <c r="DV418" i="4"/>
  <c r="DU418" i="4"/>
  <c r="DT418" i="4"/>
  <c r="DS418" i="4"/>
  <c r="DR418" i="4"/>
  <c r="DQ418" i="4"/>
  <c r="DP418" i="4"/>
  <c r="DO418" i="4"/>
  <c r="DN418" i="4"/>
  <c r="DM418" i="4"/>
  <c r="DL418" i="4"/>
  <c r="DK418" i="4"/>
  <c r="DJ418" i="4"/>
  <c r="DI418" i="4"/>
  <c r="DH418" i="4"/>
  <c r="DG418" i="4"/>
  <c r="DF418" i="4"/>
  <c r="DE418" i="4"/>
  <c r="DD418" i="4"/>
  <c r="DC418" i="4"/>
  <c r="DB418" i="4"/>
  <c r="DA418" i="4"/>
  <c r="CZ418" i="4"/>
  <c r="CY418" i="4"/>
  <c r="CX418" i="4"/>
  <c r="CW418" i="4"/>
  <c r="CV418" i="4"/>
  <c r="CU418" i="4"/>
  <c r="CT418" i="4"/>
  <c r="CS418" i="4"/>
  <c r="CR418" i="4"/>
  <c r="CQ418" i="4"/>
  <c r="CP418" i="4"/>
  <c r="CO418" i="4"/>
  <c r="CN418" i="4"/>
  <c r="CM418" i="4"/>
  <c r="CL418" i="4"/>
  <c r="CK418" i="4"/>
  <c r="CJ418" i="4"/>
  <c r="CI418" i="4"/>
  <c r="CH418" i="4"/>
  <c r="CG418" i="4"/>
  <c r="CF418" i="4"/>
  <c r="CE418" i="4"/>
  <c r="CD418" i="4"/>
  <c r="CC418" i="4"/>
  <c r="CB418" i="4"/>
  <c r="CA418" i="4"/>
  <c r="BZ418" i="4"/>
  <c r="BY418" i="4"/>
  <c r="BX418" i="4"/>
  <c r="BW418" i="4"/>
  <c r="BV418" i="4"/>
  <c r="BU418" i="4"/>
  <c r="BT418" i="4"/>
  <c r="BS418" i="4"/>
  <c r="BR418" i="4"/>
  <c r="BQ418" i="4"/>
  <c r="BP418" i="4"/>
  <c r="BO418" i="4"/>
  <c r="BM418" i="4"/>
  <c r="BL418" i="4"/>
  <c r="BK418" i="4"/>
  <c r="BI418" i="4"/>
  <c r="BH418" i="4"/>
  <c r="BG418" i="4"/>
  <c r="BF418" i="4"/>
  <c r="BE418" i="4"/>
  <c r="BD418" i="4"/>
  <c r="BC418" i="4"/>
  <c r="BB418" i="4"/>
  <c r="BA418" i="4"/>
  <c r="AZ418" i="4"/>
  <c r="AY418" i="4"/>
  <c r="AX418" i="4"/>
  <c r="AW418" i="4"/>
  <c r="AV418" i="4"/>
  <c r="AU418" i="4"/>
  <c r="AT418" i="4"/>
  <c r="AS418" i="4"/>
  <c r="AR418" i="4"/>
  <c r="AQ418" i="4"/>
  <c r="AP418" i="4"/>
  <c r="AO418" i="4"/>
  <c r="AN418" i="4"/>
  <c r="AM418" i="4"/>
  <c r="AL418" i="4"/>
  <c r="AK418" i="4"/>
  <c r="AJ418" i="4"/>
  <c r="AI418" i="4"/>
  <c r="AH418" i="4"/>
  <c r="AG418" i="4"/>
  <c r="AF418" i="4"/>
  <c r="AE418" i="4"/>
  <c r="AD418" i="4"/>
  <c r="AC418" i="4"/>
  <c r="AB418" i="4"/>
  <c r="AA418" i="4"/>
  <c r="Z418" i="4"/>
  <c r="Y418" i="4"/>
  <c r="X418" i="4"/>
  <c r="W418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ED417" i="4"/>
  <c r="EC417" i="4"/>
  <c r="EB417" i="4"/>
  <c r="EA417" i="4"/>
  <c r="DZ417" i="4"/>
  <c r="DY417" i="4"/>
  <c r="DX417" i="4"/>
  <c r="DW417" i="4"/>
  <c r="DV417" i="4"/>
  <c r="DU417" i="4"/>
  <c r="DT417" i="4"/>
  <c r="DS417" i="4"/>
  <c r="DR417" i="4"/>
  <c r="DQ417" i="4"/>
  <c r="DP417" i="4"/>
  <c r="DO417" i="4"/>
  <c r="DN417" i="4"/>
  <c r="DM417" i="4"/>
  <c r="DL417" i="4"/>
  <c r="DK417" i="4"/>
  <c r="DJ417" i="4"/>
  <c r="DI417" i="4"/>
  <c r="DH417" i="4"/>
  <c r="DG417" i="4"/>
  <c r="DF417" i="4"/>
  <c r="DE417" i="4"/>
  <c r="DD417" i="4"/>
  <c r="DC417" i="4"/>
  <c r="DB417" i="4"/>
  <c r="DA417" i="4"/>
  <c r="CZ417" i="4"/>
  <c r="CY417" i="4"/>
  <c r="CX417" i="4"/>
  <c r="CW417" i="4"/>
  <c r="CV417" i="4"/>
  <c r="CU417" i="4"/>
  <c r="CT417" i="4"/>
  <c r="CS417" i="4"/>
  <c r="CR417" i="4"/>
  <c r="CQ417" i="4"/>
  <c r="CP417" i="4"/>
  <c r="CO417" i="4"/>
  <c r="CN417" i="4"/>
  <c r="CM417" i="4"/>
  <c r="CL417" i="4"/>
  <c r="CK417" i="4"/>
  <c r="CJ417" i="4"/>
  <c r="CI417" i="4"/>
  <c r="CH417" i="4"/>
  <c r="CG417" i="4"/>
  <c r="CF417" i="4"/>
  <c r="CE417" i="4"/>
  <c r="CD417" i="4"/>
  <c r="CC417" i="4"/>
  <c r="CB417" i="4"/>
  <c r="CA417" i="4"/>
  <c r="BZ417" i="4"/>
  <c r="BY417" i="4"/>
  <c r="BX417" i="4"/>
  <c r="BW417" i="4"/>
  <c r="BV417" i="4"/>
  <c r="BU417" i="4"/>
  <c r="BT417" i="4"/>
  <c r="BS417" i="4"/>
  <c r="BR417" i="4"/>
  <c r="BQ417" i="4"/>
  <c r="BP417" i="4"/>
  <c r="BO417" i="4"/>
  <c r="BM417" i="4"/>
  <c r="BL417" i="4"/>
  <c r="BK417" i="4"/>
  <c r="BI417" i="4"/>
  <c r="BH417" i="4"/>
  <c r="BG417" i="4"/>
  <c r="BF417" i="4"/>
  <c r="BE417" i="4"/>
  <c r="BD417" i="4"/>
  <c r="BC417" i="4"/>
  <c r="BB417" i="4"/>
  <c r="BA417" i="4"/>
  <c r="AZ417" i="4"/>
  <c r="AY417" i="4"/>
  <c r="AX417" i="4"/>
  <c r="AW417" i="4"/>
  <c r="AV417" i="4"/>
  <c r="AU417" i="4"/>
  <c r="AT417" i="4"/>
  <c r="AS417" i="4"/>
  <c r="AR417" i="4"/>
  <c r="AQ417" i="4"/>
  <c r="AP417" i="4"/>
  <c r="AO417" i="4"/>
  <c r="AN417" i="4"/>
  <c r="AM417" i="4"/>
  <c r="AL417" i="4"/>
  <c r="AK417" i="4"/>
  <c r="AJ417" i="4"/>
  <c r="AI417" i="4"/>
  <c r="AH417" i="4"/>
  <c r="AG417" i="4"/>
  <c r="AF417" i="4"/>
  <c r="AE417" i="4"/>
  <c r="AD417" i="4"/>
  <c r="AC417" i="4"/>
  <c r="AB417" i="4"/>
  <c r="AA417" i="4"/>
  <c r="Z417" i="4"/>
  <c r="Y417" i="4"/>
  <c r="X417" i="4"/>
  <c r="W417" i="4"/>
  <c r="V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ED416" i="4"/>
  <c r="EC416" i="4"/>
  <c r="EB416" i="4"/>
  <c r="EA416" i="4"/>
  <c r="DZ416" i="4"/>
  <c r="DY416" i="4"/>
  <c r="DX416" i="4"/>
  <c r="DW416" i="4"/>
  <c r="DV416" i="4"/>
  <c r="DU416" i="4"/>
  <c r="DT416" i="4"/>
  <c r="DS416" i="4"/>
  <c r="DR416" i="4"/>
  <c r="DQ416" i="4"/>
  <c r="DP416" i="4"/>
  <c r="DO416" i="4"/>
  <c r="DN416" i="4"/>
  <c r="DM416" i="4"/>
  <c r="DL416" i="4"/>
  <c r="DK416" i="4"/>
  <c r="DJ416" i="4"/>
  <c r="DI416" i="4"/>
  <c r="DH416" i="4"/>
  <c r="DG416" i="4"/>
  <c r="DF416" i="4"/>
  <c r="DE416" i="4"/>
  <c r="DD416" i="4"/>
  <c r="DC416" i="4"/>
  <c r="DB416" i="4"/>
  <c r="DA416" i="4"/>
  <c r="CZ416" i="4"/>
  <c r="CY416" i="4"/>
  <c r="CX416" i="4"/>
  <c r="CW416" i="4"/>
  <c r="CV416" i="4"/>
  <c r="CU416" i="4"/>
  <c r="CT416" i="4"/>
  <c r="CS416" i="4"/>
  <c r="CR416" i="4"/>
  <c r="CQ416" i="4"/>
  <c r="CP416" i="4"/>
  <c r="CO416" i="4"/>
  <c r="CN416" i="4"/>
  <c r="CM416" i="4"/>
  <c r="CL416" i="4"/>
  <c r="CK416" i="4"/>
  <c r="CJ416" i="4"/>
  <c r="CI416" i="4"/>
  <c r="CH416" i="4"/>
  <c r="CG416" i="4"/>
  <c r="CF416" i="4"/>
  <c r="CE416" i="4"/>
  <c r="CD416" i="4"/>
  <c r="CC416" i="4"/>
  <c r="CB416" i="4"/>
  <c r="CA416" i="4"/>
  <c r="BZ416" i="4"/>
  <c r="BY416" i="4"/>
  <c r="BX416" i="4"/>
  <c r="BW416" i="4"/>
  <c r="BV416" i="4"/>
  <c r="BU416" i="4"/>
  <c r="BT416" i="4"/>
  <c r="BS416" i="4"/>
  <c r="BR416" i="4"/>
  <c r="BQ416" i="4"/>
  <c r="BP416" i="4"/>
  <c r="BO416" i="4"/>
  <c r="BM416" i="4"/>
  <c r="BL416" i="4"/>
  <c r="BK416" i="4"/>
  <c r="BI416" i="4"/>
  <c r="BH416" i="4"/>
  <c r="BG416" i="4"/>
  <c r="BF416" i="4"/>
  <c r="BE416" i="4"/>
  <c r="BD416" i="4"/>
  <c r="BC416" i="4"/>
  <c r="BB416" i="4"/>
  <c r="BA416" i="4"/>
  <c r="AZ416" i="4"/>
  <c r="AY416" i="4"/>
  <c r="AX416" i="4"/>
  <c r="AW416" i="4"/>
  <c r="AV416" i="4"/>
  <c r="AU416" i="4"/>
  <c r="AT416" i="4"/>
  <c r="AS416" i="4"/>
  <c r="AR416" i="4"/>
  <c r="AQ416" i="4"/>
  <c r="AP416" i="4"/>
  <c r="AO416" i="4"/>
  <c r="AN416" i="4"/>
  <c r="AM416" i="4"/>
  <c r="AL416" i="4"/>
  <c r="AK416" i="4"/>
  <c r="AJ416" i="4"/>
  <c r="AI416" i="4"/>
  <c r="AH416" i="4"/>
  <c r="AG416" i="4"/>
  <c r="AF416" i="4"/>
  <c r="AE416" i="4"/>
  <c r="AD416" i="4"/>
  <c r="AC416" i="4"/>
  <c r="AB416" i="4"/>
  <c r="AA416" i="4"/>
  <c r="Z416" i="4"/>
  <c r="Y416" i="4"/>
  <c r="X416" i="4"/>
  <c r="W416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ED415" i="4"/>
  <c r="EC415" i="4"/>
  <c r="EB415" i="4"/>
  <c r="EA415" i="4"/>
  <c r="DZ415" i="4"/>
  <c r="DY415" i="4"/>
  <c r="DX415" i="4"/>
  <c r="DW415" i="4"/>
  <c r="DV415" i="4"/>
  <c r="DU415" i="4"/>
  <c r="DT415" i="4"/>
  <c r="DS415" i="4"/>
  <c r="DR415" i="4"/>
  <c r="DQ415" i="4"/>
  <c r="DP415" i="4"/>
  <c r="DO415" i="4"/>
  <c r="DN415" i="4"/>
  <c r="DM415" i="4"/>
  <c r="DL415" i="4"/>
  <c r="DK415" i="4"/>
  <c r="DJ415" i="4"/>
  <c r="DI415" i="4"/>
  <c r="DH415" i="4"/>
  <c r="DG415" i="4"/>
  <c r="DF415" i="4"/>
  <c r="DE415" i="4"/>
  <c r="DD415" i="4"/>
  <c r="DC415" i="4"/>
  <c r="DB415" i="4"/>
  <c r="DA415" i="4"/>
  <c r="CZ415" i="4"/>
  <c r="CY415" i="4"/>
  <c r="CX415" i="4"/>
  <c r="CW415" i="4"/>
  <c r="CV415" i="4"/>
  <c r="CU415" i="4"/>
  <c r="CT415" i="4"/>
  <c r="CS415" i="4"/>
  <c r="CR415" i="4"/>
  <c r="CQ415" i="4"/>
  <c r="CP415" i="4"/>
  <c r="CO415" i="4"/>
  <c r="CN415" i="4"/>
  <c r="CM415" i="4"/>
  <c r="CL415" i="4"/>
  <c r="CK415" i="4"/>
  <c r="CJ415" i="4"/>
  <c r="CI415" i="4"/>
  <c r="CH415" i="4"/>
  <c r="CG415" i="4"/>
  <c r="CF415" i="4"/>
  <c r="CE415" i="4"/>
  <c r="CD415" i="4"/>
  <c r="CC415" i="4"/>
  <c r="CB415" i="4"/>
  <c r="CA415" i="4"/>
  <c r="BZ415" i="4"/>
  <c r="BY415" i="4"/>
  <c r="BX415" i="4"/>
  <c r="BW415" i="4"/>
  <c r="BV415" i="4"/>
  <c r="BU415" i="4"/>
  <c r="BT415" i="4"/>
  <c r="BS415" i="4"/>
  <c r="BR415" i="4"/>
  <c r="BQ415" i="4"/>
  <c r="BP415" i="4"/>
  <c r="BO415" i="4"/>
  <c r="BM415" i="4"/>
  <c r="BL415" i="4"/>
  <c r="BK415" i="4"/>
  <c r="BI415" i="4"/>
  <c r="BH415" i="4"/>
  <c r="BG415" i="4"/>
  <c r="BF415" i="4"/>
  <c r="BE415" i="4"/>
  <c r="BD415" i="4"/>
  <c r="BC415" i="4"/>
  <c r="BB415" i="4"/>
  <c r="BA415" i="4"/>
  <c r="AZ415" i="4"/>
  <c r="AY415" i="4"/>
  <c r="AX415" i="4"/>
  <c r="AW415" i="4"/>
  <c r="AV415" i="4"/>
  <c r="AU415" i="4"/>
  <c r="AT415" i="4"/>
  <c r="AS415" i="4"/>
  <c r="AR415" i="4"/>
  <c r="AQ415" i="4"/>
  <c r="AP415" i="4"/>
  <c r="AO415" i="4"/>
  <c r="AN415" i="4"/>
  <c r="AM415" i="4"/>
  <c r="AL415" i="4"/>
  <c r="AK415" i="4"/>
  <c r="AJ415" i="4"/>
  <c r="AI415" i="4"/>
  <c r="AH415" i="4"/>
  <c r="AG415" i="4"/>
  <c r="AF415" i="4"/>
  <c r="AE415" i="4"/>
  <c r="AD415" i="4"/>
  <c r="AC415" i="4"/>
  <c r="AB415" i="4"/>
  <c r="AA415" i="4"/>
  <c r="Z415" i="4"/>
  <c r="Y415" i="4"/>
  <c r="X415" i="4"/>
  <c r="W415" i="4"/>
  <c r="V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ED414" i="4"/>
  <c r="EC414" i="4"/>
  <c r="EB414" i="4"/>
  <c r="EA414" i="4"/>
  <c r="DZ414" i="4"/>
  <c r="DY414" i="4"/>
  <c r="DX414" i="4"/>
  <c r="DW414" i="4"/>
  <c r="DV414" i="4"/>
  <c r="DU414" i="4"/>
  <c r="DT414" i="4"/>
  <c r="DS414" i="4"/>
  <c r="DR414" i="4"/>
  <c r="DQ414" i="4"/>
  <c r="DP414" i="4"/>
  <c r="DO414" i="4"/>
  <c r="DN414" i="4"/>
  <c r="DM414" i="4"/>
  <c r="DL414" i="4"/>
  <c r="DK414" i="4"/>
  <c r="DJ414" i="4"/>
  <c r="DI414" i="4"/>
  <c r="DH414" i="4"/>
  <c r="DG414" i="4"/>
  <c r="DF414" i="4"/>
  <c r="DE414" i="4"/>
  <c r="DD414" i="4"/>
  <c r="DC414" i="4"/>
  <c r="DB414" i="4"/>
  <c r="DA414" i="4"/>
  <c r="CZ414" i="4"/>
  <c r="CY414" i="4"/>
  <c r="CX414" i="4"/>
  <c r="CW414" i="4"/>
  <c r="CV414" i="4"/>
  <c r="CU414" i="4"/>
  <c r="CT414" i="4"/>
  <c r="CS414" i="4"/>
  <c r="CR414" i="4"/>
  <c r="CQ414" i="4"/>
  <c r="CP414" i="4"/>
  <c r="CO414" i="4"/>
  <c r="CN414" i="4"/>
  <c r="CM414" i="4"/>
  <c r="CL414" i="4"/>
  <c r="CK414" i="4"/>
  <c r="CJ414" i="4"/>
  <c r="CI414" i="4"/>
  <c r="CH414" i="4"/>
  <c r="CG414" i="4"/>
  <c r="CF414" i="4"/>
  <c r="CE414" i="4"/>
  <c r="CD414" i="4"/>
  <c r="CC414" i="4"/>
  <c r="CB414" i="4"/>
  <c r="CA414" i="4"/>
  <c r="BZ414" i="4"/>
  <c r="BY414" i="4"/>
  <c r="BX414" i="4"/>
  <c r="BW414" i="4"/>
  <c r="BV414" i="4"/>
  <c r="BU414" i="4"/>
  <c r="BT414" i="4"/>
  <c r="BS414" i="4"/>
  <c r="BR414" i="4"/>
  <c r="BQ414" i="4"/>
  <c r="BP414" i="4"/>
  <c r="BO414" i="4"/>
  <c r="BM414" i="4"/>
  <c r="BL414" i="4"/>
  <c r="BK414" i="4"/>
  <c r="BI414" i="4"/>
  <c r="BH414" i="4"/>
  <c r="BG414" i="4"/>
  <c r="BF414" i="4"/>
  <c r="BE414" i="4"/>
  <c r="BD414" i="4"/>
  <c r="BC414" i="4"/>
  <c r="BB414" i="4"/>
  <c r="BA414" i="4"/>
  <c r="AZ414" i="4"/>
  <c r="AY414" i="4"/>
  <c r="AX414" i="4"/>
  <c r="AW414" i="4"/>
  <c r="AV414" i="4"/>
  <c r="AU414" i="4"/>
  <c r="AT414" i="4"/>
  <c r="AS414" i="4"/>
  <c r="AR414" i="4"/>
  <c r="AQ414" i="4"/>
  <c r="AP414" i="4"/>
  <c r="AO414" i="4"/>
  <c r="AN414" i="4"/>
  <c r="AM414" i="4"/>
  <c r="AL414" i="4"/>
  <c r="AK414" i="4"/>
  <c r="AJ414" i="4"/>
  <c r="AI414" i="4"/>
  <c r="AH414" i="4"/>
  <c r="AG414" i="4"/>
  <c r="AF414" i="4"/>
  <c r="AE414" i="4"/>
  <c r="AD414" i="4"/>
  <c r="AC414" i="4"/>
  <c r="AB414" i="4"/>
  <c r="AA414" i="4"/>
  <c r="Z414" i="4"/>
  <c r="Y414" i="4"/>
  <c r="X414" i="4"/>
  <c r="W414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ED413" i="4"/>
  <c r="EC413" i="4"/>
  <c r="EB413" i="4"/>
  <c r="EA413" i="4"/>
  <c r="DZ413" i="4"/>
  <c r="DY413" i="4"/>
  <c r="DX413" i="4"/>
  <c r="DW413" i="4"/>
  <c r="DV413" i="4"/>
  <c r="DU413" i="4"/>
  <c r="DT413" i="4"/>
  <c r="DS413" i="4"/>
  <c r="DR413" i="4"/>
  <c r="DQ413" i="4"/>
  <c r="DP413" i="4"/>
  <c r="DO413" i="4"/>
  <c r="DN413" i="4"/>
  <c r="DM413" i="4"/>
  <c r="DL413" i="4"/>
  <c r="DK413" i="4"/>
  <c r="DJ413" i="4"/>
  <c r="DI413" i="4"/>
  <c r="DH413" i="4"/>
  <c r="DG413" i="4"/>
  <c r="DF413" i="4"/>
  <c r="DE413" i="4"/>
  <c r="DD413" i="4"/>
  <c r="DC413" i="4"/>
  <c r="DB413" i="4"/>
  <c r="DA413" i="4"/>
  <c r="CZ413" i="4"/>
  <c r="CY413" i="4"/>
  <c r="CX413" i="4"/>
  <c r="CW413" i="4"/>
  <c r="CV413" i="4"/>
  <c r="CU413" i="4"/>
  <c r="CT413" i="4"/>
  <c r="CS413" i="4"/>
  <c r="CR413" i="4"/>
  <c r="CQ413" i="4"/>
  <c r="CP413" i="4"/>
  <c r="CO413" i="4"/>
  <c r="CN413" i="4"/>
  <c r="CM413" i="4"/>
  <c r="CL413" i="4"/>
  <c r="CK413" i="4"/>
  <c r="CJ413" i="4"/>
  <c r="CI413" i="4"/>
  <c r="CH413" i="4"/>
  <c r="CG413" i="4"/>
  <c r="CF413" i="4"/>
  <c r="CE413" i="4"/>
  <c r="CD413" i="4"/>
  <c r="CC413" i="4"/>
  <c r="CB413" i="4"/>
  <c r="CA413" i="4"/>
  <c r="BZ413" i="4"/>
  <c r="BY413" i="4"/>
  <c r="BX413" i="4"/>
  <c r="BW413" i="4"/>
  <c r="BV413" i="4"/>
  <c r="BU413" i="4"/>
  <c r="BT413" i="4"/>
  <c r="BS413" i="4"/>
  <c r="BR413" i="4"/>
  <c r="BQ413" i="4"/>
  <c r="BP413" i="4"/>
  <c r="BO413" i="4"/>
  <c r="BM413" i="4"/>
  <c r="BL413" i="4"/>
  <c r="BK413" i="4"/>
  <c r="BI413" i="4"/>
  <c r="BH413" i="4"/>
  <c r="BG413" i="4"/>
  <c r="BF413" i="4"/>
  <c r="BE413" i="4"/>
  <c r="BD413" i="4"/>
  <c r="BC413" i="4"/>
  <c r="BB413" i="4"/>
  <c r="BA413" i="4"/>
  <c r="AZ413" i="4"/>
  <c r="AY413" i="4"/>
  <c r="AX413" i="4"/>
  <c r="AW413" i="4"/>
  <c r="AV413" i="4"/>
  <c r="AU413" i="4"/>
  <c r="AT413" i="4"/>
  <c r="AS413" i="4"/>
  <c r="AR413" i="4"/>
  <c r="AQ413" i="4"/>
  <c r="AP413" i="4"/>
  <c r="AO413" i="4"/>
  <c r="AN413" i="4"/>
  <c r="AM413" i="4"/>
  <c r="AL413" i="4"/>
  <c r="AK413" i="4"/>
  <c r="AJ413" i="4"/>
  <c r="AI413" i="4"/>
  <c r="AH413" i="4"/>
  <c r="AG413" i="4"/>
  <c r="AF413" i="4"/>
  <c r="AE413" i="4"/>
  <c r="AD413" i="4"/>
  <c r="AC413" i="4"/>
  <c r="AB413" i="4"/>
  <c r="AA413" i="4"/>
  <c r="Z413" i="4"/>
  <c r="Y413" i="4"/>
  <c r="X413" i="4"/>
  <c r="W413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ED412" i="4"/>
  <c r="EC412" i="4"/>
  <c r="EB412" i="4"/>
  <c r="EA412" i="4"/>
  <c r="DZ412" i="4"/>
  <c r="DY412" i="4"/>
  <c r="DX412" i="4"/>
  <c r="DW412" i="4"/>
  <c r="DV412" i="4"/>
  <c r="DU412" i="4"/>
  <c r="DT412" i="4"/>
  <c r="DS412" i="4"/>
  <c r="DR412" i="4"/>
  <c r="DQ412" i="4"/>
  <c r="DP412" i="4"/>
  <c r="DO412" i="4"/>
  <c r="DN412" i="4"/>
  <c r="DM412" i="4"/>
  <c r="DL412" i="4"/>
  <c r="DK412" i="4"/>
  <c r="DJ412" i="4"/>
  <c r="DI412" i="4"/>
  <c r="DH412" i="4"/>
  <c r="DG412" i="4"/>
  <c r="DF412" i="4"/>
  <c r="DE412" i="4"/>
  <c r="DD412" i="4"/>
  <c r="DC412" i="4"/>
  <c r="DB412" i="4"/>
  <c r="DA412" i="4"/>
  <c r="CZ412" i="4"/>
  <c r="CY412" i="4"/>
  <c r="CX412" i="4"/>
  <c r="CW412" i="4"/>
  <c r="CV412" i="4"/>
  <c r="CU412" i="4"/>
  <c r="CT412" i="4"/>
  <c r="CS412" i="4"/>
  <c r="CR412" i="4"/>
  <c r="CQ412" i="4"/>
  <c r="CP412" i="4"/>
  <c r="CO412" i="4"/>
  <c r="CN412" i="4"/>
  <c r="CM412" i="4"/>
  <c r="CL412" i="4"/>
  <c r="CK412" i="4"/>
  <c r="CJ412" i="4"/>
  <c r="CI412" i="4"/>
  <c r="CH412" i="4"/>
  <c r="CG412" i="4"/>
  <c r="CF412" i="4"/>
  <c r="CE412" i="4"/>
  <c r="CD412" i="4"/>
  <c r="CC412" i="4"/>
  <c r="CB412" i="4"/>
  <c r="CA412" i="4"/>
  <c r="BZ412" i="4"/>
  <c r="BY412" i="4"/>
  <c r="BX412" i="4"/>
  <c r="BW412" i="4"/>
  <c r="BV412" i="4"/>
  <c r="BU412" i="4"/>
  <c r="BT412" i="4"/>
  <c r="BS412" i="4"/>
  <c r="BR412" i="4"/>
  <c r="BQ412" i="4"/>
  <c r="BP412" i="4"/>
  <c r="BO412" i="4"/>
  <c r="BM412" i="4"/>
  <c r="BL412" i="4"/>
  <c r="BK412" i="4"/>
  <c r="BI412" i="4"/>
  <c r="BH412" i="4"/>
  <c r="BG412" i="4"/>
  <c r="BF412" i="4"/>
  <c r="BE412" i="4"/>
  <c r="BD412" i="4"/>
  <c r="BC412" i="4"/>
  <c r="BB412" i="4"/>
  <c r="BA412" i="4"/>
  <c r="AZ412" i="4"/>
  <c r="AY412" i="4"/>
  <c r="AX412" i="4"/>
  <c r="AW412" i="4"/>
  <c r="AV412" i="4"/>
  <c r="AU412" i="4"/>
  <c r="AT412" i="4"/>
  <c r="AS412" i="4"/>
  <c r="AR412" i="4"/>
  <c r="AQ412" i="4"/>
  <c r="AP412" i="4"/>
  <c r="AO412" i="4"/>
  <c r="AN412" i="4"/>
  <c r="AM412" i="4"/>
  <c r="AL412" i="4"/>
  <c r="AK412" i="4"/>
  <c r="AJ412" i="4"/>
  <c r="AI412" i="4"/>
  <c r="AH412" i="4"/>
  <c r="AG412" i="4"/>
  <c r="AF412" i="4"/>
  <c r="AE412" i="4"/>
  <c r="AD412" i="4"/>
  <c r="AC412" i="4"/>
  <c r="AB412" i="4"/>
  <c r="AA412" i="4"/>
  <c r="Z412" i="4"/>
  <c r="Y412" i="4"/>
  <c r="X412" i="4"/>
  <c r="W412" i="4"/>
  <c r="V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ED411" i="4"/>
  <c r="EC411" i="4"/>
  <c r="EB411" i="4"/>
  <c r="EA411" i="4"/>
  <c r="DZ411" i="4"/>
  <c r="DY411" i="4"/>
  <c r="DX411" i="4"/>
  <c r="DW411" i="4"/>
  <c r="DV411" i="4"/>
  <c r="DU411" i="4"/>
  <c r="DT411" i="4"/>
  <c r="DS411" i="4"/>
  <c r="DR411" i="4"/>
  <c r="DQ411" i="4"/>
  <c r="DP411" i="4"/>
  <c r="DO411" i="4"/>
  <c r="DN411" i="4"/>
  <c r="DM411" i="4"/>
  <c r="DL411" i="4"/>
  <c r="DK411" i="4"/>
  <c r="DJ411" i="4"/>
  <c r="DI411" i="4"/>
  <c r="DH411" i="4"/>
  <c r="DG411" i="4"/>
  <c r="DF411" i="4"/>
  <c r="DE411" i="4"/>
  <c r="DD411" i="4"/>
  <c r="DC411" i="4"/>
  <c r="DB411" i="4"/>
  <c r="DA411" i="4"/>
  <c r="CZ411" i="4"/>
  <c r="CY411" i="4"/>
  <c r="CX411" i="4"/>
  <c r="CW411" i="4"/>
  <c r="CV411" i="4"/>
  <c r="CU411" i="4"/>
  <c r="CT411" i="4"/>
  <c r="CS411" i="4"/>
  <c r="CR411" i="4"/>
  <c r="CQ411" i="4"/>
  <c r="CP411" i="4"/>
  <c r="CO411" i="4"/>
  <c r="CN411" i="4"/>
  <c r="CM411" i="4"/>
  <c r="CL411" i="4"/>
  <c r="CK411" i="4"/>
  <c r="CJ411" i="4"/>
  <c r="CI411" i="4"/>
  <c r="CH411" i="4"/>
  <c r="CG411" i="4"/>
  <c r="CF411" i="4"/>
  <c r="CE411" i="4"/>
  <c r="CD411" i="4"/>
  <c r="CC411" i="4"/>
  <c r="CB411" i="4"/>
  <c r="CA411" i="4"/>
  <c r="BZ411" i="4"/>
  <c r="BY411" i="4"/>
  <c r="BX411" i="4"/>
  <c r="BW411" i="4"/>
  <c r="BV411" i="4"/>
  <c r="BU411" i="4"/>
  <c r="BT411" i="4"/>
  <c r="BS411" i="4"/>
  <c r="BR411" i="4"/>
  <c r="BQ411" i="4"/>
  <c r="BP411" i="4"/>
  <c r="BO411" i="4"/>
  <c r="BM411" i="4"/>
  <c r="BL411" i="4"/>
  <c r="BK411" i="4"/>
  <c r="BI411" i="4"/>
  <c r="BH411" i="4"/>
  <c r="BG411" i="4"/>
  <c r="BF411" i="4"/>
  <c r="BE411" i="4"/>
  <c r="BD411" i="4"/>
  <c r="BC411" i="4"/>
  <c r="BB411" i="4"/>
  <c r="BA411" i="4"/>
  <c r="AZ411" i="4"/>
  <c r="AY411" i="4"/>
  <c r="AX411" i="4"/>
  <c r="AW411" i="4"/>
  <c r="AV411" i="4"/>
  <c r="AU411" i="4"/>
  <c r="AT411" i="4"/>
  <c r="AS411" i="4"/>
  <c r="AR411" i="4"/>
  <c r="AQ411" i="4"/>
  <c r="AP411" i="4"/>
  <c r="AO411" i="4"/>
  <c r="AN411" i="4"/>
  <c r="AM411" i="4"/>
  <c r="AL411" i="4"/>
  <c r="AK411" i="4"/>
  <c r="AJ411" i="4"/>
  <c r="AI411" i="4"/>
  <c r="AH411" i="4"/>
  <c r="AG411" i="4"/>
  <c r="AF411" i="4"/>
  <c r="AE411" i="4"/>
  <c r="AD411" i="4"/>
  <c r="AC411" i="4"/>
  <c r="AB411" i="4"/>
  <c r="AA411" i="4"/>
  <c r="Z411" i="4"/>
  <c r="Y411" i="4"/>
  <c r="X411" i="4"/>
  <c r="W411" i="4"/>
  <c r="V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ED410" i="4"/>
  <c r="EC410" i="4"/>
  <c r="EB410" i="4"/>
  <c r="EA410" i="4"/>
  <c r="DZ410" i="4"/>
  <c r="DY410" i="4"/>
  <c r="DX410" i="4"/>
  <c r="DW410" i="4"/>
  <c r="DV410" i="4"/>
  <c r="DU410" i="4"/>
  <c r="DT410" i="4"/>
  <c r="DS410" i="4"/>
  <c r="DR410" i="4"/>
  <c r="DQ410" i="4"/>
  <c r="DP410" i="4"/>
  <c r="DO410" i="4"/>
  <c r="DN410" i="4"/>
  <c r="DM410" i="4"/>
  <c r="DL410" i="4"/>
  <c r="DK410" i="4"/>
  <c r="DJ410" i="4"/>
  <c r="DI410" i="4"/>
  <c r="DH410" i="4"/>
  <c r="DG410" i="4"/>
  <c r="DF410" i="4"/>
  <c r="DE410" i="4"/>
  <c r="DD410" i="4"/>
  <c r="DC410" i="4"/>
  <c r="DB410" i="4"/>
  <c r="DA410" i="4"/>
  <c r="CZ410" i="4"/>
  <c r="CY410" i="4"/>
  <c r="CX410" i="4"/>
  <c r="CW410" i="4"/>
  <c r="CV410" i="4"/>
  <c r="CU410" i="4"/>
  <c r="CT410" i="4"/>
  <c r="CS410" i="4"/>
  <c r="CR410" i="4"/>
  <c r="CQ410" i="4"/>
  <c r="CP410" i="4"/>
  <c r="CO410" i="4"/>
  <c r="CN410" i="4"/>
  <c r="CM410" i="4"/>
  <c r="CL410" i="4"/>
  <c r="CK410" i="4"/>
  <c r="CJ410" i="4"/>
  <c r="CI410" i="4"/>
  <c r="CH410" i="4"/>
  <c r="CG410" i="4"/>
  <c r="CF410" i="4"/>
  <c r="CE410" i="4"/>
  <c r="CD410" i="4"/>
  <c r="CC410" i="4"/>
  <c r="CB410" i="4"/>
  <c r="CA410" i="4"/>
  <c r="BZ410" i="4"/>
  <c r="BY410" i="4"/>
  <c r="BX410" i="4"/>
  <c r="BW410" i="4"/>
  <c r="BV410" i="4"/>
  <c r="BU410" i="4"/>
  <c r="BT410" i="4"/>
  <c r="BS410" i="4"/>
  <c r="BR410" i="4"/>
  <c r="BQ410" i="4"/>
  <c r="BP410" i="4"/>
  <c r="BO410" i="4"/>
  <c r="BM410" i="4"/>
  <c r="BL410" i="4"/>
  <c r="BK410" i="4"/>
  <c r="BI410" i="4"/>
  <c r="BH410" i="4"/>
  <c r="BG410" i="4"/>
  <c r="BF410" i="4"/>
  <c r="BE410" i="4"/>
  <c r="BD410" i="4"/>
  <c r="BC410" i="4"/>
  <c r="BB410" i="4"/>
  <c r="BA410" i="4"/>
  <c r="AZ410" i="4"/>
  <c r="AY410" i="4"/>
  <c r="AX410" i="4"/>
  <c r="AW410" i="4"/>
  <c r="AV410" i="4"/>
  <c r="AU410" i="4"/>
  <c r="AT410" i="4"/>
  <c r="AS410" i="4"/>
  <c r="AR410" i="4"/>
  <c r="AQ410" i="4"/>
  <c r="AP410" i="4"/>
  <c r="AO410" i="4"/>
  <c r="AN410" i="4"/>
  <c r="AM410" i="4"/>
  <c r="AL410" i="4"/>
  <c r="AK410" i="4"/>
  <c r="AJ410" i="4"/>
  <c r="AI410" i="4"/>
  <c r="AH410" i="4"/>
  <c r="AG410" i="4"/>
  <c r="AF410" i="4"/>
  <c r="AE410" i="4"/>
  <c r="AD410" i="4"/>
  <c r="AC410" i="4"/>
  <c r="AB410" i="4"/>
  <c r="AA410" i="4"/>
  <c r="Z410" i="4"/>
  <c r="Y410" i="4"/>
  <c r="X410" i="4"/>
  <c r="W410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ED409" i="4"/>
  <c r="EC409" i="4"/>
  <c r="EB409" i="4"/>
  <c r="EA409" i="4"/>
  <c r="DZ409" i="4"/>
  <c r="DY409" i="4"/>
  <c r="DX409" i="4"/>
  <c r="DW409" i="4"/>
  <c r="DV409" i="4"/>
  <c r="DU409" i="4"/>
  <c r="DT409" i="4"/>
  <c r="DS409" i="4"/>
  <c r="DR409" i="4"/>
  <c r="DQ409" i="4"/>
  <c r="DP409" i="4"/>
  <c r="DO409" i="4"/>
  <c r="DN409" i="4"/>
  <c r="DM409" i="4"/>
  <c r="DL409" i="4"/>
  <c r="DK409" i="4"/>
  <c r="DJ409" i="4"/>
  <c r="DI409" i="4"/>
  <c r="DH409" i="4"/>
  <c r="DG409" i="4"/>
  <c r="DF409" i="4"/>
  <c r="DE409" i="4"/>
  <c r="DD409" i="4"/>
  <c r="DC409" i="4"/>
  <c r="DB409" i="4"/>
  <c r="DA409" i="4"/>
  <c r="CZ409" i="4"/>
  <c r="CY409" i="4"/>
  <c r="CX409" i="4"/>
  <c r="CW409" i="4"/>
  <c r="CV409" i="4"/>
  <c r="CU409" i="4"/>
  <c r="CT409" i="4"/>
  <c r="CS409" i="4"/>
  <c r="CR409" i="4"/>
  <c r="CQ409" i="4"/>
  <c r="CP409" i="4"/>
  <c r="CO409" i="4"/>
  <c r="CN409" i="4"/>
  <c r="CM409" i="4"/>
  <c r="CL409" i="4"/>
  <c r="CK409" i="4"/>
  <c r="CJ409" i="4"/>
  <c r="CI409" i="4"/>
  <c r="CH409" i="4"/>
  <c r="CG409" i="4"/>
  <c r="CF409" i="4"/>
  <c r="CE409" i="4"/>
  <c r="CD409" i="4"/>
  <c r="CC409" i="4"/>
  <c r="CB409" i="4"/>
  <c r="CA409" i="4"/>
  <c r="BZ409" i="4"/>
  <c r="BY409" i="4"/>
  <c r="BX409" i="4"/>
  <c r="BW409" i="4"/>
  <c r="BV409" i="4"/>
  <c r="BU409" i="4"/>
  <c r="BT409" i="4"/>
  <c r="BS409" i="4"/>
  <c r="BR409" i="4"/>
  <c r="BQ409" i="4"/>
  <c r="BP409" i="4"/>
  <c r="BO409" i="4"/>
  <c r="BM409" i="4"/>
  <c r="BL409" i="4"/>
  <c r="BK409" i="4"/>
  <c r="BI409" i="4"/>
  <c r="BH409" i="4"/>
  <c r="BG409" i="4"/>
  <c r="BF409" i="4"/>
  <c r="BE409" i="4"/>
  <c r="BD409" i="4"/>
  <c r="BC409" i="4"/>
  <c r="BB409" i="4"/>
  <c r="BA409" i="4"/>
  <c r="AZ409" i="4"/>
  <c r="AY409" i="4"/>
  <c r="AX409" i="4"/>
  <c r="AW409" i="4"/>
  <c r="AV409" i="4"/>
  <c r="AU409" i="4"/>
  <c r="AT409" i="4"/>
  <c r="AS409" i="4"/>
  <c r="AR409" i="4"/>
  <c r="AQ409" i="4"/>
  <c r="AP409" i="4"/>
  <c r="AO409" i="4"/>
  <c r="AN409" i="4"/>
  <c r="AM409" i="4"/>
  <c r="AL409" i="4"/>
  <c r="AK409" i="4"/>
  <c r="AJ409" i="4"/>
  <c r="AI409" i="4"/>
  <c r="AH409" i="4"/>
  <c r="AG409" i="4"/>
  <c r="AF409" i="4"/>
  <c r="AE409" i="4"/>
  <c r="AD409" i="4"/>
  <c r="AC409" i="4"/>
  <c r="AB409" i="4"/>
  <c r="AA409" i="4"/>
  <c r="Z409" i="4"/>
  <c r="Y409" i="4"/>
  <c r="X409" i="4"/>
  <c r="W409" i="4"/>
  <c r="V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ED408" i="4"/>
  <c r="EC408" i="4"/>
  <c r="EB408" i="4"/>
  <c r="EA408" i="4"/>
  <c r="DZ408" i="4"/>
  <c r="DY408" i="4"/>
  <c r="DX408" i="4"/>
  <c r="DW408" i="4"/>
  <c r="DV408" i="4"/>
  <c r="DU408" i="4"/>
  <c r="DT408" i="4"/>
  <c r="DS408" i="4"/>
  <c r="DR408" i="4"/>
  <c r="DQ408" i="4"/>
  <c r="DP408" i="4"/>
  <c r="DO408" i="4"/>
  <c r="DN408" i="4"/>
  <c r="DM408" i="4"/>
  <c r="DL408" i="4"/>
  <c r="DK408" i="4"/>
  <c r="DJ408" i="4"/>
  <c r="DI408" i="4"/>
  <c r="DH408" i="4"/>
  <c r="DG408" i="4"/>
  <c r="DF408" i="4"/>
  <c r="DE408" i="4"/>
  <c r="DD408" i="4"/>
  <c r="DC408" i="4"/>
  <c r="DB408" i="4"/>
  <c r="DA408" i="4"/>
  <c r="CZ408" i="4"/>
  <c r="CY408" i="4"/>
  <c r="CX408" i="4"/>
  <c r="CW408" i="4"/>
  <c r="CV408" i="4"/>
  <c r="CU408" i="4"/>
  <c r="CT408" i="4"/>
  <c r="CS408" i="4"/>
  <c r="CR408" i="4"/>
  <c r="CQ408" i="4"/>
  <c r="CP408" i="4"/>
  <c r="CO408" i="4"/>
  <c r="CN408" i="4"/>
  <c r="CM408" i="4"/>
  <c r="CL408" i="4"/>
  <c r="CK408" i="4"/>
  <c r="CJ408" i="4"/>
  <c r="CI408" i="4"/>
  <c r="CH408" i="4"/>
  <c r="CG408" i="4"/>
  <c r="CF408" i="4"/>
  <c r="CE408" i="4"/>
  <c r="CD408" i="4"/>
  <c r="CC408" i="4"/>
  <c r="CB408" i="4"/>
  <c r="CA408" i="4"/>
  <c r="BZ408" i="4"/>
  <c r="BY408" i="4"/>
  <c r="BX408" i="4"/>
  <c r="BW408" i="4"/>
  <c r="BV408" i="4"/>
  <c r="BU408" i="4"/>
  <c r="BT408" i="4"/>
  <c r="BS408" i="4"/>
  <c r="BR408" i="4"/>
  <c r="BQ408" i="4"/>
  <c r="BP408" i="4"/>
  <c r="BO408" i="4"/>
  <c r="BM408" i="4"/>
  <c r="BL408" i="4"/>
  <c r="BK408" i="4"/>
  <c r="BI408" i="4"/>
  <c r="BH408" i="4"/>
  <c r="BG408" i="4"/>
  <c r="BF408" i="4"/>
  <c r="BE408" i="4"/>
  <c r="BD408" i="4"/>
  <c r="BC408" i="4"/>
  <c r="BB408" i="4"/>
  <c r="BA408" i="4"/>
  <c r="AZ408" i="4"/>
  <c r="AY408" i="4"/>
  <c r="AX408" i="4"/>
  <c r="AW408" i="4"/>
  <c r="AV408" i="4"/>
  <c r="AU408" i="4"/>
  <c r="AT408" i="4"/>
  <c r="AS408" i="4"/>
  <c r="AR408" i="4"/>
  <c r="AQ408" i="4"/>
  <c r="AP408" i="4"/>
  <c r="AO408" i="4"/>
  <c r="AN408" i="4"/>
  <c r="AM408" i="4"/>
  <c r="AL408" i="4"/>
  <c r="AK408" i="4"/>
  <c r="AJ408" i="4"/>
  <c r="AI408" i="4"/>
  <c r="AH408" i="4"/>
  <c r="AG408" i="4"/>
  <c r="AF408" i="4"/>
  <c r="AE408" i="4"/>
  <c r="AD408" i="4"/>
  <c r="AC408" i="4"/>
  <c r="AB408" i="4"/>
  <c r="AA408" i="4"/>
  <c r="Z408" i="4"/>
  <c r="Y408" i="4"/>
  <c r="X408" i="4"/>
  <c r="W408" i="4"/>
  <c r="V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ED407" i="4"/>
  <c r="EC407" i="4"/>
  <c r="EB407" i="4"/>
  <c r="EA407" i="4"/>
  <c r="DZ407" i="4"/>
  <c r="DY407" i="4"/>
  <c r="DX407" i="4"/>
  <c r="DW407" i="4"/>
  <c r="DV407" i="4"/>
  <c r="DU407" i="4"/>
  <c r="DT407" i="4"/>
  <c r="DS407" i="4"/>
  <c r="DR407" i="4"/>
  <c r="DQ407" i="4"/>
  <c r="DP407" i="4"/>
  <c r="DO407" i="4"/>
  <c r="DN407" i="4"/>
  <c r="DM407" i="4"/>
  <c r="DL407" i="4"/>
  <c r="DK407" i="4"/>
  <c r="DJ407" i="4"/>
  <c r="DI407" i="4"/>
  <c r="DH407" i="4"/>
  <c r="DG407" i="4"/>
  <c r="DF407" i="4"/>
  <c r="DE407" i="4"/>
  <c r="DD407" i="4"/>
  <c r="DC407" i="4"/>
  <c r="DB407" i="4"/>
  <c r="DA407" i="4"/>
  <c r="CZ407" i="4"/>
  <c r="CY407" i="4"/>
  <c r="CX407" i="4"/>
  <c r="CW407" i="4"/>
  <c r="CV407" i="4"/>
  <c r="CU407" i="4"/>
  <c r="CT407" i="4"/>
  <c r="CS407" i="4"/>
  <c r="CR407" i="4"/>
  <c r="CQ407" i="4"/>
  <c r="CP407" i="4"/>
  <c r="CO407" i="4"/>
  <c r="CN407" i="4"/>
  <c r="CM407" i="4"/>
  <c r="CL407" i="4"/>
  <c r="CK407" i="4"/>
  <c r="CJ407" i="4"/>
  <c r="CI407" i="4"/>
  <c r="CH407" i="4"/>
  <c r="CG407" i="4"/>
  <c r="CF407" i="4"/>
  <c r="CE407" i="4"/>
  <c r="CD407" i="4"/>
  <c r="CC407" i="4"/>
  <c r="CB407" i="4"/>
  <c r="CA407" i="4"/>
  <c r="BZ407" i="4"/>
  <c r="BY407" i="4"/>
  <c r="BX407" i="4"/>
  <c r="BW407" i="4"/>
  <c r="BV407" i="4"/>
  <c r="BU407" i="4"/>
  <c r="BT407" i="4"/>
  <c r="BS407" i="4"/>
  <c r="BR407" i="4"/>
  <c r="BQ407" i="4"/>
  <c r="BP407" i="4"/>
  <c r="BO407" i="4"/>
  <c r="BM407" i="4"/>
  <c r="BL407" i="4"/>
  <c r="BK407" i="4"/>
  <c r="BI407" i="4"/>
  <c r="BH407" i="4"/>
  <c r="BG407" i="4"/>
  <c r="BF407" i="4"/>
  <c r="BE407" i="4"/>
  <c r="BD407" i="4"/>
  <c r="BC407" i="4"/>
  <c r="BB407" i="4"/>
  <c r="BA407" i="4"/>
  <c r="AZ407" i="4"/>
  <c r="AY407" i="4"/>
  <c r="AX407" i="4"/>
  <c r="AW407" i="4"/>
  <c r="AV407" i="4"/>
  <c r="AU407" i="4"/>
  <c r="AT407" i="4"/>
  <c r="AS407" i="4"/>
  <c r="AR407" i="4"/>
  <c r="AQ407" i="4"/>
  <c r="AP407" i="4"/>
  <c r="AO407" i="4"/>
  <c r="AN407" i="4"/>
  <c r="AM407" i="4"/>
  <c r="AL407" i="4"/>
  <c r="AK407" i="4"/>
  <c r="AJ407" i="4"/>
  <c r="AI407" i="4"/>
  <c r="AH407" i="4"/>
  <c r="AG407" i="4"/>
  <c r="AF407" i="4"/>
  <c r="AE407" i="4"/>
  <c r="AD407" i="4"/>
  <c r="AC407" i="4"/>
  <c r="AB407" i="4"/>
  <c r="AA407" i="4"/>
  <c r="Z407" i="4"/>
  <c r="Y407" i="4"/>
  <c r="X407" i="4"/>
  <c r="W407" i="4"/>
  <c r="V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ED406" i="4"/>
  <c r="EC406" i="4"/>
  <c r="EB406" i="4"/>
  <c r="EA406" i="4"/>
  <c r="DZ406" i="4"/>
  <c r="DY406" i="4"/>
  <c r="DX406" i="4"/>
  <c r="DW406" i="4"/>
  <c r="DV406" i="4"/>
  <c r="DU406" i="4"/>
  <c r="DT406" i="4"/>
  <c r="DS406" i="4"/>
  <c r="DR406" i="4"/>
  <c r="DQ406" i="4"/>
  <c r="DP406" i="4"/>
  <c r="DO406" i="4"/>
  <c r="DN406" i="4"/>
  <c r="DM406" i="4"/>
  <c r="DL406" i="4"/>
  <c r="DK406" i="4"/>
  <c r="DJ406" i="4"/>
  <c r="DI406" i="4"/>
  <c r="DH406" i="4"/>
  <c r="DG406" i="4"/>
  <c r="DF406" i="4"/>
  <c r="DE406" i="4"/>
  <c r="DD406" i="4"/>
  <c r="DC406" i="4"/>
  <c r="DB406" i="4"/>
  <c r="DA406" i="4"/>
  <c r="CZ406" i="4"/>
  <c r="CY406" i="4"/>
  <c r="CX406" i="4"/>
  <c r="CW406" i="4"/>
  <c r="CV406" i="4"/>
  <c r="CU406" i="4"/>
  <c r="CT406" i="4"/>
  <c r="CS406" i="4"/>
  <c r="CR406" i="4"/>
  <c r="CQ406" i="4"/>
  <c r="CP406" i="4"/>
  <c r="CO406" i="4"/>
  <c r="CN406" i="4"/>
  <c r="CM406" i="4"/>
  <c r="CL406" i="4"/>
  <c r="CK406" i="4"/>
  <c r="CJ406" i="4"/>
  <c r="CI406" i="4"/>
  <c r="CH406" i="4"/>
  <c r="CG406" i="4"/>
  <c r="CF406" i="4"/>
  <c r="CE406" i="4"/>
  <c r="CD406" i="4"/>
  <c r="CC406" i="4"/>
  <c r="CB406" i="4"/>
  <c r="CA406" i="4"/>
  <c r="BZ406" i="4"/>
  <c r="BY406" i="4"/>
  <c r="BX406" i="4"/>
  <c r="BW406" i="4"/>
  <c r="BV406" i="4"/>
  <c r="BU406" i="4"/>
  <c r="BT406" i="4"/>
  <c r="BS406" i="4"/>
  <c r="BR406" i="4"/>
  <c r="BQ406" i="4"/>
  <c r="BP406" i="4"/>
  <c r="BO406" i="4"/>
  <c r="BM406" i="4"/>
  <c r="BL406" i="4"/>
  <c r="BK406" i="4"/>
  <c r="BI406" i="4"/>
  <c r="BH406" i="4"/>
  <c r="BG406" i="4"/>
  <c r="BF406" i="4"/>
  <c r="BE406" i="4"/>
  <c r="BD406" i="4"/>
  <c r="BC406" i="4"/>
  <c r="BB406" i="4"/>
  <c r="BA406" i="4"/>
  <c r="AZ406" i="4"/>
  <c r="AY406" i="4"/>
  <c r="AX406" i="4"/>
  <c r="AW406" i="4"/>
  <c r="AV406" i="4"/>
  <c r="AU406" i="4"/>
  <c r="AT406" i="4"/>
  <c r="AS406" i="4"/>
  <c r="AR406" i="4"/>
  <c r="AQ406" i="4"/>
  <c r="AP406" i="4"/>
  <c r="AO406" i="4"/>
  <c r="AN406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ED405" i="4"/>
  <c r="EC405" i="4"/>
  <c r="EB405" i="4"/>
  <c r="EA405" i="4"/>
  <c r="DZ405" i="4"/>
  <c r="DY405" i="4"/>
  <c r="DX405" i="4"/>
  <c r="DW405" i="4"/>
  <c r="DV405" i="4"/>
  <c r="DU405" i="4"/>
  <c r="DT405" i="4"/>
  <c r="DS405" i="4"/>
  <c r="DR405" i="4"/>
  <c r="DQ405" i="4"/>
  <c r="DP405" i="4"/>
  <c r="DO405" i="4"/>
  <c r="DN405" i="4"/>
  <c r="DM405" i="4"/>
  <c r="DL405" i="4"/>
  <c r="DK405" i="4"/>
  <c r="DJ405" i="4"/>
  <c r="DI405" i="4"/>
  <c r="DH405" i="4"/>
  <c r="DG405" i="4"/>
  <c r="DF405" i="4"/>
  <c r="DE405" i="4"/>
  <c r="DD405" i="4"/>
  <c r="DC405" i="4"/>
  <c r="DB405" i="4"/>
  <c r="DA405" i="4"/>
  <c r="CZ405" i="4"/>
  <c r="CY405" i="4"/>
  <c r="CX405" i="4"/>
  <c r="CW405" i="4"/>
  <c r="CV405" i="4"/>
  <c r="CU405" i="4"/>
  <c r="CT405" i="4"/>
  <c r="CS405" i="4"/>
  <c r="CR405" i="4"/>
  <c r="CQ405" i="4"/>
  <c r="CP405" i="4"/>
  <c r="CO405" i="4"/>
  <c r="CN405" i="4"/>
  <c r="CM405" i="4"/>
  <c r="CL405" i="4"/>
  <c r="CK405" i="4"/>
  <c r="CJ405" i="4"/>
  <c r="CI405" i="4"/>
  <c r="CH405" i="4"/>
  <c r="CG405" i="4"/>
  <c r="CF405" i="4"/>
  <c r="CE405" i="4"/>
  <c r="CD405" i="4"/>
  <c r="CC405" i="4"/>
  <c r="CB405" i="4"/>
  <c r="CA405" i="4"/>
  <c r="BZ405" i="4"/>
  <c r="BY405" i="4"/>
  <c r="BX405" i="4"/>
  <c r="BW405" i="4"/>
  <c r="BV405" i="4"/>
  <c r="BU405" i="4"/>
  <c r="BT405" i="4"/>
  <c r="BS405" i="4"/>
  <c r="BR405" i="4"/>
  <c r="BQ405" i="4"/>
  <c r="BP405" i="4"/>
  <c r="BO405" i="4"/>
  <c r="BM405" i="4"/>
  <c r="BL405" i="4"/>
  <c r="BK405" i="4"/>
  <c r="BI405" i="4"/>
  <c r="BH405" i="4"/>
  <c r="BG405" i="4"/>
  <c r="BF405" i="4"/>
  <c r="BE405" i="4"/>
  <c r="BD405" i="4"/>
  <c r="BC405" i="4"/>
  <c r="BB405" i="4"/>
  <c r="BA405" i="4"/>
  <c r="AZ405" i="4"/>
  <c r="AY405" i="4"/>
  <c r="AX405" i="4"/>
  <c r="AW405" i="4"/>
  <c r="AV405" i="4"/>
  <c r="AU405" i="4"/>
  <c r="AT405" i="4"/>
  <c r="AS405" i="4"/>
  <c r="AR405" i="4"/>
  <c r="AQ405" i="4"/>
  <c r="AP405" i="4"/>
  <c r="AO405" i="4"/>
  <c r="AN405" i="4"/>
  <c r="AM405" i="4"/>
  <c r="AL405" i="4"/>
  <c r="AK405" i="4"/>
  <c r="AJ405" i="4"/>
  <c r="AI405" i="4"/>
  <c r="AH405" i="4"/>
  <c r="AG405" i="4"/>
  <c r="AF405" i="4"/>
  <c r="AE405" i="4"/>
  <c r="AD405" i="4"/>
  <c r="AC405" i="4"/>
  <c r="AB405" i="4"/>
  <c r="AA405" i="4"/>
  <c r="Z405" i="4"/>
  <c r="Y405" i="4"/>
  <c r="X405" i="4"/>
  <c r="W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ED404" i="4"/>
  <c r="EC404" i="4"/>
  <c r="EB404" i="4"/>
  <c r="EA404" i="4"/>
  <c r="DZ404" i="4"/>
  <c r="DY404" i="4"/>
  <c r="DX404" i="4"/>
  <c r="DW404" i="4"/>
  <c r="DV404" i="4"/>
  <c r="DU404" i="4"/>
  <c r="DT404" i="4"/>
  <c r="DS404" i="4"/>
  <c r="DR404" i="4"/>
  <c r="DQ404" i="4"/>
  <c r="DP404" i="4"/>
  <c r="DO404" i="4"/>
  <c r="DN404" i="4"/>
  <c r="DM404" i="4"/>
  <c r="DL404" i="4"/>
  <c r="DK404" i="4"/>
  <c r="DJ404" i="4"/>
  <c r="DI404" i="4"/>
  <c r="DH404" i="4"/>
  <c r="DG404" i="4"/>
  <c r="DF404" i="4"/>
  <c r="DE404" i="4"/>
  <c r="DD404" i="4"/>
  <c r="DC404" i="4"/>
  <c r="DB404" i="4"/>
  <c r="DA404" i="4"/>
  <c r="CZ404" i="4"/>
  <c r="CY404" i="4"/>
  <c r="CX404" i="4"/>
  <c r="CW404" i="4"/>
  <c r="CV404" i="4"/>
  <c r="CU404" i="4"/>
  <c r="CT404" i="4"/>
  <c r="CS404" i="4"/>
  <c r="CR404" i="4"/>
  <c r="CQ404" i="4"/>
  <c r="CP404" i="4"/>
  <c r="CO404" i="4"/>
  <c r="CN404" i="4"/>
  <c r="CM404" i="4"/>
  <c r="CL404" i="4"/>
  <c r="CK404" i="4"/>
  <c r="CJ404" i="4"/>
  <c r="CI404" i="4"/>
  <c r="CH404" i="4"/>
  <c r="CG404" i="4"/>
  <c r="CF404" i="4"/>
  <c r="CE404" i="4"/>
  <c r="CD404" i="4"/>
  <c r="CC404" i="4"/>
  <c r="CB404" i="4"/>
  <c r="CA404" i="4"/>
  <c r="BZ404" i="4"/>
  <c r="BY404" i="4"/>
  <c r="BX404" i="4"/>
  <c r="BW404" i="4"/>
  <c r="BV404" i="4"/>
  <c r="BU404" i="4"/>
  <c r="BT404" i="4"/>
  <c r="BS404" i="4"/>
  <c r="BR404" i="4"/>
  <c r="BQ404" i="4"/>
  <c r="BP404" i="4"/>
  <c r="BO404" i="4"/>
  <c r="BM404" i="4"/>
  <c r="BL404" i="4"/>
  <c r="BK404" i="4"/>
  <c r="BI404" i="4"/>
  <c r="BH404" i="4"/>
  <c r="BG404" i="4"/>
  <c r="BF404" i="4"/>
  <c r="BE404" i="4"/>
  <c r="BD404" i="4"/>
  <c r="BC404" i="4"/>
  <c r="BB404" i="4"/>
  <c r="BA404" i="4"/>
  <c r="AZ404" i="4"/>
  <c r="AY404" i="4"/>
  <c r="AX404" i="4"/>
  <c r="AW404" i="4"/>
  <c r="AV404" i="4"/>
  <c r="AU404" i="4"/>
  <c r="AT404" i="4"/>
  <c r="AS404" i="4"/>
  <c r="AR404" i="4"/>
  <c r="AQ404" i="4"/>
  <c r="AP404" i="4"/>
  <c r="AO404" i="4"/>
  <c r="AN404" i="4"/>
  <c r="AM404" i="4"/>
  <c r="AL404" i="4"/>
  <c r="AK404" i="4"/>
  <c r="AJ404" i="4"/>
  <c r="AI404" i="4"/>
  <c r="AH404" i="4"/>
  <c r="AG404" i="4"/>
  <c r="AF404" i="4"/>
  <c r="AE404" i="4"/>
  <c r="AD404" i="4"/>
  <c r="AC404" i="4"/>
  <c r="AB404" i="4"/>
  <c r="AA404" i="4"/>
  <c r="Z404" i="4"/>
  <c r="Y404" i="4"/>
  <c r="X404" i="4"/>
  <c r="W404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ED403" i="4"/>
  <c r="EC403" i="4"/>
  <c r="EB403" i="4"/>
  <c r="EA403" i="4"/>
  <c r="DZ403" i="4"/>
  <c r="DY403" i="4"/>
  <c r="DX403" i="4"/>
  <c r="DW403" i="4"/>
  <c r="DV403" i="4"/>
  <c r="DU403" i="4"/>
  <c r="DT403" i="4"/>
  <c r="DS403" i="4"/>
  <c r="DR403" i="4"/>
  <c r="DQ403" i="4"/>
  <c r="DP403" i="4"/>
  <c r="DO403" i="4"/>
  <c r="DN403" i="4"/>
  <c r="DM403" i="4"/>
  <c r="DL403" i="4"/>
  <c r="DK403" i="4"/>
  <c r="DJ403" i="4"/>
  <c r="DI403" i="4"/>
  <c r="DH403" i="4"/>
  <c r="DG403" i="4"/>
  <c r="DF403" i="4"/>
  <c r="DE403" i="4"/>
  <c r="DD403" i="4"/>
  <c r="DC403" i="4"/>
  <c r="DB403" i="4"/>
  <c r="DA403" i="4"/>
  <c r="CZ403" i="4"/>
  <c r="CY403" i="4"/>
  <c r="CX403" i="4"/>
  <c r="CW403" i="4"/>
  <c r="CV403" i="4"/>
  <c r="CU403" i="4"/>
  <c r="CT403" i="4"/>
  <c r="CS403" i="4"/>
  <c r="CR403" i="4"/>
  <c r="CQ403" i="4"/>
  <c r="CP403" i="4"/>
  <c r="CO403" i="4"/>
  <c r="CN403" i="4"/>
  <c r="CM403" i="4"/>
  <c r="CL403" i="4"/>
  <c r="CK403" i="4"/>
  <c r="CJ403" i="4"/>
  <c r="CI403" i="4"/>
  <c r="CH403" i="4"/>
  <c r="CG403" i="4"/>
  <c r="CF403" i="4"/>
  <c r="CE403" i="4"/>
  <c r="CD403" i="4"/>
  <c r="CC403" i="4"/>
  <c r="CB403" i="4"/>
  <c r="CA403" i="4"/>
  <c r="BZ403" i="4"/>
  <c r="BY403" i="4"/>
  <c r="BX403" i="4"/>
  <c r="BW403" i="4"/>
  <c r="BV403" i="4"/>
  <c r="BU403" i="4"/>
  <c r="BT403" i="4"/>
  <c r="BS403" i="4"/>
  <c r="BR403" i="4"/>
  <c r="BQ403" i="4"/>
  <c r="BP403" i="4"/>
  <c r="BO403" i="4"/>
  <c r="BM403" i="4"/>
  <c r="BL403" i="4"/>
  <c r="BK403" i="4"/>
  <c r="BI403" i="4"/>
  <c r="BH403" i="4"/>
  <c r="BG403" i="4"/>
  <c r="BF403" i="4"/>
  <c r="BE403" i="4"/>
  <c r="BD403" i="4"/>
  <c r="BC403" i="4"/>
  <c r="BB403" i="4"/>
  <c r="BA403" i="4"/>
  <c r="AZ403" i="4"/>
  <c r="AY403" i="4"/>
  <c r="AX403" i="4"/>
  <c r="AW403" i="4"/>
  <c r="AV403" i="4"/>
  <c r="AU403" i="4"/>
  <c r="AT403" i="4"/>
  <c r="AS403" i="4"/>
  <c r="AR403" i="4"/>
  <c r="AQ403" i="4"/>
  <c r="AP403" i="4"/>
  <c r="AO403" i="4"/>
  <c r="AN403" i="4"/>
  <c r="AM403" i="4"/>
  <c r="AL403" i="4"/>
  <c r="AK403" i="4"/>
  <c r="AJ403" i="4"/>
  <c r="AI403" i="4"/>
  <c r="AH403" i="4"/>
  <c r="AG403" i="4"/>
  <c r="AF403" i="4"/>
  <c r="AE403" i="4"/>
  <c r="AD403" i="4"/>
  <c r="AC403" i="4"/>
  <c r="AB403" i="4"/>
  <c r="AA403" i="4"/>
  <c r="Z403" i="4"/>
  <c r="Y403" i="4"/>
  <c r="X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ED402" i="4"/>
  <c r="EC402" i="4"/>
  <c r="EB402" i="4"/>
  <c r="EA402" i="4"/>
  <c r="DZ402" i="4"/>
  <c r="DY402" i="4"/>
  <c r="DX402" i="4"/>
  <c r="DW402" i="4"/>
  <c r="DV402" i="4"/>
  <c r="DU402" i="4"/>
  <c r="DT402" i="4"/>
  <c r="DS402" i="4"/>
  <c r="DR402" i="4"/>
  <c r="DQ402" i="4"/>
  <c r="DP402" i="4"/>
  <c r="DO402" i="4"/>
  <c r="DN402" i="4"/>
  <c r="DM402" i="4"/>
  <c r="DL402" i="4"/>
  <c r="DK402" i="4"/>
  <c r="DJ402" i="4"/>
  <c r="DI402" i="4"/>
  <c r="DH402" i="4"/>
  <c r="DG402" i="4"/>
  <c r="DF402" i="4"/>
  <c r="DE402" i="4"/>
  <c r="DD402" i="4"/>
  <c r="DC402" i="4"/>
  <c r="DB402" i="4"/>
  <c r="DA402" i="4"/>
  <c r="CZ402" i="4"/>
  <c r="CY402" i="4"/>
  <c r="CX402" i="4"/>
  <c r="CW402" i="4"/>
  <c r="CV402" i="4"/>
  <c r="CU402" i="4"/>
  <c r="CT402" i="4"/>
  <c r="CS402" i="4"/>
  <c r="CR402" i="4"/>
  <c r="CQ402" i="4"/>
  <c r="CP402" i="4"/>
  <c r="CO402" i="4"/>
  <c r="CN402" i="4"/>
  <c r="CM402" i="4"/>
  <c r="CL402" i="4"/>
  <c r="CK402" i="4"/>
  <c r="CJ402" i="4"/>
  <c r="CI402" i="4"/>
  <c r="CH402" i="4"/>
  <c r="CG402" i="4"/>
  <c r="CF402" i="4"/>
  <c r="CE402" i="4"/>
  <c r="CD402" i="4"/>
  <c r="CC402" i="4"/>
  <c r="CB402" i="4"/>
  <c r="CA402" i="4"/>
  <c r="BZ402" i="4"/>
  <c r="BY402" i="4"/>
  <c r="BX402" i="4"/>
  <c r="BW402" i="4"/>
  <c r="BV402" i="4"/>
  <c r="BU402" i="4"/>
  <c r="BT402" i="4"/>
  <c r="BS402" i="4"/>
  <c r="BR402" i="4"/>
  <c r="BQ402" i="4"/>
  <c r="BP402" i="4"/>
  <c r="BO402" i="4"/>
  <c r="BM402" i="4"/>
  <c r="BL402" i="4"/>
  <c r="BK402" i="4"/>
  <c r="BI402" i="4"/>
  <c r="BH402" i="4"/>
  <c r="BG402" i="4"/>
  <c r="BF402" i="4"/>
  <c r="BE402" i="4"/>
  <c r="BD402" i="4"/>
  <c r="BC402" i="4"/>
  <c r="BB402" i="4"/>
  <c r="BA402" i="4"/>
  <c r="AZ402" i="4"/>
  <c r="AY402" i="4"/>
  <c r="AX402" i="4"/>
  <c r="AW402" i="4"/>
  <c r="AV402" i="4"/>
  <c r="AU402" i="4"/>
  <c r="AT402" i="4"/>
  <c r="AS402" i="4"/>
  <c r="AR402" i="4"/>
  <c r="AQ402" i="4"/>
  <c r="AP402" i="4"/>
  <c r="AO402" i="4"/>
  <c r="AN402" i="4"/>
  <c r="AM402" i="4"/>
  <c r="AL40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ED401" i="4"/>
  <c r="EC401" i="4"/>
  <c r="EB401" i="4"/>
  <c r="EA401" i="4"/>
  <c r="DZ401" i="4"/>
  <c r="DY401" i="4"/>
  <c r="DX401" i="4"/>
  <c r="DW401" i="4"/>
  <c r="DV401" i="4"/>
  <c r="DU401" i="4"/>
  <c r="DT401" i="4"/>
  <c r="DS401" i="4"/>
  <c r="DR401" i="4"/>
  <c r="DQ401" i="4"/>
  <c r="DP401" i="4"/>
  <c r="DO401" i="4"/>
  <c r="DN401" i="4"/>
  <c r="DM401" i="4"/>
  <c r="DL401" i="4"/>
  <c r="DK401" i="4"/>
  <c r="DJ401" i="4"/>
  <c r="DI401" i="4"/>
  <c r="DH401" i="4"/>
  <c r="DG401" i="4"/>
  <c r="DF401" i="4"/>
  <c r="DE401" i="4"/>
  <c r="DD401" i="4"/>
  <c r="DC401" i="4"/>
  <c r="DB401" i="4"/>
  <c r="DA401" i="4"/>
  <c r="CZ401" i="4"/>
  <c r="CY401" i="4"/>
  <c r="CX401" i="4"/>
  <c r="CW401" i="4"/>
  <c r="CV401" i="4"/>
  <c r="CU401" i="4"/>
  <c r="CT401" i="4"/>
  <c r="CS401" i="4"/>
  <c r="CR401" i="4"/>
  <c r="CQ401" i="4"/>
  <c r="CP401" i="4"/>
  <c r="CO401" i="4"/>
  <c r="CN401" i="4"/>
  <c r="CM401" i="4"/>
  <c r="CL401" i="4"/>
  <c r="CK401" i="4"/>
  <c r="CJ401" i="4"/>
  <c r="CI401" i="4"/>
  <c r="CH401" i="4"/>
  <c r="CG401" i="4"/>
  <c r="CF401" i="4"/>
  <c r="CE401" i="4"/>
  <c r="CD401" i="4"/>
  <c r="CC401" i="4"/>
  <c r="CB401" i="4"/>
  <c r="CA401" i="4"/>
  <c r="BZ401" i="4"/>
  <c r="BY401" i="4"/>
  <c r="BX401" i="4"/>
  <c r="BW401" i="4"/>
  <c r="BV401" i="4"/>
  <c r="BU401" i="4"/>
  <c r="BT401" i="4"/>
  <c r="BS401" i="4"/>
  <c r="BR401" i="4"/>
  <c r="BQ401" i="4"/>
  <c r="BP401" i="4"/>
  <c r="BO401" i="4"/>
  <c r="BM401" i="4"/>
  <c r="BL401" i="4"/>
  <c r="BK401" i="4"/>
  <c r="BI401" i="4"/>
  <c r="BH401" i="4"/>
  <c r="BG401" i="4"/>
  <c r="BF401" i="4"/>
  <c r="BE401" i="4"/>
  <c r="BD401" i="4"/>
  <c r="BC401" i="4"/>
  <c r="BB401" i="4"/>
  <c r="BA401" i="4"/>
  <c r="AZ401" i="4"/>
  <c r="AY401" i="4"/>
  <c r="AX401" i="4"/>
  <c r="AW401" i="4"/>
  <c r="AV401" i="4"/>
  <c r="AU401" i="4"/>
  <c r="AT401" i="4"/>
  <c r="AS401" i="4"/>
  <c r="AR401" i="4"/>
  <c r="AQ401" i="4"/>
  <c r="AP401" i="4"/>
  <c r="AO401" i="4"/>
  <c r="AN401" i="4"/>
  <c r="AM401" i="4"/>
  <c r="AL401" i="4"/>
  <c r="AK401" i="4"/>
  <c r="AJ401" i="4"/>
  <c r="AI401" i="4"/>
  <c r="AH401" i="4"/>
  <c r="AG401" i="4"/>
  <c r="AF401" i="4"/>
  <c r="AE401" i="4"/>
  <c r="AD401" i="4"/>
  <c r="AC401" i="4"/>
  <c r="AB401" i="4"/>
  <c r="AA401" i="4"/>
  <c r="Z401" i="4"/>
  <c r="Y401" i="4"/>
  <c r="X401" i="4"/>
  <c r="W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ED400" i="4"/>
  <c r="EC400" i="4"/>
  <c r="EB400" i="4"/>
  <c r="EA400" i="4"/>
  <c r="DZ400" i="4"/>
  <c r="DY400" i="4"/>
  <c r="DX400" i="4"/>
  <c r="DW400" i="4"/>
  <c r="DV400" i="4"/>
  <c r="DU400" i="4"/>
  <c r="DT400" i="4"/>
  <c r="DS400" i="4"/>
  <c r="DR400" i="4"/>
  <c r="DQ400" i="4"/>
  <c r="DP400" i="4"/>
  <c r="DO400" i="4"/>
  <c r="DN400" i="4"/>
  <c r="DM400" i="4"/>
  <c r="DL400" i="4"/>
  <c r="DK400" i="4"/>
  <c r="DJ400" i="4"/>
  <c r="DI400" i="4"/>
  <c r="DH400" i="4"/>
  <c r="DG400" i="4"/>
  <c r="DF400" i="4"/>
  <c r="DE400" i="4"/>
  <c r="DD400" i="4"/>
  <c r="DC400" i="4"/>
  <c r="DB400" i="4"/>
  <c r="DA400" i="4"/>
  <c r="CZ400" i="4"/>
  <c r="CY400" i="4"/>
  <c r="CX400" i="4"/>
  <c r="CW400" i="4"/>
  <c r="CV400" i="4"/>
  <c r="CU400" i="4"/>
  <c r="CT400" i="4"/>
  <c r="CS400" i="4"/>
  <c r="CR400" i="4"/>
  <c r="CQ400" i="4"/>
  <c r="CP400" i="4"/>
  <c r="CO400" i="4"/>
  <c r="CN400" i="4"/>
  <c r="CM400" i="4"/>
  <c r="CL400" i="4"/>
  <c r="CK400" i="4"/>
  <c r="CJ400" i="4"/>
  <c r="CI400" i="4"/>
  <c r="CH400" i="4"/>
  <c r="CG400" i="4"/>
  <c r="CF400" i="4"/>
  <c r="CE400" i="4"/>
  <c r="CD400" i="4"/>
  <c r="CC400" i="4"/>
  <c r="CB400" i="4"/>
  <c r="CA400" i="4"/>
  <c r="BZ400" i="4"/>
  <c r="BY400" i="4"/>
  <c r="BX400" i="4"/>
  <c r="BW400" i="4"/>
  <c r="BV400" i="4"/>
  <c r="BU400" i="4"/>
  <c r="BT400" i="4"/>
  <c r="BS400" i="4"/>
  <c r="BR400" i="4"/>
  <c r="BQ400" i="4"/>
  <c r="BP400" i="4"/>
  <c r="BO400" i="4"/>
  <c r="BM400" i="4"/>
  <c r="BL400" i="4"/>
  <c r="BK400" i="4"/>
  <c r="BI400" i="4"/>
  <c r="BH400" i="4"/>
  <c r="BG400" i="4"/>
  <c r="BF400" i="4"/>
  <c r="BE400" i="4"/>
  <c r="BD400" i="4"/>
  <c r="BC400" i="4"/>
  <c r="BB400" i="4"/>
  <c r="BA400" i="4"/>
  <c r="AZ400" i="4"/>
  <c r="AY400" i="4"/>
  <c r="AX400" i="4"/>
  <c r="AW400" i="4"/>
  <c r="AV400" i="4"/>
  <c r="AU400" i="4"/>
  <c r="AT400" i="4"/>
  <c r="AS400" i="4"/>
  <c r="AR400" i="4"/>
  <c r="AQ400" i="4"/>
  <c r="AP400" i="4"/>
  <c r="AO400" i="4"/>
  <c r="AN400" i="4"/>
  <c r="AM400" i="4"/>
  <c r="AL400" i="4"/>
  <c r="AK400" i="4"/>
  <c r="AJ400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ED399" i="4"/>
  <c r="EC399" i="4"/>
  <c r="EB399" i="4"/>
  <c r="EA399" i="4"/>
  <c r="DZ399" i="4"/>
  <c r="DY399" i="4"/>
  <c r="DX399" i="4"/>
  <c r="DW399" i="4"/>
  <c r="DV399" i="4"/>
  <c r="DU399" i="4"/>
  <c r="DT399" i="4"/>
  <c r="DS399" i="4"/>
  <c r="DR399" i="4"/>
  <c r="DQ399" i="4"/>
  <c r="DP399" i="4"/>
  <c r="DO399" i="4"/>
  <c r="DN399" i="4"/>
  <c r="DM399" i="4"/>
  <c r="DL399" i="4"/>
  <c r="DK399" i="4"/>
  <c r="DJ399" i="4"/>
  <c r="DI399" i="4"/>
  <c r="DH399" i="4"/>
  <c r="DG399" i="4"/>
  <c r="DF399" i="4"/>
  <c r="DE399" i="4"/>
  <c r="DD399" i="4"/>
  <c r="DC399" i="4"/>
  <c r="DB399" i="4"/>
  <c r="DA399" i="4"/>
  <c r="CZ399" i="4"/>
  <c r="CY399" i="4"/>
  <c r="CX399" i="4"/>
  <c r="CW399" i="4"/>
  <c r="CV399" i="4"/>
  <c r="CU399" i="4"/>
  <c r="CT399" i="4"/>
  <c r="CS399" i="4"/>
  <c r="CR399" i="4"/>
  <c r="CQ399" i="4"/>
  <c r="CP399" i="4"/>
  <c r="CO399" i="4"/>
  <c r="CN399" i="4"/>
  <c r="CM399" i="4"/>
  <c r="CL399" i="4"/>
  <c r="CK399" i="4"/>
  <c r="CJ399" i="4"/>
  <c r="CI399" i="4"/>
  <c r="CH399" i="4"/>
  <c r="CG399" i="4"/>
  <c r="CF399" i="4"/>
  <c r="CE399" i="4"/>
  <c r="CD399" i="4"/>
  <c r="CC399" i="4"/>
  <c r="CB399" i="4"/>
  <c r="CA399" i="4"/>
  <c r="BZ399" i="4"/>
  <c r="BY399" i="4"/>
  <c r="BX399" i="4"/>
  <c r="BW399" i="4"/>
  <c r="BV399" i="4"/>
  <c r="BU399" i="4"/>
  <c r="BT399" i="4"/>
  <c r="BS399" i="4"/>
  <c r="BR399" i="4"/>
  <c r="BQ399" i="4"/>
  <c r="BP399" i="4"/>
  <c r="BO399" i="4"/>
  <c r="BM399" i="4"/>
  <c r="BL399" i="4"/>
  <c r="BK399" i="4"/>
  <c r="BI399" i="4"/>
  <c r="BH399" i="4"/>
  <c r="BG399" i="4"/>
  <c r="BF399" i="4"/>
  <c r="BE399" i="4"/>
  <c r="BD399" i="4"/>
  <c r="BC399" i="4"/>
  <c r="BB399" i="4"/>
  <c r="BA399" i="4"/>
  <c r="AZ399" i="4"/>
  <c r="AY399" i="4"/>
  <c r="AX399" i="4"/>
  <c r="AW399" i="4"/>
  <c r="AV399" i="4"/>
  <c r="AU399" i="4"/>
  <c r="AT399" i="4"/>
  <c r="AS399" i="4"/>
  <c r="AR399" i="4"/>
  <c r="AQ399" i="4"/>
  <c r="AP399" i="4"/>
  <c r="AO399" i="4"/>
  <c r="AN399" i="4"/>
  <c r="AM399" i="4"/>
  <c r="AL399" i="4"/>
  <c r="AK399" i="4"/>
  <c r="AJ399" i="4"/>
  <c r="AI399" i="4"/>
  <c r="AH399" i="4"/>
  <c r="AG399" i="4"/>
  <c r="AF399" i="4"/>
  <c r="AE399" i="4"/>
  <c r="AD399" i="4"/>
  <c r="AC399" i="4"/>
  <c r="AB399" i="4"/>
  <c r="AA399" i="4"/>
  <c r="Z399" i="4"/>
  <c r="Y399" i="4"/>
  <c r="X399" i="4"/>
  <c r="W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ED398" i="4"/>
  <c r="EC398" i="4"/>
  <c r="EB398" i="4"/>
  <c r="EA398" i="4"/>
  <c r="DZ398" i="4"/>
  <c r="DY398" i="4"/>
  <c r="DX398" i="4"/>
  <c r="DW398" i="4"/>
  <c r="DV398" i="4"/>
  <c r="DU398" i="4"/>
  <c r="DT398" i="4"/>
  <c r="DS398" i="4"/>
  <c r="DR398" i="4"/>
  <c r="DQ398" i="4"/>
  <c r="DP398" i="4"/>
  <c r="DO398" i="4"/>
  <c r="DN398" i="4"/>
  <c r="DM398" i="4"/>
  <c r="DL398" i="4"/>
  <c r="DK398" i="4"/>
  <c r="DJ398" i="4"/>
  <c r="DI398" i="4"/>
  <c r="DH398" i="4"/>
  <c r="DG398" i="4"/>
  <c r="DF398" i="4"/>
  <c r="DE398" i="4"/>
  <c r="DD398" i="4"/>
  <c r="DC398" i="4"/>
  <c r="DB398" i="4"/>
  <c r="DA398" i="4"/>
  <c r="CZ398" i="4"/>
  <c r="CY398" i="4"/>
  <c r="CX398" i="4"/>
  <c r="CW398" i="4"/>
  <c r="CV398" i="4"/>
  <c r="CU398" i="4"/>
  <c r="CT398" i="4"/>
  <c r="CS398" i="4"/>
  <c r="CR398" i="4"/>
  <c r="CQ398" i="4"/>
  <c r="CP398" i="4"/>
  <c r="CO398" i="4"/>
  <c r="CN398" i="4"/>
  <c r="CM398" i="4"/>
  <c r="CL398" i="4"/>
  <c r="CK398" i="4"/>
  <c r="CJ398" i="4"/>
  <c r="CI398" i="4"/>
  <c r="CH398" i="4"/>
  <c r="CG398" i="4"/>
  <c r="CF398" i="4"/>
  <c r="CE398" i="4"/>
  <c r="CD398" i="4"/>
  <c r="CC398" i="4"/>
  <c r="CB398" i="4"/>
  <c r="CA398" i="4"/>
  <c r="BZ398" i="4"/>
  <c r="BY398" i="4"/>
  <c r="BX398" i="4"/>
  <c r="BW398" i="4"/>
  <c r="BV398" i="4"/>
  <c r="BU398" i="4"/>
  <c r="BT398" i="4"/>
  <c r="BS398" i="4"/>
  <c r="BR398" i="4"/>
  <c r="BQ398" i="4"/>
  <c r="BP398" i="4"/>
  <c r="BO398" i="4"/>
  <c r="BM398" i="4"/>
  <c r="BL398" i="4"/>
  <c r="BK398" i="4"/>
  <c r="BI398" i="4"/>
  <c r="BH398" i="4"/>
  <c r="BG398" i="4"/>
  <c r="BF398" i="4"/>
  <c r="BE398" i="4"/>
  <c r="BD398" i="4"/>
  <c r="BC398" i="4"/>
  <c r="BB398" i="4"/>
  <c r="BA398" i="4"/>
  <c r="AZ398" i="4"/>
  <c r="AY398" i="4"/>
  <c r="AX398" i="4"/>
  <c r="AW398" i="4"/>
  <c r="AV398" i="4"/>
  <c r="AU398" i="4"/>
  <c r="AT398" i="4"/>
  <c r="AS398" i="4"/>
  <c r="AR398" i="4"/>
  <c r="AQ398" i="4"/>
  <c r="AP398" i="4"/>
  <c r="AO398" i="4"/>
  <c r="AN398" i="4"/>
  <c r="AM398" i="4"/>
  <c r="AL398" i="4"/>
  <c r="AK398" i="4"/>
  <c r="AJ398" i="4"/>
  <c r="AI398" i="4"/>
  <c r="AH398" i="4"/>
  <c r="AG398" i="4"/>
  <c r="AF398" i="4"/>
  <c r="AE398" i="4"/>
  <c r="AD398" i="4"/>
  <c r="AC398" i="4"/>
  <c r="AB398" i="4"/>
  <c r="AA398" i="4"/>
  <c r="Z398" i="4"/>
  <c r="Y398" i="4"/>
  <c r="X398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ED397" i="4"/>
  <c r="EC397" i="4"/>
  <c r="EB397" i="4"/>
  <c r="EA397" i="4"/>
  <c r="DZ397" i="4"/>
  <c r="DY397" i="4"/>
  <c r="DX397" i="4"/>
  <c r="DW397" i="4"/>
  <c r="DV397" i="4"/>
  <c r="DU397" i="4"/>
  <c r="DT397" i="4"/>
  <c r="DS397" i="4"/>
  <c r="DR397" i="4"/>
  <c r="DQ397" i="4"/>
  <c r="DP397" i="4"/>
  <c r="DO397" i="4"/>
  <c r="DN397" i="4"/>
  <c r="DM397" i="4"/>
  <c r="DL397" i="4"/>
  <c r="DK397" i="4"/>
  <c r="DJ397" i="4"/>
  <c r="DI397" i="4"/>
  <c r="DH397" i="4"/>
  <c r="DG397" i="4"/>
  <c r="DF397" i="4"/>
  <c r="DE397" i="4"/>
  <c r="DD397" i="4"/>
  <c r="DC397" i="4"/>
  <c r="DB397" i="4"/>
  <c r="DA397" i="4"/>
  <c r="CZ397" i="4"/>
  <c r="CY397" i="4"/>
  <c r="CX397" i="4"/>
  <c r="CW397" i="4"/>
  <c r="CV397" i="4"/>
  <c r="CU397" i="4"/>
  <c r="CT397" i="4"/>
  <c r="CS397" i="4"/>
  <c r="CR397" i="4"/>
  <c r="CQ397" i="4"/>
  <c r="CP397" i="4"/>
  <c r="CO397" i="4"/>
  <c r="CN397" i="4"/>
  <c r="CM397" i="4"/>
  <c r="CL397" i="4"/>
  <c r="CK397" i="4"/>
  <c r="CJ397" i="4"/>
  <c r="CI397" i="4"/>
  <c r="CH397" i="4"/>
  <c r="CG397" i="4"/>
  <c r="CF397" i="4"/>
  <c r="CE397" i="4"/>
  <c r="CD397" i="4"/>
  <c r="CC397" i="4"/>
  <c r="CB397" i="4"/>
  <c r="CA397" i="4"/>
  <c r="BZ397" i="4"/>
  <c r="BY397" i="4"/>
  <c r="BX397" i="4"/>
  <c r="BW397" i="4"/>
  <c r="BV397" i="4"/>
  <c r="BU397" i="4"/>
  <c r="BT397" i="4"/>
  <c r="BS397" i="4"/>
  <c r="BR397" i="4"/>
  <c r="BQ397" i="4"/>
  <c r="BP397" i="4"/>
  <c r="BO397" i="4"/>
  <c r="BM397" i="4"/>
  <c r="BL397" i="4"/>
  <c r="BK397" i="4"/>
  <c r="BI397" i="4"/>
  <c r="BH397" i="4"/>
  <c r="BG397" i="4"/>
  <c r="BF397" i="4"/>
  <c r="BE397" i="4"/>
  <c r="BD397" i="4"/>
  <c r="BC397" i="4"/>
  <c r="BB397" i="4"/>
  <c r="BA397" i="4"/>
  <c r="AZ397" i="4"/>
  <c r="AY397" i="4"/>
  <c r="AX397" i="4"/>
  <c r="AW397" i="4"/>
  <c r="AV397" i="4"/>
  <c r="AU397" i="4"/>
  <c r="AT397" i="4"/>
  <c r="AS397" i="4"/>
  <c r="AR397" i="4"/>
  <c r="AQ397" i="4"/>
  <c r="AP397" i="4"/>
  <c r="AO397" i="4"/>
  <c r="AN397" i="4"/>
  <c r="AM397" i="4"/>
  <c r="AL397" i="4"/>
  <c r="AK397" i="4"/>
  <c r="AJ397" i="4"/>
  <c r="AI397" i="4"/>
  <c r="AH397" i="4"/>
  <c r="AG397" i="4"/>
  <c r="AF397" i="4"/>
  <c r="AE397" i="4"/>
  <c r="AD397" i="4"/>
  <c r="AC397" i="4"/>
  <c r="AB397" i="4"/>
  <c r="AA397" i="4"/>
  <c r="Z397" i="4"/>
  <c r="Y397" i="4"/>
  <c r="X397" i="4"/>
  <c r="W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ED396" i="4"/>
  <c r="EC396" i="4"/>
  <c r="EB396" i="4"/>
  <c r="EA396" i="4"/>
  <c r="DZ396" i="4"/>
  <c r="DY396" i="4"/>
  <c r="DX396" i="4"/>
  <c r="DW396" i="4"/>
  <c r="DV396" i="4"/>
  <c r="DU396" i="4"/>
  <c r="DT396" i="4"/>
  <c r="DS396" i="4"/>
  <c r="DR396" i="4"/>
  <c r="DQ396" i="4"/>
  <c r="DP396" i="4"/>
  <c r="DO396" i="4"/>
  <c r="DN396" i="4"/>
  <c r="DM396" i="4"/>
  <c r="DL396" i="4"/>
  <c r="DK396" i="4"/>
  <c r="DJ396" i="4"/>
  <c r="DI396" i="4"/>
  <c r="DH396" i="4"/>
  <c r="DG396" i="4"/>
  <c r="DF396" i="4"/>
  <c r="DE396" i="4"/>
  <c r="DD396" i="4"/>
  <c r="DC396" i="4"/>
  <c r="DB396" i="4"/>
  <c r="DA396" i="4"/>
  <c r="CZ396" i="4"/>
  <c r="CY396" i="4"/>
  <c r="CX396" i="4"/>
  <c r="CW396" i="4"/>
  <c r="CV396" i="4"/>
  <c r="CU396" i="4"/>
  <c r="CT396" i="4"/>
  <c r="CS396" i="4"/>
  <c r="CR396" i="4"/>
  <c r="CQ396" i="4"/>
  <c r="CP396" i="4"/>
  <c r="CO396" i="4"/>
  <c r="CN396" i="4"/>
  <c r="CM396" i="4"/>
  <c r="CL396" i="4"/>
  <c r="CK396" i="4"/>
  <c r="CJ396" i="4"/>
  <c r="CI396" i="4"/>
  <c r="CH396" i="4"/>
  <c r="CG396" i="4"/>
  <c r="CF396" i="4"/>
  <c r="CE396" i="4"/>
  <c r="CD396" i="4"/>
  <c r="CC396" i="4"/>
  <c r="CB396" i="4"/>
  <c r="CA396" i="4"/>
  <c r="BZ396" i="4"/>
  <c r="BY396" i="4"/>
  <c r="BX396" i="4"/>
  <c r="BW396" i="4"/>
  <c r="BV396" i="4"/>
  <c r="BU396" i="4"/>
  <c r="BT396" i="4"/>
  <c r="BS396" i="4"/>
  <c r="BR396" i="4"/>
  <c r="BQ396" i="4"/>
  <c r="BP396" i="4"/>
  <c r="BO396" i="4"/>
  <c r="BM396" i="4"/>
  <c r="BL396" i="4"/>
  <c r="BK396" i="4"/>
  <c r="BI396" i="4"/>
  <c r="BH396" i="4"/>
  <c r="BG396" i="4"/>
  <c r="BF396" i="4"/>
  <c r="BE396" i="4"/>
  <c r="BD396" i="4"/>
  <c r="BC396" i="4"/>
  <c r="BB396" i="4"/>
  <c r="BA396" i="4"/>
  <c r="AZ396" i="4"/>
  <c r="AY396" i="4"/>
  <c r="AX396" i="4"/>
  <c r="AW396" i="4"/>
  <c r="AV396" i="4"/>
  <c r="AU396" i="4"/>
  <c r="AT396" i="4"/>
  <c r="AS396" i="4"/>
  <c r="AR396" i="4"/>
  <c r="AQ396" i="4"/>
  <c r="AP396" i="4"/>
  <c r="AO396" i="4"/>
  <c r="AN396" i="4"/>
  <c r="AM396" i="4"/>
  <c r="AL396" i="4"/>
  <c r="AK396" i="4"/>
  <c r="AJ396" i="4"/>
  <c r="AI396" i="4"/>
  <c r="AH396" i="4"/>
  <c r="AG396" i="4"/>
  <c r="AF396" i="4"/>
  <c r="AE396" i="4"/>
  <c r="AD396" i="4"/>
  <c r="AC396" i="4"/>
  <c r="AB396" i="4"/>
  <c r="AA396" i="4"/>
  <c r="Z396" i="4"/>
  <c r="Y396" i="4"/>
  <c r="X396" i="4"/>
  <c r="W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ED395" i="4"/>
  <c r="EC395" i="4"/>
  <c r="EB395" i="4"/>
  <c r="EA395" i="4"/>
  <c r="DZ395" i="4"/>
  <c r="DY395" i="4"/>
  <c r="DX395" i="4"/>
  <c r="DW395" i="4"/>
  <c r="DV395" i="4"/>
  <c r="DU395" i="4"/>
  <c r="DT395" i="4"/>
  <c r="DS395" i="4"/>
  <c r="DR395" i="4"/>
  <c r="DQ395" i="4"/>
  <c r="DP395" i="4"/>
  <c r="DO395" i="4"/>
  <c r="DN395" i="4"/>
  <c r="DM395" i="4"/>
  <c r="DL395" i="4"/>
  <c r="DK395" i="4"/>
  <c r="DJ395" i="4"/>
  <c r="DI395" i="4"/>
  <c r="DH395" i="4"/>
  <c r="DG395" i="4"/>
  <c r="DF395" i="4"/>
  <c r="DE395" i="4"/>
  <c r="DD395" i="4"/>
  <c r="DC395" i="4"/>
  <c r="DB395" i="4"/>
  <c r="DA395" i="4"/>
  <c r="CZ395" i="4"/>
  <c r="CY395" i="4"/>
  <c r="CX395" i="4"/>
  <c r="CW395" i="4"/>
  <c r="CV395" i="4"/>
  <c r="CU395" i="4"/>
  <c r="CT395" i="4"/>
  <c r="CS395" i="4"/>
  <c r="CR395" i="4"/>
  <c r="CQ395" i="4"/>
  <c r="CP395" i="4"/>
  <c r="CO395" i="4"/>
  <c r="CN395" i="4"/>
  <c r="CM395" i="4"/>
  <c r="CL395" i="4"/>
  <c r="CK395" i="4"/>
  <c r="CJ395" i="4"/>
  <c r="CI395" i="4"/>
  <c r="CH395" i="4"/>
  <c r="CG395" i="4"/>
  <c r="CF395" i="4"/>
  <c r="CE395" i="4"/>
  <c r="CD395" i="4"/>
  <c r="CC395" i="4"/>
  <c r="CB395" i="4"/>
  <c r="CA395" i="4"/>
  <c r="BZ395" i="4"/>
  <c r="BY395" i="4"/>
  <c r="BX395" i="4"/>
  <c r="BW395" i="4"/>
  <c r="BV395" i="4"/>
  <c r="BU395" i="4"/>
  <c r="BT395" i="4"/>
  <c r="BS395" i="4"/>
  <c r="BR395" i="4"/>
  <c r="BQ395" i="4"/>
  <c r="BP395" i="4"/>
  <c r="BO395" i="4"/>
  <c r="BM395" i="4"/>
  <c r="BL395" i="4"/>
  <c r="BK395" i="4"/>
  <c r="BI395" i="4"/>
  <c r="BH395" i="4"/>
  <c r="BG395" i="4"/>
  <c r="BF395" i="4"/>
  <c r="BE395" i="4"/>
  <c r="BD395" i="4"/>
  <c r="BC395" i="4"/>
  <c r="BB395" i="4"/>
  <c r="BA395" i="4"/>
  <c r="AZ395" i="4"/>
  <c r="AY395" i="4"/>
  <c r="AX395" i="4"/>
  <c r="AW395" i="4"/>
  <c r="AV395" i="4"/>
  <c r="AU395" i="4"/>
  <c r="AT395" i="4"/>
  <c r="AS395" i="4"/>
  <c r="AR395" i="4"/>
  <c r="AQ395" i="4"/>
  <c r="AP395" i="4"/>
  <c r="AO395" i="4"/>
  <c r="AN395" i="4"/>
  <c r="AM395" i="4"/>
  <c r="AL395" i="4"/>
  <c r="AK395" i="4"/>
  <c r="AJ395" i="4"/>
  <c r="AI395" i="4"/>
  <c r="AH395" i="4"/>
  <c r="AG395" i="4"/>
  <c r="AF395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ED394" i="4"/>
  <c r="EC394" i="4"/>
  <c r="EB394" i="4"/>
  <c r="EA394" i="4"/>
  <c r="DZ394" i="4"/>
  <c r="DY394" i="4"/>
  <c r="DX394" i="4"/>
  <c r="DW394" i="4"/>
  <c r="DV394" i="4"/>
  <c r="DU394" i="4"/>
  <c r="DT394" i="4"/>
  <c r="DS394" i="4"/>
  <c r="DR394" i="4"/>
  <c r="DQ394" i="4"/>
  <c r="DP394" i="4"/>
  <c r="DO394" i="4"/>
  <c r="DN394" i="4"/>
  <c r="DM394" i="4"/>
  <c r="DL394" i="4"/>
  <c r="DK394" i="4"/>
  <c r="DJ394" i="4"/>
  <c r="DI394" i="4"/>
  <c r="DH394" i="4"/>
  <c r="DG394" i="4"/>
  <c r="DF394" i="4"/>
  <c r="DE394" i="4"/>
  <c r="DD394" i="4"/>
  <c r="DC394" i="4"/>
  <c r="DB394" i="4"/>
  <c r="DA394" i="4"/>
  <c r="CZ394" i="4"/>
  <c r="CY394" i="4"/>
  <c r="CX394" i="4"/>
  <c r="CW394" i="4"/>
  <c r="CV394" i="4"/>
  <c r="CU394" i="4"/>
  <c r="CT394" i="4"/>
  <c r="CS394" i="4"/>
  <c r="CR394" i="4"/>
  <c r="CQ394" i="4"/>
  <c r="CP394" i="4"/>
  <c r="CO394" i="4"/>
  <c r="CN394" i="4"/>
  <c r="CM394" i="4"/>
  <c r="CL394" i="4"/>
  <c r="CK394" i="4"/>
  <c r="CJ394" i="4"/>
  <c r="CI394" i="4"/>
  <c r="CH394" i="4"/>
  <c r="CG394" i="4"/>
  <c r="CF394" i="4"/>
  <c r="CE394" i="4"/>
  <c r="CD394" i="4"/>
  <c r="CC394" i="4"/>
  <c r="CB394" i="4"/>
  <c r="CA394" i="4"/>
  <c r="BZ394" i="4"/>
  <c r="BY394" i="4"/>
  <c r="BX394" i="4"/>
  <c r="BW394" i="4"/>
  <c r="BV394" i="4"/>
  <c r="BU394" i="4"/>
  <c r="BT394" i="4"/>
  <c r="BS394" i="4"/>
  <c r="BR394" i="4"/>
  <c r="BQ394" i="4"/>
  <c r="BP394" i="4"/>
  <c r="BO394" i="4"/>
  <c r="BM394" i="4"/>
  <c r="BL394" i="4"/>
  <c r="BK394" i="4"/>
  <c r="BI394" i="4"/>
  <c r="BH394" i="4"/>
  <c r="BG394" i="4"/>
  <c r="BF394" i="4"/>
  <c r="BE394" i="4"/>
  <c r="BD394" i="4"/>
  <c r="BC394" i="4"/>
  <c r="BB394" i="4"/>
  <c r="BA394" i="4"/>
  <c r="AZ394" i="4"/>
  <c r="AY394" i="4"/>
  <c r="AX394" i="4"/>
  <c r="AW394" i="4"/>
  <c r="AV394" i="4"/>
  <c r="AU394" i="4"/>
  <c r="AT394" i="4"/>
  <c r="AS394" i="4"/>
  <c r="AR394" i="4"/>
  <c r="AQ394" i="4"/>
  <c r="AP394" i="4"/>
  <c r="AO394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ED393" i="4"/>
  <c r="EC393" i="4"/>
  <c r="EB393" i="4"/>
  <c r="EA393" i="4"/>
  <c r="DZ393" i="4"/>
  <c r="DY393" i="4"/>
  <c r="DX393" i="4"/>
  <c r="DW393" i="4"/>
  <c r="DV393" i="4"/>
  <c r="DU393" i="4"/>
  <c r="DT393" i="4"/>
  <c r="DS393" i="4"/>
  <c r="DR393" i="4"/>
  <c r="DQ393" i="4"/>
  <c r="DP393" i="4"/>
  <c r="DO393" i="4"/>
  <c r="DN393" i="4"/>
  <c r="DM393" i="4"/>
  <c r="DL393" i="4"/>
  <c r="DK393" i="4"/>
  <c r="DJ393" i="4"/>
  <c r="DI393" i="4"/>
  <c r="DH393" i="4"/>
  <c r="DG393" i="4"/>
  <c r="DF393" i="4"/>
  <c r="DE393" i="4"/>
  <c r="DD393" i="4"/>
  <c r="DC393" i="4"/>
  <c r="DB393" i="4"/>
  <c r="DA393" i="4"/>
  <c r="CZ393" i="4"/>
  <c r="CY393" i="4"/>
  <c r="CX393" i="4"/>
  <c r="CW393" i="4"/>
  <c r="CV393" i="4"/>
  <c r="CU393" i="4"/>
  <c r="CT393" i="4"/>
  <c r="CS393" i="4"/>
  <c r="CR393" i="4"/>
  <c r="CQ393" i="4"/>
  <c r="CP393" i="4"/>
  <c r="CO393" i="4"/>
  <c r="CN393" i="4"/>
  <c r="CM393" i="4"/>
  <c r="CL393" i="4"/>
  <c r="CK393" i="4"/>
  <c r="CJ393" i="4"/>
  <c r="CI393" i="4"/>
  <c r="CH393" i="4"/>
  <c r="CG393" i="4"/>
  <c r="CF393" i="4"/>
  <c r="CE393" i="4"/>
  <c r="CD393" i="4"/>
  <c r="CC393" i="4"/>
  <c r="CB393" i="4"/>
  <c r="CA393" i="4"/>
  <c r="BZ393" i="4"/>
  <c r="BY393" i="4"/>
  <c r="BX393" i="4"/>
  <c r="BW393" i="4"/>
  <c r="BV393" i="4"/>
  <c r="BU393" i="4"/>
  <c r="BT393" i="4"/>
  <c r="BS393" i="4"/>
  <c r="BR393" i="4"/>
  <c r="BQ393" i="4"/>
  <c r="BP393" i="4"/>
  <c r="BO393" i="4"/>
  <c r="BM393" i="4"/>
  <c r="BL393" i="4"/>
  <c r="BK393" i="4"/>
  <c r="BI393" i="4"/>
  <c r="BH393" i="4"/>
  <c r="BG393" i="4"/>
  <c r="BF393" i="4"/>
  <c r="BE393" i="4"/>
  <c r="BD393" i="4"/>
  <c r="BC393" i="4"/>
  <c r="BB393" i="4"/>
  <c r="BA393" i="4"/>
  <c r="AZ393" i="4"/>
  <c r="AY393" i="4"/>
  <c r="AX393" i="4"/>
  <c r="AW393" i="4"/>
  <c r="AV393" i="4"/>
  <c r="AU393" i="4"/>
  <c r="AT393" i="4"/>
  <c r="AS393" i="4"/>
  <c r="AR393" i="4"/>
  <c r="AQ393" i="4"/>
  <c r="AP393" i="4"/>
  <c r="AO393" i="4"/>
  <c r="AN393" i="4"/>
  <c r="AM393" i="4"/>
  <c r="AL393" i="4"/>
  <c r="AK393" i="4"/>
  <c r="AJ393" i="4"/>
  <c r="AI393" i="4"/>
  <c r="AH393" i="4"/>
  <c r="AG393" i="4"/>
  <c r="AF393" i="4"/>
  <c r="AE393" i="4"/>
  <c r="AD393" i="4"/>
  <c r="AC393" i="4"/>
  <c r="AB393" i="4"/>
  <c r="AA393" i="4"/>
  <c r="Z393" i="4"/>
  <c r="Y393" i="4"/>
  <c r="X393" i="4"/>
  <c r="W393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ED392" i="4"/>
  <c r="EC392" i="4"/>
  <c r="EB392" i="4"/>
  <c r="EA392" i="4"/>
  <c r="DZ392" i="4"/>
  <c r="DY392" i="4"/>
  <c r="DX392" i="4"/>
  <c r="DW392" i="4"/>
  <c r="DV392" i="4"/>
  <c r="DU392" i="4"/>
  <c r="DT392" i="4"/>
  <c r="DS392" i="4"/>
  <c r="DR392" i="4"/>
  <c r="DQ392" i="4"/>
  <c r="DP392" i="4"/>
  <c r="DO392" i="4"/>
  <c r="DN392" i="4"/>
  <c r="DM392" i="4"/>
  <c r="DL392" i="4"/>
  <c r="DK392" i="4"/>
  <c r="DJ392" i="4"/>
  <c r="DI392" i="4"/>
  <c r="DH392" i="4"/>
  <c r="DG392" i="4"/>
  <c r="DF392" i="4"/>
  <c r="DE392" i="4"/>
  <c r="DD392" i="4"/>
  <c r="DC392" i="4"/>
  <c r="DB392" i="4"/>
  <c r="DA392" i="4"/>
  <c r="CZ392" i="4"/>
  <c r="CY392" i="4"/>
  <c r="CX392" i="4"/>
  <c r="CW392" i="4"/>
  <c r="CV392" i="4"/>
  <c r="CU392" i="4"/>
  <c r="CT392" i="4"/>
  <c r="CS392" i="4"/>
  <c r="CR392" i="4"/>
  <c r="CQ392" i="4"/>
  <c r="CP392" i="4"/>
  <c r="CO392" i="4"/>
  <c r="CN392" i="4"/>
  <c r="CM392" i="4"/>
  <c r="CL392" i="4"/>
  <c r="CK392" i="4"/>
  <c r="CJ392" i="4"/>
  <c r="CI392" i="4"/>
  <c r="CH392" i="4"/>
  <c r="CG392" i="4"/>
  <c r="CF392" i="4"/>
  <c r="CE392" i="4"/>
  <c r="CD392" i="4"/>
  <c r="CC392" i="4"/>
  <c r="CB392" i="4"/>
  <c r="CA392" i="4"/>
  <c r="BZ392" i="4"/>
  <c r="BY392" i="4"/>
  <c r="BX392" i="4"/>
  <c r="BW392" i="4"/>
  <c r="BV392" i="4"/>
  <c r="BU392" i="4"/>
  <c r="BT392" i="4"/>
  <c r="BS392" i="4"/>
  <c r="BR392" i="4"/>
  <c r="BQ392" i="4"/>
  <c r="BP392" i="4"/>
  <c r="BO392" i="4"/>
  <c r="BM392" i="4"/>
  <c r="BL392" i="4"/>
  <c r="BK392" i="4"/>
  <c r="BI392" i="4"/>
  <c r="BH392" i="4"/>
  <c r="BG392" i="4"/>
  <c r="BF392" i="4"/>
  <c r="BE392" i="4"/>
  <c r="BD392" i="4"/>
  <c r="BC392" i="4"/>
  <c r="BB392" i="4"/>
  <c r="BA392" i="4"/>
  <c r="AZ392" i="4"/>
  <c r="AY392" i="4"/>
  <c r="AX392" i="4"/>
  <c r="AW392" i="4"/>
  <c r="AV392" i="4"/>
  <c r="AU392" i="4"/>
  <c r="AT392" i="4"/>
  <c r="AS392" i="4"/>
  <c r="AR392" i="4"/>
  <c r="AQ392" i="4"/>
  <c r="AP392" i="4"/>
  <c r="AO392" i="4"/>
  <c r="AN392" i="4"/>
  <c r="AM392" i="4"/>
  <c r="AL392" i="4"/>
  <c r="AK392" i="4"/>
  <c r="AJ392" i="4"/>
  <c r="AI392" i="4"/>
  <c r="AH392" i="4"/>
  <c r="AG392" i="4"/>
  <c r="AF392" i="4"/>
  <c r="AE392" i="4"/>
  <c r="AD392" i="4"/>
  <c r="AC392" i="4"/>
  <c r="AB392" i="4"/>
  <c r="AA392" i="4"/>
  <c r="Z392" i="4"/>
  <c r="Y392" i="4"/>
  <c r="X392" i="4"/>
  <c r="W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ED391" i="4"/>
  <c r="EC391" i="4"/>
  <c r="EB391" i="4"/>
  <c r="EA391" i="4"/>
  <c r="DZ391" i="4"/>
  <c r="DY391" i="4"/>
  <c r="DX391" i="4"/>
  <c r="DW391" i="4"/>
  <c r="DV391" i="4"/>
  <c r="DU391" i="4"/>
  <c r="DT391" i="4"/>
  <c r="DS391" i="4"/>
  <c r="DR391" i="4"/>
  <c r="DQ391" i="4"/>
  <c r="DP391" i="4"/>
  <c r="DO391" i="4"/>
  <c r="DN391" i="4"/>
  <c r="DM391" i="4"/>
  <c r="DL391" i="4"/>
  <c r="DK391" i="4"/>
  <c r="DJ391" i="4"/>
  <c r="DI391" i="4"/>
  <c r="DH391" i="4"/>
  <c r="DG391" i="4"/>
  <c r="DF391" i="4"/>
  <c r="DE391" i="4"/>
  <c r="DD391" i="4"/>
  <c r="DC391" i="4"/>
  <c r="DB391" i="4"/>
  <c r="DA391" i="4"/>
  <c r="CZ391" i="4"/>
  <c r="CY391" i="4"/>
  <c r="CX391" i="4"/>
  <c r="CW391" i="4"/>
  <c r="CV391" i="4"/>
  <c r="CU391" i="4"/>
  <c r="CT391" i="4"/>
  <c r="CS391" i="4"/>
  <c r="CR391" i="4"/>
  <c r="CQ391" i="4"/>
  <c r="CP391" i="4"/>
  <c r="CO391" i="4"/>
  <c r="CN391" i="4"/>
  <c r="CM391" i="4"/>
  <c r="CL391" i="4"/>
  <c r="CK391" i="4"/>
  <c r="CJ391" i="4"/>
  <c r="CI391" i="4"/>
  <c r="CH391" i="4"/>
  <c r="CG391" i="4"/>
  <c r="CF391" i="4"/>
  <c r="CE391" i="4"/>
  <c r="CD391" i="4"/>
  <c r="CC391" i="4"/>
  <c r="CB391" i="4"/>
  <c r="CA391" i="4"/>
  <c r="BZ391" i="4"/>
  <c r="BY391" i="4"/>
  <c r="BX391" i="4"/>
  <c r="BW391" i="4"/>
  <c r="BV391" i="4"/>
  <c r="BU391" i="4"/>
  <c r="BT391" i="4"/>
  <c r="BS391" i="4"/>
  <c r="BR391" i="4"/>
  <c r="BQ391" i="4"/>
  <c r="BP391" i="4"/>
  <c r="BO391" i="4"/>
  <c r="BM391" i="4"/>
  <c r="BL391" i="4"/>
  <c r="BK391" i="4"/>
  <c r="BI391" i="4"/>
  <c r="BH391" i="4"/>
  <c r="BG391" i="4"/>
  <c r="BF391" i="4"/>
  <c r="BE391" i="4"/>
  <c r="BD391" i="4"/>
  <c r="BC391" i="4"/>
  <c r="BB391" i="4"/>
  <c r="BA391" i="4"/>
  <c r="AZ391" i="4"/>
  <c r="AY391" i="4"/>
  <c r="AX391" i="4"/>
  <c r="AW391" i="4"/>
  <c r="AV391" i="4"/>
  <c r="AU391" i="4"/>
  <c r="AT391" i="4"/>
  <c r="AS391" i="4"/>
  <c r="AR391" i="4"/>
  <c r="AQ391" i="4"/>
  <c r="AP391" i="4"/>
  <c r="AO391" i="4"/>
  <c r="AN391" i="4"/>
  <c r="AM391" i="4"/>
  <c r="AL391" i="4"/>
  <c r="AK391" i="4"/>
  <c r="AJ391" i="4"/>
  <c r="AI391" i="4"/>
  <c r="AH391" i="4"/>
  <c r="AG391" i="4"/>
  <c r="AF391" i="4"/>
  <c r="AE391" i="4"/>
  <c r="AD391" i="4"/>
  <c r="AC391" i="4"/>
  <c r="AB391" i="4"/>
  <c r="AA391" i="4"/>
  <c r="Z391" i="4"/>
  <c r="Y391" i="4"/>
  <c r="X391" i="4"/>
  <c r="W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ED390" i="4"/>
  <c r="EC390" i="4"/>
  <c r="EB390" i="4"/>
  <c r="EA390" i="4"/>
  <c r="DZ390" i="4"/>
  <c r="DY390" i="4"/>
  <c r="DX390" i="4"/>
  <c r="DW390" i="4"/>
  <c r="DV390" i="4"/>
  <c r="DU390" i="4"/>
  <c r="DT390" i="4"/>
  <c r="DS390" i="4"/>
  <c r="DR390" i="4"/>
  <c r="DQ390" i="4"/>
  <c r="DP390" i="4"/>
  <c r="DO390" i="4"/>
  <c r="DN390" i="4"/>
  <c r="DM390" i="4"/>
  <c r="DL390" i="4"/>
  <c r="DK390" i="4"/>
  <c r="DJ390" i="4"/>
  <c r="DI390" i="4"/>
  <c r="DH390" i="4"/>
  <c r="DG390" i="4"/>
  <c r="DF390" i="4"/>
  <c r="DE390" i="4"/>
  <c r="DD390" i="4"/>
  <c r="DC390" i="4"/>
  <c r="DB390" i="4"/>
  <c r="DA390" i="4"/>
  <c r="CZ390" i="4"/>
  <c r="CY390" i="4"/>
  <c r="CX390" i="4"/>
  <c r="CW390" i="4"/>
  <c r="CV390" i="4"/>
  <c r="CU390" i="4"/>
  <c r="CT390" i="4"/>
  <c r="CS390" i="4"/>
  <c r="CR390" i="4"/>
  <c r="CQ390" i="4"/>
  <c r="CP390" i="4"/>
  <c r="CO390" i="4"/>
  <c r="CN390" i="4"/>
  <c r="CM390" i="4"/>
  <c r="CL390" i="4"/>
  <c r="CK390" i="4"/>
  <c r="CJ390" i="4"/>
  <c r="CI390" i="4"/>
  <c r="CH390" i="4"/>
  <c r="CG390" i="4"/>
  <c r="CF390" i="4"/>
  <c r="CE390" i="4"/>
  <c r="CD390" i="4"/>
  <c r="CC390" i="4"/>
  <c r="CB390" i="4"/>
  <c r="CA390" i="4"/>
  <c r="BZ390" i="4"/>
  <c r="BY390" i="4"/>
  <c r="BX390" i="4"/>
  <c r="BW390" i="4"/>
  <c r="BV390" i="4"/>
  <c r="BU390" i="4"/>
  <c r="BT390" i="4"/>
  <c r="BS390" i="4"/>
  <c r="BR390" i="4"/>
  <c r="BQ390" i="4"/>
  <c r="BP390" i="4"/>
  <c r="BO390" i="4"/>
  <c r="BM390" i="4"/>
  <c r="BL390" i="4"/>
  <c r="BK390" i="4"/>
  <c r="BI390" i="4"/>
  <c r="BH390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U390" i="4"/>
  <c r="AT390" i="4"/>
  <c r="AS390" i="4"/>
  <c r="AR390" i="4"/>
  <c r="AQ390" i="4"/>
  <c r="AP390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X390" i="4"/>
  <c r="W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ED389" i="4"/>
  <c r="EC389" i="4"/>
  <c r="EB389" i="4"/>
  <c r="EA389" i="4"/>
  <c r="DZ389" i="4"/>
  <c r="DY389" i="4"/>
  <c r="DX389" i="4"/>
  <c r="DW389" i="4"/>
  <c r="DV389" i="4"/>
  <c r="DU389" i="4"/>
  <c r="DT389" i="4"/>
  <c r="DS389" i="4"/>
  <c r="DR389" i="4"/>
  <c r="DQ389" i="4"/>
  <c r="DP389" i="4"/>
  <c r="DO389" i="4"/>
  <c r="DN389" i="4"/>
  <c r="DM389" i="4"/>
  <c r="DL389" i="4"/>
  <c r="DK389" i="4"/>
  <c r="DJ389" i="4"/>
  <c r="DI389" i="4"/>
  <c r="DH389" i="4"/>
  <c r="DG389" i="4"/>
  <c r="DF389" i="4"/>
  <c r="DE389" i="4"/>
  <c r="DD389" i="4"/>
  <c r="DC389" i="4"/>
  <c r="DB389" i="4"/>
  <c r="DA389" i="4"/>
  <c r="CZ389" i="4"/>
  <c r="CY389" i="4"/>
  <c r="CX389" i="4"/>
  <c r="CW389" i="4"/>
  <c r="CV389" i="4"/>
  <c r="CU389" i="4"/>
  <c r="CT389" i="4"/>
  <c r="CS389" i="4"/>
  <c r="CR389" i="4"/>
  <c r="CQ389" i="4"/>
  <c r="CP389" i="4"/>
  <c r="CO389" i="4"/>
  <c r="CN389" i="4"/>
  <c r="CM389" i="4"/>
  <c r="CL389" i="4"/>
  <c r="CK389" i="4"/>
  <c r="CJ389" i="4"/>
  <c r="CI389" i="4"/>
  <c r="CH389" i="4"/>
  <c r="CG389" i="4"/>
  <c r="CF389" i="4"/>
  <c r="CE389" i="4"/>
  <c r="CD389" i="4"/>
  <c r="CC389" i="4"/>
  <c r="CB389" i="4"/>
  <c r="CA389" i="4"/>
  <c r="BZ389" i="4"/>
  <c r="BY389" i="4"/>
  <c r="BX389" i="4"/>
  <c r="BW389" i="4"/>
  <c r="BV389" i="4"/>
  <c r="BU389" i="4"/>
  <c r="BT389" i="4"/>
  <c r="BS389" i="4"/>
  <c r="BR389" i="4"/>
  <c r="BQ389" i="4"/>
  <c r="BP389" i="4"/>
  <c r="BO389" i="4"/>
  <c r="BM389" i="4"/>
  <c r="BL389" i="4"/>
  <c r="BK389" i="4"/>
  <c r="BI389" i="4"/>
  <c r="BH389" i="4"/>
  <c r="BG389" i="4"/>
  <c r="BF389" i="4"/>
  <c r="BE389" i="4"/>
  <c r="BD389" i="4"/>
  <c r="BC389" i="4"/>
  <c r="BB389" i="4"/>
  <c r="BA389" i="4"/>
  <c r="AZ389" i="4"/>
  <c r="AY389" i="4"/>
  <c r="AX389" i="4"/>
  <c r="AW389" i="4"/>
  <c r="AV389" i="4"/>
  <c r="AU389" i="4"/>
  <c r="AT389" i="4"/>
  <c r="AS389" i="4"/>
  <c r="AR389" i="4"/>
  <c r="AQ389" i="4"/>
  <c r="AP389" i="4"/>
  <c r="AO389" i="4"/>
  <c r="AN389" i="4"/>
  <c r="AM389" i="4"/>
  <c r="AL389" i="4"/>
  <c r="AK389" i="4"/>
  <c r="AJ389" i="4"/>
  <c r="AI389" i="4"/>
  <c r="AH389" i="4"/>
  <c r="AG389" i="4"/>
  <c r="AF389" i="4"/>
  <c r="AE389" i="4"/>
  <c r="AD389" i="4"/>
  <c r="AC389" i="4"/>
  <c r="AB389" i="4"/>
  <c r="AA389" i="4"/>
  <c r="Z389" i="4"/>
  <c r="Y389" i="4"/>
  <c r="X389" i="4"/>
  <c r="W389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ED388" i="4"/>
  <c r="EC388" i="4"/>
  <c r="EB388" i="4"/>
  <c r="EA388" i="4"/>
  <c r="DZ388" i="4"/>
  <c r="DY388" i="4"/>
  <c r="DX388" i="4"/>
  <c r="DW388" i="4"/>
  <c r="DV388" i="4"/>
  <c r="DU388" i="4"/>
  <c r="DT388" i="4"/>
  <c r="DS388" i="4"/>
  <c r="DR388" i="4"/>
  <c r="DQ388" i="4"/>
  <c r="DP388" i="4"/>
  <c r="DO388" i="4"/>
  <c r="DN388" i="4"/>
  <c r="DM388" i="4"/>
  <c r="DL388" i="4"/>
  <c r="DK388" i="4"/>
  <c r="DJ388" i="4"/>
  <c r="DI388" i="4"/>
  <c r="DH388" i="4"/>
  <c r="DG388" i="4"/>
  <c r="DF388" i="4"/>
  <c r="DE388" i="4"/>
  <c r="DD388" i="4"/>
  <c r="DC388" i="4"/>
  <c r="DB388" i="4"/>
  <c r="DA388" i="4"/>
  <c r="CZ388" i="4"/>
  <c r="CY388" i="4"/>
  <c r="CX388" i="4"/>
  <c r="CW388" i="4"/>
  <c r="CV388" i="4"/>
  <c r="CU388" i="4"/>
  <c r="CT388" i="4"/>
  <c r="CS388" i="4"/>
  <c r="CR388" i="4"/>
  <c r="CQ388" i="4"/>
  <c r="CP388" i="4"/>
  <c r="CO388" i="4"/>
  <c r="CN388" i="4"/>
  <c r="CM388" i="4"/>
  <c r="CL388" i="4"/>
  <c r="CK388" i="4"/>
  <c r="CJ388" i="4"/>
  <c r="CI388" i="4"/>
  <c r="CH388" i="4"/>
  <c r="CG388" i="4"/>
  <c r="CF388" i="4"/>
  <c r="CE388" i="4"/>
  <c r="CD388" i="4"/>
  <c r="CC388" i="4"/>
  <c r="CB388" i="4"/>
  <c r="CA388" i="4"/>
  <c r="BZ388" i="4"/>
  <c r="BY388" i="4"/>
  <c r="BX388" i="4"/>
  <c r="BW388" i="4"/>
  <c r="BV388" i="4"/>
  <c r="BU388" i="4"/>
  <c r="BT388" i="4"/>
  <c r="BS388" i="4"/>
  <c r="BR388" i="4"/>
  <c r="BQ388" i="4"/>
  <c r="BP388" i="4"/>
  <c r="BO388" i="4"/>
  <c r="BM388" i="4"/>
  <c r="BL388" i="4"/>
  <c r="BK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ED387" i="4"/>
  <c r="EC387" i="4"/>
  <c r="EB387" i="4"/>
  <c r="EA387" i="4"/>
  <c r="DZ387" i="4"/>
  <c r="DY387" i="4"/>
  <c r="DX387" i="4"/>
  <c r="DW387" i="4"/>
  <c r="DV387" i="4"/>
  <c r="DU387" i="4"/>
  <c r="DT387" i="4"/>
  <c r="DS387" i="4"/>
  <c r="DR387" i="4"/>
  <c r="DQ387" i="4"/>
  <c r="DP387" i="4"/>
  <c r="DO387" i="4"/>
  <c r="DN387" i="4"/>
  <c r="DM387" i="4"/>
  <c r="DL387" i="4"/>
  <c r="DK387" i="4"/>
  <c r="DJ387" i="4"/>
  <c r="DI387" i="4"/>
  <c r="DH387" i="4"/>
  <c r="DG387" i="4"/>
  <c r="DF387" i="4"/>
  <c r="DE387" i="4"/>
  <c r="DD387" i="4"/>
  <c r="DC387" i="4"/>
  <c r="DB387" i="4"/>
  <c r="DA387" i="4"/>
  <c r="CZ387" i="4"/>
  <c r="CY387" i="4"/>
  <c r="CX387" i="4"/>
  <c r="CW387" i="4"/>
  <c r="CV387" i="4"/>
  <c r="CU387" i="4"/>
  <c r="CT387" i="4"/>
  <c r="CS387" i="4"/>
  <c r="CR387" i="4"/>
  <c r="CQ387" i="4"/>
  <c r="CP387" i="4"/>
  <c r="CO387" i="4"/>
  <c r="CN387" i="4"/>
  <c r="CM387" i="4"/>
  <c r="CL387" i="4"/>
  <c r="CK387" i="4"/>
  <c r="CJ387" i="4"/>
  <c r="CI387" i="4"/>
  <c r="CH387" i="4"/>
  <c r="CG387" i="4"/>
  <c r="CF387" i="4"/>
  <c r="CE387" i="4"/>
  <c r="CD387" i="4"/>
  <c r="CC387" i="4"/>
  <c r="CB387" i="4"/>
  <c r="CA387" i="4"/>
  <c r="BZ387" i="4"/>
  <c r="BY387" i="4"/>
  <c r="BX387" i="4"/>
  <c r="BW387" i="4"/>
  <c r="BV387" i="4"/>
  <c r="BU387" i="4"/>
  <c r="BT387" i="4"/>
  <c r="BS387" i="4"/>
  <c r="BR387" i="4"/>
  <c r="BQ387" i="4"/>
  <c r="BP387" i="4"/>
  <c r="BO387" i="4"/>
  <c r="BM387" i="4"/>
  <c r="BL387" i="4"/>
  <c r="BK387" i="4"/>
  <c r="BI387" i="4"/>
  <c r="BH387" i="4"/>
  <c r="BG387" i="4"/>
  <c r="BF387" i="4"/>
  <c r="BE387" i="4"/>
  <c r="BD387" i="4"/>
  <c r="BC387" i="4"/>
  <c r="BB387" i="4"/>
  <c r="BA387" i="4"/>
  <c r="AZ387" i="4"/>
  <c r="AY387" i="4"/>
  <c r="AX387" i="4"/>
  <c r="AW387" i="4"/>
  <c r="AV387" i="4"/>
  <c r="AU387" i="4"/>
  <c r="AT387" i="4"/>
  <c r="AS387" i="4"/>
  <c r="AR387" i="4"/>
  <c r="AQ387" i="4"/>
  <c r="AP387" i="4"/>
  <c r="AO387" i="4"/>
  <c r="AN387" i="4"/>
  <c r="AM387" i="4"/>
  <c r="AL387" i="4"/>
  <c r="AK387" i="4"/>
  <c r="AJ387" i="4"/>
  <c r="AI387" i="4"/>
  <c r="AH387" i="4"/>
  <c r="AG387" i="4"/>
  <c r="AF387" i="4"/>
  <c r="AE387" i="4"/>
  <c r="AD387" i="4"/>
  <c r="AC387" i="4"/>
  <c r="AB387" i="4"/>
  <c r="AA387" i="4"/>
  <c r="Z387" i="4"/>
  <c r="Y387" i="4"/>
  <c r="X387" i="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ED386" i="4"/>
  <c r="EC386" i="4"/>
  <c r="EB386" i="4"/>
  <c r="EA386" i="4"/>
  <c r="DZ386" i="4"/>
  <c r="DY386" i="4"/>
  <c r="DX386" i="4"/>
  <c r="DW386" i="4"/>
  <c r="DV386" i="4"/>
  <c r="DU386" i="4"/>
  <c r="DT386" i="4"/>
  <c r="DS386" i="4"/>
  <c r="DR386" i="4"/>
  <c r="DQ386" i="4"/>
  <c r="DP386" i="4"/>
  <c r="DO386" i="4"/>
  <c r="DN386" i="4"/>
  <c r="DM386" i="4"/>
  <c r="DL386" i="4"/>
  <c r="DK386" i="4"/>
  <c r="DJ386" i="4"/>
  <c r="DI386" i="4"/>
  <c r="DH386" i="4"/>
  <c r="DG386" i="4"/>
  <c r="DF386" i="4"/>
  <c r="DE386" i="4"/>
  <c r="DD386" i="4"/>
  <c r="DC386" i="4"/>
  <c r="DB386" i="4"/>
  <c r="DA386" i="4"/>
  <c r="CZ386" i="4"/>
  <c r="CY386" i="4"/>
  <c r="CX386" i="4"/>
  <c r="CW386" i="4"/>
  <c r="CV386" i="4"/>
  <c r="CU386" i="4"/>
  <c r="CT386" i="4"/>
  <c r="CS386" i="4"/>
  <c r="CR386" i="4"/>
  <c r="CQ386" i="4"/>
  <c r="CP386" i="4"/>
  <c r="CO386" i="4"/>
  <c r="CN386" i="4"/>
  <c r="CM386" i="4"/>
  <c r="CL386" i="4"/>
  <c r="CK386" i="4"/>
  <c r="CJ386" i="4"/>
  <c r="CI386" i="4"/>
  <c r="CH386" i="4"/>
  <c r="CG386" i="4"/>
  <c r="CF386" i="4"/>
  <c r="CE386" i="4"/>
  <c r="CD386" i="4"/>
  <c r="CC386" i="4"/>
  <c r="CB386" i="4"/>
  <c r="CA386" i="4"/>
  <c r="BZ386" i="4"/>
  <c r="BY386" i="4"/>
  <c r="BX386" i="4"/>
  <c r="BW386" i="4"/>
  <c r="BV386" i="4"/>
  <c r="BU386" i="4"/>
  <c r="BT386" i="4"/>
  <c r="BS386" i="4"/>
  <c r="BR386" i="4"/>
  <c r="BQ386" i="4"/>
  <c r="BP386" i="4"/>
  <c r="BO386" i="4"/>
  <c r="BM386" i="4"/>
  <c r="BL386" i="4"/>
  <c r="BK386" i="4"/>
  <c r="BI386" i="4"/>
  <c r="BH386" i="4"/>
  <c r="BG386" i="4"/>
  <c r="BF386" i="4"/>
  <c r="BE386" i="4"/>
  <c r="BD386" i="4"/>
  <c r="BC386" i="4"/>
  <c r="BB386" i="4"/>
  <c r="BA386" i="4"/>
  <c r="AZ386" i="4"/>
  <c r="AY386" i="4"/>
  <c r="AX386" i="4"/>
  <c r="AW386" i="4"/>
  <c r="AV386" i="4"/>
  <c r="AU386" i="4"/>
  <c r="AT386" i="4"/>
  <c r="AS386" i="4"/>
  <c r="AR386" i="4"/>
  <c r="AQ386" i="4"/>
  <c r="AP386" i="4"/>
  <c r="AO386" i="4"/>
  <c r="AN386" i="4"/>
  <c r="AM386" i="4"/>
  <c r="AL386" i="4"/>
  <c r="AK386" i="4"/>
  <c r="AJ386" i="4"/>
  <c r="AI386" i="4"/>
  <c r="AH386" i="4"/>
  <c r="AG386" i="4"/>
  <c r="AF386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ED385" i="4"/>
  <c r="EC385" i="4"/>
  <c r="EB385" i="4"/>
  <c r="EA385" i="4"/>
  <c r="DZ385" i="4"/>
  <c r="DY385" i="4"/>
  <c r="DX385" i="4"/>
  <c r="DW385" i="4"/>
  <c r="DV385" i="4"/>
  <c r="DU385" i="4"/>
  <c r="DT385" i="4"/>
  <c r="DS385" i="4"/>
  <c r="DR385" i="4"/>
  <c r="DQ385" i="4"/>
  <c r="DP385" i="4"/>
  <c r="DO385" i="4"/>
  <c r="DN385" i="4"/>
  <c r="DM385" i="4"/>
  <c r="DL385" i="4"/>
  <c r="DK385" i="4"/>
  <c r="DJ385" i="4"/>
  <c r="DI385" i="4"/>
  <c r="DH385" i="4"/>
  <c r="DG385" i="4"/>
  <c r="DF385" i="4"/>
  <c r="DE385" i="4"/>
  <c r="DD385" i="4"/>
  <c r="DC385" i="4"/>
  <c r="DB385" i="4"/>
  <c r="DA385" i="4"/>
  <c r="CZ385" i="4"/>
  <c r="CY385" i="4"/>
  <c r="CX385" i="4"/>
  <c r="CW385" i="4"/>
  <c r="CV385" i="4"/>
  <c r="CU385" i="4"/>
  <c r="CT385" i="4"/>
  <c r="CS385" i="4"/>
  <c r="CR385" i="4"/>
  <c r="CQ385" i="4"/>
  <c r="CP385" i="4"/>
  <c r="CO385" i="4"/>
  <c r="CN385" i="4"/>
  <c r="CM385" i="4"/>
  <c r="CL385" i="4"/>
  <c r="CK385" i="4"/>
  <c r="CJ385" i="4"/>
  <c r="CI385" i="4"/>
  <c r="CH385" i="4"/>
  <c r="CG385" i="4"/>
  <c r="CF385" i="4"/>
  <c r="CE385" i="4"/>
  <c r="CD385" i="4"/>
  <c r="CC385" i="4"/>
  <c r="CB385" i="4"/>
  <c r="CA385" i="4"/>
  <c r="BZ385" i="4"/>
  <c r="BY385" i="4"/>
  <c r="BX385" i="4"/>
  <c r="BW385" i="4"/>
  <c r="BV385" i="4"/>
  <c r="BU385" i="4"/>
  <c r="BT385" i="4"/>
  <c r="BS385" i="4"/>
  <c r="BR385" i="4"/>
  <c r="BQ385" i="4"/>
  <c r="BP385" i="4"/>
  <c r="BO385" i="4"/>
  <c r="BM385" i="4"/>
  <c r="BL385" i="4"/>
  <c r="BK385" i="4"/>
  <c r="BI385" i="4"/>
  <c r="BH385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/>
  <c r="AR385" i="4"/>
  <c r="AQ385" i="4"/>
  <c r="AP385" i="4"/>
  <c r="AO385" i="4"/>
  <c r="AN385" i="4"/>
  <c r="AM385" i="4"/>
  <c r="AL385" i="4"/>
  <c r="AK385" i="4"/>
  <c r="AJ385" i="4"/>
  <c r="AI385" i="4"/>
  <c r="AH385" i="4"/>
  <c r="AG385" i="4"/>
  <c r="AF385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ED384" i="4"/>
  <c r="EC384" i="4"/>
  <c r="EB384" i="4"/>
  <c r="EA384" i="4"/>
  <c r="DZ384" i="4"/>
  <c r="DY384" i="4"/>
  <c r="DX384" i="4"/>
  <c r="DW384" i="4"/>
  <c r="DV384" i="4"/>
  <c r="DU384" i="4"/>
  <c r="DT384" i="4"/>
  <c r="DS384" i="4"/>
  <c r="DR384" i="4"/>
  <c r="DQ384" i="4"/>
  <c r="DP384" i="4"/>
  <c r="DO384" i="4"/>
  <c r="DN384" i="4"/>
  <c r="DM384" i="4"/>
  <c r="DL384" i="4"/>
  <c r="DK384" i="4"/>
  <c r="DJ384" i="4"/>
  <c r="DI384" i="4"/>
  <c r="DH384" i="4"/>
  <c r="DG384" i="4"/>
  <c r="DF384" i="4"/>
  <c r="DE384" i="4"/>
  <c r="DD384" i="4"/>
  <c r="DC384" i="4"/>
  <c r="DB384" i="4"/>
  <c r="DA384" i="4"/>
  <c r="CZ384" i="4"/>
  <c r="CY384" i="4"/>
  <c r="CX384" i="4"/>
  <c r="CW384" i="4"/>
  <c r="CV384" i="4"/>
  <c r="CU384" i="4"/>
  <c r="CT384" i="4"/>
  <c r="CS384" i="4"/>
  <c r="CR384" i="4"/>
  <c r="CQ384" i="4"/>
  <c r="CP384" i="4"/>
  <c r="CO384" i="4"/>
  <c r="CN384" i="4"/>
  <c r="CM384" i="4"/>
  <c r="CL384" i="4"/>
  <c r="CK384" i="4"/>
  <c r="CJ384" i="4"/>
  <c r="CI384" i="4"/>
  <c r="CH384" i="4"/>
  <c r="CG384" i="4"/>
  <c r="CF384" i="4"/>
  <c r="CE384" i="4"/>
  <c r="CD384" i="4"/>
  <c r="CC384" i="4"/>
  <c r="CB384" i="4"/>
  <c r="CA384" i="4"/>
  <c r="BZ384" i="4"/>
  <c r="BY384" i="4"/>
  <c r="BX384" i="4"/>
  <c r="BW384" i="4"/>
  <c r="BV384" i="4"/>
  <c r="BU384" i="4"/>
  <c r="BT384" i="4"/>
  <c r="BS384" i="4"/>
  <c r="BR384" i="4"/>
  <c r="BQ384" i="4"/>
  <c r="BP384" i="4"/>
  <c r="BO384" i="4"/>
  <c r="BM384" i="4"/>
  <c r="BL384" i="4"/>
  <c r="BK384" i="4"/>
  <c r="BI384" i="4"/>
  <c r="BH384" i="4"/>
  <c r="BG384" i="4"/>
  <c r="BF384" i="4"/>
  <c r="BE384" i="4"/>
  <c r="BD384" i="4"/>
  <c r="BC384" i="4"/>
  <c r="BB384" i="4"/>
  <c r="BA384" i="4"/>
  <c r="AZ384" i="4"/>
  <c r="AY384" i="4"/>
  <c r="AX384" i="4"/>
  <c r="AW384" i="4"/>
  <c r="AV384" i="4"/>
  <c r="AU384" i="4"/>
  <c r="AT384" i="4"/>
  <c r="AS384" i="4"/>
  <c r="AR384" i="4"/>
  <c r="AQ384" i="4"/>
  <c r="AP384" i="4"/>
  <c r="AO384" i="4"/>
  <c r="AN384" i="4"/>
  <c r="AM384" i="4"/>
  <c r="AL384" i="4"/>
  <c r="AK384" i="4"/>
  <c r="AJ384" i="4"/>
  <c r="AI384" i="4"/>
  <c r="AH384" i="4"/>
  <c r="AG384" i="4"/>
  <c r="AF384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ED383" i="4"/>
  <c r="EC383" i="4"/>
  <c r="EB383" i="4"/>
  <c r="EA383" i="4"/>
  <c r="DZ383" i="4"/>
  <c r="DY383" i="4"/>
  <c r="DX383" i="4"/>
  <c r="DW383" i="4"/>
  <c r="DV383" i="4"/>
  <c r="DU383" i="4"/>
  <c r="DT383" i="4"/>
  <c r="DS383" i="4"/>
  <c r="DR383" i="4"/>
  <c r="DQ383" i="4"/>
  <c r="DP383" i="4"/>
  <c r="DO383" i="4"/>
  <c r="DN383" i="4"/>
  <c r="DM383" i="4"/>
  <c r="DL383" i="4"/>
  <c r="DK383" i="4"/>
  <c r="DJ383" i="4"/>
  <c r="DI383" i="4"/>
  <c r="DH383" i="4"/>
  <c r="DG383" i="4"/>
  <c r="DF383" i="4"/>
  <c r="DE383" i="4"/>
  <c r="DD383" i="4"/>
  <c r="DC383" i="4"/>
  <c r="DB383" i="4"/>
  <c r="DA383" i="4"/>
  <c r="CZ383" i="4"/>
  <c r="CY383" i="4"/>
  <c r="CX383" i="4"/>
  <c r="CW383" i="4"/>
  <c r="CV383" i="4"/>
  <c r="CU383" i="4"/>
  <c r="CT383" i="4"/>
  <c r="CS383" i="4"/>
  <c r="CR383" i="4"/>
  <c r="CQ383" i="4"/>
  <c r="CP383" i="4"/>
  <c r="CO383" i="4"/>
  <c r="CN383" i="4"/>
  <c r="CM383" i="4"/>
  <c r="CL383" i="4"/>
  <c r="CK383" i="4"/>
  <c r="CJ383" i="4"/>
  <c r="CI383" i="4"/>
  <c r="CH383" i="4"/>
  <c r="CG383" i="4"/>
  <c r="CF383" i="4"/>
  <c r="CE383" i="4"/>
  <c r="CD383" i="4"/>
  <c r="CC383" i="4"/>
  <c r="CB383" i="4"/>
  <c r="CA383" i="4"/>
  <c r="BZ383" i="4"/>
  <c r="BY383" i="4"/>
  <c r="BX383" i="4"/>
  <c r="BW383" i="4"/>
  <c r="BV383" i="4"/>
  <c r="BU383" i="4"/>
  <c r="BT383" i="4"/>
  <c r="BS383" i="4"/>
  <c r="BR383" i="4"/>
  <c r="BQ383" i="4"/>
  <c r="BP383" i="4"/>
  <c r="BO383" i="4"/>
  <c r="BM383" i="4"/>
  <c r="BL383" i="4"/>
  <c r="BK383" i="4"/>
  <c r="BI383" i="4"/>
  <c r="BH383" i="4"/>
  <c r="BG383" i="4"/>
  <c r="BF383" i="4"/>
  <c r="BE383" i="4"/>
  <c r="BD383" i="4"/>
  <c r="BC383" i="4"/>
  <c r="BB383" i="4"/>
  <c r="BA383" i="4"/>
  <c r="AZ383" i="4"/>
  <c r="AY383" i="4"/>
  <c r="AX383" i="4"/>
  <c r="AW383" i="4"/>
  <c r="AV383" i="4"/>
  <c r="AU383" i="4"/>
  <c r="AT383" i="4"/>
  <c r="AS383" i="4"/>
  <c r="AR383" i="4"/>
  <c r="AQ383" i="4"/>
  <c r="AP383" i="4"/>
  <c r="AO383" i="4"/>
  <c r="AN383" i="4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ED382" i="4"/>
  <c r="EC382" i="4"/>
  <c r="EB382" i="4"/>
  <c r="EA382" i="4"/>
  <c r="DZ382" i="4"/>
  <c r="DY382" i="4"/>
  <c r="DX382" i="4"/>
  <c r="DW382" i="4"/>
  <c r="DV382" i="4"/>
  <c r="DU382" i="4"/>
  <c r="DT382" i="4"/>
  <c r="DS382" i="4"/>
  <c r="DR382" i="4"/>
  <c r="DQ382" i="4"/>
  <c r="DP382" i="4"/>
  <c r="DO382" i="4"/>
  <c r="DN382" i="4"/>
  <c r="DM382" i="4"/>
  <c r="DL382" i="4"/>
  <c r="DK382" i="4"/>
  <c r="DJ382" i="4"/>
  <c r="DI382" i="4"/>
  <c r="DH382" i="4"/>
  <c r="DG382" i="4"/>
  <c r="DF382" i="4"/>
  <c r="DE382" i="4"/>
  <c r="DD382" i="4"/>
  <c r="DC382" i="4"/>
  <c r="DB382" i="4"/>
  <c r="DA382" i="4"/>
  <c r="CZ382" i="4"/>
  <c r="CY382" i="4"/>
  <c r="CX382" i="4"/>
  <c r="CW382" i="4"/>
  <c r="CV382" i="4"/>
  <c r="CU382" i="4"/>
  <c r="CT382" i="4"/>
  <c r="CS382" i="4"/>
  <c r="CR382" i="4"/>
  <c r="CQ382" i="4"/>
  <c r="CP382" i="4"/>
  <c r="CO382" i="4"/>
  <c r="CN382" i="4"/>
  <c r="CM382" i="4"/>
  <c r="CL382" i="4"/>
  <c r="CK382" i="4"/>
  <c r="CJ382" i="4"/>
  <c r="CI382" i="4"/>
  <c r="CH382" i="4"/>
  <c r="CG382" i="4"/>
  <c r="CF382" i="4"/>
  <c r="CE382" i="4"/>
  <c r="CD382" i="4"/>
  <c r="CC382" i="4"/>
  <c r="CB382" i="4"/>
  <c r="CA382" i="4"/>
  <c r="BZ382" i="4"/>
  <c r="BY382" i="4"/>
  <c r="BX382" i="4"/>
  <c r="BW382" i="4"/>
  <c r="BV382" i="4"/>
  <c r="BU382" i="4"/>
  <c r="BT382" i="4"/>
  <c r="BS382" i="4"/>
  <c r="BR382" i="4"/>
  <c r="BQ382" i="4"/>
  <c r="BP382" i="4"/>
  <c r="BO382" i="4"/>
  <c r="BM382" i="4"/>
  <c r="BL382" i="4"/>
  <c r="BK382" i="4"/>
  <c r="BI382" i="4"/>
  <c r="BH382" i="4"/>
  <c r="BG382" i="4"/>
  <c r="BF382" i="4"/>
  <c r="BE382" i="4"/>
  <c r="BD382" i="4"/>
  <c r="BC382" i="4"/>
  <c r="BB382" i="4"/>
  <c r="BA382" i="4"/>
  <c r="AZ382" i="4"/>
  <c r="AY382" i="4"/>
  <c r="AX382" i="4"/>
  <c r="AW382" i="4"/>
  <c r="AV382" i="4"/>
  <c r="AU382" i="4"/>
  <c r="AT382" i="4"/>
  <c r="AS382" i="4"/>
  <c r="AR382" i="4"/>
  <c r="AQ382" i="4"/>
  <c r="AP382" i="4"/>
  <c r="AO382" i="4"/>
  <c r="AN382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ED381" i="4"/>
  <c r="EC381" i="4"/>
  <c r="EB381" i="4"/>
  <c r="EA381" i="4"/>
  <c r="DZ381" i="4"/>
  <c r="DY381" i="4"/>
  <c r="DX381" i="4"/>
  <c r="DW381" i="4"/>
  <c r="DV381" i="4"/>
  <c r="DU381" i="4"/>
  <c r="DT381" i="4"/>
  <c r="DS381" i="4"/>
  <c r="DR381" i="4"/>
  <c r="DQ381" i="4"/>
  <c r="DP381" i="4"/>
  <c r="DO381" i="4"/>
  <c r="DN381" i="4"/>
  <c r="DM381" i="4"/>
  <c r="DL381" i="4"/>
  <c r="DK381" i="4"/>
  <c r="DJ381" i="4"/>
  <c r="DI381" i="4"/>
  <c r="DH381" i="4"/>
  <c r="DG381" i="4"/>
  <c r="DF381" i="4"/>
  <c r="DE381" i="4"/>
  <c r="DD381" i="4"/>
  <c r="DC381" i="4"/>
  <c r="DB381" i="4"/>
  <c r="DA381" i="4"/>
  <c r="CZ381" i="4"/>
  <c r="CY381" i="4"/>
  <c r="CX381" i="4"/>
  <c r="CW381" i="4"/>
  <c r="CV381" i="4"/>
  <c r="CU381" i="4"/>
  <c r="CT381" i="4"/>
  <c r="CS381" i="4"/>
  <c r="CR381" i="4"/>
  <c r="CQ381" i="4"/>
  <c r="CP381" i="4"/>
  <c r="CO381" i="4"/>
  <c r="CN381" i="4"/>
  <c r="CM381" i="4"/>
  <c r="CL381" i="4"/>
  <c r="CK381" i="4"/>
  <c r="CJ381" i="4"/>
  <c r="CI381" i="4"/>
  <c r="CH381" i="4"/>
  <c r="CG381" i="4"/>
  <c r="CF381" i="4"/>
  <c r="CE381" i="4"/>
  <c r="CD381" i="4"/>
  <c r="CC381" i="4"/>
  <c r="CB381" i="4"/>
  <c r="CA381" i="4"/>
  <c r="BZ381" i="4"/>
  <c r="BY381" i="4"/>
  <c r="BX381" i="4"/>
  <c r="BW381" i="4"/>
  <c r="BV381" i="4"/>
  <c r="BU381" i="4"/>
  <c r="BT381" i="4"/>
  <c r="BS381" i="4"/>
  <c r="BR381" i="4"/>
  <c r="BQ381" i="4"/>
  <c r="BP381" i="4"/>
  <c r="BO381" i="4"/>
  <c r="BM381" i="4"/>
  <c r="BL381" i="4"/>
  <c r="BK381" i="4"/>
  <c r="BI381" i="4"/>
  <c r="BH381" i="4"/>
  <c r="BG381" i="4"/>
  <c r="BF381" i="4"/>
  <c r="BE381" i="4"/>
  <c r="BD381" i="4"/>
  <c r="BC381" i="4"/>
  <c r="BB381" i="4"/>
  <c r="BA381" i="4"/>
  <c r="AZ381" i="4"/>
  <c r="AY381" i="4"/>
  <c r="AX381" i="4"/>
  <c r="AW381" i="4"/>
  <c r="AV381" i="4"/>
  <c r="AU381" i="4"/>
  <c r="AT381" i="4"/>
  <c r="AS381" i="4"/>
  <c r="AR381" i="4"/>
  <c r="AQ381" i="4"/>
  <c r="AP381" i="4"/>
  <c r="AO381" i="4"/>
  <c r="AN381" i="4"/>
  <c r="AM381" i="4"/>
  <c r="AL381" i="4"/>
  <c r="AK381" i="4"/>
  <c r="AJ381" i="4"/>
  <c r="AI381" i="4"/>
  <c r="AH381" i="4"/>
  <c r="AG381" i="4"/>
  <c r="AF381" i="4"/>
  <c r="AE381" i="4"/>
  <c r="AD381" i="4"/>
  <c r="AC381" i="4"/>
  <c r="AB381" i="4"/>
  <c r="AA381" i="4"/>
  <c r="Z381" i="4"/>
  <c r="Y381" i="4"/>
  <c r="X381" i="4"/>
  <c r="W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ED380" i="4"/>
  <c r="EC380" i="4"/>
  <c r="EB380" i="4"/>
  <c r="EA380" i="4"/>
  <c r="DZ380" i="4"/>
  <c r="DY380" i="4"/>
  <c r="DX380" i="4"/>
  <c r="DW380" i="4"/>
  <c r="DV380" i="4"/>
  <c r="DU380" i="4"/>
  <c r="DT380" i="4"/>
  <c r="DS380" i="4"/>
  <c r="DR380" i="4"/>
  <c r="DQ380" i="4"/>
  <c r="DP380" i="4"/>
  <c r="DO380" i="4"/>
  <c r="DN380" i="4"/>
  <c r="DM380" i="4"/>
  <c r="DL380" i="4"/>
  <c r="DK380" i="4"/>
  <c r="DJ380" i="4"/>
  <c r="DI380" i="4"/>
  <c r="DH380" i="4"/>
  <c r="DG380" i="4"/>
  <c r="DF380" i="4"/>
  <c r="DE380" i="4"/>
  <c r="DD380" i="4"/>
  <c r="DC380" i="4"/>
  <c r="DB380" i="4"/>
  <c r="DA380" i="4"/>
  <c r="CZ380" i="4"/>
  <c r="CY380" i="4"/>
  <c r="CX380" i="4"/>
  <c r="CW380" i="4"/>
  <c r="CV380" i="4"/>
  <c r="CU380" i="4"/>
  <c r="CT380" i="4"/>
  <c r="CS380" i="4"/>
  <c r="CR380" i="4"/>
  <c r="CQ380" i="4"/>
  <c r="CP380" i="4"/>
  <c r="CO380" i="4"/>
  <c r="CN380" i="4"/>
  <c r="CM380" i="4"/>
  <c r="CL380" i="4"/>
  <c r="CK380" i="4"/>
  <c r="CJ380" i="4"/>
  <c r="CI380" i="4"/>
  <c r="CH380" i="4"/>
  <c r="CG380" i="4"/>
  <c r="CF380" i="4"/>
  <c r="CE380" i="4"/>
  <c r="CD380" i="4"/>
  <c r="CC380" i="4"/>
  <c r="CB380" i="4"/>
  <c r="CA380" i="4"/>
  <c r="BZ380" i="4"/>
  <c r="BY380" i="4"/>
  <c r="BX380" i="4"/>
  <c r="BW380" i="4"/>
  <c r="BV380" i="4"/>
  <c r="BU380" i="4"/>
  <c r="BT380" i="4"/>
  <c r="BS380" i="4"/>
  <c r="BR380" i="4"/>
  <c r="BQ380" i="4"/>
  <c r="BP380" i="4"/>
  <c r="BO380" i="4"/>
  <c r="BM380" i="4"/>
  <c r="BL380" i="4"/>
  <c r="BK380" i="4"/>
  <c r="BI380" i="4"/>
  <c r="BH380" i="4"/>
  <c r="BG380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R380" i="4"/>
  <c r="AQ380" i="4"/>
  <c r="AP380" i="4"/>
  <c r="AO380" i="4"/>
  <c r="AN380" i="4"/>
  <c r="AM380" i="4"/>
  <c r="AL380" i="4"/>
  <c r="AK380" i="4"/>
  <c r="AJ380" i="4"/>
  <c r="AI380" i="4"/>
  <c r="AH380" i="4"/>
  <c r="AG380" i="4"/>
  <c r="AF380" i="4"/>
  <c r="AE380" i="4"/>
  <c r="AD380" i="4"/>
  <c r="AC380" i="4"/>
  <c r="AB380" i="4"/>
  <c r="AA380" i="4"/>
  <c r="Z380" i="4"/>
  <c r="Y380" i="4"/>
  <c r="X380" i="4"/>
  <c r="W380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ED379" i="4"/>
  <c r="EC379" i="4"/>
  <c r="EB379" i="4"/>
  <c r="EA379" i="4"/>
  <c r="DZ379" i="4"/>
  <c r="DY379" i="4"/>
  <c r="DX379" i="4"/>
  <c r="DW379" i="4"/>
  <c r="DV379" i="4"/>
  <c r="DU379" i="4"/>
  <c r="DT379" i="4"/>
  <c r="DS379" i="4"/>
  <c r="DR379" i="4"/>
  <c r="DQ379" i="4"/>
  <c r="DP379" i="4"/>
  <c r="DO379" i="4"/>
  <c r="DN379" i="4"/>
  <c r="DM379" i="4"/>
  <c r="DL379" i="4"/>
  <c r="DK379" i="4"/>
  <c r="DJ379" i="4"/>
  <c r="DI379" i="4"/>
  <c r="DH379" i="4"/>
  <c r="DG379" i="4"/>
  <c r="DF379" i="4"/>
  <c r="DE379" i="4"/>
  <c r="DD379" i="4"/>
  <c r="DC379" i="4"/>
  <c r="DB379" i="4"/>
  <c r="DA379" i="4"/>
  <c r="CZ379" i="4"/>
  <c r="CY379" i="4"/>
  <c r="CX379" i="4"/>
  <c r="CW379" i="4"/>
  <c r="CV379" i="4"/>
  <c r="CU379" i="4"/>
  <c r="CT379" i="4"/>
  <c r="CS379" i="4"/>
  <c r="CR379" i="4"/>
  <c r="CQ379" i="4"/>
  <c r="CP379" i="4"/>
  <c r="CO379" i="4"/>
  <c r="CN379" i="4"/>
  <c r="CM379" i="4"/>
  <c r="CL379" i="4"/>
  <c r="CK379" i="4"/>
  <c r="CJ379" i="4"/>
  <c r="CI379" i="4"/>
  <c r="CH379" i="4"/>
  <c r="CG379" i="4"/>
  <c r="CF379" i="4"/>
  <c r="CE379" i="4"/>
  <c r="CD379" i="4"/>
  <c r="CC379" i="4"/>
  <c r="CB379" i="4"/>
  <c r="CA379" i="4"/>
  <c r="BZ379" i="4"/>
  <c r="BY379" i="4"/>
  <c r="BX379" i="4"/>
  <c r="BW379" i="4"/>
  <c r="BV379" i="4"/>
  <c r="BU379" i="4"/>
  <c r="BT379" i="4"/>
  <c r="BS379" i="4"/>
  <c r="BR379" i="4"/>
  <c r="BQ379" i="4"/>
  <c r="BP379" i="4"/>
  <c r="BO379" i="4"/>
  <c r="BM379" i="4"/>
  <c r="BL379" i="4"/>
  <c r="BK379" i="4"/>
  <c r="BI379" i="4"/>
  <c r="BH379" i="4"/>
  <c r="BG379" i="4"/>
  <c r="BF379" i="4"/>
  <c r="BE379" i="4"/>
  <c r="BD379" i="4"/>
  <c r="BC379" i="4"/>
  <c r="BB379" i="4"/>
  <c r="BA379" i="4"/>
  <c r="AZ379" i="4"/>
  <c r="AY379" i="4"/>
  <c r="AX379" i="4"/>
  <c r="AW379" i="4"/>
  <c r="AV379" i="4"/>
  <c r="AU379" i="4"/>
  <c r="AT379" i="4"/>
  <c r="AS379" i="4"/>
  <c r="AR379" i="4"/>
  <c r="AQ379" i="4"/>
  <c r="AP379" i="4"/>
  <c r="AO379" i="4"/>
  <c r="AN379" i="4"/>
  <c r="AM379" i="4"/>
  <c r="AL379" i="4"/>
  <c r="AK379" i="4"/>
  <c r="AJ379" i="4"/>
  <c r="AI379" i="4"/>
  <c r="AH379" i="4"/>
  <c r="AG379" i="4"/>
  <c r="AF379" i="4"/>
  <c r="AE379" i="4"/>
  <c r="AD379" i="4"/>
  <c r="AC379" i="4"/>
  <c r="AB379" i="4"/>
  <c r="AA379" i="4"/>
  <c r="Z379" i="4"/>
  <c r="Y379" i="4"/>
  <c r="X379" i="4"/>
  <c r="W379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ED378" i="4"/>
  <c r="EC378" i="4"/>
  <c r="EB378" i="4"/>
  <c r="EA378" i="4"/>
  <c r="DZ378" i="4"/>
  <c r="DY378" i="4"/>
  <c r="DX378" i="4"/>
  <c r="DW378" i="4"/>
  <c r="DV378" i="4"/>
  <c r="DU378" i="4"/>
  <c r="DT378" i="4"/>
  <c r="DS378" i="4"/>
  <c r="DR378" i="4"/>
  <c r="DQ378" i="4"/>
  <c r="DP378" i="4"/>
  <c r="DO378" i="4"/>
  <c r="DN378" i="4"/>
  <c r="DM378" i="4"/>
  <c r="DL378" i="4"/>
  <c r="DK378" i="4"/>
  <c r="DJ378" i="4"/>
  <c r="DI378" i="4"/>
  <c r="DH378" i="4"/>
  <c r="DG378" i="4"/>
  <c r="DF378" i="4"/>
  <c r="DE378" i="4"/>
  <c r="DD378" i="4"/>
  <c r="DC378" i="4"/>
  <c r="DB378" i="4"/>
  <c r="DA378" i="4"/>
  <c r="CZ378" i="4"/>
  <c r="CY378" i="4"/>
  <c r="CX378" i="4"/>
  <c r="CW378" i="4"/>
  <c r="CV378" i="4"/>
  <c r="CU378" i="4"/>
  <c r="CT378" i="4"/>
  <c r="CS378" i="4"/>
  <c r="CR378" i="4"/>
  <c r="CQ378" i="4"/>
  <c r="CP378" i="4"/>
  <c r="CO378" i="4"/>
  <c r="CN378" i="4"/>
  <c r="CM378" i="4"/>
  <c r="CL378" i="4"/>
  <c r="CK378" i="4"/>
  <c r="CJ378" i="4"/>
  <c r="CI378" i="4"/>
  <c r="CH378" i="4"/>
  <c r="CG378" i="4"/>
  <c r="CF378" i="4"/>
  <c r="CE378" i="4"/>
  <c r="CD378" i="4"/>
  <c r="CC378" i="4"/>
  <c r="CB378" i="4"/>
  <c r="CA378" i="4"/>
  <c r="BZ378" i="4"/>
  <c r="BY378" i="4"/>
  <c r="BX378" i="4"/>
  <c r="BW378" i="4"/>
  <c r="BV378" i="4"/>
  <c r="BU378" i="4"/>
  <c r="BT378" i="4"/>
  <c r="BS378" i="4"/>
  <c r="BR378" i="4"/>
  <c r="BQ378" i="4"/>
  <c r="BP378" i="4"/>
  <c r="BO378" i="4"/>
  <c r="BM378" i="4"/>
  <c r="BL378" i="4"/>
  <c r="BK378" i="4"/>
  <c r="BI378" i="4"/>
  <c r="BH378" i="4"/>
  <c r="BG378" i="4"/>
  <c r="BF378" i="4"/>
  <c r="BE378" i="4"/>
  <c r="BD378" i="4"/>
  <c r="BC378" i="4"/>
  <c r="BB378" i="4"/>
  <c r="BA378" i="4"/>
  <c r="AZ378" i="4"/>
  <c r="AY378" i="4"/>
  <c r="AX378" i="4"/>
  <c r="AW378" i="4"/>
  <c r="AV378" i="4"/>
  <c r="AU378" i="4"/>
  <c r="AT378" i="4"/>
  <c r="AS378" i="4"/>
  <c r="AR378" i="4"/>
  <c r="AQ378" i="4"/>
  <c r="AP378" i="4"/>
  <c r="AO378" i="4"/>
  <c r="AN378" i="4"/>
  <c r="AM378" i="4"/>
  <c r="AL378" i="4"/>
  <c r="AK378" i="4"/>
  <c r="AJ378" i="4"/>
  <c r="AI378" i="4"/>
  <c r="AH378" i="4"/>
  <c r="AG378" i="4"/>
  <c r="AF378" i="4"/>
  <c r="AE378" i="4"/>
  <c r="AD378" i="4"/>
  <c r="AC378" i="4"/>
  <c r="AB378" i="4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ED377" i="4"/>
  <c r="EC377" i="4"/>
  <c r="EB377" i="4"/>
  <c r="EA377" i="4"/>
  <c r="DZ377" i="4"/>
  <c r="DY377" i="4"/>
  <c r="DY440" i="4" s="1"/>
  <c r="DX377" i="4"/>
  <c r="DW377" i="4"/>
  <c r="DV377" i="4"/>
  <c r="DU377" i="4"/>
  <c r="DU440" i="4" s="1"/>
  <c r="DT377" i="4"/>
  <c r="DS377" i="4"/>
  <c r="DR377" i="4"/>
  <c r="DQ377" i="4"/>
  <c r="DQ440" i="4" s="1"/>
  <c r="DP377" i="4"/>
  <c r="DO377" i="4"/>
  <c r="DN377" i="4"/>
  <c r="DM377" i="4"/>
  <c r="DL377" i="4"/>
  <c r="DK377" i="4"/>
  <c r="DJ377" i="4"/>
  <c r="DI377" i="4"/>
  <c r="DH377" i="4"/>
  <c r="DG377" i="4"/>
  <c r="DF377" i="4"/>
  <c r="DE377" i="4"/>
  <c r="DD377" i="4"/>
  <c r="DC377" i="4"/>
  <c r="DB377" i="4"/>
  <c r="DA377" i="4"/>
  <c r="CZ377" i="4"/>
  <c r="CY377" i="4"/>
  <c r="CX377" i="4"/>
  <c r="CW377" i="4"/>
  <c r="CV377" i="4"/>
  <c r="CU377" i="4"/>
  <c r="CT377" i="4"/>
  <c r="CS377" i="4"/>
  <c r="CR377" i="4"/>
  <c r="CQ377" i="4"/>
  <c r="CP377" i="4"/>
  <c r="CO377" i="4"/>
  <c r="CN377" i="4"/>
  <c r="CM377" i="4"/>
  <c r="CL377" i="4"/>
  <c r="CK377" i="4"/>
  <c r="CJ377" i="4"/>
  <c r="CI377" i="4"/>
  <c r="CH377" i="4"/>
  <c r="CG377" i="4"/>
  <c r="CF377" i="4"/>
  <c r="CE377" i="4"/>
  <c r="CD377" i="4"/>
  <c r="CC377" i="4"/>
  <c r="CC440" i="4" s="1"/>
  <c r="CB377" i="4"/>
  <c r="CA377" i="4"/>
  <c r="BZ377" i="4"/>
  <c r="BY377" i="4"/>
  <c r="BX377" i="4"/>
  <c r="BW377" i="4"/>
  <c r="BV377" i="4"/>
  <c r="BU377" i="4"/>
  <c r="BT377" i="4"/>
  <c r="BS377" i="4"/>
  <c r="BR377" i="4"/>
  <c r="BQ377" i="4"/>
  <c r="BP377" i="4"/>
  <c r="BO377" i="4"/>
  <c r="BM377" i="4"/>
  <c r="BM440" i="4" s="1"/>
  <c r="BL377" i="4"/>
  <c r="BK377" i="4"/>
  <c r="BI377" i="4"/>
  <c r="BI440" i="4" s="1"/>
  <c r="BH377" i="4"/>
  <c r="BG377" i="4"/>
  <c r="BF377" i="4"/>
  <c r="BE377" i="4"/>
  <c r="BD377" i="4"/>
  <c r="BC377" i="4"/>
  <c r="BB377" i="4"/>
  <c r="BA377" i="4"/>
  <c r="BA440" i="4" s="1"/>
  <c r="AZ377" i="4"/>
  <c r="AY377" i="4"/>
  <c r="AX377" i="4"/>
  <c r="AW377" i="4"/>
  <c r="AW440" i="4" s="1"/>
  <c r="AV377" i="4"/>
  <c r="AU377" i="4"/>
  <c r="AU440" i="4" s="1"/>
  <c r="AT377" i="4"/>
  <c r="AS377" i="4"/>
  <c r="AS440" i="4" s="1"/>
  <c r="AR377" i="4"/>
  <c r="AQ377" i="4"/>
  <c r="AP377" i="4"/>
  <c r="AO377" i="4"/>
  <c r="AN377" i="4"/>
  <c r="AM377" i="4"/>
  <c r="AL377" i="4"/>
  <c r="AK377" i="4"/>
  <c r="AJ377" i="4"/>
  <c r="AI377" i="4"/>
  <c r="AH377" i="4"/>
  <c r="AG377" i="4"/>
  <c r="AF377" i="4"/>
  <c r="AE377" i="4"/>
  <c r="AD377" i="4"/>
  <c r="AC377" i="4"/>
  <c r="AB377" i="4"/>
  <c r="AA377" i="4"/>
  <c r="Z377" i="4"/>
  <c r="Y377" i="4"/>
  <c r="X377" i="4"/>
  <c r="W377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ED374" i="4"/>
  <c r="EC374" i="4"/>
  <c r="EB374" i="4"/>
  <c r="EA374" i="4"/>
  <c r="DZ374" i="4"/>
  <c r="DY374" i="4"/>
  <c r="DX374" i="4"/>
  <c r="DW374" i="4"/>
  <c r="DV374" i="4"/>
  <c r="DU374" i="4"/>
  <c r="DT374" i="4"/>
  <c r="DS374" i="4"/>
  <c r="DR374" i="4"/>
  <c r="DQ374" i="4"/>
  <c r="DP374" i="4"/>
  <c r="DO374" i="4"/>
  <c r="DN374" i="4"/>
  <c r="DM374" i="4"/>
  <c r="DL374" i="4"/>
  <c r="DK374" i="4"/>
  <c r="DJ374" i="4"/>
  <c r="DI374" i="4"/>
  <c r="DH374" i="4"/>
  <c r="DG374" i="4"/>
  <c r="DF374" i="4"/>
  <c r="DE374" i="4"/>
  <c r="DD374" i="4"/>
  <c r="DC374" i="4"/>
  <c r="DB374" i="4"/>
  <c r="DA374" i="4"/>
  <c r="CZ374" i="4"/>
  <c r="CY374" i="4"/>
  <c r="CX374" i="4"/>
  <c r="CW374" i="4"/>
  <c r="CV374" i="4"/>
  <c r="CU374" i="4"/>
  <c r="CT374" i="4"/>
  <c r="CS374" i="4"/>
  <c r="CR374" i="4"/>
  <c r="CQ374" i="4"/>
  <c r="CP374" i="4"/>
  <c r="CO374" i="4"/>
  <c r="CN374" i="4"/>
  <c r="CM374" i="4"/>
  <c r="CL374" i="4"/>
  <c r="CK374" i="4"/>
  <c r="CJ374" i="4"/>
  <c r="CI374" i="4"/>
  <c r="CH374" i="4"/>
  <c r="CG374" i="4"/>
  <c r="CF374" i="4"/>
  <c r="CE374" i="4"/>
  <c r="CD374" i="4"/>
  <c r="CC374" i="4"/>
  <c r="CB374" i="4"/>
  <c r="CA374" i="4"/>
  <c r="BZ374" i="4"/>
  <c r="BY374" i="4"/>
  <c r="BX374" i="4"/>
  <c r="BW374" i="4"/>
  <c r="BV374" i="4"/>
  <c r="BU374" i="4"/>
  <c r="BT374" i="4"/>
  <c r="BS374" i="4"/>
  <c r="BR374" i="4"/>
  <c r="BQ374" i="4"/>
  <c r="BP374" i="4"/>
  <c r="BO374" i="4"/>
  <c r="BM374" i="4"/>
  <c r="BL374" i="4"/>
  <c r="BK374" i="4"/>
  <c r="BI374" i="4"/>
  <c r="BH374" i="4"/>
  <c r="BG374" i="4"/>
  <c r="BF374" i="4"/>
  <c r="BE374" i="4"/>
  <c r="BD374" i="4"/>
  <c r="BC374" i="4"/>
  <c r="BB374" i="4"/>
  <c r="BA374" i="4"/>
  <c r="AZ374" i="4"/>
  <c r="AY374" i="4"/>
  <c r="AX374" i="4"/>
  <c r="AW374" i="4"/>
  <c r="AV374" i="4"/>
  <c r="AU374" i="4"/>
  <c r="AT374" i="4"/>
  <c r="AS374" i="4"/>
  <c r="AR374" i="4"/>
  <c r="AQ374" i="4"/>
  <c r="AP374" i="4"/>
  <c r="AO374" i="4"/>
  <c r="AN374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ED373" i="4"/>
  <c r="EC373" i="4"/>
  <c r="EB373" i="4"/>
  <c r="EA373" i="4"/>
  <c r="DZ373" i="4"/>
  <c r="DY373" i="4"/>
  <c r="DX373" i="4"/>
  <c r="DW373" i="4"/>
  <c r="DV373" i="4"/>
  <c r="DU373" i="4"/>
  <c r="DT373" i="4"/>
  <c r="DS373" i="4"/>
  <c r="DR373" i="4"/>
  <c r="DQ373" i="4"/>
  <c r="DP373" i="4"/>
  <c r="DO373" i="4"/>
  <c r="DN373" i="4"/>
  <c r="DM373" i="4"/>
  <c r="DL373" i="4"/>
  <c r="DK373" i="4"/>
  <c r="DJ373" i="4"/>
  <c r="DI373" i="4"/>
  <c r="DH373" i="4"/>
  <c r="DG373" i="4"/>
  <c r="DF373" i="4"/>
  <c r="DE373" i="4"/>
  <c r="DD373" i="4"/>
  <c r="DC373" i="4"/>
  <c r="DB373" i="4"/>
  <c r="DA373" i="4"/>
  <c r="CZ373" i="4"/>
  <c r="CY373" i="4"/>
  <c r="CX373" i="4"/>
  <c r="CW373" i="4"/>
  <c r="CV373" i="4"/>
  <c r="CU373" i="4"/>
  <c r="CT373" i="4"/>
  <c r="CS373" i="4"/>
  <c r="CR373" i="4"/>
  <c r="CQ373" i="4"/>
  <c r="CP373" i="4"/>
  <c r="CO373" i="4"/>
  <c r="CN373" i="4"/>
  <c r="CM373" i="4"/>
  <c r="CL373" i="4"/>
  <c r="CK373" i="4"/>
  <c r="CJ373" i="4"/>
  <c r="CI373" i="4"/>
  <c r="CH373" i="4"/>
  <c r="CG373" i="4"/>
  <c r="CF373" i="4"/>
  <c r="CE373" i="4"/>
  <c r="CD373" i="4"/>
  <c r="CC373" i="4"/>
  <c r="CB373" i="4"/>
  <c r="CA373" i="4"/>
  <c r="BZ373" i="4"/>
  <c r="BY373" i="4"/>
  <c r="BX373" i="4"/>
  <c r="BW373" i="4"/>
  <c r="BV373" i="4"/>
  <c r="BU373" i="4"/>
  <c r="BT373" i="4"/>
  <c r="BS373" i="4"/>
  <c r="BR373" i="4"/>
  <c r="BQ373" i="4"/>
  <c r="BP373" i="4"/>
  <c r="BO373" i="4"/>
  <c r="BM373" i="4"/>
  <c r="BL373" i="4"/>
  <c r="BK373" i="4"/>
  <c r="BI373" i="4"/>
  <c r="BH373" i="4"/>
  <c r="BG373" i="4"/>
  <c r="BF373" i="4"/>
  <c r="BE373" i="4"/>
  <c r="BD373" i="4"/>
  <c r="BC373" i="4"/>
  <c r="BB373" i="4"/>
  <c r="BA373" i="4"/>
  <c r="AZ373" i="4"/>
  <c r="AY373" i="4"/>
  <c r="AX373" i="4"/>
  <c r="AW373" i="4"/>
  <c r="AV373" i="4"/>
  <c r="AU373" i="4"/>
  <c r="AT373" i="4"/>
  <c r="AS373" i="4"/>
  <c r="AR373" i="4"/>
  <c r="AQ373" i="4"/>
  <c r="AP373" i="4"/>
  <c r="AO373" i="4"/>
  <c r="AN373" i="4"/>
  <c r="AM373" i="4"/>
  <c r="AL373" i="4"/>
  <c r="AK373" i="4"/>
  <c r="AJ373" i="4"/>
  <c r="AI373" i="4"/>
  <c r="AH373" i="4"/>
  <c r="AG373" i="4"/>
  <c r="AF373" i="4"/>
  <c r="AE373" i="4"/>
  <c r="AD373" i="4"/>
  <c r="AC373" i="4"/>
  <c r="AB373" i="4"/>
  <c r="AA373" i="4"/>
  <c r="Z373" i="4"/>
  <c r="Y373" i="4"/>
  <c r="X373" i="4"/>
  <c r="W373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ED372" i="4"/>
  <c r="EC372" i="4"/>
  <c r="EB372" i="4"/>
  <c r="EA372" i="4"/>
  <c r="DZ372" i="4"/>
  <c r="DY372" i="4"/>
  <c r="DX372" i="4"/>
  <c r="DW372" i="4"/>
  <c r="DV372" i="4"/>
  <c r="DU372" i="4"/>
  <c r="DT372" i="4"/>
  <c r="DS372" i="4"/>
  <c r="DR372" i="4"/>
  <c r="DQ372" i="4"/>
  <c r="DP372" i="4"/>
  <c r="DO372" i="4"/>
  <c r="DN372" i="4"/>
  <c r="DM372" i="4"/>
  <c r="DL372" i="4"/>
  <c r="DK372" i="4"/>
  <c r="DJ372" i="4"/>
  <c r="DI372" i="4"/>
  <c r="DH372" i="4"/>
  <c r="DG372" i="4"/>
  <c r="DF372" i="4"/>
  <c r="DE372" i="4"/>
  <c r="DD372" i="4"/>
  <c r="DC372" i="4"/>
  <c r="DB372" i="4"/>
  <c r="DA372" i="4"/>
  <c r="CZ372" i="4"/>
  <c r="CY372" i="4"/>
  <c r="CX372" i="4"/>
  <c r="CW372" i="4"/>
  <c r="CV372" i="4"/>
  <c r="CU372" i="4"/>
  <c r="CT372" i="4"/>
  <c r="CS372" i="4"/>
  <c r="CR372" i="4"/>
  <c r="CQ372" i="4"/>
  <c r="CP372" i="4"/>
  <c r="CO372" i="4"/>
  <c r="CN372" i="4"/>
  <c r="CM372" i="4"/>
  <c r="CL372" i="4"/>
  <c r="CK372" i="4"/>
  <c r="CJ372" i="4"/>
  <c r="CI372" i="4"/>
  <c r="CH372" i="4"/>
  <c r="CG372" i="4"/>
  <c r="CF372" i="4"/>
  <c r="CE372" i="4"/>
  <c r="CD372" i="4"/>
  <c r="CC372" i="4"/>
  <c r="CB372" i="4"/>
  <c r="CA372" i="4"/>
  <c r="BZ372" i="4"/>
  <c r="BY372" i="4"/>
  <c r="BX372" i="4"/>
  <c r="BW372" i="4"/>
  <c r="BV372" i="4"/>
  <c r="BU372" i="4"/>
  <c r="BT372" i="4"/>
  <c r="BS372" i="4"/>
  <c r="BR372" i="4"/>
  <c r="BQ372" i="4"/>
  <c r="BP372" i="4"/>
  <c r="BO372" i="4"/>
  <c r="BM372" i="4"/>
  <c r="BL372" i="4"/>
  <c r="BK372" i="4"/>
  <c r="BI372" i="4"/>
  <c r="BH372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R372" i="4"/>
  <c r="AQ372" i="4"/>
  <c r="AP372" i="4"/>
  <c r="AO372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ED371" i="4"/>
  <c r="EC371" i="4"/>
  <c r="EB371" i="4"/>
  <c r="EA371" i="4"/>
  <c r="DZ371" i="4"/>
  <c r="DY371" i="4"/>
  <c r="DX371" i="4"/>
  <c r="DW371" i="4"/>
  <c r="DV371" i="4"/>
  <c r="DU371" i="4"/>
  <c r="DT371" i="4"/>
  <c r="DS371" i="4"/>
  <c r="DR371" i="4"/>
  <c r="DQ371" i="4"/>
  <c r="DP371" i="4"/>
  <c r="DO371" i="4"/>
  <c r="DN371" i="4"/>
  <c r="DM371" i="4"/>
  <c r="DL371" i="4"/>
  <c r="DK371" i="4"/>
  <c r="DJ371" i="4"/>
  <c r="DI371" i="4"/>
  <c r="DH371" i="4"/>
  <c r="DG371" i="4"/>
  <c r="DF371" i="4"/>
  <c r="DE371" i="4"/>
  <c r="DD371" i="4"/>
  <c r="DC371" i="4"/>
  <c r="DB371" i="4"/>
  <c r="DA371" i="4"/>
  <c r="CZ371" i="4"/>
  <c r="CY371" i="4"/>
  <c r="CX371" i="4"/>
  <c r="CW371" i="4"/>
  <c r="CV371" i="4"/>
  <c r="CU371" i="4"/>
  <c r="CT371" i="4"/>
  <c r="CS371" i="4"/>
  <c r="CR371" i="4"/>
  <c r="CQ371" i="4"/>
  <c r="CP371" i="4"/>
  <c r="CO371" i="4"/>
  <c r="CN371" i="4"/>
  <c r="CM371" i="4"/>
  <c r="CL371" i="4"/>
  <c r="CK371" i="4"/>
  <c r="CJ371" i="4"/>
  <c r="CI371" i="4"/>
  <c r="CH371" i="4"/>
  <c r="CG371" i="4"/>
  <c r="CF371" i="4"/>
  <c r="CE371" i="4"/>
  <c r="CD371" i="4"/>
  <c r="CC371" i="4"/>
  <c r="CB371" i="4"/>
  <c r="CA371" i="4"/>
  <c r="BZ371" i="4"/>
  <c r="BY371" i="4"/>
  <c r="BX371" i="4"/>
  <c r="BW371" i="4"/>
  <c r="BV371" i="4"/>
  <c r="BU371" i="4"/>
  <c r="BT371" i="4"/>
  <c r="BS371" i="4"/>
  <c r="BR371" i="4"/>
  <c r="BQ371" i="4"/>
  <c r="BP371" i="4"/>
  <c r="BO371" i="4"/>
  <c r="BM371" i="4"/>
  <c r="BL371" i="4"/>
  <c r="BK371" i="4"/>
  <c r="BI371" i="4"/>
  <c r="BH371" i="4"/>
  <c r="BG371" i="4"/>
  <c r="BF371" i="4"/>
  <c r="BE371" i="4"/>
  <c r="BD371" i="4"/>
  <c r="BC371" i="4"/>
  <c r="BB371" i="4"/>
  <c r="BA371" i="4"/>
  <c r="AZ371" i="4"/>
  <c r="AY371" i="4"/>
  <c r="AX371" i="4"/>
  <c r="AW371" i="4"/>
  <c r="AV371" i="4"/>
  <c r="AU371" i="4"/>
  <c r="AT371" i="4"/>
  <c r="AS371" i="4"/>
  <c r="AR371" i="4"/>
  <c r="AQ371" i="4"/>
  <c r="AP371" i="4"/>
  <c r="AO371" i="4"/>
  <c r="AN371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Z371" i="4"/>
  <c r="Y371" i="4"/>
  <c r="X371" i="4"/>
  <c r="W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ED370" i="4"/>
  <c r="EC370" i="4"/>
  <c r="EB370" i="4"/>
  <c r="EA370" i="4"/>
  <c r="DZ370" i="4"/>
  <c r="DY370" i="4"/>
  <c r="DX370" i="4"/>
  <c r="DW370" i="4"/>
  <c r="DV370" i="4"/>
  <c r="DU370" i="4"/>
  <c r="DT370" i="4"/>
  <c r="DS370" i="4"/>
  <c r="DR370" i="4"/>
  <c r="DQ370" i="4"/>
  <c r="DP370" i="4"/>
  <c r="DO370" i="4"/>
  <c r="DN370" i="4"/>
  <c r="DM370" i="4"/>
  <c r="DL370" i="4"/>
  <c r="DK370" i="4"/>
  <c r="DJ370" i="4"/>
  <c r="DI370" i="4"/>
  <c r="DH370" i="4"/>
  <c r="DG370" i="4"/>
  <c r="DF370" i="4"/>
  <c r="DE370" i="4"/>
  <c r="DD370" i="4"/>
  <c r="DC370" i="4"/>
  <c r="DB370" i="4"/>
  <c r="DA370" i="4"/>
  <c r="CZ370" i="4"/>
  <c r="CY370" i="4"/>
  <c r="CX370" i="4"/>
  <c r="CW370" i="4"/>
  <c r="CV370" i="4"/>
  <c r="CU370" i="4"/>
  <c r="CT370" i="4"/>
  <c r="CS370" i="4"/>
  <c r="CR370" i="4"/>
  <c r="CQ370" i="4"/>
  <c r="CP370" i="4"/>
  <c r="CO370" i="4"/>
  <c r="CN370" i="4"/>
  <c r="CM370" i="4"/>
  <c r="CL370" i="4"/>
  <c r="CK370" i="4"/>
  <c r="CJ370" i="4"/>
  <c r="CI370" i="4"/>
  <c r="CH370" i="4"/>
  <c r="CG370" i="4"/>
  <c r="CF370" i="4"/>
  <c r="CE370" i="4"/>
  <c r="CD370" i="4"/>
  <c r="CC370" i="4"/>
  <c r="CB370" i="4"/>
  <c r="CA370" i="4"/>
  <c r="BZ370" i="4"/>
  <c r="BY370" i="4"/>
  <c r="BX370" i="4"/>
  <c r="BW370" i="4"/>
  <c r="BV370" i="4"/>
  <c r="BU370" i="4"/>
  <c r="BT370" i="4"/>
  <c r="BS370" i="4"/>
  <c r="BR370" i="4"/>
  <c r="BQ370" i="4"/>
  <c r="BP370" i="4"/>
  <c r="BO370" i="4"/>
  <c r="BM370" i="4"/>
  <c r="BL370" i="4"/>
  <c r="BK370" i="4"/>
  <c r="BI370" i="4"/>
  <c r="BH370" i="4"/>
  <c r="BG370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R370" i="4"/>
  <c r="AQ370" i="4"/>
  <c r="AP370" i="4"/>
  <c r="AO370" i="4"/>
  <c r="AN370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ED369" i="4"/>
  <c r="EC369" i="4"/>
  <c r="EB369" i="4"/>
  <c r="EA369" i="4"/>
  <c r="DZ369" i="4"/>
  <c r="DY369" i="4"/>
  <c r="DX369" i="4"/>
  <c r="DW369" i="4"/>
  <c r="DV369" i="4"/>
  <c r="DU369" i="4"/>
  <c r="DU366" i="4" s="1"/>
  <c r="DT369" i="4"/>
  <c r="DS369" i="4"/>
  <c r="DR369" i="4"/>
  <c r="DQ369" i="4"/>
  <c r="DP369" i="4"/>
  <c r="DO369" i="4"/>
  <c r="DN369" i="4"/>
  <c r="DM369" i="4"/>
  <c r="DL369" i="4"/>
  <c r="DK369" i="4"/>
  <c r="DJ369" i="4"/>
  <c r="DI369" i="4"/>
  <c r="DH369" i="4"/>
  <c r="DG369" i="4"/>
  <c r="DF369" i="4"/>
  <c r="DE369" i="4"/>
  <c r="DD369" i="4"/>
  <c r="DC369" i="4"/>
  <c r="DB369" i="4"/>
  <c r="DA369" i="4"/>
  <c r="CZ369" i="4"/>
  <c r="CY369" i="4"/>
  <c r="CX369" i="4"/>
  <c r="CW369" i="4"/>
  <c r="CV369" i="4"/>
  <c r="CU369" i="4"/>
  <c r="CT369" i="4"/>
  <c r="CS369" i="4"/>
  <c r="CR369" i="4"/>
  <c r="CQ369" i="4"/>
  <c r="CP369" i="4"/>
  <c r="CO369" i="4"/>
  <c r="CN369" i="4"/>
  <c r="CM369" i="4"/>
  <c r="CL369" i="4"/>
  <c r="CK369" i="4"/>
  <c r="CJ369" i="4"/>
  <c r="CI369" i="4"/>
  <c r="CH369" i="4"/>
  <c r="CG369" i="4"/>
  <c r="CF369" i="4"/>
  <c r="CE369" i="4"/>
  <c r="CD369" i="4"/>
  <c r="CC369" i="4"/>
  <c r="CB369" i="4"/>
  <c r="CA369" i="4"/>
  <c r="BZ369" i="4"/>
  <c r="BY369" i="4"/>
  <c r="BX369" i="4"/>
  <c r="BW369" i="4"/>
  <c r="BV369" i="4"/>
  <c r="BU369" i="4"/>
  <c r="BT369" i="4"/>
  <c r="BS369" i="4"/>
  <c r="BR369" i="4"/>
  <c r="BQ369" i="4"/>
  <c r="BP369" i="4"/>
  <c r="BO369" i="4"/>
  <c r="BM369" i="4"/>
  <c r="BL369" i="4"/>
  <c r="BK369" i="4"/>
  <c r="BI369" i="4"/>
  <c r="BI366" i="4" s="1"/>
  <c r="BH369" i="4"/>
  <c r="BG369" i="4"/>
  <c r="BF369" i="4"/>
  <c r="BE369" i="4"/>
  <c r="BD369" i="4"/>
  <c r="BC369" i="4"/>
  <c r="BB369" i="4"/>
  <c r="BA369" i="4"/>
  <c r="BA366" i="4" s="1"/>
  <c r="AZ369" i="4"/>
  <c r="AY369" i="4"/>
  <c r="AX369" i="4"/>
  <c r="AW369" i="4"/>
  <c r="AV369" i="4"/>
  <c r="AU369" i="4"/>
  <c r="AT369" i="4"/>
  <c r="AS369" i="4"/>
  <c r="AS366" i="4" s="1"/>
  <c r="AR369" i="4"/>
  <c r="AQ369" i="4"/>
  <c r="AP369" i="4"/>
  <c r="AO369" i="4"/>
  <c r="AN369" i="4"/>
  <c r="AM369" i="4"/>
  <c r="AL369" i="4"/>
  <c r="AK369" i="4"/>
  <c r="AJ369" i="4"/>
  <c r="AI369" i="4"/>
  <c r="AH369" i="4"/>
  <c r="AG369" i="4"/>
  <c r="AF369" i="4"/>
  <c r="AE369" i="4"/>
  <c r="AD369" i="4"/>
  <c r="AC369" i="4"/>
  <c r="AB369" i="4"/>
  <c r="AA369" i="4"/>
  <c r="Z369" i="4"/>
  <c r="Y369" i="4"/>
  <c r="X369" i="4"/>
  <c r="W369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DY366" i="4"/>
  <c r="DQ366" i="4"/>
  <c r="CC366" i="4"/>
  <c r="BM366" i="4"/>
  <c r="AW366" i="4"/>
  <c r="AU366" i="4"/>
  <c r="ED365" i="4"/>
  <c r="EC365" i="4"/>
  <c r="EB365" i="4"/>
  <c r="EA365" i="4"/>
  <c r="DZ365" i="4"/>
  <c r="DY365" i="4"/>
  <c r="DX365" i="4"/>
  <c r="DW365" i="4"/>
  <c r="DV365" i="4"/>
  <c r="DU365" i="4"/>
  <c r="DT365" i="4"/>
  <c r="DS365" i="4"/>
  <c r="DR365" i="4"/>
  <c r="DQ365" i="4"/>
  <c r="DP365" i="4"/>
  <c r="DO365" i="4"/>
  <c r="DN365" i="4"/>
  <c r="DM365" i="4"/>
  <c r="DL365" i="4"/>
  <c r="DK365" i="4"/>
  <c r="DJ365" i="4"/>
  <c r="DI365" i="4"/>
  <c r="DH365" i="4"/>
  <c r="DG365" i="4"/>
  <c r="DF365" i="4"/>
  <c r="DE365" i="4"/>
  <c r="DD365" i="4"/>
  <c r="DC365" i="4"/>
  <c r="DB365" i="4"/>
  <c r="DA365" i="4"/>
  <c r="CZ365" i="4"/>
  <c r="CY365" i="4"/>
  <c r="CX365" i="4"/>
  <c r="CW365" i="4"/>
  <c r="CV365" i="4"/>
  <c r="CU365" i="4"/>
  <c r="CT365" i="4"/>
  <c r="CS365" i="4"/>
  <c r="CR365" i="4"/>
  <c r="CQ365" i="4"/>
  <c r="CP365" i="4"/>
  <c r="CO365" i="4"/>
  <c r="CN365" i="4"/>
  <c r="CM365" i="4"/>
  <c r="CL365" i="4"/>
  <c r="CK365" i="4"/>
  <c r="CJ365" i="4"/>
  <c r="CI365" i="4"/>
  <c r="CH365" i="4"/>
  <c r="CG365" i="4"/>
  <c r="CF365" i="4"/>
  <c r="CE365" i="4"/>
  <c r="CD365" i="4"/>
  <c r="CC365" i="4"/>
  <c r="CB365" i="4"/>
  <c r="CA365" i="4"/>
  <c r="BZ365" i="4"/>
  <c r="BY365" i="4"/>
  <c r="BX365" i="4"/>
  <c r="BW365" i="4"/>
  <c r="BV365" i="4"/>
  <c r="BU365" i="4"/>
  <c r="BT365" i="4"/>
  <c r="BS365" i="4"/>
  <c r="BR365" i="4"/>
  <c r="BQ365" i="4"/>
  <c r="BP365" i="4"/>
  <c r="BO365" i="4"/>
  <c r="BM365" i="4"/>
  <c r="BL365" i="4"/>
  <c r="BK365" i="4"/>
  <c r="BI365" i="4"/>
  <c r="BH365" i="4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U365" i="4"/>
  <c r="AT365" i="4"/>
  <c r="AS365" i="4"/>
  <c r="AR365" i="4"/>
  <c r="AQ365" i="4"/>
  <c r="AP365" i="4"/>
  <c r="AO365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Z365" i="4"/>
  <c r="Y365" i="4"/>
  <c r="X365" i="4"/>
  <c r="W365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ED364" i="4"/>
  <c r="EC364" i="4"/>
  <c r="EB364" i="4"/>
  <c r="EA364" i="4"/>
  <c r="DZ364" i="4"/>
  <c r="DY364" i="4"/>
  <c r="DX364" i="4"/>
  <c r="DW364" i="4"/>
  <c r="DV364" i="4"/>
  <c r="DU364" i="4"/>
  <c r="DT364" i="4"/>
  <c r="DS364" i="4"/>
  <c r="DR364" i="4"/>
  <c r="DQ364" i="4"/>
  <c r="DP364" i="4"/>
  <c r="DO364" i="4"/>
  <c r="DN364" i="4"/>
  <c r="DM364" i="4"/>
  <c r="DL364" i="4"/>
  <c r="DK364" i="4"/>
  <c r="DJ364" i="4"/>
  <c r="DI364" i="4"/>
  <c r="DH364" i="4"/>
  <c r="DG364" i="4"/>
  <c r="DF364" i="4"/>
  <c r="DE364" i="4"/>
  <c r="DD364" i="4"/>
  <c r="DC364" i="4"/>
  <c r="DB364" i="4"/>
  <c r="DA364" i="4"/>
  <c r="CZ364" i="4"/>
  <c r="CY364" i="4"/>
  <c r="CX364" i="4"/>
  <c r="CW364" i="4"/>
  <c r="CV364" i="4"/>
  <c r="CU364" i="4"/>
  <c r="CT364" i="4"/>
  <c r="CS364" i="4"/>
  <c r="CR364" i="4"/>
  <c r="CQ364" i="4"/>
  <c r="CP364" i="4"/>
  <c r="CO364" i="4"/>
  <c r="CN364" i="4"/>
  <c r="CM364" i="4"/>
  <c r="CL364" i="4"/>
  <c r="CK364" i="4"/>
  <c r="CJ364" i="4"/>
  <c r="CI364" i="4"/>
  <c r="CH364" i="4"/>
  <c r="CG364" i="4"/>
  <c r="CF364" i="4"/>
  <c r="CE364" i="4"/>
  <c r="CD364" i="4"/>
  <c r="CC364" i="4"/>
  <c r="CB364" i="4"/>
  <c r="CA364" i="4"/>
  <c r="BZ364" i="4"/>
  <c r="BY364" i="4"/>
  <c r="BX364" i="4"/>
  <c r="BW364" i="4"/>
  <c r="BV364" i="4"/>
  <c r="BU364" i="4"/>
  <c r="BT364" i="4"/>
  <c r="BS364" i="4"/>
  <c r="BR364" i="4"/>
  <c r="BQ364" i="4"/>
  <c r="BP364" i="4"/>
  <c r="BO364" i="4"/>
  <c r="BM364" i="4"/>
  <c r="BL364" i="4"/>
  <c r="BK364" i="4"/>
  <c r="BI364" i="4"/>
  <c r="BH364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Q364" i="4"/>
  <c r="AP364" i="4"/>
  <c r="AO364" i="4"/>
  <c r="AN364" i="4"/>
  <c r="AM364" i="4"/>
  <c r="AL364" i="4"/>
  <c r="AK364" i="4"/>
  <c r="AJ364" i="4"/>
  <c r="AI364" i="4"/>
  <c r="AH364" i="4"/>
  <c r="AG364" i="4"/>
  <c r="AF364" i="4"/>
  <c r="AE364" i="4"/>
  <c r="AD364" i="4"/>
  <c r="AC364" i="4"/>
  <c r="AB364" i="4"/>
  <c r="AA364" i="4"/>
  <c r="Z364" i="4"/>
  <c r="Y364" i="4"/>
  <c r="X364" i="4"/>
  <c r="W364" i="4"/>
  <c r="V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BN363" i="4"/>
  <c r="BJ363" i="4"/>
  <c r="BN362" i="4"/>
  <c r="BJ362" i="4"/>
  <c r="BN361" i="4"/>
  <c r="BJ361" i="4"/>
  <c r="BN360" i="4"/>
  <c r="BJ360" i="4"/>
  <c r="BN359" i="4"/>
  <c r="BJ359" i="4"/>
  <c r="BN358" i="4"/>
  <c r="BJ358" i="4"/>
  <c r="BN357" i="4"/>
  <c r="BJ357" i="4"/>
  <c r="BN356" i="4"/>
  <c r="BJ356" i="4"/>
  <c r="BN355" i="4"/>
  <c r="BJ355" i="4"/>
  <c r="BN354" i="4"/>
  <c r="BJ354" i="4"/>
  <c r="BN353" i="4"/>
  <c r="BJ353" i="4"/>
  <c r="BN352" i="4"/>
  <c r="BJ352" i="4"/>
  <c r="BN351" i="4"/>
  <c r="BJ351" i="4"/>
  <c r="BN350" i="4"/>
  <c r="BJ350" i="4"/>
  <c r="BN349" i="4"/>
  <c r="BJ349" i="4"/>
  <c r="BN348" i="4"/>
  <c r="BJ348" i="4"/>
  <c r="BN347" i="4"/>
  <c r="BJ347" i="4"/>
  <c r="BN346" i="4"/>
  <c r="BJ346" i="4"/>
  <c r="BN345" i="4"/>
  <c r="BJ345" i="4"/>
  <c r="BN344" i="4"/>
  <c r="BJ344" i="4"/>
  <c r="BN343" i="4"/>
  <c r="BJ343" i="4"/>
  <c r="BN342" i="4"/>
  <c r="BJ342" i="4"/>
  <c r="BN341" i="4"/>
  <c r="BJ341" i="4"/>
  <c r="BN340" i="4"/>
  <c r="BJ340" i="4"/>
  <c r="BN339" i="4"/>
  <c r="BJ339" i="4"/>
  <c r="BN338" i="4"/>
  <c r="BJ338" i="4"/>
  <c r="BN337" i="4"/>
  <c r="BJ337" i="4"/>
  <c r="BN336" i="4"/>
  <c r="BJ336" i="4"/>
  <c r="BN335" i="4"/>
  <c r="BJ335" i="4"/>
  <c r="BN334" i="4"/>
  <c r="BJ334" i="4"/>
  <c r="BN333" i="4"/>
  <c r="BJ333" i="4"/>
  <c r="BN332" i="4"/>
  <c r="BJ332" i="4"/>
  <c r="BN331" i="4"/>
  <c r="BJ331" i="4"/>
  <c r="BN330" i="4"/>
  <c r="BJ330" i="4"/>
  <c r="BN329" i="4"/>
  <c r="BJ329" i="4"/>
  <c r="BN328" i="4"/>
  <c r="BJ328" i="4"/>
  <c r="BN327" i="4"/>
  <c r="BJ327" i="4"/>
  <c r="BN326" i="4"/>
  <c r="BJ326" i="4"/>
  <c r="BN325" i="4"/>
  <c r="BJ325" i="4"/>
  <c r="BN324" i="4"/>
  <c r="BJ324" i="4"/>
  <c r="BN323" i="4"/>
  <c r="BJ323" i="4"/>
  <c r="BN322" i="4"/>
  <c r="BJ322" i="4"/>
  <c r="BN321" i="4"/>
  <c r="BJ321" i="4"/>
  <c r="BN320" i="4"/>
  <c r="BJ320" i="4"/>
  <c r="BN319" i="4"/>
  <c r="BJ319" i="4"/>
  <c r="BN318" i="4"/>
  <c r="BJ318" i="4"/>
  <c r="BN317" i="4"/>
  <c r="BJ317" i="4"/>
  <c r="BN316" i="4"/>
  <c r="BJ316" i="4"/>
  <c r="BN315" i="4"/>
  <c r="BJ315" i="4"/>
  <c r="BN314" i="4"/>
  <c r="BJ314" i="4"/>
  <c r="BN313" i="4"/>
  <c r="BJ313" i="4"/>
  <c r="BN312" i="4"/>
  <c r="BJ312" i="4"/>
  <c r="BN311" i="4"/>
  <c r="BJ311" i="4"/>
  <c r="BN310" i="4"/>
  <c r="BJ310" i="4"/>
  <c r="BN309" i="4"/>
  <c r="BJ309" i="4"/>
  <c r="BN308" i="4"/>
  <c r="BJ308" i="4"/>
  <c r="BN307" i="4"/>
  <c r="BJ307" i="4"/>
  <c r="BN306" i="4"/>
  <c r="BJ306" i="4"/>
  <c r="BN305" i="4"/>
  <c r="BJ305" i="4"/>
  <c r="BN304" i="4"/>
  <c r="BJ304" i="4"/>
  <c r="BN303" i="4"/>
  <c r="BJ303" i="4"/>
  <c r="BN302" i="4"/>
  <c r="BJ302" i="4"/>
  <c r="BN301" i="4"/>
  <c r="BJ301" i="4"/>
  <c r="BN300" i="4"/>
  <c r="BJ300" i="4"/>
  <c r="BN299" i="4"/>
  <c r="BJ299" i="4"/>
  <c r="BN298" i="4"/>
  <c r="BJ298" i="4"/>
  <c r="BN297" i="4"/>
  <c r="BJ297" i="4"/>
  <c r="BN296" i="4"/>
  <c r="BJ296" i="4"/>
  <c r="BN295" i="4"/>
  <c r="BJ295" i="4"/>
  <c r="BN294" i="4"/>
  <c r="BJ294" i="4"/>
  <c r="BN293" i="4"/>
  <c r="BJ293" i="4"/>
  <c r="BN292" i="4"/>
  <c r="BJ292" i="4"/>
  <c r="BN291" i="4"/>
  <c r="BJ291" i="4"/>
  <c r="BN290" i="4"/>
  <c r="BJ290" i="4"/>
  <c r="BN289" i="4"/>
  <c r="BJ289" i="4"/>
  <c r="BN288" i="4"/>
  <c r="BJ288" i="4"/>
  <c r="BN287" i="4"/>
  <c r="BJ287" i="4"/>
  <c r="BN286" i="4"/>
  <c r="BJ286" i="4"/>
  <c r="BN285" i="4"/>
  <c r="BJ285" i="4"/>
  <c r="BN284" i="4"/>
  <c r="BJ284" i="4"/>
  <c r="BN283" i="4"/>
  <c r="BJ283" i="4"/>
  <c r="BN282" i="4"/>
  <c r="BJ282" i="4"/>
  <c r="BN281" i="4"/>
  <c r="BJ281" i="4"/>
  <c r="BN280" i="4"/>
  <c r="BJ280" i="4"/>
  <c r="BN279" i="4"/>
  <c r="BJ279" i="4"/>
  <c r="BN278" i="4"/>
  <c r="BJ278" i="4"/>
  <c r="BN277" i="4"/>
  <c r="BJ277" i="4"/>
  <c r="BN276" i="4"/>
  <c r="BJ276" i="4"/>
  <c r="BN275" i="4"/>
  <c r="BJ275" i="4"/>
  <c r="BN274" i="4"/>
  <c r="BJ274" i="4"/>
  <c r="BN273" i="4"/>
  <c r="BJ273" i="4"/>
  <c r="BN272" i="4"/>
  <c r="BJ272" i="4"/>
  <c r="BN271" i="4"/>
  <c r="BJ271" i="4"/>
  <c r="BN270" i="4"/>
  <c r="BJ270" i="4"/>
  <c r="BN269" i="4"/>
  <c r="BJ269" i="4"/>
  <c r="BN268" i="4"/>
  <c r="BJ268" i="4"/>
  <c r="BN267" i="4"/>
  <c r="BJ267" i="4"/>
  <c r="BN266" i="4"/>
  <c r="BJ266" i="4"/>
  <c r="BN265" i="4"/>
  <c r="BJ265" i="4"/>
  <c r="BN264" i="4"/>
  <c r="BJ264" i="4"/>
  <c r="BN263" i="4"/>
  <c r="BJ263" i="4"/>
  <c r="BN262" i="4"/>
  <c r="BJ262" i="4"/>
  <c r="BN261" i="4"/>
  <c r="BJ261" i="4"/>
  <c r="BN260" i="4"/>
  <c r="BJ260" i="4"/>
  <c r="BN259" i="4"/>
  <c r="BJ259" i="4"/>
  <c r="BN258" i="4"/>
  <c r="BJ258" i="4"/>
  <c r="BN257" i="4"/>
  <c r="BJ257" i="4"/>
  <c r="BN256" i="4"/>
  <c r="BJ256" i="4"/>
  <c r="BN255" i="4"/>
  <c r="BJ255" i="4"/>
  <c r="BN254" i="4"/>
  <c r="BJ254" i="4"/>
  <c r="BN253" i="4"/>
  <c r="BJ253" i="4"/>
  <c r="BN252" i="4"/>
  <c r="BJ252" i="4"/>
  <c r="BN251" i="4"/>
  <c r="BJ251" i="4"/>
  <c r="BN250" i="4"/>
  <c r="BJ250" i="4"/>
  <c r="BN249" i="4"/>
  <c r="BJ249" i="4"/>
  <c r="BN248" i="4"/>
  <c r="BJ248" i="4"/>
  <c r="BN247" i="4"/>
  <c r="BJ247" i="4"/>
  <c r="BN246" i="4"/>
  <c r="BJ246" i="4"/>
  <c r="BN245" i="4"/>
  <c r="BJ245" i="4"/>
  <c r="BN244" i="4"/>
  <c r="BJ244" i="4"/>
  <c r="BN243" i="4"/>
  <c r="BJ243" i="4"/>
  <c r="BN242" i="4"/>
  <c r="BJ242" i="4"/>
  <c r="BN241" i="4"/>
  <c r="BJ241" i="4"/>
  <c r="BN240" i="4"/>
  <c r="BJ240" i="4"/>
  <c r="BN239" i="4"/>
  <c r="BJ239" i="4"/>
  <c r="BN238" i="4"/>
  <c r="BJ238" i="4"/>
  <c r="BN237" i="4"/>
  <c r="BJ237" i="4"/>
  <c r="BN236" i="4"/>
  <c r="BJ236" i="4"/>
  <c r="BN235" i="4"/>
  <c r="BJ235" i="4"/>
  <c r="BN234" i="4"/>
  <c r="BJ234" i="4"/>
  <c r="BN233" i="4"/>
  <c r="BJ233" i="4"/>
  <c r="BN232" i="4"/>
  <c r="BJ232" i="4"/>
  <c r="BN231" i="4"/>
  <c r="BJ231" i="4"/>
  <c r="BN230" i="4"/>
  <c r="BJ230" i="4"/>
  <c r="BN229" i="4"/>
  <c r="BJ229" i="4"/>
  <c r="BN228" i="4"/>
  <c r="BJ228" i="4"/>
  <c r="BN227" i="4"/>
  <c r="BJ227" i="4"/>
  <c r="BN226" i="4"/>
  <c r="BJ226" i="4"/>
  <c r="BN225" i="4"/>
  <c r="BJ225" i="4"/>
  <c r="BN224" i="4"/>
  <c r="BJ224" i="4"/>
  <c r="BN223" i="4"/>
  <c r="BJ223" i="4"/>
  <c r="BN222" i="4"/>
  <c r="BJ222" i="4"/>
  <c r="BN221" i="4"/>
  <c r="BJ221" i="4"/>
  <c r="BN220" i="4"/>
  <c r="BJ220" i="4"/>
  <c r="BN219" i="4"/>
  <c r="BJ219" i="4"/>
  <c r="BN218" i="4"/>
  <c r="BJ218" i="4"/>
  <c r="BN217" i="4"/>
  <c r="BJ217" i="4"/>
  <c r="BN216" i="4"/>
  <c r="BJ216" i="4"/>
  <c r="BN215" i="4"/>
  <c r="BJ215" i="4"/>
  <c r="BN214" i="4"/>
  <c r="BJ214" i="4"/>
  <c r="BN213" i="4"/>
  <c r="BJ213" i="4"/>
  <c r="BN212" i="4"/>
  <c r="BJ212" i="4"/>
  <c r="BN211" i="4"/>
  <c r="BJ211" i="4"/>
  <c r="BN210" i="4"/>
  <c r="BJ210" i="4"/>
  <c r="BN209" i="4"/>
  <c r="BJ209" i="4"/>
  <c r="BN208" i="4"/>
  <c r="BJ208" i="4"/>
  <c r="BN207" i="4"/>
  <c r="BJ207" i="4"/>
  <c r="BN206" i="4"/>
  <c r="BJ206" i="4"/>
  <c r="BN205" i="4"/>
  <c r="BJ205" i="4"/>
  <c r="BN204" i="4"/>
  <c r="BJ204" i="4"/>
  <c r="BN203" i="4"/>
  <c r="BJ203" i="4"/>
  <c r="BN202" i="4"/>
  <c r="BJ202" i="4"/>
  <c r="BN201" i="4"/>
  <c r="BJ201" i="4"/>
  <c r="BN200" i="4"/>
  <c r="BJ200" i="4"/>
  <c r="BN199" i="4"/>
  <c r="BJ199" i="4"/>
  <c r="BN198" i="4"/>
  <c r="BJ198" i="4"/>
  <c r="BN197" i="4"/>
  <c r="BJ197" i="4"/>
  <c r="BN196" i="4"/>
  <c r="BJ196" i="4"/>
  <c r="BN195" i="4"/>
  <c r="BJ195" i="4"/>
  <c r="BN194" i="4"/>
  <c r="BJ194" i="4"/>
  <c r="BN193" i="4"/>
  <c r="BJ193" i="4"/>
  <c r="BN192" i="4"/>
  <c r="BJ192" i="4"/>
  <c r="BN191" i="4"/>
  <c r="BJ191" i="4"/>
  <c r="BN190" i="4"/>
  <c r="BJ190" i="4"/>
  <c r="BN189" i="4"/>
  <c r="BJ189" i="4"/>
  <c r="BN188" i="4"/>
  <c r="BJ188" i="4"/>
  <c r="BN187" i="4"/>
  <c r="BJ187" i="4"/>
  <c r="BN186" i="4"/>
  <c r="BJ186" i="4"/>
  <c r="BN185" i="4"/>
  <c r="BJ185" i="4"/>
  <c r="BN184" i="4"/>
  <c r="BJ184" i="4"/>
  <c r="BN183" i="4"/>
  <c r="BJ183" i="4"/>
  <c r="BN182" i="4"/>
  <c r="BJ182" i="4"/>
  <c r="BN181" i="4"/>
  <c r="BJ181" i="4"/>
  <c r="BN180" i="4"/>
  <c r="BJ180" i="4"/>
  <c r="BN179" i="4"/>
  <c r="BJ179" i="4"/>
  <c r="BN178" i="4"/>
  <c r="BJ178" i="4"/>
  <c r="BN177" i="4"/>
  <c r="BJ177" i="4"/>
  <c r="BN176" i="4"/>
  <c r="BJ176" i="4"/>
  <c r="BN175" i="4"/>
  <c r="BJ175" i="4"/>
  <c r="BN174" i="4"/>
  <c r="BJ174" i="4"/>
  <c r="BN173" i="4"/>
  <c r="BJ173" i="4"/>
  <c r="BN172" i="4"/>
  <c r="BJ172" i="4"/>
  <c r="BN171" i="4"/>
  <c r="BJ171" i="4"/>
  <c r="BN170" i="4"/>
  <c r="BJ170" i="4"/>
  <c r="BN169" i="4"/>
  <c r="BJ169" i="4"/>
  <c r="BN168" i="4"/>
  <c r="BJ168" i="4"/>
  <c r="BN167" i="4"/>
  <c r="BJ167" i="4"/>
  <c r="BN166" i="4"/>
  <c r="BJ166" i="4"/>
  <c r="BN165" i="4"/>
  <c r="BJ165" i="4"/>
  <c r="BN164" i="4"/>
  <c r="BJ164" i="4"/>
  <c r="BN163" i="4"/>
  <c r="BJ163" i="4"/>
  <c r="BN162" i="4"/>
  <c r="BJ162" i="4"/>
  <c r="BN161" i="4"/>
  <c r="BJ161" i="4"/>
  <c r="BN160" i="4"/>
  <c r="BJ160" i="4"/>
  <c r="BN159" i="4"/>
  <c r="BJ159" i="4"/>
  <c r="BN158" i="4"/>
  <c r="BJ158" i="4"/>
  <c r="BN157" i="4"/>
  <c r="BJ157" i="4"/>
  <c r="BN156" i="4"/>
  <c r="BJ156" i="4"/>
  <c r="BN155" i="4"/>
  <c r="BJ155" i="4"/>
  <c r="BN154" i="4"/>
  <c r="BJ154" i="4"/>
  <c r="BN153" i="4"/>
  <c r="BJ153" i="4"/>
  <c r="BN152" i="4"/>
  <c r="BJ152" i="4"/>
  <c r="BN151" i="4"/>
  <c r="BJ151" i="4"/>
  <c r="BN150" i="4"/>
  <c r="BJ150" i="4"/>
  <c r="BN149" i="4"/>
  <c r="BJ149" i="4"/>
  <c r="BN148" i="4"/>
  <c r="BJ148" i="4"/>
  <c r="BN147" i="4"/>
  <c r="BJ147" i="4"/>
  <c r="BN146" i="4"/>
  <c r="BJ146" i="4"/>
  <c r="BN145" i="4"/>
  <c r="BJ145" i="4"/>
  <c r="BN144" i="4"/>
  <c r="BJ144" i="4"/>
  <c r="BN143" i="4"/>
  <c r="BJ143" i="4"/>
  <c r="BN142" i="4"/>
  <c r="BJ142" i="4"/>
  <c r="BN141" i="4"/>
  <c r="BJ141" i="4"/>
  <c r="BN140" i="4"/>
  <c r="BJ140" i="4"/>
  <c r="BN139" i="4"/>
  <c r="BJ139" i="4"/>
  <c r="BN138" i="4"/>
  <c r="BJ138" i="4"/>
  <c r="BN137" i="4"/>
  <c r="BJ137" i="4"/>
  <c r="BN136" i="4"/>
  <c r="BJ136" i="4"/>
  <c r="BN135" i="4"/>
  <c r="BJ135" i="4"/>
  <c r="BN134" i="4"/>
  <c r="BJ134" i="4"/>
  <c r="BN133" i="4"/>
  <c r="BJ133" i="4"/>
  <c r="BN132" i="4"/>
  <c r="BJ132" i="4"/>
  <c r="BN131" i="4"/>
  <c r="BJ131" i="4"/>
  <c r="BN130" i="4"/>
  <c r="BJ130" i="4"/>
  <c r="BN129" i="4"/>
  <c r="BJ129" i="4"/>
  <c r="BN128" i="4"/>
  <c r="BJ128" i="4"/>
  <c r="BN127" i="4"/>
  <c r="BJ127" i="4"/>
  <c r="BN126" i="4"/>
  <c r="BJ126" i="4"/>
  <c r="BN125" i="4"/>
  <c r="BJ125" i="4"/>
  <c r="BN124" i="4"/>
  <c r="BJ124" i="4"/>
  <c r="BN123" i="4"/>
  <c r="BJ123" i="4"/>
  <c r="BN122" i="4"/>
  <c r="BJ122" i="4"/>
  <c r="BN121" i="4"/>
  <c r="BJ121" i="4"/>
  <c r="BN120" i="4"/>
  <c r="BJ120" i="4"/>
  <c r="BN119" i="4"/>
  <c r="BJ119" i="4"/>
  <c r="BN118" i="4"/>
  <c r="BJ118" i="4"/>
  <c r="BN117" i="4"/>
  <c r="BJ117" i="4"/>
  <c r="BN116" i="4"/>
  <c r="BJ116" i="4"/>
  <c r="BN115" i="4"/>
  <c r="BJ115" i="4"/>
  <c r="BN114" i="4"/>
  <c r="BJ114" i="4"/>
  <c r="BN113" i="4"/>
  <c r="BJ113" i="4"/>
  <c r="BN112" i="4"/>
  <c r="BJ112" i="4"/>
  <c r="BN111" i="4"/>
  <c r="BJ111" i="4"/>
  <c r="BN110" i="4"/>
  <c r="BJ110" i="4"/>
  <c r="BN109" i="4"/>
  <c r="BJ109" i="4"/>
  <c r="BN108" i="4"/>
  <c r="BJ108" i="4"/>
  <c r="BN107" i="4"/>
  <c r="BJ107" i="4"/>
  <c r="BN106" i="4"/>
  <c r="BJ106" i="4"/>
  <c r="BN105" i="4"/>
  <c r="BJ105" i="4"/>
  <c r="BN104" i="4"/>
  <c r="BJ104" i="4"/>
  <c r="BN103" i="4"/>
  <c r="BJ103" i="4"/>
  <c r="BN102" i="4"/>
  <c r="BJ102" i="4"/>
  <c r="BN101" i="4"/>
  <c r="BJ101" i="4"/>
  <c r="BN100" i="4"/>
  <c r="BJ100" i="4"/>
  <c r="BN99" i="4"/>
  <c r="BJ99" i="4"/>
  <c r="BN98" i="4"/>
  <c r="BJ98" i="4"/>
  <c r="BN97" i="4"/>
  <c r="BJ97" i="4"/>
  <c r="BN96" i="4"/>
  <c r="BJ96" i="4"/>
  <c r="BN95" i="4"/>
  <c r="BJ95" i="4"/>
  <c r="BN94" i="4"/>
  <c r="BJ94" i="4"/>
  <c r="BN93" i="4"/>
  <c r="BJ93" i="4"/>
  <c r="BN92" i="4"/>
  <c r="BJ92" i="4"/>
  <c r="BN91" i="4"/>
  <c r="BJ91" i="4"/>
  <c r="BN90" i="4"/>
  <c r="BJ90" i="4"/>
  <c r="BN89" i="4"/>
  <c r="BJ89" i="4"/>
  <c r="BN88" i="4"/>
  <c r="BJ88" i="4"/>
  <c r="BN87" i="4"/>
  <c r="BJ87" i="4"/>
  <c r="BN86" i="4"/>
  <c r="BJ86" i="4"/>
  <c r="BN85" i="4"/>
  <c r="BJ85" i="4"/>
  <c r="BN84" i="4"/>
  <c r="BJ84" i="4"/>
  <c r="BN83" i="4"/>
  <c r="BJ83" i="4"/>
  <c r="BN82" i="4"/>
  <c r="BJ82" i="4"/>
  <c r="BN81" i="4"/>
  <c r="BJ81" i="4"/>
  <c r="BN80" i="4"/>
  <c r="BJ80" i="4"/>
  <c r="BN79" i="4"/>
  <c r="BJ79" i="4"/>
  <c r="BN78" i="4"/>
  <c r="BJ78" i="4"/>
  <c r="BN77" i="4"/>
  <c r="BJ77" i="4"/>
  <c r="BN76" i="4"/>
  <c r="BJ76" i="4"/>
  <c r="BN75" i="4"/>
  <c r="BJ75" i="4"/>
  <c r="BN74" i="4"/>
  <c r="BJ74" i="4"/>
  <c r="BN73" i="4"/>
  <c r="BJ73" i="4"/>
  <c r="BN72" i="4"/>
  <c r="BJ72" i="4"/>
  <c r="BN71" i="4"/>
  <c r="BJ71" i="4"/>
  <c r="BN70" i="4"/>
  <c r="BJ70" i="4"/>
  <c r="BN69" i="4"/>
  <c r="BJ69" i="4"/>
  <c r="BN68" i="4"/>
  <c r="BJ68" i="4"/>
  <c r="BN67" i="4"/>
  <c r="BJ67" i="4"/>
  <c r="BN66" i="4"/>
  <c r="BJ66" i="4"/>
  <c r="BN65" i="4"/>
  <c r="BJ65" i="4"/>
  <c r="BN64" i="4"/>
  <c r="BJ64" i="4"/>
  <c r="BN63" i="4"/>
  <c r="BJ63" i="4"/>
  <c r="BN62" i="4"/>
  <c r="BJ62" i="4"/>
  <c r="BN61" i="4"/>
  <c r="BJ61" i="4"/>
  <c r="BN60" i="4"/>
  <c r="BJ60" i="4"/>
  <c r="BN59" i="4"/>
  <c r="BJ59" i="4"/>
  <c r="BN58" i="4"/>
  <c r="BJ58" i="4"/>
  <c r="BN57" i="4"/>
  <c r="BJ57" i="4"/>
  <c r="BN56" i="4"/>
  <c r="BJ56" i="4"/>
  <c r="BN55" i="4"/>
  <c r="BJ55" i="4"/>
  <c r="BN54" i="4"/>
  <c r="BJ54" i="4"/>
  <c r="BN53" i="4"/>
  <c r="BJ53" i="4"/>
  <c r="BN52" i="4"/>
  <c r="BJ52" i="4"/>
  <c r="BN51" i="4"/>
  <c r="BJ51" i="4"/>
  <c r="BN50" i="4"/>
  <c r="BJ50" i="4"/>
  <c r="BN49" i="4"/>
  <c r="BJ49" i="4"/>
  <c r="BN48" i="4"/>
  <c r="BJ48" i="4"/>
  <c r="BN47" i="4"/>
  <c r="BJ47" i="4"/>
  <c r="BN46" i="4"/>
  <c r="BJ46" i="4"/>
  <c r="BN45" i="4"/>
  <c r="BJ45" i="4"/>
  <c r="BN44" i="4"/>
  <c r="BJ44" i="4"/>
  <c r="BN43" i="4"/>
  <c r="BJ43" i="4"/>
  <c r="BN42" i="4"/>
  <c r="BJ42" i="4"/>
  <c r="BN41" i="4"/>
  <c r="BJ41" i="4"/>
  <c r="BN40" i="4"/>
  <c r="BJ40" i="4"/>
  <c r="BN39" i="4"/>
  <c r="BJ39" i="4"/>
  <c r="BN38" i="4"/>
  <c r="BJ38" i="4"/>
  <c r="BN37" i="4"/>
  <c r="BJ37" i="4"/>
  <c r="BN36" i="4"/>
  <c r="BJ36" i="4"/>
  <c r="BN35" i="4"/>
  <c r="BJ35" i="4"/>
  <c r="BN34" i="4"/>
  <c r="BJ34" i="4"/>
  <c r="BN33" i="4"/>
  <c r="BJ33" i="4"/>
  <c r="BN32" i="4"/>
  <c r="BJ32" i="4"/>
  <c r="BN31" i="4"/>
  <c r="BJ31" i="4"/>
  <c r="BN30" i="4"/>
  <c r="BJ30" i="4"/>
  <c r="BN29" i="4"/>
  <c r="BJ29" i="4"/>
  <c r="BN28" i="4"/>
  <c r="BJ28" i="4"/>
  <c r="BN27" i="4"/>
  <c r="BJ27" i="4"/>
  <c r="BN26" i="4"/>
  <c r="BJ26" i="4"/>
  <c r="BN25" i="4"/>
  <c r="BJ25" i="4"/>
  <c r="BN24" i="4"/>
  <c r="BJ24" i="4"/>
  <c r="BN23" i="4"/>
  <c r="BJ23" i="4"/>
  <c r="BN22" i="4"/>
  <c r="BJ22" i="4"/>
  <c r="BN21" i="4"/>
  <c r="BJ21" i="4"/>
  <c r="BN20" i="4"/>
  <c r="BJ20" i="4"/>
  <c r="BN19" i="4"/>
  <c r="BJ19" i="4"/>
  <c r="BN18" i="4"/>
  <c r="BJ18" i="4"/>
  <c r="BN17" i="4"/>
  <c r="BJ17" i="4"/>
  <c r="BN16" i="4"/>
  <c r="BJ16" i="4"/>
  <c r="BN15" i="4"/>
  <c r="BJ15" i="4"/>
  <c r="BN14" i="4"/>
  <c r="BJ14" i="4"/>
  <c r="BN13" i="4"/>
  <c r="BJ13" i="4"/>
  <c r="BN12" i="4"/>
  <c r="BJ12" i="4"/>
  <c r="BN11" i="4"/>
  <c r="BJ11" i="4"/>
  <c r="BN10" i="4"/>
  <c r="BJ10" i="4"/>
  <c r="BN9" i="4"/>
  <c r="BJ9" i="4"/>
  <c r="BN8" i="4"/>
  <c r="BJ8" i="4"/>
  <c r="BN7" i="4"/>
  <c r="BJ7" i="4"/>
  <c r="BN6" i="4"/>
  <c r="BJ6" i="4"/>
  <c r="BN5" i="4"/>
  <c r="BJ5" i="4"/>
  <c r="BN4" i="4"/>
  <c r="BJ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K250" i="16"/>
  <c r="L250" i="16" s="1"/>
  <c r="ED440" i="4" l="1"/>
  <c r="J251" i="16" s="1"/>
  <c r="K251" i="16" s="1"/>
  <c r="L251" i="16" s="1"/>
  <c r="ED366" i="4"/>
  <c r="EC440" i="4"/>
  <c r="EC366" i="4"/>
  <c r="EB366" i="4"/>
  <c r="EB440" i="4"/>
  <c r="EA440" i="4"/>
  <c r="EA366" i="4"/>
  <c r="DZ440" i="4"/>
  <c r="DZ366" i="4"/>
  <c r="DX440" i="4"/>
  <c r="DX366" i="4"/>
  <c r="DW440" i="4"/>
  <c r="DW366" i="4"/>
  <c r="DV440" i="4"/>
  <c r="DV366" i="4"/>
  <c r="DT440" i="4"/>
  <c r="DT366" i="4"/>
  <c r="DS440" i="4"/>
  <c r="DS366" i="4"/>
  <c r="DR440" i="4"/>
  <c r="DR366" i="4"/>
  <c r="DP366" i="4"/>
  <c r="DP440" i="4"/>
  <c r="DO440" i="4"/>
  <c r="DO366" i="4"/>
  <c r="DN440" i="4"/>
  <c r="DN366" i="4"/>
  <c r="DM440" i="4"/>
  <c r="DM366" i="4"/>
  <c r="DL440" i="4"/>
  <c r="DL366" i="4"/>
  <c r="DK440" i="4"/>
  <c r="DK366" i="4"/>
  <c r="DJ440" i="4"/>
  <c r="DJ366" i="4"/>
  <c r="DI440" i="4"/>
  <c r="DI366" i="4"/>
  <c r="DH440" i="4"/>
  <c r="DH366" i="4"/>
  <c r="DG440" i="4"/>
  <c r="DG366" i="4"/>
  <c r="DF440" i="4"/>
  <c r="DF366" i="4"/>
  <c r="DE440" i="4"/>
  <c r="DE366" i="4"/>
  <c r="DD366" i="4"/>
  <c r="DD440" i="4"/>
  <c r="DC366" i="4"/>
  <c r="DC440" i="4"/>
  <c r="DB440" i="4"/>
  <c r="DB366" i="4"/>
  <c r="DA440" i="4"/>
  <c r="DA366" i="4"/>
  <c r="CZ440" i="4"/>
  <c r="CZ366" i="4"/>
  <c r="CY440" i="4"/>
  <c r="CY366" i="4"/>
  <c r="CX440" i="4"/>
  <c r="CX366" i="4"/>
  <c r="CW440" i="4"/>
  <c r="CW366" i="4"/>
  <c r="CV440" i="4"/>
  <c r="CV366" i="4"/>
  <c r="CU440" i="4"/>
  <c r="CU366" i="4"/>
  <c r="CT440" i="4"/>
  <c r="CT366" i="4"/>
  <c r="CS440" i="4"/>
  <c r="CS366" i="4"/>
  <c r="CR440" i="4"/>
  <c r="CR366" i="4"/>
  <c r="CQ440" i="4"/>
  <c r="CQ366" i="4"/>
  <c r="CP440" i="4"/>
  <c r="CP366" i="4"/>
  <c r="CO440" i="4"/>
  <c r="CO366" i="4"/>
  <c r="CN366" i="4"/>
  <c r="CN440" i="4"/>
  <c r="CM440" i="4"/>
  <c r="CM366" i="4"/>
  <c r="CL440" i="4"/>
  <c r="CL366" i="4"/>
  <c r="CK366" i="4"/>
  <c r="CK440" i="4"/>
  <c r="CJ440" i="4"/>
  <c r="CJ366" i="4"/>
  <c r="CI440" i="4"/>
  <c r="CI366" i="4"/>
  <c r="CH440" i="4"/>
  <c r="CH366" i="4"/>
  <c r="CG440" i="4"/>
  <c r="CG366" i="4"/>
  <c r="CF366" i="4"/>
  <c r="CF440" i="4"/>
  <c r="CE440" i="4"/>
  <c r="CE366" i="4"/>
  <c r="CD440" i="4"/>
  <c r="CD366" i="4"/>
  <c r="CB440" i="4"/>
  <c r="CB366" i="4"/>
  <c r="CA440" i="4"/>
  <c r="CA366" i="4"/>
  <c r="BZ440" i="4"/>
  <c r="BZ366" i="4"/>
  <c r="BY440" i="4"/>
  <c r="BY366" i="4"/>
  <c r="BX440" i="4"/>
  <c r="BX366" i="4"/>
  <c r="BW440" i="4"/>
  <c r="BW366" i="4"/>
  <c r="BV366" i="4"/>
  <c r="BV440" i="4"/>
  <c r="BU366" i="4"/>
  <c r="BU440" i="4"/>
  <c r="BT440" i="4"/>
  <c r="BT366" i="4"/>
  <c r="BS440" i="4"/>
  <c r="BS366" i="4"/>
  <c r="BR440" i="4"/>
  <c r="BR366" i="4"/>
  <c r="BQ440" i="4"/>
  <c r="BQ366" i="4"/>
  <c r="BP440" i="4"/>
  <c r="BP366" i="4"/>
  <c r="BN404" i="4"/>
  <c r="BN388" i="4"/>
  <c r="BO366" i="4"/>
  <c r="BO440" i="4"/>
  <c r="BN370" i="4"/>
  <c r="BN364" i="4"/>
  <c r="BL440" i="4"/>
  <c r="BL366" i="4"/>
  <c r="BJ434" i="4"/>
  <c r="BK440" i="4"/>
  <c r="BK366" i="4"/>
  <c r="BJ365" i="4"/>
  <c r="BH440" i="4"/>
  <c r="BH366" i="4"/>
  <c r="BG440" i="4"/>
  <c r="BG366" i="4"/>
  <c r="BF440" i="4"/>
  <c r="BF366" i="4"/>
  <c r="BE440" i="4"/>
  <c r="BE366" i="4"/>
  <c r="BD440" i="4"/>
  <c r="BD366" i="4"/>
  <c r="BC440" i="4"/>
  <c r="BC366" i="4"/>
  <c r="BB366" i="4"/>
  <c r="BB440" i="4"/>
  <c r="AZ440" i="4"/>
  <c r="AZ366" i="4"/>
  <c r="AY440" i="4"/>
  <c r="AY366" i="4"/>
  <c r="AX440" i="4"/>
  <c r="AX366" i="4"/>
  <c r="AV440" i="4"/>
  <c r="AV366" i="4"/>
  <c r="AT366" i="4"/>
  <c r="AT440" i="4"/>
  <c r="AR440" i="4"/>
  <c r="AR366" i="4"/>
  <c r="AQ366" i="4"/>
  <c r="AQ440" i="4"/>
  <c r="AP440" i="4"/>
  <c r="AP366" i="4"/>
  <c r="AO366" i="4"/>
  <c r="AO440" i="4"/>
  <c r="AN440" i="4"/>
  <c r="AN366" i="4"/>
  <c r="AM440" i="4"/>
  <c r="AM366" i="4"/>
  <c r="AL440" i="4"/>
  <c r="AL366" i="4"/>
  <c r="AK440" i="4"/>
  <c r="AK366" i="4"/>
  <c r="AJ440" i="4"/>
  <c r="AJ366" i="4"/>
  <c r="AI440" i="4"/>
  <c r="AI366" i="4"/>
  <c r="AH440" i="4"/>
  <c r="AH366" i="4"/>
  <c r="AG440" i="4"/>
  <c r="AG366" i="4"/>
  <c r="AF440" i="4"/>
  <c r="AF366" i="4"/>
  <c r="AE440" i="4"/>
  <c r="AE366" i="4"/>
  <c r="AD440" i="4"/>
  <c r="AD366" i="4"/>
  <c r="AC440" i="4"/>
  <c r="AC366" i="4"/>
  <c r="AB440" i="4"/>
  <c r="AB366" i="4"/>
  <c r="AA440" i="4"/>
  <c r="AA366" i="4"/>
  <c r="Z366" i="4"/>
  <c r="Z440" i="4"/>
  <c r="Y440" i="4"/>
  <c r="Y366" i="4"/>
  <c r="X440" i="4"/>
  <c r="X366" i="4"/>
  <c r="W440" i="4"/>
  <c r="W366" i="4"/>
  <c r="V366" i="4"/>
  <c r="V440" i="4"/>
  <c r="U440" i="4"/>
  <c r="U366" i="4"/>
  <c r="T440" i="4"/>
  <c r="T366" i="4"/>
  <c r="S366" i="4"/>
  <c r="S440" i="4"/>
  <c r="R440" i="4"/>
  <c r="R366" i="4"/>
  <c r="Q440" i="4"/>
  <c r="Q366" i="4"/>
  <c r="P440" i="4"/>
  <c r="P366" i="4"/>
  <c r="O440" i="4"/>
  <c r="O366" i="4"/>
  <c r="N440" i="4"/>
  <c r="N366" i="4"/>
  <c r="M440" i="4"/>
  <c r="M366" i="4"/>
  <c r="L440" i="4"/>
  <c r="L366" i="4"/>
  <c r="K440" i="4"/>
  <c r="K366" i="4"/>
  <c r="J440" i="4"/>
  <c r="J366" i="4"/>
  <c r="I440" i="4"/>
  <c r="I366" i="4"/>
  <c r="H440" i="4"/>
  <c r="H366" i="4"/>
  <c r="G440" i="4"/>
  <c r="G366" i="4"/>
  <c r="F440" i="4"/>
  <c r="F366" i="4"/>
  <c r="E440" i="4"/>
  <c r="E366" i="4"/>
  <c r="D440" i="4"/>
  <c r="D366" i="4"/>
  <c r="C366" i="4"/>
  <c r="C440" i="4"/>
  <c r="B440" i="4"/>
  <c r="B366" i="4"/>
  <c r="BN369" i="4"/>
  <c r="BN435" i="4"/>
  <c r="BJ386" i="4"/>
  <c r="BN406" i="4"/>
  <c r="BJ421" i="4"/>
  <c r="BN424" i="4"/>
  <c r="BJ380" i="4"/>
  <c r="BJ384" i="4"/>
  <c r="BJ390" i="4"/>
  <c r="BJ394" i="4"/>
  <c r="BN401" i="4"/>
  <c r="BJ415" i="4"/>
  <c r="BN421" i="4"/>
  <c r="BN387" i="4"/>
  <c r="BN395" i="4"/>
  <c r="BJ418" i="4"/>
  <c r="BJ406" i="4"/>
  <c r="BN380" i="4"/>
  <c r="BN390" i="4"/>
  <c r="BN394" i="4"/>
  <c r="BN410" i="4"/>
  <c r="BJ413" i="4"/>
  <c r="BN415" i="4"/>
  <c r="BJ429" i="4"/>
  <c r="BN407" i="4"/>
  <c r="BN425" i="4"/>
  <c r="BJ379" i="4"/>
  <c r="BJ387" i="4"/>
  <c r="BN397" i="4"/>
  <c r="BJ400" i="4"/>
  <c r="BJ409" i="4"/>
  <c r="BJ420" i="4"/>
  <c r="BJ430" i="4"/>
  <c r="BJ398" i="4"/>
  <c r="BN409" i="4"/>
  <c r="BN430" i="4"/>
  <c r="BJ403" i="4"/>
  <c r="BJ424" i="4"/>
  <c r="BJ389" i="4"/>
  <c r="BJ393" i="4"/>
  <c r="BJ396" i="4"/>
  <c r="BN400" i="4"/>
  <c r="BJ408" i="4"/>
  <c r="BJ411" i="4"/>
  <c r="BJ414" i="4"/>
  <c r="BN420" i="4"/>
  <c r="BJ423" i="4"/>
  <c r="BJ426" i="4"/>
  <c r="BN429" i="4"/>
  <c r="BN434" i="4"/>
  <c r="BJ364" i="4"/>
  <c r="BN389" i="4"/>
  <c r="BJ405" i="4"/>
  <c r="BN411" i="4"/>
  <c r="BN414" i="4"/>
  <c r="BN426" i="4"/>
  <c r="BJ431" i="4"/>
  <c r="BN436" i="4"/>
  <c r="BN379" i="4"/>
  <c r="BJ382" i="4"/>
  <c r="BN386" i="4"/>
  <c r="BN382" i="4"/>
  <c r="BN393" i="4"/>
  <c r="BN378" i="4"/>
  <c r="BJ381" i="4"/>
  <c r="BJ385" i="4"/>
  <c r="BJ392" i="4"/>
  <c r="BJ399" i="4"/>
  <c r="BN402" i="4"/>
  <c r="BN405" i="4"/>
  <c r="BJ416" i="4"/>
  <c r="BJ419" i="4"/>
  <c r="BJ428" i="4"/>
  <c r="BN431" i="4"/>
  <c r="BJ433" i="4"/>
  <c r="BJ378" i="4"/>
  <c r="BN396" i="4"/>
  <c r="BN381" i="4"/>
  <c r="BN385" i="4"/>
  <c r="BJ388" i="4"/>
  <c r="BJ395" i="4"/>
  <c r="BN399" i="4"/>
  <c r="BJ401" i="4"/>
  <c r="BJ404" i="4"/>
  <c r="BJ410" i="4"/>
  <c r="BN416" i="4"/>
  <c r="BN419" i="4"/>
  <c r="BJ425" i="4"/>
  <c r="BN428" i="4"/>
  <c r="BJ435" i="4"/>
  <c r="BN433" i="4"/>
  <c r="BJ377" i="4"/>
  <c r="BJ373" i="4"/>
  <c r="BJ371" i="4"/>
  <c r="BJ374" i="4"/>
  <c r="BJ383" i="4"/>
  <c r="BN384" i="4"/>
  <c r="BJ391" i="4"/>
  <c r="BN392" i="4"/>
  <c r="BN398" i="4"/>
  <c r="BN403" i="4"/>
  <c r="BN408" i="4"/>
  <c r="BJ412" i="4"/>
  <c r="BN413" i="4"/>
  <c r="BJ417" i="4"/>
  <c r="BN418" i="4"/>
  <c r="BJ422" i="4"/>
  <c r="BN423" i="4"/>
  <c r="BJ427" i="4"/>
  <c r="BJ432" i="4"/>
  <c r="BJ437" i="4"/>
  <c r="BJ370" i="4"/>
  <c r="BJ372" i="4"/>
  <c r="BN371" i="4"/>
  <c r="BN374" i="4"/>
  <c r="BN372" i="4"/>
  <c r="BN377" i="4"/>
  <c r="BN365" i="4"/>
  <c r="BN373" i="4"/>
  <c r="BN383" i="4"/>
  <c r="BN391" i="4"/>
  <c r="BJ397" i="4"/>
  <c r="BJ402" i="4"/>
  <c r="BJ407" i="4"/>
  <c r="BN412" i="4"/>
  <c r="BN417" i="4"/>
  <c r="BN422" i="4"/>
  <c r="BN427" i="4"/>
  <c r="BN432" i="4"/>
  <c r="BJ436" i="4"/>
  <c r="BN437" i="4"/>
  <c r="BJ369" i="4"/>
  <c r="EE4" i="4" l="1" a="1"/>
  <c r="EE4" i="4" s="1"/>
  <c r="BJ440" i="4"/>
  <c r="BJ366" i="4"/>
  <c r="BN440" i="4"/>
  <c r="BN366" i="4"/>
  <c r="EG4" i="4" l="1" a="1"/>
  <c r="E101" i="2" s="1"/>
  <c r="EF4" i="4" a="1"/>
  <c r="EF4" i="4" s="1"/>
  <c r="E25" i="2" l="1"/>
  <c r="E17" i="2"/>
  <c r="E12" i="2"/>
  <c r="E9" i="2"/>
  <c r="E7" i="2"/>
  <c r="E124" i="2"/>
  <c r="E46" i="2"/>
  <c r="E66" i="2"/>
  <c r="E87" i="2"/>
  <c r="E38" i="2"/>
  <c r="E108" i="2"/>
  <c r="E123" i="2"/>
  <c r="E27" i="2"/>
  <c r="E58" i="2"/>
  <c r="E97" i="2"/>
  <c r="E136" i="2"/>
  <c r="E40" i="2"/>
  <c r="E79" i="2"/>
  <c r="E126" i="2"/>
  <c r="E30" i="2"/>
  <c r="E77" i="2"/>
  <c r="E132" i="2"/>
  <c r="E64" i="2"/>
  <c r="E43" i="2"/>
  <c r="E56" i="2"/>
  <c r="E131" i="2"/>
  <c r="E48" i="2"/>
  <c r="E134" i="2"/>
  <c r="E85" i="2"/>
  <c r="E100" i="2"/>
  <c r="E115" i="2"/>
  <c r="E19" i="2"/>
  <c r="E50" i="2"/>
  <c r="E89" i="2"/>
  <c r="E128" i="2"/>
  <c r="E32" i="2"/>
  <c r="E71" i="2"/>
  <c r="E118" i="2"/>
  <c r="E22" i="2"/>
  <c r="E69" i="2"/>
  <c r="E110" i="2"/>
  <c r="E14" i="2"/>
  <c r="E61" i="2"/>
  <c r="E74" i="2"/>
  <c r="E53" i="2"/>
  <c r="E36" i="2"/>
  <c r="E81" i="2"/>
  <c r="E130" i="2"/>
  <c r="E16" i="2"/>
  <c r="E91" i="2"/>
  <c r="E65" i="2"/>
  <c r="E104" i="2"/>
  <c r="E94" i="2"/>
  <c r="E28" i="2"/>
  <c r="E45" i="2"/>
  <c r="E82" i="2"/>
  <c r="E95" i="2"/>
  <c r="E35" i="2"/>
  <c r="E92" i="2"/>
  <c r="E120" i="2"/>
  <c r="E99" i="2"/>
  <c r="E55" i="2"/>
  <c r="E76" i="2"/>
  <c r="E26" i="2"/>
  <c r="E47" i="2"/>
  <c r="E83" i="2"/>
  <c r="E114" i="2"/>
  <c r="E18" i="2"/>
  <c r="E57" i="2"/>
  <c r="E96" i="2"/>
  <c r="E135" i="2"/>
  <c r="E39" i="2"/>
  <c r="E86" i="2"/>
  <c r="E133" i="2"/>
  <c r="E37" i="2"/>
  <c r="E51" i="2"/>
  <c r="E20" i="2"/>
  <c r="E105" i="2"/>
  <c r="E42" i="2"/>
  <c r="E63" i="2"/>
  <c r="E73" i="2"/>
  <c r="E6" i="2"/>
  <c r="E122" i="2"/>
  <c r="E8" i="2"/>
  <c r="E68" i="2"/>
  <c r="E60" i="2"/>
  <c r="E75" i="2"/>
  <c r="E106" i="2"/>
  <c r="E10" i="2"/>
  <c r="E49" i="2"/>
  <c r="E88" i="2"/>
  <c r="E127" i="2"/>
  <c r="E31" i="2"/>
  <c r="E78" i="2"/>
  <c r="E125" i="2"/>
  <c r="E29" i="2"/>
  <c r="E113" i="2"/>
  <c r="E11" i="2"/>
  <c r="E112" i="2"/>
  <c r="E98" i="2"/>
  <c r="E23" i="2"/>
  <c r="E21" i="2"/>
  <c r="E93" i="2"/>
  <c r="E116" i="2"/>
  <c r="E107" i="2"/>
  <c r="E24" i="2"/>
  <c r="E84" i="2"/>
  <c r="E34" i="2"/>
  <c r="E102" i="2"/>
  <c r="E52" i="2"/>
  <c r="E67" i="2"/>
  <c r="E137" i="2"/>
  <c r="E41" i="2"/>
  <c r="E80" i="2"/>
  <c r="E119" i="2"/>
  <c r="E70" i="2"/>
  <c r="E117" i="2"/>
  <c r="EG4" i="4"/>
  <c r="E5" i="2" s="1"/>
  <c r="E44" i="2"/>
  <c r="E59" i="2"/>
  <c r="E90" i="2"/>
  <c r="E129" i="2"/>
  <c r="E33" i="2"/>
  <c r="E72" i="2"/>
  <c r="E111" i="2"/>
  <c r="E15" i="2"/>
  <c r="E62" i="2"/>
  <c r="E109" i="2"/>
  <c r="E13" i="2"/>
  <c r="E121" i="2"/>
  <c r="E103" i="2"/>
  <c r="E54" i="2"/>
  <c r="J249" i="16"/>
  <c r="K249" i="16" s="1"/>
  <c r="L249" i="16" s="1"/>
  <c r="J247" i="16"/>
  <c r="K247" i="16" s="1"/>
  <c r="L247" i="16" s="1"/>
  <c r="J245" i="16"/>
  <c r="K245" i="16" s="1"/>
  <c r="L245" i="16" s="1"/>
  <c r="J243" i="16"/>
  <c r="K243" i="16" s="1"/>
  <c r="L243" i="16" s="1"/>
  <c r="J241" i="16"/>
  <c r="K241" i="16" s="1"/>
  <c r="L241" i="16" s="1"/>
  <c r="J239" i="16"/>
  <c r="K239" i="16" s="1"/>
  <c r="L239" i="16" s="1"/>
  <c r="J237" i="16"/>
  <c r="K237" i="16" s="1"/>
  <c r="L237" i="16" s="1"/>
  <c r="J235" i="16"/>
  <c r="K235" i="16" s="1"/>
  <c r="L235" i="16" s="1"/>
  <c r="J233" i="16"/>
  <c r="K233" i="16" s="1"/>
  <c r="L233" i="16" s="1"/>
  <c r="J231" i="16"/>
  <c r="K231" i="16" s="1"/>
  <c r="L231" i="16" s="1"/>
  <c r="J229" i="16"/>
  <c r="K229" i="16" s="1"/>
  <c r="J227" i="16"/>
  <c r="K227" i="16" s="1"/>
  <c r="L227" i="16" s="1"/>
  <c r="J225" i="16"/>
  <c r="K225" i="16" s="1"/>
  <c r="L225" i="16" s="1"/>
  <c r="J223" i="16"/>
  <c r="K223" i="16" s="1"/>
  <c r="L223" i="16" s="1"/>
  <c r="J221" i="16"/>
  <c r="K221" i="16" s="1"/>
  <c r="L221" i="16" s="1"/>
  <c r="J213" i="16"/>
  <c r="K213" i="16" s="1"/>
  <c r="L213" i="16" s="1"/>
  <c r="J215" i="16"/>
  <c r="K215" i="16" s="1"/>
  <c r="L215" i="16" s="1"/>
  <c r="J217" i="16"/>
  <c r="K217" i="16" s="1"/>
  <c r="L217" i="16" s="1"/>
  <c r="J219" i="16"/>
  <c r="K219" i="16" s="1"/>
  <c r="L219" i="16" s="1"/>
  <c r="J211" i="16"/>
  <c r="K211" i="16" s="1"/>
  <c r="L211" i="16" s="1"/>
  <c r="J209" i="16"/>
  <c r="K209" i="16" s="1"/>
  <c r="L209" i="16" s="1"/>
  <c r="J207" i="16"/>
  <c r="K207" i="16" s="1"/>
  <c r="L207" i="16" s="1"/>
  <c r="J205" i="16"/>
  <c r="K205" i="16" s="1"/>
  <c r="L205" i="16" s="1"/>
  <c r="J203" i="16"/>
  <c r="K203" i="16" s="1"/>
  <c r="L203" i="16" s="1"/>
  <c r="J201" i="16"/>
  <c r="K201" i="16" s="1"/>
  <c r="L201" i="16" s="1"/>
  <c r="J199" i="16"/>
  <c r="K199" i="16" s="1"/>
  <c r="L199" i="16" s="1"/>
  <c r="J197" i="16"/>
  <c r="K197" i="16" s="1"/>
  <c r="L197" i="16" s="1"/>
  <c r="J195" i="16"/>
  <c r="K195" i="16" s="1"/>
  <c r="L195" i="16" s="1"/>
  <c r="J193" i="16"/>
  <c r="K193" i="16" s="1"/>
  <c r="L193" i="16" s="1"/>
  <c r="J191" i="16"/>
  <c r="K191" i="16" s="1"/>
  <c r="L191" i="16" s="1"/>
  <c r="J189" i="16"/>
  <c r="J187" i="16"/>
  <c r="K187" i="16" s="1"/>
  <c r="L187" i="16" s="1"/>
  <c r="J185" i="16"/>
  <c r="K185" i="16" s="1"/>
  <c r="L185" i="16" s="1"/>
  <c r="J183" i="16"/>
  <c r="K183" i="16" s="1"/>
  <c r="L183" i="16" s="1"/>
  <c r="J181" i="16"/>
  <c r="K181" i="16" s="1"/>
  <c r="L181" i="16" s="1"/>
  <c r="J179" i="16"/>
  <c r="J177" i="16"/>
  <c r="K177" i="16" s="1"/>
  <c r="L177" i="16" s="1"/>
  <c r="J175" i="16"/>
  <c r="K175" i="16" s="1"/>
  <c r="L175" i="16" s="1"/>
  <c r="J173" i="16"/>
  <c r="K173" i="16" s="1"/>
  <c r="L173" i="16" s="1"/>
  <c r="J171" i="16"/>
  <c r="K171" i="16" s="1"/>
  <c r="L171" i="16" s="1"/>
  <c r="J169" i="16"/>
  <c r="K169" i="16" s="1"/>
  <c r="J167" i="16"/>
  <c r="K167" i="16" s="1"/>
  <c r="L167" i="16" s="1"/>
  <c r="J165" i="16"/>
  <c r="K165" i="16" s="1"/>
  <c r="L165" i="16" s="1"/>
  <c r="J163" i="16"/>
  <c r="K163" i="16" s="1"/>
  <c r="L163" i="16" s="1"/>
  <c r="J161" i="16"/>
  <c r="K161" i="16" s="1"/>
  <c r="L161" i="16" s="1"/>
  <c r="J159" i="16"/>
  <c r="K159" i="16" s="1"/>
  <c r="L159" i="16" s="1"/>
  <c r="J157" i="16"/>
  <c r="K157" i="16" s="1"/>
  <c r="L157" i="16" s="1"/>
  <c r="J155" i="16"/>
  <c r="K155" i="16" s="1"/>
  <c r="L155" i="16" s="1"/>
  <c r="J153" i="16"/>
  <c r="J151" i="16"/>
  <c r="K151" i="16" s="1"/>
  <c r="L151" i="16" s="1"/>
  <c r="J149" i="16"/>
  <c r="K149" i="16" s="1"/>
  <c r="L149" i="16" s="1"/>
  <c r="J147" i="16"/>
  <c r="J145" i="16"/>
  <c r="K145" i="16" s="1"/>
  <c r="J143" i="16"/>
  <c r="K143" i="16" s="1"/>
  <c r="L143" i="16" s="1"/>
  <c r="J141" i="16"/>
  <c r="K141" i="16" s="1"/>
  <c r="L141" i="16" s="1"/>
  <c r="J139" i="16"/>
  <c r="K139" i="16" s="1"/>
  <c r="L139" i="16" s="1"/>
  <c r="J137" i="16"/>
  <c r="K137" i="16" s="1"/>
  <c r="L137" i="16" s="1"/>
  <c r="J135" i="16"/>
  <c r="K135" i="16" s="1"/>
  <c r="L135" i="16" s="1"/>
  <c r="J133" i="16"/>
  <c r="K133" i="16" s="1"/>
  <c r="L133" i="16" s="1"/>
  <c r="J131" i="16"/>
  <c r="K131" i="16" s="1"/>
  <c r="L131" i="16" s="1"/>
  <c r="J129" i="16"/>
  <c r="K129" i="16" s="1"/>
  <c r="L129" i="16" s="1"/>
  <c r="J127" i="16"/>
  <c r="J125" i="16"/>
  <c r="K125" i="16" s="1"/>
  <c r="L125" i="16" s="1"/>
  <c r="J123" i="16"/>
  <c r="K123" i="16" s="1"/>
  <c r="L123" i="16" s="1"/>
  <c r="J121" i="16"/>
  <c r="K121" i="16" s="1"/>
  <c r="L121" i="16" s="1"/>
  <c r="J119" i="16"/>
  <c r="K119" i="16" s="1"/>
  <c r="L119" i="16" s="1"/>
  <c r="J117" i="16"/>
  <c r="K117" i="16" s="1"/>
  <c r="L117" i="16" s="1"/>
  <c r="J115" i="16"/>
  <c r="J113" i="16"/>
  <c r="K113" i="16" s="1"/>
  <c r="L113" i="16" s="1"/>
  <c r="J111" i="16"/>
  <c r="K111" i="16" s="1"/>
  <c r="L111" i="16" s="1"/>
  <c r="J109" i="16"/>
  <c r="K109" i="16" s="1"/>
  <c r="L109" i="16" s="1"/>
  <c r="J107" i="16"/>
  <c r="J105" i="16"/>
  <c r="J103" i="16"/>
  <c r="K103" i="16" s="1"/>
  <c r="L103" i="16" s="1"/>
  <c r="J101" i="16"/>
  <c r="K101" i="16" s="1"/>
  <c r="L101" i="16" s="1"/>
  <c r="J99" i="16"/>
  <c r="K99" i="16" s="1"/>
  <c r="L99" i="16" s="1"/>
  <c r="J97" i="16"/>
  <c r="K97" i="16" s="1"/>
  <c r="L97" i="16" s="1"/>
  <c r="J95" i="16"/>
  <c r="K95" i="16" s="1"/>
  <c r="L95" i="16" s="1"/>
  <c r="J93" i="16"/>
  <c r="K93" i="16" s="1"/>
  <c r="J91" i="16"/>
  <c r="J89" i="16"/>
  <c r="K89" i="16" s="1"/>
  <c r="L89" i="16" s="1"/>
  <c r="J87" i="16"/>
  <c r="K87" i="16" s="1"/>
  <c r="L87" i="16" s="1"/>
  <c r="J85" i="16"/>
  <c r="K85" i="16" s="1"/>
  <c r="L85" i="16" s="1"/>
  <c r="J83" i="16"/>
  <c r="J81" i="16"/>
  <c r="K81" i="16" s="1"/>
  <c r="L81" i="16" s="1"/>
  <c r="J79" i="16"/>
  <c r="K79" i="16" s="1"/>
  <c r="L79" i="16" s="1"/>
  <c r="J77" i="16"/>
  <c r="K77" i="16" s="1"/>
  <c r="L77" i="16" s="1"/>
  <c r="J75" i="16"/>
  <c r="K75" i="16" s="1"/>
  <c r="L75" i="16" s="1"/>
  <c r="J73" i="16"/>
  <c r="K73" i="16" s="1"/>
  <c r="L73" i="16" s="1"/>
  <c r="J71" i="16"/>
  <c r="J69" i="16"/>
  <c r="K69" i="16" s="1"/>
  <c r="L69" i="16" s="1"/>
  <c r="J67" i="16"/>
  <c r="K67" i="16" s="1"/>
  <c r="L67" i="16" s="1"/>
  <c r="J65" i="16"/>
  <c r="K65" i="16" s="1"/>
  <c r="J63" i="16"/>
  <c r="K63" i="16" s="1"/>
  <c r="L63" i="16" s="1"/>
  <c r="J61" i="16"/>
  <c r="K61" i="16" s="1"/>
  <c r="L61" i="16" s="1"/>
  <c r="J59" i="16"/>
  <c r="K59" i="16" s="1"/>
  <c r="L59" i="16" s="1"/>
  <c r="J57" i="16"/>
  <c r="K57" i="16" s="1"/>
  <c r="L57" i="16" s="1"/>
  <c r="J55" i="16"/>
  <c r="K55" i="16" s="1"/>
  <c r="L55" i="16" s="1"/>
  <c r="J53" i="16"/>
  <c r="K53" i="16" s="1"/>
  <c r="L53" i="16" s="1"/>
  <c r="J51" i="16"/>
  <c r="K51" i="16" s="1"/>
  <c r="L51" i="16" s="1"/>
  <c r="J49" i="16"/>
  <c r="K49" i="16" s="1"/>
  <c r="L49" i="16" s="1"/>
  <c r="J47" i="16"/>
  <c r="K47" i="16" s="1"/>
  <c r="L47" i="16" s="1"/>
  <c r="J45" i="16"/>
  <c r="K45" i="16" s="1"/>
  <c r="L45" i="16" s="1"/>
  <c r="J43" i="16"/>
  <c r="K43" i="16" s="1"/>
  <c r="L43" i="16" s="1"/>
  <c r="J41" i="16"/>
  <c r="K41" i="16" s="1"/>
  <c r="L41" i="16" s="1"/>
  <c r="J39" i="16"/>
  <c r="K39" i="16" s="1"/>
  <c r="L39" i="16" s="1"/>
  <c r="J37" i="16"/>
  <c r="K37" i="16" s="1"/>
  <c r="L37" i="16" s="1"/>
  <c r="J35" i="16"/>
  <c r="K35" i="16" s="1"/>
  <c r="L35" i="16" s="1"/>
  <c r="J33" i="16"/>
  <c r="K33" i="16" s="1"/>
  <c r="L33" i="16" s="1"/>
  <c r="J31" i="16"/>
  <c r="K31" i="16" s="1"/>
  <c r="L31" i="16" s="1"/>
  <c r="J29" i="16"/>
  <c r="K29" i="16" s="1"/>
  <c r="L29" i="16" s="1"/>
  <c r="J27" i="16"/>
  <c r="K27" i="16" s="1"/>
  <c r="L27" i="16" s="1"/>
  <c r="J25" i="16"/>
  <c r="K25" i="16" s="1"/>
  <c r="L25" i="16" s="1"/>
  <c r="J23" i="16"/>
  <c r="K23" i="16" s="1"/>
  <c r="L23" i="16" s="1"/>
  <c r="J21" i="16"/>
  <c r="K21" i="16" s="1"/>
  <c r="L21" i="16" s="1"/>
  <c r="J19" i="16"/>
  <c r="K19" i="16" s="1"/>
  <c r="L19" i="16" s="1"/>
  <c r="J17" i="16"/>
  <c r="K17" i="16" s="1"/>
  <c r="L17" i="16" s="1"/>
  <c r="J13" i="16"/>
  <c r="K13" i="16" s="1"/>
  <c r="L13" i="16" s="1"/>
  <c r="J11" i="16"/>
  <c r="J9" i="16"/>
  <c r="J7" i="16"/>
  <c r="J5" i="16"/>
  <c r="K5" i="16" s="1"/>
  <c r="L5" i="16" s="1"/>
  <c r="J3" i="16"/>
  <c r="K3" i="16" s="1"/>
  <c r="L3" i="16" s="1"/>
  <c r="K248" i="16"/>
  <c r="L248" i="16" s="1"/>
  <c r="K246" i="16"/>
  <c r="L246" i="16" s="1"/>
  <c r="K244" i="16"/>
  <c r="L244" i="16" s="1"/>
  <c r="K242" i="16"/>
  <c r="L242" i="16" s="1"/>
  <c r="K240" i="16"/>
  <c r="L240" i="16" s="1"/>
  <c r="K238" i="16"/>
  <c r="L238" i="16" s="1"/>
  <c r="K236" i="16"/>
  <c r="L236" i="16" s="1"/>
  <c r="K234" i="16"/>
  <c r="L234" i="16" s="1"/>
  <c r="K232" i="16"/>
  <c r="L232" i="16" s="1"/>
  <c r="K230" i="16"/>
  <c r="L230" i="16" s="1"/>
  <c r="K228" i="16"/>
  <c r="L228" i="16" s="1"/>
  <c r="K226" i="16"/>
  <c r="L226" i="16" s="1"/>
  <c r="K224" i="16"/>
  <c r="L224" i="16" s="1"/>
  <c r="K222" i="16"/>
  <c r="L222" i="16" s="1"/>
  <c r="K220" i="16"/>
  <c r="L220" i="16" s="1"/>
  <c r="K218" i="16"/>
  <c r="L218" i="16" s="1"/>
  <c r="K216" i="16"/>
  <c r="L216" i="16" s="1"/>
  <c r="K214" i="16"/>
  <c r="L214" i="16" s="1"/>
  <c r="K212" i="16"/>
  <c r="L212" i="16" s="1"/>
  <c r="K210" i="16"/>
  <c r="L210" i="16" s="1"/>
  <c r="K208" i="16"/>
  <c r="L208" i="16" s="1"/>
  <c r="K206" i="16"/>
  <c r="L206" i="16" s="1"/>
  <c r="K204" i="16"/>
  <c r="L204" i="16" s="1"/>
  <c r="K202" i="16"/>
  <c r="L202" i="16" s="1"/>
  <c r="K200" i="16"/>
  <c r="L200" i="16" s="1"/>
  <c r="K198" i="16"/>
  <c r="L198" i="16" s="1"/>
  <c r="K196" i="16"/>
  <c r="L196" i="16" s="1"/>
  <c r="K194" i="16"/>
  <c r="L194" i="16" s="1"/>
  <c r="K192" i="16"/>
  <c r="L192" i="16" s="1"/>
  <c r="K190" i="16"/>
  <c r="L190" i="16" s="1"/>
  <c r="K188" i="16"/>
  <c r="L188" i="16" s="1"/>
  <c r="K186" i="16"/>
  <c r="L186" i="16" s="1"/>
  <c r="K184" i="16"/>
  <c r="L184" i="16" s="1"/>
  <c r="K182" i="16"/>
  <c r="L182" i="16" s="1"/>
  <c r="K180" i="16"/>
  <c r="L180" i="16" s="1"/>
  <c r="K178" i="16"/>
  <c r="L178" i="16" s="1"/>
  <c r="K176" i="16"/>
  <c r="L176" i="16" s="1"/>
  <c r="K174" i="16"/>
  <c r="L174" i="16" s="1"/>
  <c r="K172" i="16"/>
  <c r="L172" i="16" s="1"/>
  <c r="K170" i="16"/>
  <c r="L170" i="16" s="1"/>
  <c r="K168" i="16"/>
  <c r="L168" i="16" s="1"/>
  <c r="K166" i="16"/>
  <c r="L166" i="16" s="1"/>
  <c r="K164" i="16"/>
  <c r="L164" i="16" s="1"/>
  <c r="K162" i="16"/>
  <c r="L162" i="16" s="1"/>
  <c r="K160" i="16"/>
  <c r="L160" i="16" s="1"/>
  <c r="K158" i="16"/>
  <c r="L158" i="16" s="1"/>
  <c r="K156" i="16"/>
  <c r="L156" i="16" s="1"/>
  <c r="K154" i="16"/>
  <c r="L154" i="16" s="1"/>
  <c r="K153" i="16"/>
  <c r="L153" i="16" s="1"/>
  <c r="L152" i="16"/>
  <c r="K152" i="16"/>
  <c r="K150" i="16"/>
  <c r="L150" i="16" s="1"/>
  <c r="K148" i="16"/>
  <c r="L148" i="16" s="1"/>
  <c r="K146" i="16"/>
  <c r="L146" i="16" s="1"/>
  <c r="K144" i="16"/>
  <c r="L144" i="16" s="1"/>
  <c r="K142" i="16"/>
  <c r="L142" i="16" s="1"/>
  <c r="K140" i="16"/>
  <c r="L140" i="16" s="1"/>
  <c r="K138" i="16"/>
  <c r="L138" i="16" s="1"/>
  <c r="K136" i="16"/>
  <c r="L136" i="16" s="1"/>
  <c r="K134" i="16"/>
  <c r="L134" i="16" s="1"/>
  <c r="K132" i="16"/>
  <c r="L132" i="16" s="1"/>
  <c r="K130" i="16"/>
  <c r="L130" i="16" s="1"/>
  <c r="K128" i="16"/>
  <c r="L128" i="16" s="1"/>
  <c r="K126" i="16"/>
  <c r="L126" i="16" s="1"/>
  <c r="K124" i="16"/>
  <c r="L124" i="16" s="1"/>
  <c r="K122" i="16"/>
  <c r="L122" i="16" s="1"/>
  <c r="K120" i="16"/>
  <c r="L120" i="16" s="1"/>
  <c r="K118" i="16"/>
  <c r="L118" i="16" s="1"/>
  <c r="K116" i="16"/>
  <c r="L116" i="16" s="1"/>
  <c r="K114" i="16"/>
  <c r="L114" i="16" s="1"/>
  <c r="K112" i="16"/>
  <c r="L112" i="16" s="1"/>
  <c r="K110" i="16"/>
  <c r="L110" i="16" s="1"/>
  <c r="K108" i="16"/>
  <c r="L108" i="16" s="1"/>
  <c r="K107" i="16"/>
  <c r="L107" i="16" s="1"/>
  <c r="K106" i="16"/>
  <c r="L106" i="16" s="1"/>
  <c r="K105" i="16"/>
  <c r="L105" i="16" s="1"/>
  <c r="K104" i="16"/>
  <c r="L104" i="16" s="1"/>
  <c r="K102" i="16"/>
  <c r="L102" i="16" s="1"/>
  <c r="K100" i="16"/>
  <c r="L100" i="16" s="1"/>
  <c r="L98" i="16"/>
  <c r="K98" i="16"/>
  <c r="K96" i="16"/>
  <c r="L96" i="16" s="1"/>
  <c r="K94" i="16"/>
  <c r="L94" i="16" s="1"/>
  <c r="K92" i="16"/>
  <c r="L92" i="16" s="1"/>
  <c r="K91" i="16"/>
  <c r="L91" i="16" s="1"/>
  <c r="K90" i="16"/>
  <c r="L90" i="16" s="1"/>
  <c r="K88" i="16"/>
  <c r="L88" i="16" s="1"/>
  <c r="K86" i="16"/>
  <c r="L86" i="16" s="1"/>
  <c r="K84" i="16"/>
  <c r="L84" i="16" s="1"/>
  <c r="K83" i="16"/>
  <c r="L83" i="16" s="1"/>
  <c r="K82" i="16"/>
  <c r="L82" i="16" s="1"/>
  <c r="K80" i="16"/>
  <c r="L80" i="16" s="1"/>
  <c r="K78" i="16"/>
  <c r="L78" i="16" s="1"/>
  <c r="K76" i="16"/>
  <c r="L76" i="16" s="1"/>
  <c r="K74" i="16"/>
  <c r="L74" i="16" s="1"/>
  <c r="K72" i="16"/>
  <c r="L72" i="16" s="1"/>
  <c r="K71" i="16"/>
  <c r="L71" i="16" s="1"/>
  <c r="K70" i="16"/>
  <c r="L70" i="16" s="1"/>
  <c r="K68" i="16"/>
  <c r="L68" i="16" s="1"/>
  <c r="K66" i="16"/>
  <c r="L66" i="16" s="1"/>
  <c r="K64" i="16"/>
  <c r="L64" i="16" s="1"/>
  <c r="L62" i="16"/>
  <c r="K62" i="16"/>
  <c r="K60" i="16"/>
  <c r="L60" i="16" s="1"/>
  <c r="K58" i="16"/>
  <c r="L58" i="16" s="1"/>
  <c r="K54" i="16"/>
  <c r="L54" i="16" s="1"/>
  <c r="K52" i="16"/>
  <c r="L52" i="16" s="1"/>
  <c r="K50" i="16"/>
  <c r="L50" i="16" s="1"/>
  <c r="K48" i="16"/>
  <c r="L48" i="16" s="1"/>
  <c r="K46" i="16"/>
  <c r="L46" i="16" s="1"/>
  <c r="K44" i="16"/>
  <c r="L44" i="16" s="1"/>
  <c r="K42" i="16"/>
  <c r="L42" i="16" s="1"/>
  <c r="K40" i="16"/>
  <c r="L40" i="16" s="1"/>
  <c r="K38" i="16"/>
  <c r="L38" i="16" s="1"/>
  <c r="K36" i="16"/>
  <c r="L36" i="16" s="1"/>
  <c r="K34" i="16"/>
  <c r="L34" i="16" s="1"/>
  <c r="K32" i="16"/>
  <c r="L32" i="16" s="1"/>
  <c r="K30" i="16"/>
  <c r="L30" i="16" s="1"/>
  <c r="K28" i="16"/>
  <c r="L28" i="16" s="1"/>
  <c r="K26" i="16"/>
  <c r="L26" i="16" s="1"/>
  <c r="K24" i="16"/>
  <c r="L24" i="16" s="1"/>
  <c r="K22" i="16"/>
  <c r="L22" i="16" s="1"/>
  <c r="K20" i="16"/>
  <c r="L20" i="16" s="1"/>
  <c r="K18" i="16"/>
  <c r="L18" i="16" s="1"/>
  <c r="K16" i="16"/>
  <c r="L16" i="16" s="1"/>
  <c r="K15" i="16"/>
  <c r="L15" i="16" s="1"/>
  <c r="K14" i="16"/>
  <c r="L14" i="16" s="1"/>
  <c r="K12" i="16"/>
  <c r="L12" i="16" s="1"/>
  <c r="K10" i="16"/>
  <c r="L10" i="16" s="1"/>
  <c r="K9" i="16"/>
  <c r="L9" i="16" s="1"/>
  <c r="K8" i="16"/>
  <c r="L8" i="16" s="1"/>
  <c r="K7" i="16"/>
  <c r="L7" i="16" s="1"/>
  <c r="K6" i="16"/>
  <c r="L6" i="16" s="1"/>
  <c r="K4" i="16"/>
  <c r="L4" i="16" s="1"/>
  <c r="K2" i="16"/>
  <c r="L2" i="16" s="1"/>
  <c r="K179" i="16" l="1"/>
  <c r="L179" i="16" s="1"/>
  <c r="L65" i="16"/>
  <c r="L145" i="16"/>
  <c r="K147" i="16"/>
  <c r="L147" i="16" s="1"/>
  <c r="K189" i="16"/>
  <c r="L189" i="16" s="1"/>
  <c r="L229" i="16"/>
  <c r="L169" i="16"/>
  <c r="K127" i="16"/>
  <c r="L127" i="16" s="1"/>
  <c r="K115" i="16"/>
  <c r="L115" i="16" s="1"/>
  <c r="L93" i="16"/>
  <c r="K56" i="16"/>
  <c r="L56" i="16" s="1"/>
  <c r="K11" i="16"/>
  <c r="L11" i="16" s="1"/>
  <c r="D65" i="2"/>
  <c r="BJ443" i="4" s="1"/>
  <c r="D69" i="2"/>
  <c r="BN443" i="4" s="1"/>
  <c r="AQ7" i="8" l="1"/>
  <c r="AQ6" i="8"/>
  <c r="AS33" i="8"/>
  <c r="AS32" i="8"/>
  <c r="AS31" i="8"/>
  <c r="AS30" i="8"/>
  <c r="AR8" i="8"/>
  <c r="AQ8" i="8" s="1"/>
  <c r="AR9" i="8"/>
  <c r="AQ9" i="8" s="1"/>
  <c r="AR10" i="8"/>
  <c r="AQ10" i="8" s="1"/>
  <c r="AR11" i="8"/>
  <c r="AQ11" i="8" s="1"/>
  <c r="AR12" i="8"/>
  <c r="AQ12" i="8" s="1"/>
  <c r="AR13" i="8"/>
  <c r="AQ13" i="8" s="1"/>
  <c r="AR14" i="8"/>
  <c r="AQ14" i="8" s="1"/>
  <c r="AR15" i="8"/>
  <c r="AQ15" i="8" s="1"/>
  <c r="AR16" i="8"/>
  <c r="AQ16" i="8" s="1"/>
  <c r="AR17" i="8"/>
  <c r="AQ17" i="8" s="1"/>
  <c r="AR18" i="8"/>
  <c r="AQ18" i="8" s="1"/>
  <c r="AR19" i="8"/>
  <c r="AQ19" i="8" s="1"/>
  <c r="AR20" i="8"/>
  <c r="AQ20" i="8" s="1"/>
  <c r="AR21" i="8"/>
  <c r="AQ21" i="8" s="1"/>
  <c r="AR22" i="8"/>
  <c r="AQ22" i="8" s="1"/>
  <c r="AR23" i="8"/>
  <c r="AQ23" i="8" s="1"/>
  <c r="AR24" i="8"/>
  <c r="AQ24" i="8" s="1"/>
  <c r="AR25" i="8"/>
  <c r="AQ25" i="8" s="1"/>
  <c r="AR26" i="8"/>
  <c r="AQ26" i="8" s="1"/>
  <c r="AR27" i="8"/>
  <c r="AQ27" i="8" s="1"/>
  <c r="AR28" i="8"/>
  <c r="AQ28" i="8" s="1"/>
  <c r="AR29" i="8"/>
  <c r="AQ29" i="8" s="1"/>
  <c r="AR7" i="8"/>
  <c r="AR6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7" i="8"/>
  <c r="AC6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AH6" i="15"/>
  <c r="AI6" i="15"/>
  <c r="L25" i="8"/>
  <c r="L26" i="8"/>
  <c r="L27" i="8"/>
  <c r="L28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8" i="8"/>
  <c r="L9" i="8"/>
  <c r="L62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40" i="14"/>
  <c r="L39" i="14"/>
  <c r="K62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40" i="14"/>
  <c r="K39" i="14"/>
  <c r="AV29" i="8"/>
  <c r="AV28" i="8"/>
  <c r="AV27" i="8"/>
  <c r="AV26" i="8"/>
  <c r="AV25" i="8"/>
  <c r="AV24" i="8"/>
  <c r="AV23" i="8"/>
  <c r="AV22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V6" i="8"/>
  <c r="AU29" i="8"/>
  <c r="AU28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7" i="8"/>
  <c r="AU6" i="8"/>
  <c r="AF29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7" i="8"/>
  <c r="AF6" i="8"/>
  <c r="Z29" i="8"/>
  <c r="Z28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7" i="8"/>
  <c r="Z6" i="8"/>
  <c r="V7" i="8"/>
  <c r="V6" i="8"/>
  <c r="L29" i="8"/>
  <c r="L7" i="8"/>
  <c r="L6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H29" i="8"/>
  <c r="H28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7" i="8"/>
  <c r="H6" i="8"/>
  <c r="AC30" i="8" l="1"/>
  <c r="AC32" i="8"/>
  <c r="AC33" i="8"/>
  <c r="AC31" i="8"/>
  <c r="AR33" i="8"/>
  <c r="AR30" i="8"/>
  <c r="AR31" i="8"/>
  <c r="AR32" i="8"/>
  <c r="AQ33" i="8"/>
  <c r="AQ30" i="8"/>
  <c r="AQ31" i="8"/>
  <c r="AQ32" i="8"/>
  <c r="H30" i="8"/>
  <c r="A6" i="15"/>
  <c r="I6" i="15"/>
  <c r="J6" i="15"/>
  <c r="S132" i="14" l="1"/>
  <c r="Q132" i="14"/>
  <c r="O132" i="14"/>
  <c r="M132" i="14"/>
  <c r="K132" i="14"/>
  <c r="I132" i="14"/>
  <c r="G132" i="14"/>
  <c r="E132" i="14"/>
  <c r="C132" i="14"/>
  <c r="S131" i="14"/>
  <c r="Q131" i="14"/>
  <c r="O131" i="14"/>
  <c r="M131" i="14"/>
  <c r="K131" i="14"/>
  <c r="I131" i="14"/>
  <c r="G131" i="14"/>
  <c r="E131" i="14"/>
  <c r="C131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C102" i="14"/>
  <c r="S99" i="14"/>
  <c r="Q99" i="14"/>
  <c r="O99" i="14"/>
  <c r="M99" i="14"/>
  <c r="K99" i="14"/>
  <c r="I99" i="14"/>
  <c r="G99" i="14"/>
  <c r="E99" i="14"/>
  <c r="C99" i="14"/>
  <c r="S98" i="14"/>
  <c r="Q98" i="14"/>
  <c r="O98" i="14"/>
  <c r="M98" i="14"/>
  <c r="K98" i="14"/>
  <c r="I98" i="14"/>
  <c r="G98" i="14"/>
  <c r="E98" i="14"/>
  <c r="C98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C69" i="14"/>
  <c r="S66" i="14"/>
  <c r="Q66" i="14"/>
  <c r="O66" i="14"/>
  <c r="M66" i="14"/>
  <c r="K66" i="14"/>
  <c r="I66" i="14"/>
  <c r="G66" i="14"/>
  <c r="E66" i="14"/>
  <c r="C66" i="14"/>
  <c r="S65" i="14"/>
  <c r="Q65" i="14"/>
  <c r="O65" i="14"/>
  <c r="M65" i="14"/>
  <c r="K65" i="14"/>
  <c r="I65" i="14"/>
  <c r="G65" i="14"/>
  <c r="E65" i="14"/>
  <c r="C65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S33" i="14"/>
  <c r="Q33" i="14"/>
  <c r="O33" i="14"/>
  <c r="M33" i="14"/>
  <c r="K33" i="14"/>
  <c r="I33" i="14"/>
  <c r="G33" i="14"/>
  <c r="E33" i="14"/>
  <c r="C33" i="14"/>
  <c r="S32" i="14"/>
  <c r="Q32" i="14"/>
  <c r="O32" i="14"/>
  <c r="M32" i="14"/>
  <c r="K32" i="14"/>
  <c r="I32" i="14"/>
  <c r="G32" i="14"/>
  <c r="E32" i="14"/>
  <c r="C32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S138" i="13"/>
  <c r="Q138" i="13"/>
  <c r="O138" i="13"/>
  <c r="M138" i="13"/>
  <c r="K138" i="13"/>
  <c r="I138" i="13"/>
  <c r="G138" i="13"/>
  <c r="E138" i="13"/>
  <c r="C138" i="13"/>
  <c r="S137" i="13"/>
  <c r="Q137" i="13"/>
  <c r="O137" i="13"/>
  <c r="M137" i="13"/>
  <c r="K137" i="13"/>
  <c r="I137" i="13"/>
  <c r="G137" i="13"/>
  <c r="E137" i="13"/>
  <c r="C137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C108" i="13"/>
  <c r="S105" i="13"/>
  <c r="Q105" i="13"/>
  <c r="O105" i="13"/>
  <c r="M105" i="13"/>
  <c r="K105" i="13"/>
  <c r="I105" i="13"/>
  <c r="G105" i="13"/>
  <c r="E105" i="13"/>
  <c r="C105" i="13"/>
  <c r="S104" i="13"/>
  <c r="Q104" i="13"/>
  <c r="O104" i="13"/>
  <c r="M104" i="13"/>
  <c r="K104" i="13"/>
  <c r="I104" i="13"/>
  <c r="G104" i="13"/>
  <c r="E104" i="13"/>
  <c r="C104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C73" i="13"/>
  <c r="S70" i="13"/>
  <c r="Q70" i="13"/>
  <c r="O70" i="13"/>
  <c r="M70" i="13"/>
  <c r="K70" i="13"/>
  <c r="I70" i="13"/>
  <c r="G70" i="13"/>
  <c r="E70" i="13"/>
  <c r="C70" i="13"/>
  <c r="S69" i="13"/>
  <c r="Q69" i="13"/>
  <c r="O69" i="13"/>
  <c r="M69" i="13"/>
  <c r="K69" i="13"/>
  <c r="I69" i="13"/>
  <c r="G69" i="13"/>
  <c r="E69" i="13"/>
  <c r="C69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C38" i="13"/>
  <c r="S35" i="13"/>
  <c r="Q35" i="13"/>
  <c r="O35" i="13"/>
  <c r="M35" i="13"/>
  <c r="K35" i="13"/>
  <c r="I35" i="13"/>
  <c r="G35" i="13"/>
  <c r="E35" i="13"/>
  <c r="C35" i="13"/>
  <c r="S34" i="13"/>
  <c r="Q34" i="13"/>
  <c r="O34" i="13"/>
  <c r="M34" i="13"/>
  <c r="K34" i="13"/>
  <c r="I34" i="13"/>
  <c r="G34" i="13"/>
  <c r="E34" i="13"/>
  <c r="C34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S132" i="12"/>
  <c r="Q132" i="12"/>
  <c r="O132" i="12"/>
  <c r="M132" i="12"/>
  <c r="K132" i="12"/>
  <c r="I132" i="12"/>
  <c r="G132" i="12"/>
  <c r="E132" i="12"/>
  <c r="C132" i="12"/>
  <c r="S131" i="12"/>
  <c r="Q131" i="12"/>
  <c r="O131" i="12"/>
  <c r="M131" i="12"/>
  <c r="K131" i="12"/>
  <c r="I131" i="12"/>
  <c r="G131" i="12"/>
  <c r="E131" i="12"/>
  <c r="C131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C102" i="12"/>
  <c r="S99" i="12"/>
  <c r="Q99" i="12"/>
  <c r="O99" i="12"/>
  <c r="M99" i="12"/>
  <c r="K99" i="12"/>
  <c r="I99" i="12"/>
  <c r="G99" i="12"/>
  <c r="E99" i="12"/>
  <c r="C99" i="12"/>
  <c r="S98" i="12"/>
  <c r="Q98" i="12"/>
  <c r="O98" i="12"/>
  <c r="M98" i="12"/>
  <c r="K98" i="12"/>
  <c r="I98" i="12"/>
  <c r="G98" i="12"/>
  <c r="E98" i="12"/>
  <c r="C98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C69" i="12"/>
  <c r="S66" i="12"/>
  <c r="Q66" i="12"/>
  <c r="O66" i="12"/>
  <c r="M66" i="12"/>
  <c r="K66" i="12"/>
  <c r="I66" i="12"/>
  <c r="G66" i="12"/>
  <c r="E66" i="12"/>
  <c r="C66" i="12"/>
  <c r="S65" i="12"/>
  <c r="Q65" i="12"/>
  <c r="O65" i="12"/>
  <c r="M65" i="12"/>
  <c r="K65" i="12"/>
  <c r="I65" i="12"/>
  <c r="G65" i="12"/>
  <c r="E65" i="12"/>
  <c r="C65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C36" i="12"/>
  <c r="S33" i="12"/>
  <c r="Q33" i="12"/>
  <c r="O33" i="12"/>
  <c r="M33" i="12"/>
  <c r="K33" i="12"/>
  <c r="I33" i="12"/>
  <c r="G33" i="12"/>
  <c r="E33" i="12"/>
  <c r="C33" i="12"/>
  <c r="S32" i="12"/>
  <c r="Q32" i="12"/>
  <c r="O32" i="12"/>
  <c r="M32" i="12"/>
  <c r="K32" i="12"/>
  <c r="I32" i="12"/>
  <c r="G32" i="12"/>
  <c r="E32" i="12"/>
  <c r="C32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S263" i="11" l="1"/>
  <c r="R263" i="11"/>
  <c r="P263" i="11"/>
  <c r="O263" i="11"/>
  <c r="M263" i="11"/>
  <c r="L263" i="11"/>
  <c r="J263" i="11"/>
  <c r="I263" i="11"/>
  <c r="G263" i="11"/>
  <c r="F263" i="11"/>
  <c r="D263" i="11"/>
  <c r="C263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S230" i="11"/>
  <c r="R230" i="11"/>
  <c r="P230" i="11"/>
  <c r="O230" i="11"/>
  <c r="M230" i="11"/>
  <c r="L230" i="11"/>
  <c r="J230" i="11"/>
  <c r="I230" i="11"/>
  <c r="G230" i="11"/>
  <c r="F230" i="11"/>
  <c r="D230" i="11"/>
  <c r="C230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S197" i="11"/>
  <c r="R197" i="11"/>
  <c r="P197" i="11"/>
  <c r="O197" i="11"/>
  <c r="M197" i="11"/>
  <c r="L197" i="11"/>
  <c r="J197" i="11"/>
  <c r="I197" i="11"/>
  <c r="G197" i="11"/>
  <c r="F197" i="11"/>
  <c r="D197" i="11"/>
  <c r="C197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S164" i="11"/>
  <c r="R164" i="11"/>
  <c r="P164" i="11"/>
  <c r="O164" i="11"/>
  <c r="M164" i="11"/>
  <c r="L164" i="11"/>
  <c r="J164" i="11"/>
  <c r="I164" i="11"/>
  <c r="G164" i="11"/>
  <c r="F164" i="11"/>
  <c r="D164" i="11"/>
  <c r="C164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S131" i="11"/>
  <c r="R131" i="11"/>
  <c r="P131" i="11"/>
  <c r="O131" i="11"/>
  <c r="M131" i="11"/>
  <c r="L131" i="11"/>
  <c r="J131" i="11"/>
  <c r="I131" i="11"/>
  <c r="G131" i="11"/>
  <c r="F131" i="11"/>
  <c r="D131" i="11"/>
  <c r="C131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S98" i="11"/>
  <c r="R98" i="11"/>
  <c r="P98" i="11"/>
  <c r="O98" i="11"/>
  <c r="M98" i="11"/>
  <c r="L98" i="11"/>
  <c r="J98" i="11"/>
  <c r="I98" i="11"/>
  <c r="G98" i="11"/>
  <c r="F98" i="11"/>
  <c r="D98" i="11"/>
  <c r="C98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S65" i="11"/>
  <c r="R65" i="11"/>
  <c r="P65" i="11"/>
  <c r="O65" i="11"/>
  <c r="M65" i="11"/>
  <c r="L65" i="11"/>
  <c r="J65" i="11"/>
  <c r="I65" i="11"/>
  <c r="G65" i="11"/>
  <c r="F65" i="11"/>
  <c r="D65" i="11"/>
  <c r="C65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S32" i="11"/>
  <c r="R32" i="11"/>
  <c r="P32" i="11"/>
  <c r="O32" i="11"/>
  <c r="M32" i="11"/>
  <c r="L32" i="11"/>
  <c r="J32" i="11"/>
  <c r="I32" i="11"/>
  <c r="G32" i="11"/>
  <c r="F32" i="11"/>
  <c r="D32" i="11"/>
  <c r="C32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S198" i="10"/>
  <c r="Q198" i="10"/>
  <c r="O198" i="10"/>
  <c r="M198" i="10"/>
  <c r="K198" i="10"/>
  <c r="I198" i="10"/>
  <c r="G198" i="10"/>
  <c r="E198" i="10"/>
  <c r="C198" i="10"/>
  <c r="S197" i="10"/>
  <c r="Q197" i="10"/>
  <c r="O197" i="10"/>
  <c r="M197" i="10"/>
  <c r="K197" i="10"/>
  <c r="I197" i="10"/>
  <c r="G197" i="10"/>
  <c r="E197" i="10"/>
  <c r="C197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S165" i="10"/>
  <c r="Q165" i="10"/>
  <c r="O165" i="10"/>
  <c r="M165" i="10"/>
  <c r="K165" i="10"/>
  <c r="I165" i="10"/>
  <c r="G165" i="10"/>
  <c r="E165" i="10"/>
  <c r="C165" i="10"/>
  <c r="S164" i="10"/>
  <c r="Q164" i="10"/>
  <c r="O164" i="10"/>
  <c r="M164" i="10"/>
  <c r="K164" i="10"/>
  <c r="I164" i="10"/>
  <c r="G164" i="10"/>
  <c r="E164" i="10"/>
  <c r="C164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S132" i="10"/>
  <c r="Q132" i="10"/>
  <c r="O132" i="10"/>
  <c r="M132" i="10"/>
  <c r="K132" i="10"/>
  <c r="I132" i="10"/>
  <c r="G132" i="10"/>
  <c r="E132" i="10"/>
  <c r="C132" i="10"/>
  <c r="S131" i="10"/>
  <c r="Q131" i="10"/>
  <c r="O131" i="10"/>
  <c r="M131" i="10"/>
  <c r="K131" i="10"/>
  <c r="I131" i="10"/>
  <c r="G131" i="10"/>
  <c r="E131" i="10"/>
  <c r="C131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C102" i="10"/>
  <c r="S99" i="10"/>
  <c r="Q99" i="10"/>
  <c r="O99" i="10"/>
  <c r="M99" i="10"/>
  <c r="K99" i="10"/>
  <c r="I99" i="10"/>
  <c r="G99" i="10"/>
  <c r="E99" i="10"/>
  <c r="C99" i="10"/>
  <c r="S98" i="10"/>
  <c r="Q98" i="10"/>
  <c r="O98" i="10"/>
  <c r="M98" i="10"/>
  <c r="K98" i="10"/>
  <c r="I98" i="10"/>
  <c r="G98" i="10"/>
  <c r="E98" i="10"/>
  <c r="C98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C69" i="10"/>
  <c r="C168" i="10" s="1"/>
  <c r="S66" i="10"/>
  <c r="Q66" i="10"/>
  <c r="O66" i="10"/>
  <c r="M66" i="10"/>
  <c r="K66" i="10"/>
  <c r="I66" i="10"/>
  <c r="G66" i="10"/>
  <c r="E66" i="10"/>
  <c r="C66" i="10"/>
  <c r="S65" i="10"/>
  <c r="Q65" i="10"/>
  <c r="O65" i="10"/>
  <c r="M65" i="10"/>
  <c r="K65" i="10"/>
  <c r="I65" i="10"/>
  <c r="G65" i="10"/>
  <c r="E65" i="10"/>
  <c r="C65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C36" i="10"/>
  <c r="C135" i="10" s="1"/>
  <c r="S33" i="10"/>
  <c r="Q33" i="10"/>
  <c r="O33" i="10"/>
  <c r="M33" i="10"/>
  <c r="K33" i="10"/>
  <c r="I33" i="10"/>
  <c r="G33" i="10"/>
  <c r="E33" i="10"/>
  <c r="C33" i="10"/>
  <c r="S32" i="10"/>
  <c r="Q32" i="10"/>
  <c r="O32" i="10"/>
  <c r="M32" i="10"/>
  <c r="K32" i="10"/>
  <c r="I32" i="10"/>
  <c r="G32" i="10"/>
  <c r="E32" i="10"/>
  <c r="C32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S132" i="9"/>
  <c r="Q132" i="9"/>
  <c r="O132" i="9"/>
  <c r="M132" i="9"/>
  <c r="K132" i="9"/>
  <c r="I132" i="9"/>
  <c r="G132" i="9"/>
  <c r="E132" i="9"/>
  <c r="C132" i="9"/>
  <c r="S131" i="9"/>
  <c r="Q131" i="9"/>
  <c r="O131" i="9"/>
  <c r="M131" i="9"/>
  <c r="K131" i="9"/>
  <c r="I131" i="9"/>
  <c r="G131" i="9"/>
  <c r="E131" i="9"/>
  <c r="C131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C102" i="9"/>
  <c r="S99" i="9"/>
  <c r="Q99" i="9"/>
  <c r="O99" i="9"/>
  <c r="M99" i="9"/>
  <c r="K99" i="9"/>
  <c r="I99" i="9"/>
  <c r="G99" i="9"/>
  <c r="E99" i="9"/>
  <c r="C99" i="9"/>
  <c r="S98" i="9"/>
  <c r="Q98" i="9"/>
  <c r="O98" i="9"/>
  <c r="M98" i="9"/>
  <c r="K98" i="9"/>
  <c r="I98" i="9"/>
  <c r="G98" i="9"/>
  <c r="E98" i="9"/>
  <c r="C98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C69" i="9"/>
  <c r="S66" i="9"/>
  <c r="Q66" i="9"/>
  <c r="O66" i="9"/>
  <c r="M66" i="9"/>
  <c r="K66" i="9"/>
  <c r="I66" i="9"/>
  <c r="G66" i="9"/>
  <c r="E66" i="9"/>
  <c r="C66" i="9"/>
  <c r="S65" i="9"/>
  <c r="Q65" i="9"/>
  <c r="O65" i="9"/>
  <c r="M65" i="9"/>
  <c r="K65" i="9"/>
  <c r="I65" i="9"/>
  <c r="G65" i="9"/>
  <c r="E65" i="9"/>
  <c r="C65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C36" i="9"/>
  <c r="S33" i="9"/>
  <c r="Q33" i="9"/>
  <c r="O33" i="9"/>
  <c r="M33" i="9"/>
  <c r="K33" i="9"/>
  <c r="I33" i="9"/>
  <c r="G33" i="9"/>
  <c r="E33" i="9"/>
  <c r="C33" i="9"/>
  <c r="S32" i="9"/>
  <c r="Q32" i="9"/>
  <c r="O32" i="9"/>
  <c r="M32" i="9"/>
  <c r="K32" i="9"/>
  <c r="I32" i="9"/>
  <c r="G32" i="9"/>
  <c r="E32" i="9"/>
  <c r="C32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J33" i="8"/>
  <c r="J32" i="8"/>
  <c r="J31" i="8"/>
  <c r="J30" i="8"/>
  <c r="AT29" i="8"/>
  <c r="AP29" i="8"/>
  <c r="AO29" i="8" s="1"/>
  <c r="AN29" i="8"/>
  <c r="AM29" i="8" s="1"/>
  <c r="AL29" i="8"/>
  <c r="AK29" i="8" s="1"/>
  <c r="AJ29" i="8"/>
  <c r="AI29" i="8" s="1"/>
  <c r="AH29" i="8"/>
  <c r="AG29" i="8"/>
  <c r="AE29" i="8"/>
  <c r="AB29" i="8"/>
  <c r="AA29" i="8" s="1"/>
  <c r="Y29" i="8"/>
  <c r="X29" i="8"/>
  <c r="W29" i="8" s="1"/>
  <c r="U29" i="8"/>
  <c r="T29" i="8"/>
  <c r="S29" i="8" s="1"/>
  <c r="R29" i="8"/>
  <c r="Q29" i="8"/>
  <c r="P29" i="8"/>
  <c r="N29" i="8"/>
  <c r="M29" i="8" s="1"/>
  <c r="K29" i="8"/>
  <c r="I29" i="8"/>
  <c r="F29" i="8"/>
  <c r="D29" i="8"/>
  <c r="C29" i="8" s="1"/>
  <c r="AP28" i="8"/>
  <c r="AO28" i="8" s="1"/>
  <c r="AN28" i="8"/>
  <c r="AM28" i="8"/>
  <c r="AL28" i="8"/>
  <c r="AK28" i="8" s="1"/>
  <c r="AJ28" i="8"/>
  <c r="AI28" i="8" s="1"/>
  <c r="AH28" i="8"/>
  <c r="AG28" i="8"/>
  <c r="AE28" i="8"/>
  <c r="AB28" i="8"/>
  <c r="AA28" i="8" s="1"/>
  <c r="Y28" i="8"/>
  <c r="X28" i="8"/>
  <c r="W28" i="8" s="1"/>
  <c r="U28" i="8"/>
  <c r="T28" i="8"/>
  <c r="S28" i="8" s="1"/>
  <c r="R28" i="8"/>
  <c r="Q28" i="8"/>
  <c r="P28" i="8"/>
  <c r="N28" i="8"/>
  <c r="M28" i="8" s="1"/>
  <c r="K28" i="8"/>
  <c r="I28" i="8"/>
  <c r="F28" i="8"/>
  <c r="D28" i="8"/>
  <c r="C28" i="8" s="1"/>
  <c r="AT27" i="8"/>
  <c r="AP27" i="8"/>
  <c r="AO27" i="8" s="1"/>
  <c r="AN27" i="8"/>
  <c r="AM27" i="8" s="1"/>
  <c r="AL27" i="8"/>
  <c r="AK27" i="8" s="1"/>
  <c r="AJ27" i="8"/>
  <c r="AI27" i="8"/>
  <c r="AH27" i="8"/>
  <c r="AG27" i="8"/>
  <c r="AE27" i="8"/>
  <c r="AB27" i="8"/>
  <c r="AA27" i="8" s="1"/>
  <c r="Y27" i="8"/>
  <c r="X27" i="8"/>
  <c r="W27" i="8" s="1"/>
  <c r="U27" i="8"/>
  <c r="T27" i="8"/>
  <c r="S27" i="8"/>
  <c r="R27" i="8"/>
  <c r="Q27" i="8"/>
  <c r="P27" i="8"/>
  <c r="N27" i="8"/>
  <c r="M27" i="8" s="1"/>
  <c r="K27" i="8"/>
  <c r="I27" i="8"/>
  <c r="F27" i="8"/>
  <c r="D27" i="8"/>
  <c r="C27" i="8" s="1"/>
  <c r="AT26" i="8"/>
  <c r="AP26" i="8"/>
  <c r="AO26" i="8" s="1"/>
  <c r="AN26" i="8"/>
  <c r="AM26" i="8" s="1"/>
  <c r="AL26" i="8"/>
  <c r="AK26" i="8"/>
  <c r="AJ26" i="8"/>
  <c r="AI26" i="8"/>
  <c r="AH26" i="8"/>
  <c r="AG26" i="8"/>
  <c r="AE26" i="8"/>
  <c r="AB26" i="8"/>
  <c r="AA26" i="8" s="1"/>
  <c r="Y26" i="8"/>
  <c r="X26" i="8"/>
  <c r="W26" i="8" s="1"/>
  <c r="U26" i="8"/>
  <c r="T26" i="8"/>
  <c r="S26" i="8" s="1"/>
  <c r="R26" i="8"/>
  <c r="Q26" i="8"/>
  <c r="P26" i="8"/>
  <c r="N26" i="8"/>
  <c r="M26" i="8" s="1"/>
  <c r="K26" i="8"/>
  <c r="I26" i="8"/>
  <c r="F26" i="8"/>
  <c r="D26" i="8"/>
  <c r="C26" i="8" s="1"/>
  <c r="AT25" i="8"/>
  <c r="AP25" i="8"/>
  <c r="AO25" i="8" s="1"/>
  <c r="AN25" i="8"/>
  <c r="AM25" i="8" s="1"/>
  <c r="AL25" i="8"/>
  <c r="AK25" i="8" s="1"/>
  <c r="AJ25" i="8"/>
  <c r="AI25" i="8" s="1"/>
  <c r="AH25" i="8"/>
  <c r="AG25" i="8"/>
  <c r="AE25" i="8"/>
  <c r="AB25" i="8"/>
  <c r="AA25" i="8" s="1"/>
  <c r="Y25" i="8"/>
  <c r="X25" i="8"/>
  <c r="W25" i="8" s="1"/>
  <c r="U25" i="8"/>
  <c r="T25" i="8"/>
  <c r="S25" i="8" s="1"/>
  <c r="R25" i="8"/>
  <c r="Q25" i="8"/>
  <c r="P25" i="8"/>
  <c r="N25" i="8"/>
  <c r="M25" i="8" s="1"/>
  <c r="K25" i="8"/>
  <c r="I25" i="8"/>
  <c r="F25" i="8"/>
  <c r="D25" i="8"/>
  <c r="C25" i="8" s="1"/>
  <c r="AT24" i="8"/>
  <c r="AP24" i="8"/>
  <c r="AO24" i="8" s="1"/>
  <c r="AN24" i="8"/>
  <c r="AM24" i="8" s="1"/>
  <c r="AL24" i="8"/>
  <c r="AK24" i="8" s="1"/>
  <c r="AJ24" i="8"/>
  <c r="AI24" i="8" s="1"/>
  <c r="AH24" i="8"/>
  <c r="AG24" i="8"/>
  <c r="AE24" i="8"/>
  <c r="AB24" i="8"/>
  <c r="AA24" i="8" s="1"/>
  <c r="Y24" i="8"/>
  <c r="X24" i="8"/>
  <c r="W24" i="8" s="1"/>
  <c r="U24" i="8"/>
  <c r="T24" i="8"/>
  <c r="S24" i="8" s="1"/>
  <c r="R24" i="8"/>
  <c r="Q24" i="8"/>
  <c r="P24" i="8"/>
  <c r="N24" i="8"/>
  <c r="M24" i="8" s="1"/>
  <c r="K24" i="8"/>
  <c r="I24" i="8"/>
  <c r="F24" i="8"/>
  <c r="D24" i="8"/>
  <c r="C24" i="8"/>
  <c r="AT23" i="8"/>
  <c r="AP23" i="8"/>
  <c r="AO23" i="8" s="1"/>
  <c r="AN23" i="8"/>
  <c r="AM23" i="8" s="1"/>
  <c r="AL23" i="8"/>
  <c r="AK23" i="8" s="1"/>
  <c r="AJ23" i="8"/>
  <c r="AI23" i="8" s="1"/>
  <c r="AH23" i="8"/>
  <c r="AG23" i="8"/>
  <c r="AE23" i="8"/>
  <c r="AB23" i="8"/>
  <c r="AA23" i="8" s="1"/>
  <c r="Y23" i="8"/>
  <c r="X23" i="8"/>
  <c r="W23" i="8" s="1"/>
  <c r="U23" i="8"/>
  <c r="T23" i="8"/>
  <c r="S23" i="8" s="1"/>
  <c r="R23" i="8"/>
  <c r="Q23" i="8"/>
  <c r="P23" i="8"/>
  <c r="N23" i="8"/>
  <c r="M23" i="8" s="1"/>
  <c r="K23" i="8"/>
  <c r="I23" i="8"/>
  <c r="F23" i="8"/>
  <c r="D23" i="8"/>
  <c r="C23" i="8" s="1"/>
  <c r="AP22" i="8"/>
  <c r="AO22" i="8" s="1"/>
  <c r="AN22" i="8"/>
  <c r="AM22" i="8" s="1"/>
  <c r="AL22" i="8"/>
  <c r="AK22" i="8" s="1"/>
  <c r="AJ22" i="8"/>
  <c r="AI22" i="8" s="1"/>
  <c r="AH22" i="8"/>
  <c r="AG22" i="8"/>
  <c r="AE22" i="8"/>
  <c r="AB22" i="8"/>
  <c r="AA22" i="8" s="1"/>
  <c r="Y22" i="8"/>
  <c r="X22" i="8"/>
  <c r="W22" i="8" s="1"/>
  <c r="U22" i="8"/>
  <c r="T22" i="8"/>
  <c r="S22" i="8" s="1"/>
  <c r="R22" i="8"/>
  <c r="Q22" i="8"/>
  <c r="P22" i="8"/>
  <c r="N22" i="8"/>
  <c r="M22" i="8" s="1"/>
  <c r="K22" i="8"/>
  <c r="I22" i="8"/>
  <c r="F22" i="8"/>
  <c r="D22" i="8"/>
  <c r="C22" i="8" s="1"/>
  <c r="AT21" i="8"/>
  <c r="AP21" i="8"/>
  <c r="AO21" i="8" s="1"/>
  <c r="AN21" i="8"/>
  <c r="AM21" i="8" s="1"/>
  <c r="AL21" i="8"/>
  <c r="AK21" i="8" s="1"/>
  <c r="AJ21" i="8"/>
  <c r="AI21" i="8" s="1"/>
  <c r="AH21" i="8"/>
  <c r="AG21" i="8"/>
  <c r="AE21" i="8"/>
  <c r="AB21" i="8"/>
  <c r="AA21" i="8" s="1"/>
  <c r="Y21" i="8"/>
  <c r="X21" i="8"/>
  <c r="W21" i="8" s="1"/>
  <c r="U21" i="8"/>
  <c r="T21" i="8"/>
  <c r="S21" i="8" s="1"/>
  <c r="R21" i="8"/>
  <c r="Q21" i="8"/>
  <c r="P21" i="8"/>
  <c r="N21" i="8"/>
  <c r="M21" i="8" s="1"/>
  <c r="K21" i="8"/>
  <c r="I21" i="8"/>
  <c r="F21" i="8"/>
  <c r="D21" i="8"/>
  <c r="C21" i="8" s="1"/>
  <c r="AT20" i="8"/>
  <c r="AP20" i="8"/>
  <c r="AO20" i="8" s="1"/>
  <c r="AN20" i="8"/>
  <c r="AM20" i="8"/>
  <c r="AL20" i="8"/>
  <c r="AK20" i="8" s="1"/>
  <c r="AJ20" i="8"/>
  <c r="AI20" i="8" s="1"/>
  <c r="AH20" i="8"/>
  <c r="AG20" i="8"/>
  <c r="AE20" i="8"/>
  <c r="AB20" i="8"/>
  <c r="AA20" i="8" s="1"/>
  <c r="Y20" i="8"/>
  <c r="X20" i="8"/>
  <c r="W20" i="8" s="1"/>
  <c r="U20" i="8"/>
  <c r="T20" i="8"/>
  <c r="S20" i="8" s="1"/>
  <c r="R20" i="8"/>
  <c r="Q20" i="8"/>
  <c r="P20" i="8"/>
  <c r="N20" i="8"/>
  <c r="M20" i="8" s="1"/>
  <c r="K20" i="8"/>
  <c r="I20" i="8"/>
  <c r="F20" i="8"/>
  <c r="E20" i="8" s="1"/>
  <c r="D20" i="8"/>
  <c r="C20" i="8" s="1"/>
  <c r="AP19" i="8"/>
  <c r="AO19" i="8" s="1"/>
  <c r="AN19" i="8"/>
  <c r="AM19" i="8"/>
  <c r="AL19" i="8"/>
  <c r="AK19" i="8" s="1"/>
  <c r="AJ19" i="8"/>
  <c r="AI19" i="8" s="1"/>
  <c r="AH19" i="8"/>
  <c r="AG19" i="8"/>
  <c r="AE19" i="8"/>
  <c r="AB19" i="8"/>
  <c r="AA19" i="8" s="1"/>
  <c r="Y19" i="8"/>
  <c r="X19" i="8"/>
  <c r="W19" i="8" s="1"/>
  <c r="U19" i="8"/>
  <c r="T19" i="8"/>
  <c r="S19" i="8" s="1"/>
  <c r="R19" i="8"/>
  <c r="Q19" i="8"/>
  <c r="P19" i="8"/>
  <c r="N19" i="8"/>
  <c r="M19" i="8" s="1"/>
  <c r="K19" i="8"/>
  <c r="I19" i="8"/>
  <c r="F19" i="8"/>
  <c r="D19" i="8"/>
  <c r="C19" i="8" s="1"/>
  <c r="AP18" i="8"/>
  <c r="AO18" i="8" s="1"/>
  <c r="AN18" i="8"/>
  <c r="AM18" i="8" s="1"/>
  <c r="AL18" i="8"/>
  <c r="AK18" i="8" s="1"/>
  <c r="AJ18" i="8"/>
  <c r="AI18" i="8" s="1"/>
  <c r="AH18" i="8"/>
  <c r="AG18" i="8"/>
  <c r="AE18" i="8"/>
  <c r="AB18" i="8"/>
  <c r="AA18" i="8" s="1"/>
  <c r="Y18" i="8"/>
  <c r="X18" i="8"/>
  <c r="W18" i="8" s="1"/>
  <c r="U18" i="8"/>
  <c r="T18" i="8"/>
  <c r="S18" i="8" s="1"/>
  <c r="R18" i="8"/>
  <c r="Q18" i="8"/>
  <c r="P18" i="8"/>
  <c r="N18" i="8"/>
  <c r="M18" i="8" s="1"/>
  <c r="K18" i="8"/>
  <c r="I18" i="8"/>
  <c r="F18" i="8"/>
  <c r="D18" i="8"/>
  <c r="C18" i="8" s="1"/>
  <c r="AT17" i="8"/>
  <c r="AP17" i="8"/>
  <c r="AO17" i="8" s="1"/>
  <c r="AN17" i="8"/>
  <c r="AL17" i="8"/>
  <c r="AK17" i="8" s="1"/>
  <c r="AJ17" i="8"/>
  <c r="AI17" i="8" s="1"/>
  <c r="AH17" i="8"/>
  <c r="AG17" i="8"/>
  <c r="AE17" i="8"/>
  <c r="AB17" i="8"/>
  <c r="AA17" i="8" s="1"/>
  <c r="Y17" i="8"/>
  <c r="X17" i="8"/>
  <c r="W17" i="8" s="1"/>
  <c r="U17" i="8"/>
  <c r="T17" i="8"/>
  <c r="S17" i="8" s="1"/>
  <c r="R17" i="8"/>
  <c r="Q17" i="8"/>
  <c r="P17" i="8"/>
  <c r="N17" i="8"/>
  <c r="M17" i="8" s="1"/>
  <c r="K17" i="8"/>
  <c r="I17" i="8"/>
  <c r="F17" i="8"/>
  <c r="D17" i="8"/>
  <c r="C17" i="8" s="1"/>
  <c r="AT16" i="8"/>
  <c r="AP16" i="8"/>
  <c r="AO16" i="8" s="1"/>
  <c r="AN16" i="8"/>
  <c r="AM16" i="8" s="1"/>
  <c r="AL16" i="8"/>
  <c r="AK16" i="8"/>
  <c r="AJ16" i="8"/>
  <c r="AI16" i="8" s="1"/>
  <c r="AH16" i="8"/>
  <c r="AG16" i="8"/>
  <c r="AE16" i="8"/>
  <c r="AB16" i="8"/>
  <c r="AA16" i="8" s="1"/>
  <c r="Y16" i="8"/>
  <c r="X16" i="8"/>
  <c r="W16" i="8" s="1"/>
  <c r="U16" i="8"/>
  <c r="T16" i="8"/>
  <c r="S16" i="8" s="1"/>
  <c r="R16" i="8"/>
  <c r="Q16" i="8"/>
  <c r="P16" i="8"/>
  <c r="N16" i="8"/>
  <c r="M16" i="8" s="1"/>
  <c r="K16" i="8"/>
  <c r="I16" i="8"/>
  <c r="F16" i="8"/>
  <c r="D16" i="8"/>
  <c r="C16" i="8" s="1"/>
  <c r="AT15" i="8"/>
  <c r="AP15" i="8"/>
  <c r="AO15" i="8" s="1"/>
  <c r="AN15" i="8"/>
  <c r="AM15" i="8" s="1"/>
  <c r="AL15" i="8"/>
  <c r="AK15" i="8" s="1"/>
  <c r="AJ15" i="8"/>
  <c r="AI15" i="8" s="1"/>
  <c r="AH15" i="8"/>
  <c r="AG15" i="8"/>
  <c r="AE15" i="8"/>
  <c r="AB15" i="8"/>
  <c r="AA15" i="8" s="1"/>
  <c r="Y15" i="8"/>
  <c r="X15" i="8"/>
  <c r="W15" i="8" s="1"/>
  <c r="U15" i="8"/>
  <c r="T15" i="8"/>
  <c r="S15" i="8" s="1"/>
  <c r="R15" i="8"/>
  <c r="Q15" i="8"/>
  <c r="P15" i="8"/>
  <c r="N15" i="8"/>
  <c r="M15" i="8" s="1"/>
  <c r="K15" i="8"/>
  <c r="I15" i="8"/>
  <c r="F15" i="8"/>
  <c r="D15" i="8"/>
  <c r="C15" i="8" s="1"/>
  <c r="AT14" i="8"/>
  <c r="AP14" i="8"/>
  <c r="AO14" i="8" s="1"/>
  <c r="AN14" i="8"/>
  <c r="AM14" i="8" s="1"/>
  <c r="AL14" i="8"/>
  <c r="AK14" i="8" s="1"/>
  <c r="AJ14" i="8"/>
  <c r="AI14" i="8" s="1"/>
  <c r="AH14" i="8"/>
  <c r="AG14" i="8"/>
  <c r="AE14" i="8"/>
  <c r="AB14" i="8"/>
  <c r="AA14" i="8" s="1"/>
  <c r="Y14" i="8"/>
  <c r="X14" i="8"/>
  <c r="W14" i="8" s="1"/>
  <c r="U14" i="8"/>
  <c r="T14" i="8"/>
  <c r="S14" i="8" s="1"/>
  <c r="R14" i="8"/>
  <c r="Q14" i="8"/>
  <c r="P14" i="8"/>
  <c r="N14" i="8"/>
  <c r="M14" i="8"/>
  <c r="K14" i="8"/>
  <c r="I14" i="8"/>
  <c r="F14" i="8"/>
  <c r="D14" i="8"/>
  <c r="C14" i="8" s="1"/>
  <c r="AT13" i="8"/>
  <c r="AP13" i="8"/>
  <c r="AO13" i="8" s="1"/>
  <c r="AN13" i="8"/>
  <c r="AM13" i="8" s="1"/>
  <c r="AL13" i="8"/>
  <c r="AK13" i="8" s="1"/>
  <c r="AJ13" i="8"/>
  <c r="AI13" i="8" s="1"/>
  <c r="AH13" i="8"/>
  <c r="AG13" i="8"/>
  <c r="AE13" i="8"/>
  <c r="AB13" i="8"/>
  <c r="AA13" i="8" s="1"/>
  <c r="Y13" i="8"/>
  <c r="X13" i="8"/>
  <c r="W13" i="8" s="1"/>
  <c r="U13" i="8"/>
  <c r="T13" i="8"/>
  <c r="S13" i="8" s="1"/>
  <c r="R13" i="8"/>
  <c r="Q13" i="8"/>
  <c r="P13" i="8"/>
  <c r="N13" i="8"/>
  <c r="M13" i="8" s="1"/>
  <c r="K13" i="8"/>
  <c r="I13" i="8"/>
  <c r="F13" i="8"/>
  <c r="D13" i="8"/>
  <c r="C13" i="8" s="1"/>
  <c r="AT12" i="8"/>
  <c r="AP12" i="8"/>
  <c r="AO12" i="8" s="1"/>
  <c r="AN12" i="8"/>
  <c r="AM12" i="8" s="1"/>
  <c r="AL12" i="8"/>
  <c r="AK12" i="8" s="1"/>
  <c r="AJ12" i="8"/>
  <c r="AI12" i="8" s="1"/>
  <c r="AH12" i="8"/>
  <c r="AG12" i="8"/>
  <c r="AE12" i="8"/>
  <c r="AB12" i="8"/>
  <c r="AA12" i="8" s="1"/>
  <c r="Y12" i="8"/>
  <c r="X12" i="8"/>
  <c r="W12" i="8" s="1"/>
  <c r="U12" i="8"/>
  <c r="T12" i="8"/>
  <c r="S12" i="8" s="1"/>
  <c r="R12" i="8"/>
  <c r="Q12" i="8"/>
  <c r="P12" i="8"/>
  <c r="N12" i="8"/>
  <c r="M12" i="8" s="1"/>
  <c r="K12" i="8"/>
  <c r="I12" i="8"/>
  <c r="F12" i="8"/>
  <c r="D12" i="8"/>
  <c r="C12" i="8" s="1"/>
  <c r="AT11" i="8"/>
  <c r="AP11" i="8"/>
  <c r="AO11" i="8" s="1"/>
  <c r="AN11" i="8"/>
  <c r="AL11" i="8"/>
  <c r="AK11" i="8" s="1"/>
  <c r="AJ11" i="8"/>
  <c r="AI11" i="8" s="1"/>
  <c r="AH11" i="8"/>
  <c r="AG11" i="8"/>
  <c r="AE11" i="8"/>
  <c r="AB11" i="8"/>
  <c r="AA11" i="8" s="1"/>
  <c r="Y11" i="8"/>
  <c r="X11" i="8"/>
  <c r="W11" i="8" s="1"/>
  <c r="U11" i="8"/>
  <c r="T11" i="8"/>
  <c r="S11" i="8" s="1"/>
  <c r="R11" i="8"/>
  <c r="Q11" i="8"/>
  <c r="P11" i="8"/>
  <c r="N11" i="8"/>
  <c r="M11" i="8" s="1"/>
  <c r="K11" i="8"/>
  <c r="I11" i="8"/>
  <c r="F11" i="8"/>
  <c r="D11" i="8"/>
  <c r="C11" i="8" s="1"/>
  <c r="AP10" i="8"/>
  <c r="AO10" i="8" s="1"/>
  <c r="AN10" i="8"/>
  <c r="AM10" i="8"/>
  <c r="AL10" i="8"/>
  <c r="AK10" i="8" s="1"/>
  <c r="AJ10" i="8"/>
  <c r="AI10" i="8" s="1"/>
  <c r="AH10" i="8"/>
  <c r="AG10" i="8"/>
  <c r="AE10" i="8"/>
  <c r="AB10" i="8"/>
  <c r="AA10" i="8" s="1"/>
  <c r="Y10" i="8"/>
  <c r="X10" i="8"/>
  <c r="W10" i="8" s="1"/>
  <c r="U10" i="8"/>
  <c r="T10" i="8"/>
  <c r="S10" i="8" s="1"/>
  <c r="R10" i="8"/>
  <c r="Q10" i="8"/>
  <c r="P10" i="8"/>
  <c r="N10" i="8"/>
  <c r="M10" i="8" s="1"/>
  <c r="K10" i="8"/>
  <c r="I10" i="8"/>
  <c r="F10" i="8"/>
  <c r="D10" i="8"/>
  <c r="C10" i="8" s="1"/>
  <c r="AT9" i="8"/>
  <c r="AP9" i="8"/>
  <c r="AO9" i="8" s="1"/>
  <c r="AN9" i="8"/>
  <c r="AM9" i="8" s="1"/>
  <c r="AL9" i="8"/>
  <c r="AK9" i="8" s="1"/>
  <c r="AJ9" i="8"/>
  <c r="AI9" i="8" s="1"/>
  <c r="AH9" i="8"/>
  <c r="AG9" i="8"/>
  <c r="AE9" i="8"/>
  <c r="AB9" i="8"/>
  <c r="AA9" i="8" s="1"/>
  <c r="Y9" i="8"/>
  <c r="X9" i="8"/>
  <c r="W9" i="8" s="1"/>
  <c r="U9" i="8"/>
  <c r="T9" i="8"/>
  <c r="S9" i="8" s="1"/>
  <c r="R9" i="8"/>
  <c r="Q9" i="8"/>
  <c r="P9" i="8"/>
  <c r="N9" i="8"/>
  <c r="M9" i="8" s="1"/>
  <c r="K9" i="8"/>
  <c r="I9" i="8"/>
  <c r="F9" i="8"/>
  <c r="D9" i="8"/>
  <c r="C9" i="8"/>
  <c r="AT8" i="8"/>
  <c r="AP8" i="8"/>
  <c r="AO8" i="8" s="1"/>
  <c r="AN8" i="8"/>
  <c r="AM8" i="8"/>
  <c r="AL8" i="8"/>
  <c r="AK8" i="8" s="1"/>
  <c r="AJ8" i="8"/>
  <c r="AI8" i="8" s="1"/>
  <c r="AH8" i="8"/>
  <c r="AG8" i="8"/>
  <c r="AE8" i="8"/>
  <c r="AB8" i="8"/>
  <c r="AA8" i="8" s="1"/>
  <c r="Y8" i="8"/>
  <c r="X8" i="8"/>
  <c r="W8" i="8" s="1"/>
  <c r="U8" i="8"/>
  <c r="T8" i="8"/>
  <c r="S8" i="8" s="1"/>
  <c r="R8" i="8"/>
  <c r="Q8" i="8"/>
  <c r="P8" i="8"/>
  <c r="N8" i="8"/>
  <c r="M8" i="8" s="1"/>
  <c r="K8" i="8"/>
  <c r="I8" i="8"/>
  <c r="F8" i="8"/>
  <c r="D8" i="8"/>
  <c r="C8" i="8" s="1"/>
  <c r="AT7" i="8"/>
  <c r="AP7" i="8"/>
  <c r="AN7" i="8"/>
  <c r="AM7" i="8"/>
  <c r="AL7" i="8"/>
  <c r="AK7" i="8" s="1"/>
  <c r="AJ7" i="8"/>
  <c r="AH7" i="8"/>
  <c r="AG7" i="8"/>
  <c r="AE7" i="8"/>
  <c r="AB7" i="8"/>
  <c r="AA7" i="8" s="1"/>
  <c r="Y7" i="8"/>
  <c r="X7" i="8"/>
  <c r="W7" i="8" s="1"/>
  <c r="U7" i="8"/>
  <c r="T7" i="8"/>
  <c r="S7" i="8"/>
  <c r="R7" i="8"/>
  <c r="Q7" i="8"/>
  <c r="P7" i="8"/>
  <c r="N7" i="8"/>
  <c r="M7" i="8" s="1"/>
  <c r="K7" i="8"/>
  <c r="I7" i="8"/>
  <c r="F7" i="8"/>
  <c r="D7" i="8"/>
  <c r="C7" i="8" s="1"/>
  <c r="AU32" i="8"/>
  <c r="AP6" i="8"/>
  <c r="AO6" i="8" s="1"/>
  <c r="AN6" i="8"/>
  <c r="AM6" i="8"/>
  <c r="AL6" i="8"/>
  <c r="AK6" i="8" s="1"/>
  <c r="AJ6" i="8"/>
  <c r="AI6" i="8" s="1"/>
  <c r="AH6" i="8"/>
  <c r="AG6" i="8"/>
  <c r="AF32" i="8"/>
  <c r="AE6" i="8"/>
  <c r="AB6" i="8"/>
  <c r="AA6" i="8" s="1"/>
  <c r="Y6" i="8"/>
  <c r="X6" i="8"/>
  <c r="T6" i="8"/>
  <c r="S6" i="8" s="1"/>
  <c r="R6" i="8"/>
  <c r="Q6" i="8"/>
  <c r="P6" i="8"/>
  <c r="N6" i="8"/>
  <c r="I6" i="8"/>
  <c r="F6" i="8"/>
  <c r="D6" i="8"/>
  <c r="C6" i="8" s="1"/>
  <c r="E29" i="8" l="1"/>
  <c r="E26" i="8"/>
  <c r="O11" i="8"/>
  <c r="O29" i="8"/>
  <c r="O23" i="8"/>
  <c r="O19" i="8"/>
  <c r="O15" i="8"/>
  <c r="E14" i="8"/>
  <c r="AD9" i="8"/>
  <c r="AD26" i="8"/>
  <c r="N33" i="8"/>
  <c r="O27" i="8"/>
  <c r="AD10" i="8"/>
  <c r="E8" i="8"/>
  <c r="AD25" i="8"/>
  <c r="O17" i="8"/>
  <c r="O18" i="8"/>
  <c r="E24" i="8"/>
  <c r="AE33" i="8"/>
  <c r="AD29" i="8"/>
  <c r="AD14" i="8"/>
  <c r="O16" i="8"/>
  <c r="O21" i="8"/>
  <c r="AD23" i="8"/>
  <c r="AD12" i="8"/>
  <c r="AD11" i="8"/>
  <c r="AD13" i="8"/>
  <c r="AD19" i="8"/>
  <c r="AD20" i="8"/>
  <c r="AD21" i="8"/>
  <c r="AD7" i="8"/>
  <c r="AD8" i="8"/>
  <c r="O9" i="8"/>
  <c r="O10" i="8"/>
  <c r="AD17" i="8"/>
  <c r="AD18" i="8"/>
  <c r="E25" i="8"/>
  <c r="F33" i="8"/>
  <c r="P33" i="8"/>
  <c r="AJ33" i="8"/>
  <c r="G32" i="8"/>
  <c r="AN33" i="8"/>
  <c r="O13" i="8"/>
  <c r="X32" i="8"/>
  <c r="Y33" i="8"/>
  <c r="AD24" i="8"/>
  <c r="O25" i="8"/>
  <c r="E13" i="8"/>
  <c r="V32" i="8"/>
  <c r="AL33" i="8"/>
  <c r="H32" i="8"/>
  <c r="I32" i="8"/>
  <c r="Z33" i="8"/>
  <c r="O8" i="8"/>
  <c r="AH33" i="8"/>
  <c r="E16" i="8"/>
  <c r="O20" i="8"/>
  <c r="AT10" i="8"/>
  <c r="D33" i="8"/>
  <c r="AP33" i="8"/>
  <c r="L32" i="8"/>
  <c r="AB33" i="8"/>
  <c r="O7" i="8"/>
  <c r="E9" i="8"/>
  <c r="E10" i="8"/>
  <c r="O12" i="8"/>
  <c r="AD15" i="8"/>
  <c r="AT19" i="8"/>
  <c r="E22" i="8"/>
  <c r="O24" i="8"/>
  <c r="E28" i="8"/>
  <c r="M6" i="8"/>
  <c r="M30" i="8" s="1"/>
  <c r="AD6" i="8"/>
  <c r="AP32" i="8"/>
  <c r="Q31" i="8"/>
  <c r="E18" i="8"/>
  <c r="E21" i="8"/>
  <c r="AD27" i="8"/>
  <c r="AT28" i="8"/>
  <c r="AD28" i="8"/>
  <c r="AV32" i="8"/>
  <c r="AT22" i="8"/>
  <c r="AG32" i="8"/>
  <c r="C31" i="8"/>
  <c r="AJ32" i="8"/>
  <c r="E15" i="8"/>
  <c r="AD16" i="8"/>
  <c r="AT18" i="8"/>
  <c r="AD22" i="8"/>
  <c r="Q32" i="8"/>
  <c r="R33" i="8"/>
  <c r="E7" i="8"/>
  <c r="O14" i="8"/>
  <c r="E17" i="8"/>
  <c r="E27" i="8"/>
  <c r="O22" i="8"/>
  <c r="O26" i="8"/>
  <c r="AH32" i="8"/>
  <c r="T32" i="8"/>
  <c r="E11" i="8"/>
  <c r="E12" i="8"/>
  <c r="AN31" i="8"/>
  <c r="E19" i="8"/>
  <c r="E23" i="8"/>
  <c r="O28" i="8"/>
  <c r="AK32" i="8"/>
  <c r="C33" i="8"/>
  <c r="S32" i="8"/>
  <c r="Q33" i="8"/>
  <c r="Y30" i="8"/>
  <c r="AL30" i="8"/>
  <c r="G31" i="8"/>
  <c r="S31" i="8"/>
  <c r="AF31" i="8"/>
  <c r="AU31" i="8"/>
  <c r="Y32" i="8"/>
  <c r="AL32" i="8"/>
  <c r="G33" i="8"/>
  <c r="S33" i="8"/>
  <c r="AF33" i="8"/>
  <c r="AU33" i="8"/>
  <c r="I30" i="8"/>
  <c r="O6" i="8"/>
  <c r="AI7" i="8"/>
  <c r="AI31" i="8" s="1"/>
  <c r="AM11" i="8"/>
  <c r="N30" i="8"/>
  <c r="Z30" i="8"/>
  <c r="H31" i="8"/>
  <c r="T31" i="8"/>
  <c r="AG31" i="8"/>
  <c r="AV31" i="8"/>
  <c r="N32" i="8"/>
  <c r="Z32" i="8"/>
  <c r="H33" i="8"/>
  <c r="T33" i="8"/>
  <c r="AG33" i="8"/>
  <c r="AV33" i="8"/>
  <c r="C30" i="8"/>
  <c r="I31" i="8"/>
  <c r="D30" i="8"/>
  <c r="P30" i="8"/>
  <c r="AB30" i="8"/>
  <c r="V31" i="8"/>
  <c r="D32" i="8"/>
  <c r="P32" i="8"/>
  <c r="AB32" i="8"/>
  <c r="V33" i="8"/>
  <c r="AH31" i="8"/>
  <c r="E6" i="8"/>
  <c r="AT6" i="8"/>
  <c r="Q30" i="8"/>
  <c r="AP30" i="8"/>
  <c r="AJ31" i="8"/>
  <c r="AN30" i="8"/>
  <c r="AN32" i="8"/>
  <c r="F30" i="8"/>
  <c r="R30" i="8"/>
  <c r="AE30" i="8"/>
  <c r="L31" i="8"/>
  <c r="X31" i="8"/>
  <c r="AK31" i="8"/>
  <c r="F32" i="8"/>
  <c r="R32" i="8"/>
  <c r="AE32" i="8"/>
  <c r="L33" i="8"/>
  <c r="X33" i="8"/>
  <c r="AK33" i="8"/>
  <c r="I33" i="8"/>
  <c r="G30" i="8"/>
  <c r="S30" i="8"/>
  <c r="AF30" i="8"/>
  <c r="AU30" i="8"/>
  <c r="Y31" i="8"/>
  <c r="AL31" i="8"/>
  <c r="C32" i="8"/>
  <c r="U6" i="8"/>
  <c r="AO7" i="8"/>
  <c r="AO30" i="8" s="1"/>
  <c r="AM17" i="8"/>
  <c r="T30" i="8"/>
  <c r="AG30" i="8"/>
  <c r="AV30" i="8"/>
  <c r="N31" i="8"/>
  <c r="Z31" i="8"/>
  <c r="AH30" i="8"/>
  <c r="K6" i="8"/>
  <c r="W6" i="8"/>
  <c r="V30" i="8"/>
  <c r="D31" i="8"/>
  <c r="P31" i="8"/>
  <c r="AB31" i="8"/>
  <c r="AP31" i="8"/>
  <c r="AJ30" i="8"/>
  <c r="L30" i="8"/>
  <c r="X30" i="8"/>
  <c r="AK30" i="8"/>
  <c r="F31" i="8"/>
  <c r="R31" i="8"/>
  <c r="AE31" i="8"/>
  <c r="AM33" i="8" l="1"/>
  <c r="AO31" i="8"/>
  <c r="AO33" i="8"/>
  <c r="AD32" i="8"/>
  <c r="AD31" i="8"/>
  <c r="AD33" i="8"/>
  <c r="M31" i="8"/>
  <c r="M32" i="8"/>
  <c r="M33" i="8"/>
  <c r="AM31" i="8"/>
  <c r="AD30" i="8"/>
  <c r="AT33" i="8"/>
  <c r="AT31" i="8"/>
  <c r="AT32" i="8"/>
  <c r="AT30" i="8"/>
  <c r="E33" i="8"/>
  <c r="E31" i="8"/>
  <c r="E32" i="8"/>
  <c r="E30" i="8"/>
  <c r="AI33" i="8"/>
  <c r="AI32" i="8"/>
  <c r="AM30" i="8"/>
  <c r="AO32" i="8"/>
  <c r="AI30" i="8"/>
  <c r="K32" i="8"/>
  <c r="K30" i="8"/>
  <c r="K33" i="8"/>
  <c r="K31" i="8"/>
  <c r="AM32" i="8"/>
  <c r="AA33" i="8"/>
  <c r="AA31" i="8"/>
  <c r="AA32" i="8"/>
  <c r="AA30" i="8"/>
  <c r="W32" i="8"/>
  <c r="W30" i="8"/>
  <c r="W33" i="8"/>
  <c r="W31" i="8"/>
  <c r="O33" i="8"/>
  <c r="O31" i="8"/>
  <c r="O30" i="8"/>
  <c r="O32" i="8"/>
  <c r="U32" i="8"/>
  <c r="U30" i="8"/>
  <c r="U31" i="8"/>
  <c r="U33" i="8"/>
  <c r="D36" i="8" l="1"/>
  <c r="F36" i="8"/>
  <c r="CV6" i="15"/>
  <c r="CX6" i="15"/>
  <c r="CZ6" i="15"/>
  <c r="DB6" i="15"/>
  <c r="CW6" i="15"/>
  <c r="CY6" i="15"/>
  <c r="DA6" i="15"/>
  <c r="DC6" i="15"/>
  <c r="CU6" i="15" l="1"/>
  <c r="E6" i="15" l="1"/>
  <c r="G6" i="15"/>
  <c r="K6" i="15"/>
  <c r="M6" i="15"/>
  <c r="O6" i="15"/>
  <c r="Q6" i="15"/>
  <c r="S6" i="15"/>
  <c r="U6" i="15"/>
  <c r="X6" i="15"/>
  <c r="Z6" i="15"/>
  <c r="AB6" i="15"/>
  <c r="AD6" i="15"/>
  <c r="AF6" i="15"/>
  <c r="AJ6" i="15"/>
  <c r="AL6" i="15"/>
  <c r="AN6" i="15"/>
  <c r="AP6" i="15"/>
  <c r="AS6" i="15"/>
  <c r="AU6" i="15"/>
  <c r="AW6" i="15"/>
  <c r="AY6" i="15"/>
  <c r="BA6" i="15"/>
  <c r="BC6" i="15"/>
  <c r="BE6" i="15"/>
  <c r="BG6" i="15"/>
  <c r="BI6" i="15"/>
  <c r="BK6" i="15"/>
  <c r="BM6" i="15"/>
  <c r="BO6" i="15"/>
  <c r="BQ6" i="15"/>
  <c r="BT6" i="15"/>
  <c r="BV6" i="15"/>
  <c r="BX6" i="15"/>
  <c r="BZ6" i="15"/>
  <c r="CB6" i="15"/>
  <c r="CD6" i="15"/>
  <c r="CG6" i="15"/>
  <c r="CI6" i="15"/>
  <c r="CK6" i="15"/>
  <c r="CM6" i="15"/>
  <c r="CO6" i="15"/>
  <c r="CQ6" i="15"/>
  <c r="CS6" i="15"/>
  <c r="CT6" i="15"/>
  <c r="CH6" i="15" l="1"/>
  <c r="CP6" i="15" l="1"/>
  <c r="BL6" i="15"/>
  <c r="F6" i="15"/>
  <c r="H6" i="15"/>
  <c r="L6" i="15"/>
  <c r="N6" i="15"/>
  <c r="P6" i="15"/>
  <c r="R6" i="15"/>
  <c r="T6" i="15"/>
  <c r="V6" i="15"/>
  <c r="Y6" i="15"/>
  <c r="AA6" i="15"/>
  <c r="AC6" i="15"/>
  <c r="AE6" i="15"/>
  <c r="AG6" i="15"/>
  <c r="AK6" i="15"/>
  <c r="AM6" i="15"/>
  <c r="AO6" i="15"/>
  <c r="AQ6" i="15"/>
  <c r="AT6" i="15"/>
  <c r="AV6" i="15"/>
  <c r="AX6" i="15"/>
  <c r="AZ6" i="15"/>
  <c r="BB6" i="15"/>
  <c r="BD6" i="15"/>
  <c r="BF6" i="15"/>
  <c r="BH6" i="15"/>
  <c r="BJ6" i="15"/>
  <c r="BN6" i="15"/>
  <c r="BP6" i="15"/>
  <c r="BR6" i="15"/>
  <c r="BU6" i="15"/>
  <c r="BS6" i="15" s="1"/>
  <c r="BW6" i="15"/>
  <c r="BY6" i="15"/>
  <c r="CA6" i="15"/>
  <c r="CC6" i="15"/>
  <c r="CE6" i="15"/>
  <c r="CJ6" i="15"/>
  <c r="CL6" i="15"/>
  <c r="CN6" i="15"/>
  <c r="CR6" i="15"/>
  <c r="W6" i="15" l="1"/>
  <c r="AR6" i="15"/>
  <c r="C6" i="15" s="1"/>
  <c r="D6" i="15"/>
  <c r="B6" i="15" l="1"/>
  <c r="EG136" i="4"/>
  <c r="EG135" i="4"/>
  <c r="EG134" i="4"/>
  <c r="EG133" i="4"/>
  <c r="EG132" i="4"/>
  <c r="EG131" i="4"/>
  <c r="EG130" i="4"/>
  <c r="EG129" i="4"/>
  <c r="EG128" i="4"/>
  <c r="EG127" i="4"/>
  <c r="EG126" i="4"/>
  <c r="EG125" i="4"/>
  <c r="EG124" i="4"/>
  <c r="EG123" i="4"/>
  <c r="EG122" i="4"/>
  <c r="EG121" i="4"/>
  <c r="EG120" i="4"/>
  <c r="EG119" i="4"/>
  <c r="EG118" i="4"/>
  <c r="EG117" i="4"/>
  <c r="EG116" i="4"/>
  <c r="EG115" i="4"/>
  <c r="EG114" i="4"/>
  <c r="EG113" i="4"/>
  <c r="EG112" i="4"/>
  <c r="EG111" i="4"/>
  <c r="EG110" i="4"/>
  <c r="EG109" i="4"/>
  <c r="EG108" i="4"/>
  <c r="EG107" i="4"/>
  <c r="EG106" i="4"/>
  <c r="EG105" i="4"/>
  <c r="EG104" i="4"/>
  <c r="EG103" i="4"/>
  <c r="EG102" i="4"/>
  <c r="EG101" i="4"/>
  <c r="EG100" i="4"/>
  <c r="EG99" i="4"/>
  <c r="EG98" i="4"/>
  <c r="EG97" i="4"/>
  <c r="EG96" i="4"/>
  <c r="EG95" i="4"/>
  <c r="EG94" i="4"/>
  <c r="EG93" i="4"/>
  <c r="EG92" i="4"/>
  <c r="EG91" i="4"/>
  <c r="EG90" i="4"/>
  <c r="EG89" i="4"/>
  <c r="EG88" i="4"/>
  <c r="EG87" i="4"/>
  <c r="EG86" i="4"/>
  <c r="EG85" i="4"/>
  <c r="EG84" i="4"/>
  <c r="EG83" i="4"/>
  <c r="EG82" i="4"/>
  <c r="EG81" i="4"/>
  <c r="EG80" i="4"/>
  <c r="EG79" i="4"/>
  <c r="EG78" i="4"/>
  <c r="EG77" i="4"/>
  <c r="EG76" i="4"/>
  <c r="EG75" i="4"/>
  <c r="EG74" i="4"/>
  <c r="EG73" i="4"/>
  <c r="EG72" i="4"/>
  <c r="EG71" i="4"/>
  <c r="EG70" i="4"/>
  <c r="EG69" i="4"/>
  <c r="EG68" i="4"/>
  <c r="EG67" i="4"/>
  <c r="EG66" i="4"/>
  <c r="EG65" i="4"/>
  <c r="EG64" i="4"/>
  <c r="EG63" i="4"/>
  <c r="EG62" i="4"/>
  <c r="EG61" i="4"/>
  <c r="EG60" i="4"/>
  <c r="EG59" i="4"/>
  <c r="EG58" i="4"/>
  <c r="EG57" i="4"/>
  <c r="EG56" i="4"/>
  <c r="EG55" i="4"/>
  <c r="EG54" i="4"/>
  <c r="EG53" i="4"/>
  <c r="EG52" i="4"/>
  <c r="EG51" i="4"/>
  <c r="EG50" i="4"/>
  <c r="EG49" i="4"/>
  <c r="EG48" i="4"/>
  <c r="EG47" i="4"/>
  <c r="EG46" i="4"/>
  <c r="EG45" i="4"/>
  <c r="EG44" i="4"/>
  <c r="EG43" i="4"/>
  <c r="EG42" i="4"/>
  <c r="EG41" i="4"/>
  <c r="EG40" i="4"/>
  <c r="EG39" i="4"/>
  <c r="EG38" i="4"/>
  <c r="EG37" i="4"/>
  <c r="EG36" i="4"/>
  <c r="EG35" i="4"/>
  <c r="EG34" i="4"/>
  <c r="EG33" i="4"/>
  <c r="EG32" i="4"/>
  <c r="EG31" i="4"/>
  <c r="EG30" i="4"/>
  <c r="EG29" i="4"/>
  <c r="EG28" i="4"/>
  <c r="EG27" i="4"/>
  <c r="EG26" i="4"/>
  <c r="EG25" i="4"/>
  <c r="EG24" i="4"/>
  <c r="EG23" i="4"/>
  <c r="EG22" i="4"/>
  <c r="EG21" i="4"/>
  <c r="EG20" i="4"/>
  <c r="EG19" i="4"/>
  <c r="EG18" i="4"/>
  <c r="EG17" i="4"/>
  <c r="EG16" i="4"/>
  <c r="EG15" i="4"/>
  <c r="EG14" i="4"/>
  <c r="EG13" i="4"/>
  <c r="EG12" i="4"/>
  <c r="EG11" i="4"/>
  <c r="EG10" i="4"/>
  <c r="EG9" i="4"/>
  <c r="EG8" i="4"/>
  <c r="EG7" i="4"/>
  <c r="EG6" i="4"/>
  <c r="EG5" i="4"/>
  <c r="EF136" i="4"/>
  <c r="EF135" i="4"/>
  <c r="EF134" i="4"/>
  <c r="EF133" i="4"/>
  <c r="EF132" i="4"/>
  <c r="EF131" i="4"/>
  <c r="EF130" i="4"/>
  <c r="EF129" i="4"/>
  <c r="EF128" i="4"/>
  <c r="EF127" i="4"/>
  <c r="EF126" i="4"/>
  <c r="EF125" i="4"/>
  <c r="EF124" i="4"/>
  <c r="EF123" i="4"/>
  <c r="EF122" i="4"/>
  <c r="EF121" i="4"/>
  <c r="EF120" i="4"/>
  <c r="EF119" i="4"/>
  <c r="EF118" i="4"/>
  <c r="EF117" i="4"/>
  <c r="EF116" i="4"/>
  <c r="EF115" i="4"/>
  <c r="EF114" i="4"/>
  <c r="EF113" i="4"/>
  <c r="EF112" i="4"/>
  <c r="EF111" i="4"/>
  <c r="EF110" i="4"/>
  <c r="EF109" i="4"/>
  <c r="EF108" i="4"/>
  <c r="EF107" i="4"/>
  <c r="EF106" i="4"/>
  <c r="EF105" i="4"/>
  <c r="EF104" i="4"/>
  <c r="EF103" i="4"/>
  <c r="EF102" i="4"/>
  <c r="EF101" i="4"/>
  <c r="EF100" i="4"/>
  <c r="EF99" i="4"/>
  <c r="EF98" i="4"/>
  <c r="EF97" i="4"/>
  <c r="EF96" i="4"/>
  <c r="EF95" i="4"/>
  <c r="EF94" i="4"/>
  <c r="EF93" i="4"/>
  <c r="EF92" i="4"/>
  <c r="EF91" i="4"/>
  <c r="EF90" i="4"/>
  <c r="EF89" i="4"/>
  <c r="EF88" i="4"/>
  <c r="EF87" i="4"/>
  <c r="EF86" i="4"/>
  <c r="EF85" i="4"/>
  <c r="EF84" i="4"/>
  <c r="EF83" i="4"/>
  <c r="EF82" i="4"/>
  <c r="EF81" i="4"/>
  <c r="EF80" i="4"/>
  <c r="EF79" i="4"/>
  <c r="EF78" i="4"/>
  <c r="EF77" i="4"/>
  <c r="EF76" i="4"/>
  <c r="EF75" i="4"/>
  <c r="EF74" i="4"/>
  <c r="EF73" i="4"/>
  <c r="EF72" i="4"/>
  <c r="EF71" i="4"/>
  <c r="EF70" i="4"/>
  <c r="EF69" i="4"/>
  <c r="EF68" i="4"/>
  <c r="EF67" i="4"/>
  <c r="EF66" i="4"/>
  <c r="EF65" i="4"/>
  <c r="EF64" i="4"/>
  <c r="EF63" i="4"/>
  <c r="EF62" i="4"/>
  <c r="EF61" i="4"/>
  <c r="EF60" i="4"/>
  <c r="EF59" i="4"/>
  <c r="EF58" i="4"/>
  <c r="EF57" i="4"/>
  <c r="EF56" i="4"/>
  <c r="EF55" i="4"/>
  <c r="EF54" i="4"/>
  <c r="EF53" i="4"/>
  <c r="EF52" i="4"/>
  <c r="EF51" i="4"/>
  <c r="EF50" i="4"/>
  <c r="EF49" i="4"/>
  <c r="EF48" i="4"/>
  <c r="EF47" i="4"/>
  <c r="EF46" i="4"/>
  <c r="EF45" i="4"/>
  <c r="EF44" i="4"/>
  <c r="EF43" i="4"/>
  <c r="EF42" i="4"/>
  <c r="EF41" i="4"/>
  <c r="EF40" i="4"/>
  <c r="EF39" i="4"/>
  <c r="EF38" i="4"/>
  <c r="EF37" i="4"/>
  <c r="EF36" i="4"/>
  <c r="EF35" i="4"/>
  <c r="EF34" i="4"/>
  <c r="EF33" i="4"/>
  <c r="EF32" i="4"/>
  <c r="EF31" i="4"/>
  <c r="EF30" i="4"/>
  <c r="EF29" i="4"/>
  <c r="EF28" i="4"/>
  <c r="EF27" i="4"/>
  <c r="EF26" i="4"/>
  <c r="EF25" i="4"/>
  <c r="EF24" i="4"/>
  <c r="EF23" i="4"/>
  <c r="EF22" i="4"/>
  <c r="EF21" i="4"/>
  <c r="EF20" i="4"/>
  <c r="EF19" i="4"/>
  <c r="EF18" i="4"/>
  <c r="EF17" i="4"/>
  <c r="EF16" i="4"/>
  <c r="EF15" i="4"/>
  <c r="EF14" i="4"/>
  <c r="EF13" i="4"/>
  <c r="EF12" i="4"/>
  <c r="EF11" i="4"/>
  <c r="EF10" i="4"/>
  <c r="EF9" i="4"/>
  <c r="EF8" i="4"/>
  <c r="EF7" i="4"/>
  <c r="EF6" i="4"/>
  <c r="EF5" i="4"/>
  <c r="EE136" i="4"/>
  <c r="EE135" i="4"/>
  <c r="EE134" i="4"/>
  <c r="EE133" i="4"/>
  <c r="EE132" i="4"/>
  <c r="EE131" i="4"/>
  <c r="EE130" i="4"/>
  <c r="EE129" i="4"/>
  <c r="EE128" i="4"/>
  <c r="EE127" i="4"/>
  <c r="EE126" i="4"/>
  <c r="EE125" i="4"/>
  <c r="EE124" i="4"/>
  <c r="EE123" i="4"/>
  <c r="EE122" i="4"/>
  <c r="EE121" i="4"/>
  <c r="EE120" i="4"/>
  <c r="EE119" i="4"/>
  <c r="EE118" i="4"/>
  <c r="EE117" i="4"/>
  <c r="EE116" i="4"/>
  <c r="EE115" i="4"/>
  <c r="EE114" i="4"/>
  <c r="EE113" i="4"/>
  <c r="EE112" i="4"/>
  <c r="EE111" i="4"/>
  <c r="EE110" i="4"/>
  <c r="EE109" i="4"/>
  <c r="EE108" i="4"/>
  <c r="EE107" i="4"/>
  <c r="EE106" i="4"/>
  <c r="EE105" i="4"/>
  <c r="EE104" i="4"/>
  <c r="EE103" i="4"/>
  <c r="EE102" i="4"/>
  <c r="EE101" i="4"/>
  <c r="EE100" i="4"/>
  <c r="EE99" i="4"/>
  <c r="EE98" i="4"/>
  <c r="EE97" i="4"/>
  <c r="EE96" i="4"/>
  <c r="EE95" i="4"/>
  <c r="EE94" i="4"/>
  <c r="EE93" i="4"/>
  <c r="EE92" i="4"/>
  <c r="EE91" i="4"/>
  <c r="EE90" i="4"/>
  <c r="EE89" i="4"/>
  <c r="EE88" i="4"/>
  <c r="EE87" i="4"/>
  <c r="EE86" i="4"/>
  <c r="EE85" i="4"/>
  <c r="EE84" i="4"/>
  <c r="EE83" i="4"/>
  <c r="EE82" i="4"/>
  <c r="EE81" i="4"/>
  <c r="EE80" i="4"/>
  <c r="EE79" i="4"/>
  <c r="EE78" i="4"/>
  <c r="EE77" i="4"/>
  <c r="EE76" i="4"/>
  <c r="EE75" i="4"/>
  <c r="EE74" i="4"/>
  <c r="EE73" i="4"/>
  <c r="EE72" i="4"/>
  <c r="EE71" i="4"/>
  <c r="EE70" i="4"/>
  <c r="EE69" i="4"/>
  <c r="EE68" i="4"/>
  <c r="EE67" i="4"/>
  <c r="EE66" i="4"/>
  <c r="EE65" i="4"/>
  <c r="EE64" i="4"/>
  <c r="EE63" i="4"/>
  <c r="EE62" i="4"/>
  <c r="EE61" i="4"/>
  <c r="EE60" i="4"/>
  <c r="EE59" i="4"/>
  <c r="EE58" i="4"/>
  <c r="EE57" i="4"/>
  <c r="EE56" i="4"/>
  <c r="EE55" i="4"/>
  <c r="EE54" i="4"/>
  <c r="EE53" i="4"/>
  <c r="EE52" i="4"/>
  <c r="EE51" i="4"/>
  <c r="EE50" i="4"/>
  <c r="EE49" i="4"/>
  <c r="EE48" i="4"/>
  <c r="EE47" i="4"/>
  <c r="EE46" i="4"/>
  <c r="EE45" i="4"/>
  <c r="EE44" i="4"/>
  <c r="EE43" i="4"/>
  <c r="EE42" i="4"/>
  <c r="EE41" i="4"/>
  <c r="EE40" i="4"/>
  <c r="EE39" i="4"/>
  <c r="EE38" i="4"/>
  <c r="EE37" i="4"/>
  <c r="EE36" i="4"/>
  <c r="EE35" i="4"/>
  <c r="EE34" i="4"/>
  <c r="EE33" i="4"/>
  <c r="EE32" i="4"/>
  <c r="EE31" i="4"/>
  <c r="EE30" i="4"/>
  <c r="EE29" i="4"/>
  <c r="EE28" i="4"/>
  <c r="EE27" i="4"/>
  <c r="EE26" i="4"/>
  <c r="EE25" i="4"/>
  <c r="EE24" i="4"/>
  <c r="EE23" i="4"/>
  <c r="EE22" i="4"/>
  <c r="EE21" i="4"/>
  <c r="EE20" i="4"/>
  <c r="EE19" i="4"/>
  <c r="EE18" i="4"/>
  <c r="EE17" i="4"/>
  <c r="EE16" i="4"/>
  <c r="EE15" i="4"/>
  <c r="EE14" i="4"/>
  <c r="EE13" i="4"/>
  <c r="EE12" i="4"/>
  <c r="EE11" i="4"/>
  <c r="EE10" i="4"/>
  <c r="EE9" i="4"/>
  <c r="EE8" i="4"/>
  <c r="EE7" i="4"/>
  <c r="EE6" i="4"/>
  <c r="EE5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<sst xmlns="http://schemas.openxmlformats.org/spreadsheetml/2006/main" count="3365" uniqueCount="734">
  <si>
    <t>신제주</t>
    <phoneticPr fontId="1" type="noConversion"/>
  </si>
  <si>
    <t>대블록</t>
    <phoneticPr fontId="1" type="noConversion"/>
  </si>
  <si>
    <t>중블록</t>
  </si>
  <si>
    <t>소블록</t>
    <phoneticPr fontId="1" type="noConversion"/>
  </si>
  <si>
    <t>중앙(대)</t>
    <phoneticPr fontId="1" type="noConversion"/>
  </si>
  <si>
    <t>별도봉(중)</t>
    <phoneticPr fontId="1" type="noConversion"/>
  </si>
  <si>
    <t xml:space="preserve">영평16 </t>
  </si>
  <si>
    <t xml:space="preserve">영평17 </t>
  </si>
  <si>
    <t xml:space="preserve">영평18 </t>
  </si>
  <si>
    <t>산천단2</t>
    <phoneticPr fontId="1" type="noConversion"/>
  </si>
  <si>
    <t xml:space="preserve">영평15 </t>
  </si>
  <si>
    <t>영평소</t>
    <phoneticPr fontId="1" type="noConversion"/>
  </si>
  <si>
    <t>아라2지구</t>
    <phoneticPr fontId="1" type="noConversion"/>
  </si>
  <si>
    <t>관음사</t>
    <phoneticPr fontId="1" type="noConversion"/>
  </si>
  <si>
    <t>관음사</t>
  </si>
  <si>
    <t>월평(소)</t>
  </si>
  <si>
    <t>중소블록</t>
    <phoneticPr fontId="1" type="noConversion"/>
  </si>
  <si>
    <t>어승생1</t>
  </si>
  <si>
    <t>어승생2</t>
  </si>
  <si>
    <t>일공급량/(전일)</t>
    <phoneticPr fontId="1" type="noConversion"/>
  </si>
  <si>
    <t>순시 야간최소유량</t>
    <phoneticPr fontId="1" type="noConversion"/>
  </si>
  <si>
    <t>1분단위 순시유량 중 3~8번째로 작은 데이터의 평균값</t>
    <phoneticPr fontId="1" type="noConversion"/>
  </si>
  <si>
    <t>이동평균</t>
    <phoneticPr fontId="1" type="noConversion"/>
  </si>
  <si>
    <t>1분단위 데이터의 1시간 평균값 을 5분단위로 산출후 가장 작은값</t>
    <phoneticPr fontId="1" type="noConversion"/>
  </si>
  <si>
    <t>최소값</t>
    <phoneticPr fontId="1" type="noConversion"/>
  </si>
  <si>
    <t>최대값</t>
    <phoneticPr fontId="1" type="noConversion"/>
  </si>
  <si>
    <t>3번째최소</t>
    <phoneticPr fontId="1" type="noConversion"/>
  </si>
  <si>
    <t>4번째최소</t>
  </si>
  <si>
    <t>5번째최소</t>
  </si>
  <si>
    <t>6번째최소</t>
  </si>
  <si>
    <t>7번째최소</t>
  </si>
  <si>
    <t>8번째최소</t>
  </si>
  <si>
    <t>MNF(야간최소유량)
(당일 00시 ~06시)</t>
    <phoneticPr fontId="1" type="noConversion"/>
  </si>
  <si>
    <t>산천단1
(#1)</t>
    <phoneticPr fontId="1" type="noConversion"/>
  </si>
  <si>
    <t>산천단1
(#2)</t>
    <phoneticPr fontId="1" type="noConversion"/>
  </si>
  <si>
    <t>드림타워</t>
    <phoneticPr fontId="1" type="noConversion"/>
  </si>
  <si>
    <t>민오름04
(연미마을)</t>
    <phoneticPr fontId="1" type="noConversion"/>
  </si>
  <si>
    <t>민오름
(합동청사)</t>
    <phoneticPr fontId="1" type="noConversion"/>
  </si>
  <si>
    <t>합동청사</t>
    <phoneticPr fontId="1" type="noConversion"/>
  </si>
  <si>
    <t>중소블록</t>
  </si>
  <si>
    <t>산천단2</t>
  </si>
  <si>
    <t>영평소</t>
  </si>
  <si>
    <t>아라2지구</t>
  </si>
  <si>
    <t>드림타워</t>
  </si>
  <si>
    <t>별도봉2</t>
  </si>
  <si>
    <t>별도봉3</t>
  </si>
  <si>
    <t>별도봉4</t>
  </si>
  <si>
    <t>별도봉5</t>
  </si>
  <si>
    <t xml:space="preserve">사라봉1 </t>
    <phoneticPr fontId="1" type="noConversion"/>
  </si>
  <si>
    <t>사라봉2</t>
  </si>
  <si>
    <t>사라봉3</t>
  </si>
  <si>
    <t>사라봉4</t>
  </si>
  <si>
    <t>사라봉5</t>
  </si>
  <si>
    <t>사라봉6</t>
  </si>
  <si>
    <t>사라봉7</t>
  </si>
  <si>
    <t>사라봉8</t>
  </si>
  <si>
    <t xml:space="preserve">영평1 </t>
    <phoneticPr fontId="1" type="noConversion"/>
  </si>
  <si>
    <t>영평2</t>
  </si>
  <si>
    <t>영평3</t>
  </si>
  <si>
    <t>영평4</t>
  </si>
  <si>
    <t>영평5</t>
  </si>
  <si>
    <t>영평6</t>
  </si>
  <si>
    <t>영평7</t>
  </si>
  <si>
    <t>영평8</t>
  </si>
  <si>
    <t>영평9</t>
  </si>
  <si>
    <t>영평10</t>
  </si>
  <si>
    <t>영평11</t>
  </si>
  <si>
    <t>영평12</t>
  </si>
  <si>
    <t>영평13</t>
  </si>
  <si>
    <t>영평14</t>
  </si>
  <si>
    <t>아라가1</t>
    <phoneticPr fontId="1" type="noConversion"/>
  </si>
  <si>
    <t>아라가2</t>
    <phoneticPr fontId="1" type="noConversion"/>
  </si>
  <si>
    <t>도련1</t>
    <phoneticPr fontId="1" type="noConversion"/>
  </si>
  <si>
    <t>도련2</t>
  </si>
  <si>
    <t>도련3</t>
  </si>
  <si>
    <t>도련4</t>
  </si>
  <si>
    <t>민오름1</t>
    <phoneticPr fontId="1" type="noConversion"/>
  </si>
  <si>
    <t>민오름2</t>
  </si>
  <si>
    <t>민오름3</t>
  </si>
  <si>
    <t>염통1</t>
    <phoneticPr fontId="1" type="noConversion"/>
  </si>
  <si>
    <t>염통2</t>
  </si>
  <si>
    <t>염통3</t>
  </si>
  <si>
    <t>염통4</t>
  </si>
  <si>
    <t>염통5</t>
  </si>
  <si>
    <t>염통6</t>
  </si>
  <si>
    <t>염통7</t>
  </si>
  <si>
    <t>염통8</t>
  </si>
  <si>
    <t>월산1</t>
    <phoneticPr fontId="1" type="noConversion"/>
  </si>
  <si>
    <t>월산2</t>
  </si>
  <si>
    <t>월산3</t>
  </si>
  <si>
    <t>월산4</t>
  </si>
  <si>
    <t>월산5</t>
  </si>
  <si>
    <t>월산6</t>
  </si>
  <si>
    <t>월산7</t>
  </si>
  <si>
    <t>월산8</t>
  </si>
  <si>
    <t>월산9</t>
  </si>
  <si>
    <t>오라1</t>
    <phoneticPr fontId="1" type="noConversion"/>
  </si>
  <si>
    <t>오라2</t>
  </si>
  <si>
    <t>오라3</t>
  </si>
  <si>
    <t>오라4</t>
  </si>
  <si>
    <t>사라봉8</t>
    <phoneticPr fontId="1" type="noConversion"/>
  </si>
  <si>
    <t>도련2</t>
    <phoneticPr fontId="1" type="noConversion"/>
  </si>
  <si>
    <t>도련3</t>
    <phoneticPr fontId="1" type="noConversion"/>
  </si>
  <si>
    <t>도련4</t>
    <phoneticPr fontId="1" type="noConversion"/>
  </si>
  <si>
    <t>오라3</t>
    <phoneticPr fontId="1" type="noConversion"/>
  </si>
  <si>
    <t>오라4</t>
    <phoneticPr fontId="1" type="noConversion"/>
  </si>
  <si>
    <t>산천단1_1</t>
    <phoneticPr fontId="1" type="noConversion"/>
  </si>
  <si>
    <t>산천단1_2</t>
    <phoneticPr fontId="1" type="noConversion"/>
  </si>
  <si>
    <t>연미마을</t>
    <phoneticPr fontId="1" type="noConversion"/>
  </si>
  <si>
    <t>정실4취수</t>
    <phoneticPr fontId="1" type="noConversion"/>
  </si>
  <si>
    <t>정실6취수</t>
    <phoneticPr fontId="1" type="noConversion"/>
  </si>
  <si>
    <t>순간최소값
(MNF아님)</t>
    <phoneticPr fontId="1" type="noConversion"/>
  </si>
  <si>
    <t>MNF</t>
    <phoneticPr fontId="1" type="noConversion"/>
  </si>
  <si>
    <t>별도봉1</t>
  </si>
  <si>
    <t>별도봉1</t>
    <phoneticPr fontId="1" type="noConversion"/>
  </si>
  <si>
    <t>별도봉5</t>
    <phoneticPr fontId="1" type="noConversion"/>
  </si>
  <si>
    <t>별도봉(배)유출</t>
    <phoneticPr fontId="1" type="noConversion"/>
  </si>
  <si>
    <t>건입고지대</t>
    <phoneticPr fontId="1" type="noConversion"/>
  </si>
  <si>
    <t>건입
고지대</t>
    <phoneticPr fontId="1" type="noConversion"/>
  </si>
  <si>
    <t>공원
유출</t>
    <phoneticPr fontId="1" type="noConversion"/>
  </si>
  <si>
    <t>영락교회유출</t>
  </si>
  <si>
    <t>영락교회유출</t>
    <phoneticPr fontId="1" type="noConversion"/>
  </si>
  <si>
    <t>영평(배)
유출</t>
    <phoneticPr fontId="1" type="noConversion"/>
  </si>
  <si>
    <t>아라가1</t>
  </si>
  <si>
    <t>아라가2</t>
  </si>
  <si>
    <t>산천단
법원
유출</t>
    <phoneticPr fontId="1" type="noConversion"/>
  </si>
  <si>
    <t>산천단
제대
유출</t>
    <phoneticPr fontId="1" type="noConversion"/>
  </si>
  <si>
    <t>산천단
첨단
유출</t>
    <phoneticPr fontId="1" type="noConversion"/>
  </si>
  <si>
    <t>황세앗
유출</t>
    <phoneticPr fontId="1" type="noConversion"/>
  </si>
  <si>
    <t>영평소
(배)유출</t>
    <phoneticPr fontId="1" type="noConversion"/>
  </si>
  <si>
    <t>아라2지구
구남유출</t>
    <phoneticPr fontId="1" type="noConversion"/>
  </si>
  <si>
    <t>도련(정)
유출</t>
    <phoneticPr fontId="1" type="noConversion"/>
  </si>
  <si>
    <t>명도암(배)
유출</t>
    <phoneticPr fontId="1" type="noConversion"/>
  </si>
  <si>
    <t>용강(배)
유출</t>
    <phoneticPr fontId="1" type="noConversion"/>
  </si>
  <si>
    <t>봉개(배)
유출</t>
    <phoneticPr fontId="1" type="noConversion"/>
  </si>
  <si>
    <t>오라1</t>
  </si>
  <si>
    <t>염통2</t>
    <phoneticPr fontId="1" type="noConversion"/>
  </si>
  <si>
    <t>건입
고지대2</t>
    <phoneticPr fontId="1" type="noConversion"/>
  </si>
  <si>
    <t>건입
저지대2</t>
    <phoneticPr fontId="1" type="noConversion"/>
  </si>
  <si>
    <t>도련1</t>
  </si>
  <si>
    <t>절물01</t>
    <phoneticPr fontId="1" type="noConversion"/>
  </si>
  <si>
    <t>절물02</t>
    <phoneticPr fontId="1" type="noConversion"/>
  </si>
  <si>
    <t>명도암</t>
    <phoneticPr fontId="1" type="noConversion"/>
  </si>
  <si>
    <t>노루생태
공원</t>
    <phoneticPr fontId="1" type="noConversion"/>
  </si>
  <si>
    <t>사라봉1(중)</t>
    <phoneticPr fontId="7" type="noConversion"/>
  </si>
  <si>
    <t>사라봉2(중)</t>
    <phoneticPr fontId="1" type="noConversion"/>
  </si>
  <si>
    <t>사라봉3(중)</t>
    <phoneticPr fontId="1" type="noConversion"/>
  </si>
  <si>
    <t>사라봉4(중)</t>
    <phoneticPr fontId="1" type="noConversion"/>
  </si>
  <si>
    <t>영평1(중)</t>
    <phoneticPr fontId="1" type="noConversion"/>
  </si>
  <si>
    <t>영평2(중)</t>
    <phoneticPr fontId="1" type="noConversion"/>
  </si>
  <si>
    <t>산천단2(중)</t>
    <phoneticPr fontId="1" type="noConversion"/>
  </si>
  <si>
    <t>산천단1(중)</t>
    <phoneticPr fontId="7" type="noConversion"/>
  </si>
  <si>
    <t>아라가(중)</t>
    <phoneticPr fontId="7" type="noConversion"/>
  </si>
  <si>
    <t>영평소(중)</t>
    <phoneticPr fontId="1" type="noConversion"/>
  </si>
  <si>
    <t>아라배(중)</t>
    <phoneticPr fontId="1" type="noConversion"/>
  </si>
  <si>
    <t>관음사(중)</t>
    <phoneticPr fontId="1" type="noConversion"/>
  </si>
  <si>
    <t>월평(중)</t>
    <phoneticPr fontId="1" type="noConversion"/>
  </si>
  <si>
    <t>월평지선(중)</t>
    <phoneticPr fontId="7" type="noConversion"/>
  </si>
  <si>
    <t>고다시(중)</t>
    <phoneticPr fontId="1" type="noConversion"/>
  </si>
  <si>
    <t>어승생1(중)</t>
    <phoneticPr fontId="1" type="noConversion"/>
  </si>
  <si>
    <t>도련(중)</t>
    <phoneticPr fontId="7" type="noConversion"/>
  </si>
  <si>
    <t>명도암(중)</t>
    <phoneticPr fontId="1" type="noConversion"/>
  </si>
  <si>
    <t>봉개(중)</t>
    <phoneticPr fontId="1" type="noConversion"/>
  </si>
  <si>
    <t>용강(중)</t>
    <phoneticPr fontId="1" type="noConversion"/>
  </si>
  <si>
    <t>절물1(중)</t>
    <phoneticPr fontId="7" type="noConversion"/>
  </si>
  <si>
    <t>절물2(중)</t>
    <phoneticPr fontId="1" type="noConversion"/>
  </si>
  <si>
    <t>어승생2(중)</t>
    <phoneticPr fontId="1" type="noConversion"/>
  </si>
  <si>
    <t>민오름(중)</t>
    <phoneticPr fontId="1" type="noConversion"/>
  </si>
  <si>
    <t>염통(중)</t>
    <phoneticPr fontId="1" type="noConversion"/>
  </si>
  <si>
    <t>염통구(배)
유출</t>
    <phoneticPr fontId="1" type="noConversion"/>
  </si>
  <si>
    <t>염통신(배)
유출</t>
    <phoneticPr fontId="1" type="noConversion"/>
  </si>
  <si>
    <t>월산1</t>
  </si>
  <si>
    <t>월산(중)</t>
    <phoneticPr fontId="1" type="noConversion"/>
  </si>
  <si>
    <t>외도배
계명동
유출</t>
    <phoneticPr fontId="1" type="noConversion"/>
  </si>
  <si>
    <t>월산신(배)
광평유출</t>
    <phoneticPr fontId="1" type="noConversion"/>
  </si>
  <si>
    <t>월산2</t>
    <phoneticPr fontId="1" type="noConversion"/>
  </si>
  <si>
    <t>월산구(배)
시내유출</t>
    <phoneticPr fontId="1" type="noConversion"/>
  </si>
  <si>
    <t>오라중</t>
    <phoneticPr fontId="1" type="noConversion"/>
  </si>
  <si>
    <t>오라(배)
유출</t>
    <phoneticPr fontId="1" type="noConversion"/>
  </si>
  <si>
    <t>오라
유입</t>
    <phoneticPr fontId="1" type="noConversion"/>
  </si>
  <si>
    <t>정실4(중)</t>
    <phoneticPr fontId="1" type="noConversion"/>
  </si>
  <si>
    <t>정실4취수</t>
  </si>
  <si>
    <t>정실4</t>
  </si>
  <si>
    <t>정실4</t>
    <phoneticPr fontId="1" type="noConversion"/>
  </si>
  <si>
    <t>정실6(중)</t>
    <phoneticPr fontId="1" type="noConversion"/>
  </si>
  <si>
    <t>정실6취수</t>
  </si>
  <si>
    <t>동부도남
유출</t>
    <phoneticPr fontId="1" type="noConversion"/>
  </si>
  <si>
    <t>동부오라
유출</t>
    <phoneticPr fontId="1" type="noConversion"/>
  </si>
  <si>
    <t>삼양 대블록</t>
    <phoneticPr fontId="1" type="noConversion"/>
  </si>
  <si>
    <t>신제주 대블록</t>
    <phoneticPr fontId="1" type="noConversion"/>
  </si>
  <si>
    <t xml:space="preserve">사라봉1 </t>
  </si>
  <si>
    <t xml:space="preserve">영평1 </t>
  </si>
  <si>
    <t>민오름1</t>
  </si>
  <si>
    <t>염통1</t>
  </si>
  <si>
    <r>
      <rPr>
        <sz val="11"/>
        <color rgb="FFFF0000"/>
        <rFont val="맑은 고딕"/>
        <family val="3"/>
        <charset val="129"/>
        <scheme val="minor"/>
      </rPr>
      <t>이동평균</t>
    </r>
    <r>
      <rPr>
        <sz val="11"/>
        <color theme="1"/>
        <rFont val="맑은 고딕"/>
        <family val="2"/>
        <charset val="129"/>
        <scheme val="minor"/>
      </rPr>
      <t>으로 산정함</t>
    </r>
    <phoneticPr fontId="1" type="noConversion"/>
  </si>
  <si>
    <t>건입고지대2</t>
    <phoneticPr fontId="1" type="noConversion"/>
  </si>
  <si>
    <t>건입저지대2</t>
    <phoneticPr fontId="1" type="noConversion"/>
  </si>
  <si>
    <t>황세앗유출</t>
    <phoneticPr fontId="1" type="noConversion"/>
  </si>
  <si>
    <t>삼양
(대)</t>
  </si>
  <si>
    <t>신제주
(대)</t>
  </si>
  <si>
    <t>민오름신제주</t>
    <phoneticPr fontId="1" type="noConversion"/>
  </si>
  <si>
    <t>별도봉배유출</t>
  </si>
  <si>
    <t>영평배유출</t>
  </si>
  <si>
    <t>오라배유출</t>
    <phoneticPr fontId="1" type="noConversion"/>
  </si>
  <si>
    <t>영평15</t>
    <phoneticPr fontId="1" type="noConversion"/>
  </si>
  <si>
    <t>영평소배유출</t>
    <phoneticPr fontId="1" type="noConversion"/>
  </si>
  <si>
    <t>관음사배유출</t>
    <phoneticPr fontId="1" type="noConversion"/>
  </si>
  <si>
    <t>봉개배유출</t>
    <phoneticPr fontId="1" type="noConversion"/>
  </si>
  <si>
    <t>명도암배유출</t>
    <phoneticPr fontId="1" type="noConversion"/>
  </si>
  <si>
    <t>용강배유출</t>
    <phoneticPr fontId="1" type="noConversion"/>
  </si>
  <si>
    <t>계측값
순간
최소값</t>
    <phoneticPr fontId="1" type="noConversion"/>
  </si>
  <si>
    <t>최소값
3~8번째
평균</t>
    <phoneticPr fontId="1" type="noConversion"/>
  </si>
  <si>
    <t>월산6</t>
    <phoneticPr fontId="1" type="noConversion"/>
  </si>
  <si>
    <t>주공배유출</t>
  </si>
  <si>
    <t>주공배유출</t>
    <phoneticPr fontId="1" type="noConversion"/>
  </si>
  <si>
    <t>아라가배유출2</t>
    <phoneticPr fontId="1" type="noConversion"/>
  </si>
  <si>
    <t>산천단배법원유출</t>
  </si>
  <si>
    <t>산천단배법원유출</t>
    <phoneticPr fontId="1" type="noConversion"/>
  </si>
  <si>
    <t>산천단배제대유출</t>
  </si>
  <si>
    <t>산천단배제대유출</t>
    <phoneticPr fontId="1" type="noConversion"/>
  </si>
  <si>
    <t>산천단배첨단유출</t>
  </si>
  <si>
    <t>산천단배첨단유출</t>
    <phoneticPr fontId="1" type="noConversion"/>
  </si>
  <si>
    <t>황세앗유출</t>
  </si>
  <si>
    <t>아라2지구배유출</t>
  </si>
  <si>
    <t>아라2지구배유출</t>
    <phoneticPr fontId="1" type="noConversion"/>
  </si>
  <si>
    <t>월평소배유출</t>
  </si>
  <si>
    <t>월평소배유출</t>
    <phoneticPr fontId="1" type="noConversion"/>
  </si>
  <si>
    <t>월평지선배유출</t>
  </si>
  <si>
    <t>월평지선배유출</t>
    <phoneticPr fontId="1" type="noConversion"/>
  </si>
  <si>
    <t>고다시배유출</t>
  </si>
  <si>
    <t>고다시배유출</t>
    <phoneticPr fontId="1" type="noConversion"/>
  </si>
  <si>
    <t>절물1</t>
  </si>
  <si>
    <t>절물1</t>
    <phoneticPr fontId="1" type="noConversion"/>
  </si>
  <si>
    <t>절물2</t>
  </si>
  <si>
    <t>절물2</t>
    <phoneticPr fontId="1" type="noConversion"/>
  </si>
  <si>
    <t>절물배노루생</t>
    <phoneticPr fontId="1" type="noConversion"/>
  </si>
  <si>
    <t>절물배명도암</t>
    <phoneticPr fontId="1" type="noConversion"/>
  </si>
  <si>
    <t>동부도남유출</t>
  </si>
  <si>
    <t>동부도남유출</t>
    <phoneticPr fontId="1" type="noConversion"/>
  </si>
  <si>
    <t>동부오라유출</t>
  </si>
  <si>
    <t>동부오라유출</t>
    <phoneticPr fontId="1" type="noConversion"/>
  </si>
  <si>
    <t>민오름4</t>
  </si>
  <si>
    <t>민오름4</t>
    <phoneticPr fontId="1" type="noConversion"/>
  </si>
  <si>
    <t>외도배유출</t>
  </si>
  <si>
    <t>외도배유출</t>
    <phoneticPr fontId="1" type="noConversion"/>
  </si>
  <si>
    <t>계명동</t>
    <phoneticPr fontId="1" type="noConversion"/>
  </si>
  <si>
    <t>월산신배유출</t>
  </si>
  <si>
    <t>월산신배유출</t>
    <phoneticPr fontId="1" type="noConversion"/>
  </si>
  <si>
    <t>광평</t>
    <phoneticPr fontId="1" type="noConversion"/>
  </si>
  <si>
    <t>월산구배유출</t>
  </si>
  <si>
    <t>월산구배유출</t>
    <phoneticPr fontId="1" type="noConversion"/>
  </si>
  <si>
    <t>시내</t>
    <phoneticPr fontId="1" type="noConversion"/>
  </si>
  <si>
    <t>오라중유입</t>
  </si>
  <si>
    <t>오라중유입</t>
    <phoneticPr fontId="1" type="noConversion"/>
  </si>
  <si>
    <t>건입고지대</t>
  </si>
  <si>
    <t>건입고지대2</t>
  </si>
  <si>
    <t>건입저지대2</t>
  </si>
  <si>
    <t>공원유출</t>
  </si>
  <si>
    <t>산천단1_1</t>
  </si>
  <si>
    <t>산천단1_2</t>
  </si>
  <si>
    <t>영평15</t>
  </si>
  <si>
    <t>영평소배유출</t>
  </si>
  <si>
    <t>관음사배유출</t>
  </si>
  <si>
    <t>명도암배유출</t>
  </si>
  <si>
    <t>봉개배유출</t>
  </si>
  <si>
    <t>용강배유출</t>
  </si>
  <si>
    <t>합동청사</t>
  </si>
  <si>
    <t>민오름신제주</t>
  </si>
  <si>
    <t>염통구배유출</t>
  </si>
  <si>
    <t>염통신배유출</t>
  </si>
  <si>
    <t>오라배유출</t>
  </si>
  <si>
    <t>아라가(배)
유출</t>
    <phoneticPr fontId="1" type="noConversion"/>
  </si>
  <si>
    <t>사라봉2</t>
    <phoneticPr fontId="1" type="noConversion"/>
  </si>
  <si>
    <t>사라봉1</t>
    <phoneticPr fontId="1" type="noConversion"/>
  </si>
  <si>
    <t>사라봉6</t>
    <phoneticPr fontId="1" type="noConversion"/>
  </si>
  <si>
    <t>사라봉7</t>
    <phoneticPr fontId="1" type="noConversion"/>
  </si>
  <si>
    <t>영평배시내유출</t>
    <phoneticPr fontId="1" type="noConversion"/>
  </si>
  <si>
    <t>영평11</t>
    <phoneticPr fontId="1" type="noConversion"/>
  </si>
  <si>
    <t>영평17</t>
    <phoneticPr fontId="1" type="noConversion"/>
  </si>
  <si>
    <t>영평18</t>
    <phoneticPr fontId="1" type="noConversion"/>
  </si>
  <si>
    <t>영평16</t>
    <phoneticPr fontId="1" type="noConversion"/>
  </si>
  <si>
    <t>영평14</t>
    <phoneticPr fontId="1" type="noConversion"/>
  </si>
  <si>
    <t>영평13</t>
    <phoneticPr fontId="1" type="noConversion"/>
  </si>
  <si>
    <t>영평12</t>
    <phoneticPr fontId="1" type="noConversion"/>
  </si>
  <si>
    <t>영평10</t>
    <phoneticPr fontId="1" type="noConversion"/>
  </si>
  <si>
    <t>영평9</t>
    <phoneticPr fontId="1" type="noConversion"/>
  </si>
  <si>
    <t>영평8</t>
    <phoneticPr fontId="1" type="noConversion"/>
  </si>
  <si>
    <t>영평7</t>
    <phoneticPr fontId="1" type="noConversion"/>
  </si>
  <si>
    <t>영평6</t>
    <phoneticPr fontId="1" type="noConversion"/>
  </si>
  <si>
    <t>영평5</t>
    <phoneticPr fontId="1" type="noConversion"/>
  </si>
  <si>
    <t>영평4</t>
    <phoneticPr fontId="1" type="noConversion"/>
  </si>
  <si>
    <t>영평3</t>
    <phoneticPr fontId="1" type="noConversion"/>
  </si>
  <si>
    <t>영평2</t>
    <phoneticPr fontId="1" type="noConversion"/>
  </si>
  <si>
    <t>영평1</t>
    <phoneticPr fontId="1" type="noConversion"/>
  </si>
  <si>
    <t>별도봉배유출</t>
    <phoneticPr fontId="1" type="noConversion"/>
  </si>
  <si>
    <t>건입
저지대</t>
    <phoneticPr fontId="1" type="noConversion"/>
  </si>
  <si>
    <t>아라가1,2
유입</t>
    <phoneticPr fontId="1" type="noConversion"/>
  </si>
  <si>
    <t>건입저지대</t>
    <phoneticPr fontId="1" type="noConversion"/>
  </si>
  <si>
    <t>아라가배유출</t>
    <phoneticPr fontId="1" type="noConversion"/>
  </si>
  <si>
    <t>아라가1,2유입</t>
    <phoneticPr fontId="1" type="noConversion"/>
  </si>
  <si>
    <t>노형2조절지</t>
    <phoneticPr fontId="1" type="noConversion"/>
  </si>
  <si>
    <t>노형조절지2유출</t>
    <phoneticPr fontId="1" type="noConversion"/>
  </si>
  <si>
    <t>노형조절지
2유출</t>
    <phoneticPr fontId="1" type="noConversion"/>
  </si>
  <si>
    <t>사라마을</t>
    <phoneticPr fontId="1" type="noConversion"/>
  </si>
  <si>
    <t>해안마을</t>
    <phoneticPr fontId="1" type="noConversion"/>
  </si>
  <si>
    <t>아라2지구배신설유출</t>
    <phoneticPr fontId="1" type="noConversion"/>
  </si>
  <si>
    <t>관음사배신설유출</t>
    <phoneticPr fontId="1" type="noConversion"/>
  </si>
  <si>
    <t>월평지선배신설유출</t>
    <phoneticPr fontId="1" type="noConversion"/>
  </si>
  <si>
    <t>해안동배유출</t>
    <phoneticPr fontId="1" type="noConversion"/>
  </si>
  <si>
    <t>00시 05분-01시 04분</t>
  </si>
  <si>
    <t>00시 10분-01시 09분</t>
  </si>
  <si>
    <t>00시 15분-01시 14분</t>
  </si>
  <si>
    <t>00시 20분-01시 19분</t>
  </si>
  <si>
    <t>00시 25분-01시 24분</t>
  </si>
  <si>
    <t>00시 30분-01시 29분</t>
  </si>
  <si>
    <t>00시 35분-01시 34분</t>
  </si>
  <si>
    <t>00시 40분-01시 39분</t>
  </si>
  <si>
    <t>00시 45분-01시 44분</t>
  </si>
  <si>
    <t>00시 50분-01시 49분</t>
  </si>
  <si>
    <t>00시 55분-01시 54분</t>
  </si>
  <si>
    <t>01시 05분-02시 04분</t>
  </si>
  <si>
    <t>01시 10분-02시 09분</t>
  </si>
  <si>
    <t>01시 15분-02시 14분</t>
  </si>
  <si>
    <t>01시 20분-02시 19분</t>
  </si>
  <si>
    <t>01시 25분-02시 24분</t>
  </si>
  <si>
    <t>01시 30분-02시 29분</t>
  </si>
  <si>
    <t>01시 35분-02시 34분</t>
  </si>
  <si>
    <t>01시 40분-02시 39분</t>
  </si>
  <si>
    <t>01시 45분-02시 44분</t>
  </si>
  <si>
    <t>01시 50분-02시 49분</t>
  </si>
  <si>
    <t>01시 55분-02시 54분</t>
  </si>
  <si>
    <t>02시 05분-03시 04분</t>
  </si>
  <si>
    <t>02시 10분-03시 09분</t>
  </si>
  <si>
    <t>02시 15분-03시 14분</t>
  </si>
  <si>
    <t>02시 20분-03시 19분</t>
  </si>
  <si>
    <t>02시 25분-03시 24분</t>
  </si>
  <si>
    <t>02시 30분-03시 29분</t>
  </si>
  <si>
    <t>02시 35분-03시 34분</t>
  </si>
  <si>
    <t>02시 40분-03시 39분</t>
  </si>
  <si>
    <t>02시 45분-03시 44분</t>
  </si>
  <si>
    <t>02시 50분-03시 49분</t>
  </si>
  <si>
    <t>02시 55분-03시 54분</t>
  </si>
  <si>
    <t>03시 05분-04시 04분</t>
  </si>
  <si>
    <t>03시 10분-04시 09분</t>
  </si>
  <si>
    <t>03시 15분-04시 14분</t>
  </si>
  <si>
    <t>03시 20분-04시 19분</t>
  </si>
  <si>
    <t>03시 25분-04시 24분</t>
  </si>
  <si>
    <t>03시 30분-04시 29분</t>
  </si>
  <si>
    <t>03시 35분-04시 34분</t>
  </si>
  <si>
    <t>03시 40분-04시 39분</t>
  </si>
  <si>
    <t>03시 45분-04시 44분</t>
  </si>
  <si>
    <t>03시 50분-04시 49분</t>
  </si>
  <si>
    <t>03시 55분-04시 54분</t>
  </si>
  <si>
    <t>04시 05분-05시 04분</t>
  </si>
  <si>
    <t>04시 10분-05시 09분</t>
  </si>
  <si>
    <t>04시 15분-05시 14분</t>
  </si>
  <si>
    <t>04시 20분-05시 19분</t>
  </si>
  <si>
    <t>04시 25분-05시 24분</t>
  </si>
  <si>
    <t>04시 30분-05시 29분</t>
  </si>
  <si>
    <t>04시 35분-05시 34분</t>
  </si>
  <si>
    <t>04시 40분-05시 39분</t>
  </si>
  <si>
    <t>04시 45분-05시 44분</t>
  </si>
  <si>
    <t>04시 50분-05시 49분</t>
  </si>
  <si>
    <t>04시 55분-05시 54분</t>
  </si>
  <si>
    <t>05시 00분-05시 59분</t>
  </si>
  <si>
    <t>별도봉(배)</t>
    <phoneticPr fontId="1" type="noConversion"/>
  </si>
  <si>
    <t>영락교회</t>
    <phoneticPr fontId="1" type="noConversion"/>
  </si>
  <si>
    <t>영평(배)</t>
    <phoneticPr fontId="1" type="noConversion"/>
  </si>
  <si>
    <t>영평17</t>
  </si>
  <si>
    <t>영평18</t>
  </si>
  <si>
    <t>아라가(배)</t>
    <phoneticPr fontId="1" type="noConversion"/>
  </si>
  <si>
    <t>산천단(법원)</t>
    <phoneticPr fontId="1" type="noConversion"/>
  </si>
  <si>
    <t>산천단(제대)</t>
    <phoneticPr fontId="1" type="noConversion"/>
  </si>
  <si>
    <t>산천단1-2</t>
    <phoneticPr fontId="1" type="noConversion"/>
  </si>
  <si>
    <t>산천단1-1</t>
    <phoneticPr fontId="1" type="noConversion"/>
  </si>
  <si>
    <t>산천단(첨단)</t>
    <phoneticPr fontId="1" type="noConversion"/>
  </si>
  <si>
    <t>황세앗(유출</t>
    <phoneticPr fontId="1" type="noConversion"/>
  </si>
  <si>
    <t>영평소(배)</t>
    <phoneticPr fontId="1" type="noConversion"/>
  </si>
  <si>
    <t>영평(소)</t>
    <phoneticPr fontId="1" type="noConversion"/>
  </si>
  <si>
    <t>아라2지구(유출)</t>
    <phoneticPr fontId="1" type="noConversion"/>
  </si>
  <si>
    <t>아라2지구신설</t>
    <phoneticPr fontId="1" type="noConversion"/>
  </si>
  <si>
    <t>관음사(유출)</t>
    <phoneticPr fontId="1" type="noConversion"/>
  </si>
  <si>
    <t>관음사(신설)</t>
    <phoneticPr fontId="1" type="noConversion"/>
  </si>
  <si>
    <t>월평(소)</t>
    <phoneticPr fontId="1" type="noConversion"/>
  </si>
  <si>
    <t>고다시직송</t>
    <phoneticPr fontId="1" type="noConversion"/>
  </si>
  <si>
    <t>어승생1</t>
    <phoneticPr fontId="1" type="noConversion"/>
  </si>
  <si>
    <t>도련(정)</t>
    <phoneticPr fontId="1" type="noConversion"/>
  </si>
  <si>
    <t>명도암(배)</t>
    <phoneticPr fontId="1" type="noConversion"/>
  </si>
  <si>
    <t>봉개(배)</t>
    <phoneticPr fontId="1" type="noConversion"/>
  </si>
  <si>
    <t>용강(배)</t>
    <phoneticPr fontId="1" type="noConversion"/>
  </si>
  <si>
    <t>절물(노루)</t>
    <phoneticPr fontId="1" type="noConversion"/>
  </si>
  <si>
    <t>절물(명도암)</t>
    <phoneticPr fontId="1" type="noConversion"/>
  </si>
  <si>
    <t>어승생2</t>
    <phoneticPr fontId="1" type="noConversion"/>
  </si>
  <si>
    <t>동부도남</t>
    <phoneticPr fontId="1" type="noConversion"/>
  </si>
  <si>
    <t>동부오라</t>
    <phoneticPr fontId="1" type="noConversion"/>
  </si>
  <si>
    <t>민오름2</t>
    <phoneticPr fontId="1" type="noConversion"/>
  </si>
  <si>
    <t>민오름3</t>
    <phoneticPr fontId="1" type="noConversion"/>
  </si>
  <si>
    <t>염통구배</t>
    <phoneticPr fontId="1" type="noConversion"/>
  </si>
  <si>
    <t>염통6</t>
    <phoneticPr fontId="1" type="noConversion"/>
  </si>
  <si>
    <t>염통7</t>
    <phoneticPr fontId="1" type="noConversion"/>
  </si>
  <si>
    <t>염통8</t>
    <phoneticPr fontId="1" type="noConversion"/>
  </si>
  <si>
    <t>염통신배</t>
    <phoneticPr fontId="1" type="noConversion"/>
  </si>
  <si>
    <t>염통3</t>
    <phoneticPr fontId="1" type="noConversion"/>
  </si>
  <si>
    <t>염통4</t>
    <phoneticPr fontId="1" type="noConversion"/>
  </si>
  <si>
    <t>염통5</t>
    <phoneticPr fontId="1" type="noConversion"/>
  </si>
  <si>
    <t>외도배</t>
    <phoneticPr fontId="1" type="noConversion"/>
  </si>
  <si>
    <t>월산신배광평</t>
    <phoneticPr fontId="1" type="noConversion"/>
  </si>
  <si>
    <t>월살3</t>
    <phoneticPr fontId="1" type="noConversion"/>
  </si>
  <si>
    <t>월산4</t>
    <phoneticPr fontId="1" type="noConversion"/>
  </si>
  <si>
    <t>월산5</t>
    <phoneticPr fontId="1" type="noConversion"/>
  </si>
  <si>
    <t>월산구배시내</t>
    <phoneticPr fontId="1" type="noConversion"/>
  </si>
  <si>
    <t>월산신설배</t>
    <phoneticPr fontId="1" type="noConversion"/>
  </si>
  <si>
    <t>월산7</t>
    <phoneticPr fontId="1" type="noConversion"/>
  </si>
  <si>
    <t>월산8</t>
    <phoneticPr fontId="1" type="noConversion"/>
  </si>
  <si>
    <t>월산9</t>
    <phoneticPr fontId="1" type="noConversion"/>
  </si>
  <si>
    <t>오라배</t>
    <phoneticPr fontId="1" type="noConversion"/>
  </si>
  <si>
    <t>오라유입</t>
    <phoneticPr fontId="1" type="noConversion"/>
  </si>
  <si>
    <t>오라2</t>
    <phoneticPr fontId="1" type="noConversion"/>
  </si>
  <si>
    <t>해안동배</t>
    <phoneticPr fontId="1" type="noConversion"/>
  </si>
  <si>
    <t>일공급량</t>
    <phoneticPr fontId="1" type="noConversion"/>
  </si>
  <si>
    <t>해안지선</t>
    <phoneticPr fontId="1" type="noConversion"/>
  </si>
  <si>
    <t>해안동마을</t>
  </si>
  <si>
    <t>해안동마을</t>
    <phoneticPr fontId="1" type="noConversion"/>
  </si>
  <si>
    <t>축산마을</t>
  </si>
  <si>
    <t>축산마을</t>
    <phoneticPr fontId="1" type="noConversion"/>
  </si>
  <si>
    <t>F535
(관정)</t>
  </si>
  <si>
    <t>F535
(관정)</t>
    <phoneticPr fontId="1" type="noConversion"/>
  </si>
  <si>
    <t>F534
(관정)</t>
  </si>
  <si>
    <t>F534
(관정)</t>
    <phoneticPr fontId="1" type="noConversion"/>
  </si>
  <si>
    <t>F534(관정)</t>
    <phoneticPr fontId="1" type="noConversion"/>
  </si>
  <si>
    <t>F535(관정)</t>
    <phoneticPr fontId="1" type="noConversion"/>
  </si>
  <si>
    <t>공원유출</t>
    <phoneticPr fontId="1" type="noConversion"/>
  </si>
  <si>
    <t>현대화 유수율 (1)</t>
    <phoneticPr fontId="19" type="noConversion"/>
  </si>
  <si>
    <t>일자 :</t>
    <phoneticPr fontId="19" type="noConversion"/>
  </si>
  <si>
    <t xml:space="preserve">      명칭
시간</t>
    <phoneticPr fontId="19" type="noConversion"/>
  </si>
  <si>
    <t>합동청사 유출</t>
  </si>
  <si>
    <t>신제주 유출</t>
  </si>
  <si>
    <t>연미마을 유출</t>
  </si>
  <si>
    <t>염통신배 유출</t>
  </si>
  <si>
    <t>염통구배 유출</t>
  </si>
  <si>
    <t>동부도남 유출</t>
  </si>
  <si>
    <t>동부오라 유출</t>
  </si>
  <si>
    <t>민오름1 유출</t>
    <phoneticPr fontId="1" type="noConversion"/>
  </si>
  <si>
    <t>민오름2 유출</t>
  </si>
  <si>
    <t>적산값</t>
    <phoneticPr fontId="19" type="noConversion"/>
  </si>
  <si>
    <t>총적산</t>
    <phoneticPr fontId="19" type="noConversion"/>
  </si>
  <si>
    <t>적산값</t>
  </si>
  <si>
    <t>총적산</t>
  </si>
  <si>
    <t>00시</t>
    <phoneticPr fontId="19" type="noConversion"/>
  </si>
  <si>
    <t>01시</t>
    <phoneticPr fontId="19" type="noConversion"/>
  </si>
  <si>
    <t>02시</t>
    <phoneticPr fontId="1" type="noConversion"/>
  </si>
  <si>
    <t>03시</t>
    <phoneticPr fontId="1" type="noConversion"/>
  </si>
  <si>
    <t>04시</t>
    <phoneticPr fontId="1" type="noConversion"/>
  </si>
  <si>
    <t>05시</t>
    <phoneticPr fontId="1" type="noConversion"/>
  </si>
  <si>
    <t>06시</t>
    <phoneticPr fontId="1" type="noConversion"/>
  </si>
  <si>
    <t>07시</t>
    <phoneticPr fontId="1" type="noConversion"/>
  </si>
  <si>
    <t>08시</t>
    <phoneticPr fontId="1" type="noConversion"/>
  </si>
  <si>
    <t>09시</t>
    <phoneticPr fontId="1" type="noConversion"/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</si>
  <si>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</si>
  <si>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</si>
  <si>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</si>
  <si>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</si>
  <si>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</si>
  <si>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</si>
  <si>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</si>
  <si>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</si>
  <si>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</si>
  <si>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</si>
  <si>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</si>
  <si>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</si>
  <si>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</si>
  <si>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  <phoneticPr fontId="19" type="noConversion"/>
  </si>
  <si>
    <t>최소</t>
    <phoneticPr fontId="19" type="noConversion"/>
  </si>
  <si>
    <t>최대</t>
    <phoneticPr fontId="19" type="noConversion"/>
  </si>
  <si>
    <t>평균</t>
    <phoneticPr fontId="19" type="noConversion"/>
  </si>
  <si>
    <t>일적산</t>
    <phoneticPr fontId="19" type="noConversion"/>
  </si>
  <si>
    <t>현대화 유수율 (2)</t>
    <phoneticPr fontId="1" type="noConversion"/>
  </si>
  <si>
    <t>민오름3 유출</t>
    <phoneticPr fontId="1" type="noConversion"/>
  </si>
  <si>
    <t>민오름4 유출</t>
  </si>
  <si>
    <t>염통1 유출</t>
  </si>
  <si>
    <t>염통2 유출</t>
  </si>
  <si>
    <t>염통3 유출</t>
  </si>
  <si>
    <t>염통4 유출</t>
  </si>
  <si>
    <t>염통5 유출</t>
  </si>
  <si>
    <t>염통6 유출</t>
  </si>
  <si>
    <t>염통7 유출</t>
  </si>
  <si>
    <t>현대화 유수율 (3)</t>
    <phoneticPr fontId="1" type="noConversion"/>
  </si>
  <si>
    <t>염통8 유출</t>
    <phoneticPr fontId="1" type="noConversion"/>
  </si>
  <si>
    <t>월산1 유출</t>
    <phoneticPr fontId="1" type="noConversion"/>
  </si>
  <si>
    <t>월산2 유출</t>
  </si>
  <si>
    <t>월산3 유출</t>
  </si>
  <si>
    <t>월산4 유출</t>
  </si>
  <si>
    <t>월산5 유출</t>
  </si>
  <si>
    <t>월산6 유출</t>
  </si>
  <si>
    <t>월산7 유출</t>
  </si>
  <si>
    <t>월산8 유출</t>
  </si>
  <si>
    <t>현대화 유수율 (4)</t>
    <phoneticPr fontId="1" type="noConversion"/>
  </si>
  <si>
    <t>월산9 유출</t>
    <phoneticPr fontId="1" type="noConversion"/>
  </si>
  <si>
    <t>드림타워 유출</t>
    <phoneticPr fontId="1" type="noConversion"/>
  </si>
  <si>
    <t>오라1 유출</t>
    <phoneticPr fontId="1" type="noConversion"/>
  </si>
  <si>
    <t>오라2 유출</t>
  </si>
  <si>
    <t>오라3 유출</t>
  </si>
  <si>
    <t>오라4 유출</t>
  </si>
  <si>
    <t>정실4 유출</t>
    <phoneticPr fontId="1" type="noConversion"/>
  </si>
  <si>
    <t>민오름</t>
    <phoneticPr fontId="1" type="noConversion"/>
  </si>
  <si>
    <t>염통</t>
    <phoneticPr fontId="1" type="noConversion"/>
  </si>
  <si>
    <t>동부유출</t>
    <phoneticPr fontId="1" type="noConversion"/>
  </si>
  <si>
    <t>월산</t>
    <phoneticPr fontId="1" type="noConversion"/>
  </si>
  <si>
    <t>오라</t>
    <phoneticPr fontId="1" type="noConversion"/>
  </si>
  <si>
    <t>정실6</t>
    <phoneticPr fontId="1" type="noConversion"/>
  </si>
  <si>
    <t>광평</t>
  </si>
  <si>
    <t>오라</t>
  </si>
  <si>
    <t>정실4(관정)</t>
    <phoneticPr fontId="1" type="noConversion"/>
  </si>
  <si>
    <t>정실6</t>
  </si>
  <si>
    <t>해안마을</t>
  </si>
  <si>
    <t>노형</t>
    <phoneticPr fontId="1" type="noConversion"/>
  </si>
  <si>
    <t>F534</t>
    <phoneticPr fontId="1" type="noConversion"/>
  </si>
  <si>
    <t>F535</t>
  </si>
  <si>
    <t>사라마을</t>
  </si>
  <si>
    <t>노형조절지</t>
  </si>
  <si>
    <t>염통비상연계</t>
  </si>
  <si>
    <t>염통8 유출</t>
  </si>
  <si>
    <t>민오름3 유출</t>
  </si>
  <si>
    <t>월산1 유출</t>
  </si>
  <si>
    <t>오라1 유출</t>
  </si>
  <si>
    <t xml:space="preserve">      명칭
시간</t>
    <phoneticPr fontId="19" type="noConversion"/>
  </si>
  <si>
    <t>별도봉배수지</t>
    <phoneticPr fontId="26" type="noConversion"/>
  </si>
  <si>
    <t>사라봉배수지</t>
    <phoneticPr fontId="26" type="noConversion"/>
  </si>
  <si>
    <t>아라2지구 배수지</t>
    <phoneticPr fontId="26" type="noConversion"/>
  </si>
  <si>
    <t>아라가배수지</t>
    <phoneticPr fontId="26" type="noConversion"/>
  </si>
  <si>
    <t>산천단배수지</t>
    <phoneticPr fontId="26" type="noConversion"/>
  </si>
  <si>
    <t>월평(소)</t>
    <phoneticPr fontId="26" type="noConversion"/>
  </si>
  <si>
    <t>월평지선</t>
    <phoneticPr fontId="26" type="noConversion"/>
  </si>
  <si>
    <t>영평소</t>
    <phoneticPr fontId="26" type="noConversion"/>
  </si>
  <si>
    <t>관음사</t>
    <phoneticPr fontId="26" type="noConversion"/>
  </si>
  <si>
    <t>고다시</t>
    <phoneticPr fontId="26" type="noConversion"/>
  </si>
  <si>
    <t>영평배수지</t>
    <phoneticPr fontId="26" type="noConversion"/>
  </si>
  <si>
    <t>도련배수지</t>
    <phoneticPr fontId="26" type="noConversion"/>
  </si>
  <si>
    <t>용강배유출</t>
    <phoneticPr fontId="26" type="noConversion"/>
  </si>
  <si>
    <t>봉개배유출</t>
    <phoneticPr fontId="26" type="noConversion"/>
  </si>
  <si>
    <t>명도암배유출</t>
    <phoneticPr fontId="26" type="noConversion"/>
  </si>
  <si>
    <t>절물배수지</t>
    <phoneticPr fontId="26" type="noConversion"/>
  </si>
  <si>
    <t>별도봉시내(①)</t>
    <phoneticPr fontId="26" type="noConversion"/>
  </si>
  <si>
    <t>합 계
(①+②+③+④+⑤)</t>
    <phoneticPr fontId="26" type="noConversion"/>
  </si>
  <si>
    <t>저지대(①)</t>
    <phoneticPr fontId="26" type="noConversion"/>
  </si>
  <si>
    <t>공원(④)</t>
    <phoneticPr fontId="26" type="noConversion"/>
  </si>
  <si>
    <t>용담이동(서부)(⑤)</t>
    <phoneticPr fontId="26" type="noConversion"/>
  </si>
  <si>
    <t>합 계
(①)</t>
    <phoneticPr fontId="26" type="noConversion"/>
  </si>
  <si>
    <t>아라서편(①)</t>
    <phoneticPr fontId="26" type="noConversion"/>
  </si>
  <si>
    <t>아라동편(①)</t>
    <phoneticPr fontId="26" type="noConversion"/>
  </si>
  <si>
    <t>합 계
(①+②+③)</t>
    <phoneticPr fontId="26" type="noConversion"/>
  </si>
  <si>
    <t>법원방면(①)</t>
    <phoneticPr fontId="26" type="noConversion"/>
  </si>
  <si>
    <t>첨단방면(②)</t>
    <phoneticPr fontId="26" type="noConversion"/>
  </si>
  <si>
    <t>제주대방면(③)</t>
    <phoneticPr fontId="26" type="noConversion"/>
  </si>
  <si>
    <t>월평소방면(①)</t>
    <phoneticPr fontId="26" type="noConversion"/>
  </si>
  <si>
    <t>아라영평방면(①)</t>
    <phoneticPr fontId="26" type="noConversion"/>
  </si>
  <si>
    <t>관음사방면(①)</t>
    <phoneticPr fontId="26" type="noConversion"/>
  </si>
  <si>
    <t>합 계
(①+②+③+④)</t>
    <phoneticPr fontId="26" type="noConversion"/>
  </si>
  <si>
    <t>일도이도방면(①)</t>
    <phoneticPr fontId="26" type="noConversion"/>
  </si>
  <si>
    <t>시내방면(①)</t>
    <phoneticPr fontId="26" type="noConversion"/>
  </si>
  <si>
    <t>합 계
(①+②)</t>
    <phoneticPr fontId="26" type="noConversion"/>
  </si>
  <si>
    <t>유출유량(㎥/일)</t>
    <phoneticPr fontId="26" type="noConversion"/>
  </si>
  <si>
    <t>평균</t>
    <phoneticPr fontId="1" type="noConversion"/>
  </si>
  <si>
    <t>관망감시 중블록 전일 총 적산</t>
    <phoneticPr fontId="26" type="noConversion"/>
  </si>
  <si>
    <t>관망감시 중블록 전일 총 적산(최소값)</t>
    <phoneticPr fontId="26" type="noConversion"/>
  </si>
  <si>
    <t>합 계</t>
    <phoneticPr fontId="26" type="noConversion"/>
  </si>
  <si>
    <t>현대화 동부 중블록</t>
  </si>
  <si>
    <t>영평소유출</t>
    <phoneticPr fontId="1" type="noConversion"/>
  </si>
  <si>
    <t>영평시내유출</t>
    <phoneticPr fontId="1" type="noConversion"/>
  </si>
  <si>
    <t>영평황세앗유출</t>
    <phoneticPr fontId="1" type="noConversion"/>
  </si>
  <si>
    <t>주공배유출(도련)</t>
    <phoneticPr fontId="1" type="noConversion"/>
  </si>
  <si>
    <t>절물배명도암유출</t>
    <phoneticPr fontId="1" type="noConversion"/>
  </si>
  <si>
    <t>절물배노루생유출</t>
    <phoneticPr fontId="1" type="noConversion"/>
  </si>
  <si>
    <t>현대화 동부</t>
    <phoneticPr fontId="19" type="noConversion"/>
  </si>
  <si>
    <t>별도봉1 유출</t>
    <phoneticPr fontId="1" type="noConversion"/>
  </si>
  <si>
    <t>별도봉2 유출</t>
  </si>
  <si>
    <t>별도봉3 유출</t>
  </si>
  <si>
    <t>별도봉4 유출</t>
  </si>
  <si>
    <t>별도봉5 유출</t>
  </si>
  <si>
    <t>별도봉6 유출</t>
  </si>
  <si>
    <t>사라봉1 유출</t>
    <phoneticPr fontId="1" type="noConversion"/>
  </si>
  <si>
    <t>사라봉2 유출</t>
  </si>
  <si>
    <t>사라봉3 유출</t>
  </si>
  <si>
    <t xml:space="preserve"> </t>
    <phoneticPr fontId="1" type="noConversion"/>
  </si>
  <si>
    <t>현대화 동부</t>
    <phoneticPr fontId="1" type="noConversion"/>
  </si>
  <si>
    <t>사라봉4 유출</t>
    <phoneticPr fontId="1" type="noConversion"/>
  </si>
  <si>
    <t>사라봉5 유출</t>
  </si>
  <si>
    <t>사라봉6 유출</t>
  </si>
  <si>
    <t>사라봉7 유출</t>
  </si>
  <si>
    <t>사라봉8 유출(구 공원)</t>
    <phoneticPr fontId="1" type="noConversion"/>
  </si>
  <si>
    <t>도련1 유출</t>
    <phoneticPr fontId="1" type="noConversion"/>
  </si>
  <si>
    <t>도련2 유출</t>
  </si>
  <si>
    <t>도련3 유출</t>
  </si>
  <si>
    <t>도련4 유출</t>
    <phoneticPr fontId="1" type="noConversion"/>
  </si>
  <si>
    <t>용강(배)유출</t>
  </si>
  <si>
    <t>봉개(배)유출</t>
  </si>
  <si>
    <t>명도암(배)유출</t>
  </si>
  <si>
    <t>영평1 유출</t>
  </si>
  <si>
    <t>영평2 유출</t>
  </si>
  <si>
    <t>영평3 유출</t>
  </si>
  <si>
    <t>영평4 유출</t>
  </si>
  <si>
    <t>영평5 유출</t>
  </si>
  <si>
    <t>영평6 유출</t>
    <phoneticPr fontId="1" type="noConversion"/>
  </si>
  <si>
    <t>영평7 유출</t>
    <phoneticPr fontId="1" type="noConversion"/>
  </si>
  <si>
    <t>영평8 유출</t>
  </si>
  <si>
    <t>영평9 유출</t>
  </si>
  <si>
    <t>영평10 유출</t>
  </si>
  <si>
    <t>영평11 유출</t>
  </si>
  <si>
    <t>영평12 유출</t>
  </si>
  <si>
    <t>영평13 유출</t>
  </si>
  <si>
    <t>영평14 유출</t>
  </si>
  <si>
    <t>영평15 유출</t>
    <phoneticPr fontId="1" type="noConversion"/>
  </si>
  <si>
    <t>영평16 유출</t>
    <phoneticPr fontId="1" type="noConversion"/>
  </si>
  <si>
    <t>영평17 유출</t>
  </si>
  <si>
    <t>영평18 유출</t>
  </si>
  <si>
    <t>아라가1 유출</t>
    <phoneticPr fontId="1" type="noConversion"/>
  </si>
  <si>
    <t>아라가2 유출</t>
  </si>
  <si>
    <t>절물1 유출</t>
    <phoneticPr fontId="1" type="noConversion"/>
  </si>
  <si>
    <t>절물2 유출</t>
  </si>
  <si>
    <t>아라2지구(배) 신설 유출</t>
    <phoneticPr fontId="1" type="noConversion"/>
  </si>
  <si>
    <t>관음사(배) 신설 유출</t>
    <phoneticPr fontId="1" type="noConversion"/>
  </si>
  <si>
    <t>용강(배)유출</t>
    <phoneticPr fontId="1" type="noConversion"/>
  </si>
  <si>
    <t>봉개(배)유출</t>
    <phoneticPr fontId="1" type="noConversion"/>
  </si>
  <si>
    <t>명도암(배)유출</t>
    <phoneticPr fontId="1" type="noConversion"/>
  </si>
  <si>
    <t>수압</t>
    <phoneticPr fontId="19" type="noConversion"/>
  </si>
  <si>
    <t>순시유량</t>
    <phoneticPr fontId="19" type="noConversion"/>
  </si>
  <si>
    <t>사라봉1 유출</t>
  </si>
  <si>
    <t>사라봉4 유출</t>
  </si>
  <si>
    <t>사라봉7 유출</t>
    <phoneticPr fontId="1" type="noConversion"/>
  </si>
  <si>
    <t>사라봉8 유출</t>
    <phoneticPr fontId="1" type="noConversion"/>
  </si>
  <si>
    <t>영평6 유출</t>
  </si>
  <si>
    <t>영평7 유출</t>
  </si>
  <si>
    <t>영평15 유출(황세앗)</t>
    <phoneticPr fontId="1" type="noConversion"/>
  </si>
  <si>
    <t>영평16 유출</t>
  </si>
  <si>
    <t>영평17 유출</t>
    <phoneticPr fontId="1" type="noConversion"/>
  </si>
  <si>
    <t>도련1 유출</t>
  </si>
  <si>
    <t>도련4 유출</t>
  </si>
  <si>
    <t>아라가2 유출</t>
    <phoneticPr fontId="1" type="noConversion"/>
  </si>
  <si>
    <t>절물2 유출</t>
    <phoneticPr fontId="1" type="noConversion"/>
  </si>
  <si>
    <t>월평지선(배) 신설 유출</t>
    <phoneticPr fontId="1" type="noConversion"/>
  </si>
  <si>
    <t>동부오라유출(③)</t>
    <phoneticPr fontId="26" type="noConversion"/>
  </si>
  <si>
    <t>동부도남유출(④)</t>
    <phoneticPr fontId="26" type="noConversion"/>
  </si>
  <si>
    <t>F535</t>
    <phoneticPr fontId="1" type="noConversion"/>
  </si>
  <si>
    <t>해안지선마을유출</t>
    <phoneticPr fontId="1" type="noConversion"/>
  </si>
  <si>
    <t>해안지선축산마을</t>
    <phoneticPr fontId="1" type="noConversion"/>
  </si>
  <si>
    <t>00시 00분-00시 59분</t>
  </si>
  <si>
    <t>01시 00분-01시 59분</t>
  </si>
  <si>
    <t>02시 00분-02시 59분</t>
  </si>
  <si>
    <t>03시 00분-03시 59분</t>
  </si>
  <si>
    <t>04시 00분-04시 59분</t>
  </si>
  <si>
    <t>현대화
(민오름+염통)</t>
    <phoneticPr fontId="26" type="noConversion"/>
  </si>
  <si>
    <t>서부</t>
    <phoneticPr fontId="1" type="noConversion"/>
  </si>
  <si>
    <t>최소값(8번째)</t>
    <phoneticPr fontId="1" type="noConversion"/>
  </si>
  <si>
    <t>민오름5</t>
    <phoneticPr fontId="1" type="noConversion"/>
  </si>
  <si>
    <t>민오름4
(연미마을)</t>
    <phoneticPr fontId="1" type="noConversion"/>
  </si>
  <si>
    <t>이동평균(MNF)</t>
    <phoneticPr fontId="1" type="noConversion"/>
  </si>
  <si>
    <t>사라봉6(②)</t>
    <phoneticPr fontId="26" type="noConversion"/>
  </si>
  <si>
    <t>사라봉7(③)</t>
    <phoneticPr fontId="26" type="noConversion"/>
  </si>
  <si>
    <t>(①)</t>
    <phoneticPr fontId="26" type="noConversion"/>
  </si>
  <si>
    <t>민오름5 유출</t>
    <phoneticPr fontId="1" type="noConversion"/>
  </si>
  <si>
    <r>
      <t>합 계
(</t>
    </r>
    <r>
      <rPr>
        <sz val="20"/>
        <rFont val="맑은 고딕"/>
        <family val="3"/>
        <charset val="129"/>
      </rPr>
      <t>①+ⓐ+ⓑ)</t>
    </r>
    <phoneticPr fontId="26" type="noConversion"/>
  </si>
  <si>
    <r>
      <t>고다시(</t>
    </r>
    <r>
      <rPr>
        <sz val="20"/>
        <rFont val="맑은 고딕"/>
        <family val="3"/>
        <charset val="129"/>
      </rPr>
      <t>①</t>
    </r>
    <r>
      <rPr>
        <sz val="20"/>
        <rFont val="맑은 고딕"/>
        <family val="3"/>
        <charset val="129"/>
        <scheme val="major"/>
      </rPr>
      <t>)</t>
    </r>
    <phoneticPr fontId="26" type="noConversion"/>
  </si>
  <si>
    <t>동부용담
유출</t>
    <phoneticPr fontId="1" type="noConversion"/>
  </si>
  <si>
    <t>오라(중)</t>
    <phoneticPr fontId="1" type="noConversion"/>
  </si>
  <si>
    <t>민오름5</t>
  </si>
  <si>
    <t>해안동</t>
    <phoneticPr fontId="1" type="noConversion"/>
  </si>
  <si>
    <t>해안배유출 해안마을</t>
    <phoneticPr fontId="1" type="noConversion"/>
  </si>
  <si>
    <t>영평15(②)</t>
    <phoneticPr fontId="26" type="noConversion"/>
  </si>
  <si>
    <t>절물1(①)</t>
    <phoneticPr fontId="26" type="noConversion"/>
  </si>
  <si>
    <t>절물2(②)</t>
    <phoneticPr fontId="26" type="noConversion"/>
  </si>
  <si>
    <t>신설현장</t>
    <phoneticPr fontId="1" type="noConversion"/>
  </si>
  <si>
    <t>제대직송(유수암)</t>
    <phoneticPr fontId="1" type="noConversion"/>
  </si>
  <si>
    <t>제대직송(유수암)(②)</t>
    <phoneticPr fontId="1" type="noConversion"/>
  </si>
  <si>
    <t>합 계
(①)+(②)</t>
    <phoneticPr fontId="26" type="noConversion"/>
  </si>
  <si>
    <t>유출유량(㎥/일)</t>
  </si>
  <si>
    <t>도련 취수원</t>
    <phoneticPr fontId="1" type="noConversion"/>
  </si>
  <si>
    <t>도련1(①)</t>
  </si>
  <si>
    <t>도련2(②)</t>
  </si>
  <si>
    <t>제대직송
(유수암)</t>
    <phoneticPr fontId="1" type="noConversion"/>
  </si>
  <si>
    <t>도련취수원</t>
    <phoneticPr fontId="1" type="noConversion"/>
  </si>
  <si>
    <t>도련1호</t>
    <phoneticPr fontId="1" type="noConversion"/>
  </si>
  <si>
    <t>도련2호</t>
    <phoneticPr fontId="1" type="noConversion"/>
  </si>
  <si>
    <t>취수합</t>
    <phoneticPr fontId="1" type="noConversion"/>
  </si>
  <si>
    <t>도련1취수</t>
    <phoneticPr fontId="1" type="noConversion"/>
  </si>
  <si>
    <t>도련2취수</t>
    <phoneticPr fontId="1" type="noConversion"/>
  </si>
  <si>
    <t>제대직송유수암</t>
    <phoneticPr fontId="1" type="noConversion"/>
  </si>
  <si>
    <t>도련1호 취수</t>
    <phoneticPr fontId="1" type="noConversion"/>
  </si>
  <si>
    <t>도련2호 취수</t>
    <phoneticPr fontId="1" type="noConversion"/>
  </si>
  <si>
    <t>도련취수원 합</t>
    <phoneticPr fontId="1" type="noConversion"/>
  </si>
  <si>
    <t>도련취수</t>
    <phoneticPr fontId="1" type="noConversion"/>
  </si>
  <si>
    <t>도련1,2호 합</t>
    <phoneticPr fontId="1" type="noConversion"/>
  </si>
  <si>
    <t>도련1호취수</t>
  </si>
  <si>
    <t>도련1호취수</t>
    <phoneticPr fontId="1" type="noConversion"/>
  </si>
  <si>
    <t>도련2호취수</t>
  </si>
  <si>
    <t>도련2호취수</t>
    <phoneticPr fontId="1" type="noConversion"/>
  </si>
  <si>
    <t>도련1,2취수</t>
  </si>
  <si>
    <t>도련1,2취수</t>
    <phoneticPr fontId="1" type="noConversion"/>
  </si>
  <si>
    <t>염통신배유출</t>
    <phoneticPr fontId="1" type="noConversion"/>
  </si>
  <si>
    <t>염통8</t>
    <phoneticPr fontId="1" type="noConversion"/>
  </si>
  <si>
    <t>염통1</t>
    <phoneticPr fontId="1" type="noConversion"/>
  </si>
  <si>
    <t>고다시
직송</t>
  </si>
  <si>
    <t>합</t>
    <phoneticPr fontId="1" type="noConversion"/>
  </si>
  <si>
    <t>고다시중합</t>
    <phoneticPr fontId="1" type="noConversion"/>
  </si>
  <si>
    <t>고다시 합</t>
  </si>
  <si>
    <t>고다시 합</t>
    <phoneticPr fontId="1" type="noConversion"/>
  </si>
  <si>
    <t>절물(노루)</t>
  </si>
  <si>
    <t>절물(명도암)</t>
  </si>
  <si>
    <t>중블록</t>
    <phoneticPr fontId="1" type="noConversion"/>
  </si>
  <si>
    <t>구분</t>
    <phoneticPr fontId="1" type="noConversion"/>
  </si>
  <si>
    <t>7일 평균</t>
    <phoneticPr fontId="1" type="noConversion"/>
  </si>
  <si>
    <t>이상유무(기준은 임시)</t>
    <phoneticPr fontId="1" type="noConversion"/>
  </si>
  <si>
    <t>별도봉6</t>
    <phoneticPr fontId="1" type="noConversion"/>
  </si>
  <si>
    <t>도련취수</t>
  </si>
  <si>
    <t>외도(배) 계명동</t>
    <phoneticPr fontId="1" type="noConversion"/>
  </si>
  <si>
    <t>확인필요: 금일값이 평균값보다 0.9 이하, 1.1 이상</t>
    <phoneticPr fontId="1" type="noConversion"/>
  </si>
  <si>
    <t>월산배통합유출</t>
    <phoneticPr fontId="1" type="noConversion"/>
  </si>
  <si>
    <t>월산신구(배)시내통합유출</t>
    <phoneticPr fontId="1" type="noConversion"/>
  </si>
  <si>
    <t>월산신구배시내통합유출</t>
    <phoneticPr fontId="1" type="noConversion"/>
  </si>
  <si>
    <t>신(배)시내</t>
    <phoneticPr fontId="1" type="noConversion"/>
  </si>
  <si>
    <t>구(배)시내</t>
    <phoneticPr fontId="1" type="noConversion"/>
  </si>
  <si>
    <t>월산신
(배)시내유출</t>
    <phoneticPr fontId="1" type="noConversion"/>
  </si>
  <si>
    <t>월산신배시내유출</t>
    <phoneticPr fontId="1" type="noConversion"/>
  </si>
  <si>
    <t>월평지선</t>
    <phoneticPr fontId="1" type="noConversion"/>
  </si>
  <si>
    <t>월평지선(신규)</t>
    <phoneticPr fontId="1" type="noConversion"/>
  </si>
  <si>
    <t>고다시제대직송</t>
    <phoneticPr fontId="1" type="noConversion"/>
  </si>
  <si>
    <t>25년12월28일 일요일</t>
  </si>
  <si>
    <t>2025년12월28일  일요일</t>
  </si>
  <si>
    <t>12월23일</t>
    <phoneticPr fontId="1" type="noConversion"/>
  </si>
  <si>
    <t>12월24일</t>
    <phoneticPr fontId="1" type="noConversion"/>
  </si>
  <si>
    <t>12월25일</t>
    <phoneticPr fontId="1" type="noConversion"/>
  </si>
  <si>
    <t>12월26일</t>
    <phoneticPr fontId="1" type="noConversion"/>
  </si>
  <si>
    <t>12월27일</t>
    <phoneticPr fontId="1" type="noConversion"/>
  </si>
  <si>
    <t>12월28일</t>
    <phoneticPr fontId="1" type="noConversion"/>
  </si>
  <si>
    <t>12월29일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</si>
</sst>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0.0_ "/>
    <numFmt numFmtId="177" formatCode="0.0_);[Red]\(0.0\)"/>
    <numFmt numFmtId="178" formatCode="#,##0_);[Red]\(#,##0\)"/>
    <numFmt numFmtId="179" formatCode="#,##0.00;[Red]#,##0.00"/>
    <numFmt numFmtId="180" formatCode="0.00;[Red]0.00"/>
    <numFmt numFmtId="181" formatCode="#,##0.00_);[Red]\(#,##0.00\)"/>
    <numFmt numFmtId="182" formatCode="#,##0.0;[Red]#,##0.0"/>
    <numFmt numFmtId="183" formatCode="#,##0;[Red]#,##0"/>
    <numFmt numFmtId="184" formatCode="#,##0_);\(#,##0\)"/>
    <numFmt numFmtId="185" formatCode="[$-F800]dddd\,\ mmmm\ dd\,\ yyyy"/>
    <numFmt numFmtId="186" formatCode="yyyy/mm/dd\ hh:mm"/>
    <numFmt numFmtId="187" formatCode="0_ "/>
    <numFmt numFmtId="188" formatCode="m&quot;월&quot;\ d&quot;일&quot;;@"/>
    <numFmt numFmtId="189" formatCode="0.0000%"/>
    <numFmt numFmtId="190" formatCode="0.000%"/>
    <numFmt numFmtId="191" formatCode="0_);[Red]\(0\)"/>
  </numFmts>
  <fonts count="3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3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sz val="2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54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5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 diagonalUp="1">
      <left style="thin">
        <color indexed="64"/>
      </left>
      <right style="dashed">
        <color indexed="64"/>
      </right>
      <top style="dashed">
        <color indexed="64"/>
      </top>
      <bottom/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dashed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/>
      <bottom/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 diagonalUp="1">
      <left/>
      <right style="thin">
        <color indexed="64"/>
      </right>
      <top style="dashed">
        <color indexed="64"/>
      </top>
      <bottom/>
      <diagonal style="thin">
        <color indexed="64"/>
      </diagonal>
    </border>
    <border diagonalUp="1">
      <left style="dashed">
        <color indexed="64"/>
      </left>
      <right style="medium">
        <color indexed="64"/>
      </right>
      <top style="dashed">
        <color indexed="64"/>
      </top>
      <bottom/>
      <diagonal style="thin">
        <color indexed="64"/>
      </diagonal>
    </border>
    <border diagonalUp="1">
      <left/>
      <right/>
      <top style="dotted">
        <color indexed="64"/>
      </top>
      <bottom style="medium">
        <color indexed="64"/>
      </bottom>
      <diagonal style="thin">
        <color indexed="64"/>
      </diagonal>
    </border>
    <border diagonalUp="1"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dotted">
        <color indexed="64"/>
      </top>
      <bottom style="medium">
        <color indexed="64"/>
      </bottom>
      <diagonal style="thin">
        <color indexed="64"/>
      </diagonal>
    </border>
    <border diagonalUp="1">
      <left style="dash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 style="thin">
        <color indexed="64"/>
      </diagonal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</cellStyleXfs>
  <cellXfs count="565">
    <xf numFmtId="0" fontId="0" fillId="0" borderId="0" xfId="0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9" borderId="7" xfId="0" applyFill="1" applyBorder="1">
      <alignment vertical="center"/>
    </xf>
    <xf numFmtId="0" fontId="0" fillId="0" borderId="7" xfId="0" applyBorder="1">
      <alignment vertical="center"/>
    </xf>
    <xf numFmtId="0" fontId="9" fillId="0" borderId="7" xfId="1" applyFont="1" applyBorder="1" applyAlignment="1">
      <alignment horizontal="center" vertical="center"/>
    </xf>
    <xf numFmtId="0" fontId="9" fillId="6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9" fillId="4" borderId="7" xfId="1" applyFont="1" applyFill="1" applyBorder="1" applyAlignment="1">
      <alignment horizontal="center" vertical="center"/>
    </xf>
    <xf numFmtId="0" fontId="9" fillId="5" borderId="7" xfId="1" applyFont="1" applyFill="1" applyBorder="1" applyAlignment="1">
      <alignment horizontal="center" vertical="center" wrapText="1"/>
    </xf>
    <xf numFmtId="0" fontId="9" fillId="6" borderId="7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>
      <alignment vertical="center"/>
    </xf>
    <xf numFmtId="0" fontId="9" fillId="5" borderId="11" xfId="1" applyFont="1" applyFill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6" borderId="17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 wrapText="1"/>
    </xf>
    <xf numFmtId="0" fontId="9" fillId="4" borderId="17" xfId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0" fillId="10" borderId="7" xfId="0" applyFill="1" applyBorder="1">
      <alignment vertical="center"/>
    </xf>
    <xf numFmtId="0" fontId="0" fillId="9" borderId="0" xfId="0" applyFill="1" applyAlignment="1">
      <alignment horizontal="center" vertical="center" wrapText="1"/>
    </xf>
    <xf numFmtId="178" fontId="0" fillId="0" borderId="0" xfId="0" applyNumberFormat="1">
      <alignment vertical="center"/>
    </xf>
    <xf numFmtId="176" fontId="11" fillId="11" borderId="0" xfId="0" applyNumberFormat="1" applyFont="1" applyFill="1" applyAlignment="1">
      <alignment horizontal="center" vertical="center"/>
    </xf>
    <xf numFmtId="0" fontId="10" fillId="0" borderId="17" xfId="1" applyFont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5" borderId="5" xfId="1" quotePrefix="1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horizontal="center" vertical="center" wrapText="1"/>
    </xf>
    <xf numFmtId="0" fontId="9" fillId="4" borderId="5" xfId="1" applyFont="1" applyFill="1" applyBorder="1" applyAlignment="1">
      <alignment horizontal="center" vertical="center"/>
    </xf>
    <xf numFmtId="0" fontId="4" fillId="6" borderId="26" xfId="1" applyFont="1" applyFill="1" applyBorder="1" applyAlignment="1">
      <alignment horizontal="center" vertical="center" wrapText="1"/>
    </xf>
    <xf numFmtId="0" fontId="4" fillId="4" borderId="26" xfId="1" applyFont="1" applyFill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6" borderId="5" xfId="1" applyFont="1" applyFill="1" applyBorder="1" applyAlignment="1">
      <alignment horizontal="center" vertical="center" wrapText="1"/>
    </xf>
    <xf numFmtId="0" fontId="9" fillId="4" borderId="5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9" fillId="5" borderId="25" xfId="1" applyFont="1" applyFill="1" applyBorder="1" applyAlignment="1">
      <alignment horizontal="center" vertical="center" wrapText="1"/>
    </xf>
    <xf numFmtId="0" fontId="4" fillId="6" borderId="13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 vertical="center" wrapText="1"/>
    </xf>
    <xf numFmtId="177" fontId="6" fillId="0" borderId="7" xfId="0" applyNumberFormat="1" applyFont="1" applyBorder="1">
      <alignment vertical="center"/>
    </xf>
    <xf numFmtId="0" fontId="6" fillId="0" borderId="7" xfId="0" applyFont="1" applyBorder="1">
      <alignment vertical="center"/>
    </xf>
    <xf numFmtId="0" fontId="6" fillId="4" borderId="13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5" borderId="28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6" borderId="4" xfId="1" applyFont="1" applyFill="1" applyBorder="1" applyAlignment="1">
      <alignment vertical="center" wrapText="1"/>
    </xf>
    <xf numFmtId="0" fontId="13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8" fillId="4" borderId="25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5" borderId="13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 wrapText="1"/>
    </xf>
    <xf numFmtId="0" fontId="10" fillId="0" borderId="44" xfId="1" applyFont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/>
    </xf>
    <xf numFmtId="0" fontId="9" fillId="5" borderId="43" xfId="1" applyFont="1" applyFill="1" applyBorder="1" applyAlignment="1">
      <alignment horizontal="center" vertical="center" wrapText="1"/>
    </xf>
    <xf numFmtId="0" fontId="8" fillId="5" borderId="47" xfId="1" quotePrefix="1" applyFont="1" applyFill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/>
    </xf>
    <xf numFmtId="0" fontId="9" fillId="0" borderId="48" xfId="1" applyFont="1" applyBorder="1" applyAlignment="1">
      <alignment horizontal="center" vertical="center"/>
    </xf>
    <xf numFmtId="0" fontId="9" fillId="6" borderId="11" xfId="1" applyFont="1" applyFill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48" xfId="1" applyFont="1" applyBorder="1" applyAlignment="1">
      <alignment horizontal="center" vertical="center" wrapText="1"/>
    </xf>
    <xf numFmtId="0" fontId="4" fillId="5" borderId="43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0" fontId="9" fillId="4" borderId="43" xfId="1" applyFont="1" applyFill="1" applyBorder="1" applyAlignment="1">
      <alignment horizontal="center" vertical="center" wrapText="1"/>
    </xf>
    <xf numFmtId="0" fontId="9" fillId="4" borderId="49" xfId="1" applyFont="1" applyFill="1" applyBorder="1" applyAlignment="1">
      <alignment horizontal="center" vertical="center"/>
    </xf>
    <xf numFmtId="0" fontId="9" fillId="4" borderId="50" xfId="1" applyFont="1" applyFill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4" borderId="48" xfId="1" applyFont="1" applyFill="1" applyBorder="1" applyAlignment="1">
      <alignment horizontal="center" vertical="center"/>
    </xf>
    <xf numFmtId="0" fontId="9" fillId="6" borderId="25" xfId="1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5" borderId="51" xfId="1" applyFont="1" applyFill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4" borderId="47" xfId="1" applyFont="1" applyFill="1" applyBorder="1" applyAlignment="1">
      <alignment horizontal="center" vertical="center" wrapText="1"/>
    </xf>
    <xf numFmtId="0" fontId="9" fillId="5" borderId="47" xfId="1" applyFont="1" applyFill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 wrapText="1"/>
    </xf>
    <xf numFmtId="177" fontId="9" fillId="9" borderId="0" xfId="0" applyNumberFormat="1" applyFont="1" applyFill="1" applyAlignment="1">
      <alignment horizontal="center" vertical="center" wrapText="1"/>
    </xf>
    <xf numFmtId="177" fontId="9" fillId="11" borderId="0" xfId="0" applyNumberFormat="1" applyFont="1" applyFill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9" fillId="6" borderId="11" xfId="1" applyFont="1" applyFill="1" applyBorder="1" applyAlignment="1">
      <alignment horizontal="center" vertical="center"/>
    </xf>
    <xf numFmtId="0" fontId="9" fillId="6" borderId="52" xfId="1" applyFont="1" applyFill="1" applyBorder="1" applyAlignment="1">
      <alignment horizontal="center" vertical="center"/>
    </xf>
    <xf numFmtId="0" fontId="6" fillId="5" borderId="28" xfId="1" applyFont="1" applyFill="1" applyBorder="1" applyAlignment="1">
      <alignment horizontal="center" vertical="center" wrapText="1"/>
    </xf>
    <xf numFmtId="0" fontId="6" fillId="4" borderId="54" xfId="1" applyFont="1" applyFill="1" applyBorder="1" applyAlignment="1">
      <alignment horizontal="center" vertical="center" wrapText="1"/>
    </xf>
    <xf numFmtId="0" fontId="6" fillId="4" borderId="26" xfId="1" applyFont="1" applyFill="1" applyBorder="1" applyAlignment="1">
      <alignment horizontal="center" vertical="center" wrapText="1"/>
    </xf>
    <xf numFmtId="0" fontId="9" fillId="5" borderId="49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9" fillId="4" borderId="49" xfId="1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179" fontId="0" fillId="0" borderId="19" xfId="0" applyNumberFormat="1" applyBorder="1">
      <alignment vertical="center"/>
    </xf>
    <xf numFmtId="179" fontId="0" fillId="0" borderId="12" xfId="0" applyNumberFormat="1" applyBorder="1">
      <alignment vertical="center"/>
    </xf>
    <xf numFmtId="179" fontId="0" fillId="0" borderId="35" xfId="0" applyNumberFormat="1" applyBorder="1">
      <alignment vertical="center"/>
    </xf>
    <xf numFmtId="179" fontId="0" fillId="0" borderId="20" xfId="0" applyNumberFormat="1" applyBorder="1">
      <alignment vertical="center"/>
    </xf>
    <xf numFmtId="179" fontId="0" fillId="0" borderId="22" xfId="0" applyNumberFormat="1" applyBorder="1">
      <alignment vertical="center"/>
    </xf>
    <xf numFmtId="179" fontId="0" fillId="0" borderId="37" xfId="0" applyNumberFormat="1" applyBorder="1">
      <alignment vertical="center"/>
    </xf>
    <xf numFmtId="179" fontId="0" fillId="0" borderId="31" xfId="0" applyNumberFormat="1" applyBorder="1">
      <alignment vertical="center"/>
    </xf>
    <xf numFmtId="179" fontId="0" fillId="0" borderId="15" xfId="0" applyNumberFormat="1" applyBorder="1">
      <alignment vertical="center"/>
    </xf>
    <xf numFmtId="179" fontId="0" fillId="0" borderId="9" xfId="0" applyNumberFormat="1" applyBorder="1">
      <alignment vertical="center"/>
    </xf>
    <xf numFmtId="179" fontId="0" fillId="0" borderId="36" xfId="0" applyNumberFormat="1" applyBorder="1">
      <alignment vertical="center"/>
    </xf>
    <xf numFmtId="179" fontId="0" fillId="0" borderId="21" xfId="0" applyNumberFormat="1" applyBorder="1">
      <alignment vertical="center"/>
    </xf>
    <xf numFmtId="179" fontId="0" fillId="0" borderId="23" xfId="0" applyNumberFormat="1" applyBorder="1">
      <alignment vertical="center"/>
    </xf>
    <xf numFmtId="179" fontId="0" fillId="0" borderId="32" xfId="0" applyNumberFormat="1" applyBorder="1">
      <alignment vertical="center"/>
    </xf>
    <xf numFmtId="180" fontId="0" fillId="0" borderId="0" xfId="0" applyNumberFormat="1">
      <alignment vertical="center"/>
    </xf>
    <xf numFmtId="181" fontId="0" fillId="0" borderId="0" xfId="0" applyNumberFormat="1" applyAlignment="1">
      <alignment horizontal="center" vertical="center"/>
    </xf>
    <xf numFmtId="181" fontId="0" fillId="0" borderId="15" xfId="0" applyNumberFormat="1" applyBorder="1">
      <alignment vertical="center"/>
    </xf>
    <xf numFmtId="181" fontId="0" fillId="0" borderId="9" xfId="0" applyNumberFormat="1" applyBorder="1">
      <alignment vertical="center"/>
    </xf>
    <xf numFmtId="181" fontId="0" fillId="0" borderId="36" xfId="0" applyNumberFormat="1" applyBorder="1">
      <alignment vertical="center"/>
    </xf>
    <xf numFmtId="181" fontId="0" fillId="0" borderId="21" xfId="0" applyNumberFormat="1" applyBorder="1">
      <alignment vertical="center"/>
    </xf>
    <xf numFmtId="181" fontId="0" fillId="0" borderId="23" xfId="0" applyNumberFormat="1" applyBorder="1">
      <alignment vertical="center"/>
    </xf>
    <xf numFmtId="181" fontId="0" fillId="0" borderId="32" xfId="0" applyNumberFormat="1" applyBorder="1">
      <alignment vertical="center"/>
    </xf>
    <xf numFmtId="181" fontId="0" fillId="0" borderId="0" xfId="0" applyNumberFormat="1">
      <alignment vertical="center"/>
    </xf>
    <xf numFmtId="181" fontId="0" fillId="0" borderId="7" xfId="0" applyNumberFormat="1" applyBorder="1">
      <alignment vertical="center"/>
    </xf>
    <xf numFmtId="181" fontId="0" fillId="0" borderId="13" xfId="0" applyNumberFormat="1" applyBorder="1">
      <alignment vertical="center"/>
    </xf>
    <xf numFmtId="181" fontId="0" fillId="0" borderId="6" xfId="0" applyNumberFormat="1" applyBorder="1">
      <alignment vertical="center"/>
    </xf>
    <xf numFmtId="181" fontId="0" fillId="0" borderId="18" xfId="0" applyNumberFormat="1" applyBorder="1">
      <alignment vertical="center"/>
    </xf>
    <xf numFmtId="181" fontId="0" fillId="0" borderId="17" xfId="0" applyNumberFormat="1" applyBorder="1">
      <alignment vertical="center"/>
    </xf>
    <xf numFmtId="181" fontId="0" fillId="0" borderId="11" xfId="0" applyNumberFormat="1" applyBorder="1">
      <alignment vertical="center"/>
    </xf>
    <xf numFmtId="181" fontId="0" fillId="0" borderId="16" xfId="0" applyNumberFormat="1" applyBorder="1">
      <alignment vertical="center"/>
    </xf>
    <xf numFmtId="0" fontId="9" fillId="0" borderId="55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4" fontId="9" fillId="12" borderId="57" xfId="0" applyNumberFormat="1" applyFont="1" applyFill="1" applyBorder="1" applyAlignment="1">
      <alignment horizontal="center" vertical="center"/>
    </xf>
    <xf numFmtId="14" fontId="17" fillId="6" borderId="58" xfId="0" applyNumberFormat="1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14" fontId="12" fillId="11" borderId="58" xfId="0" applyNumberFormat="1" applyFont="1" applyFill="1" applyBorder="1" applyAlignment="1">
      <alignment horizontal="center" vertical="center"/>
    </xf>
    <xf numFmtId="0" fontId="16" fillId="11" borderId="60" xfId="1" applyFont="1" applyFill="1" applyBorder="1" applyAlignment="1">
      <alignment horizontal="center" vertical="center"/>
    </xf>
    <xf numFmtId="0" fontId="16" fillId="11" borderId="60" xfId="1" applyFont="1" applyFill="1" applyBorder="1" applyAlignment="1">
      <alignment horizontal="center" vertical="center" wrapText="1"/>
    </xf>
    <xf numFmtId="0" fontId="16" fillId="11" borderId="61" xfId="1" applyFont="1" applyFill="1" applyBorder="1" applyAlignment="1">
      <alignment horizontal="center" vertical="center"/>
    </xf>
    <xf numFmtId="180" fontId="0" fillId="0" borderId="62" xfId="0" applyNumberFormat="1" applyBorder="1">
      <alignment vertical="center"/>
    </xf>
    <xf numFmtId="180" fontId="0" fillId="0" borderId="63" xfId="0" applyNumberFormat="1" applyBorder="1">
      <alignment vertical="center"/>
    </xf>
    <xf numFmtId="0" fontId="16" fillId="6" borderId="60" xfId="1" applyFont="1" applyFill="1" applyBorder="1" applyAlignment="1">
      <alignment horizontal="center" vertical="center"/>
    </xf>
    <xf numFmtId="0" fontId="16" fillId="6" borderId="60" xfId="1" applyFont="1" applyFill="1" applyBorder="1" applyAlignment="1">
      <alignment horizontal="center" vertical="center" wrapText="1"/>
    </xf>
    <xf numFmtId="0" fontId="16" fillId="6" borderId="45" xfId="1" applyFont="1" applyFill="1" applyBorder="1" applyAlignment="1">
      <alignment horizontal="center" vertical="center"/>
    </xf>
    <xf numFmtId="0" fontId="16" fillId="6" borderId="61" xfId="1" applyFont="1" applyFill="1" applyBorder="1" applyAlignment="1">
      <alignment horizontal="center" vertical="center"/>
    </xf>
    <xf numFmtId="0" fontId="9" fillId="4" borderId="64" xfId="1" applyFont="1" applyFill="1" applyBorder="1" applyAlignment="1">
      <alignment horizontal="center" vertical="center" wrapText="1"/>
    </xf>
    <xf numFmtId="0" fontId="16" fillId="11" borderId="45" xfId="1" applyFont="1" applyFill="1" applyBorder="1" applyAlignment="1">
      <alignment horizontal="center" vertical="center"/>
    </xf>
    <xf numFmtId="180" fontId="0" fillId="0" borderId="56" xfId="0" applyNumberFormat="1" applyBorder="1">
      <alignment vertical="center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0" fontId="0" fillId="0" borderId="0" xfId="0" applyAlignment="1">
      <alignment vertical="center" wrapText="1"/>
    </xf>
    <xf numFmtId="0" fontId="9" fillId="4" borderId="71" xfId="1" applyFont="1" applyFill="1" applyBorder="1" applyAlignment="1">
      <alignment horizontal="center" vertical="center" wrapText="1"/>
    </xf>
    <xf numFmtId="0" fontId="9" fillId="4" borderId="72" xfId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13" fillId="0" borderId="0" xfId="2">
      <alignment vertical="center"/>
    </xf>
    <xf numFmtId="0" fontId="20" fillId="0" borderId="0" xfId="2" applyFont="1">
      <alignment vertical="center"/>
    </xf>
    <xf numFmtId="0" fontId="9" fillId="0" borderId="38" xfId="2" applyFont="1" applyBorder="1" applyAlignment="1">
      <alignment horizontal="right" vertical="center"/>
    </xf>
    <xf numFmtId="0" fontId="22" fillId="0" borderId="0" xfId="2" applyFont="1">
      <alignment vertical="center"/>
    </xf>
    <xf numFmtId="0" fontId="24" fillId="0" borderId="0" xfId="2" applyFont="1">
      <alignment vertical="center"/>
    </xf>
    <xf numFmtId="0" fontId="9" fillId="0" borderId="85" xfId="2" applyFont="1" applyBorder="1" applyAlignment="1">
      <alignment horizontal="center" vertical="center"/>
    </xf>
    <xf numFmtId="0" fontId="9" fillId="0" borderId="86" xfId="2" applyFont="1" applyBorder="1" applyAlignment="1">
      <alignment horizontal="center" vertical="center"/>
    </xf>
    <xf numFmtId="0" fontId="9" fillId="0" borderId="87" xfId="2" applyFont="1" applyBorder="1" applyAlignment="1">
      <alignment horizontal="center" vertical="center"/>
    </xf>
    <xf numFmtId="182" fontId="9" fillId="0" borderId="88" xfId="2" applyNumberFormat="1" applyFont="1" applyBorder="1" applyAlignment="1">
      <alignment horizontal="center" vertical="center"/>
    </xf>
    <xf numFmtId="183" fontId="9" fillId="0" borderId="89" xfId="2" applyNumberFormat="1" applyFont="1" applyBorder="1">
      <alignment vertical="center"/>
    </xf>
    <xf numFmtId="183" fontId="9" fillId="0" borderId="90" xfId="2" applyNumberFormat="1" applyFont="1" applyBorder="1">
      <alignment vertical="center"/>
    </xf>
    <xf numFmtId="183" fontId="9" fillId="0" borderId="91" xfId="2" applyNumberFormat="1" applyFont="1" applyBorder="1">
      <alignment vertical="center"/>
    </xf>
    <xf numFmtId="182" fontId="9" fillId="0" borderId="92" xfId="2" applyNumberFormat="1" applyFont="1" applyBorder="1" applyAlignment="1">
      <alignment horizontal="center" vertical="center"/>
    </xf>
    <xf numFmtId="183" fontId="9" fillId="0" borderId="93" xfId="2" applyNumberFormat="1" applyFont="1" applyBorder="1">
      <alignment vertical="center"/>
    </xf>
    <xf numFmtId="183" fontId="9" fillId="0" borderId="94" xfId="2" applyNumberFormat="1" applyFont="1" applyBorder="1">
      <alignment vertical="center"/>
    </xf>
    <xf numFmtId="183" fontId="9" fillId="0" borderId="95" xfId="2" applyNumberFormat="1" applyFont="1" applyBorder="1">
      <alignment vertical="center"/>
    </xf>
    <xf numFmtId="182" fontId="9" fillId="0" borderId="96" xfId="2" applyNumberFormat="1" applyFont="1" applyBorder="1" applyAlignment="1">
      <alignment horizontal="center" vertical="center"/>
    </xf>
    <xf numFmtId="183" fontId="9" fillId="0" borderId="97" xfId="2" applyNumberFormat="1" applyFont="1" applyBorder="1">
      <alignment vertical="center"/>
    </xf>
    <xf numFmtId="183" fontId="9" fillId="0" borderId="98" xfId="2" applyNumberFormat="1" applyFont="1" applyBorder="1">
      <alignment vertical="center"/>
    </xf>
    <xf numFmtId="183" fontId="9" fillId="0" borderId="99" xfId="2" applyNumberFormat="1" applyFont="1" applyBorder="1">
      <alignment vertical="center"/>
    </xf>
    <xf numFmtId="182" fontId="9" fillId="0" borderId="100" xfId="2" applyNumberFormat="1" applyFont="1" applyBorder="1" applyAlignment="1">
      <alignment horizontal="center" vertical="center"/>
    </xf>
    <xf numFmtId="183" fontId="9" fillId="0" borderId="101" xfId="2" applyNumberFormat="1" applyFont="1" applyBorder="1">
      <alignment vertical="center"/>
    </xf>
    <xf numFmtId="183" fontId="9" fillId="0" borderId="102" xfId="2" applyNumberFormat="1" applyFont="1" applyBorder="1">
      <alignment vertical="center"/>
    </xf>
    <xf numFmtId="183" fontId="9" fillId="0" borderId="103" xfId="2" applyNumberFormat="1" applyFont="1" applyBorder="1">
      <alignment vertical="center"/>
    </xf>
    <xf numFmtId="183" fontId="9" fillId="0" borderId="104" xfId="2" applyNumberFormat="1" applyFont="1" applyBorder="1">
      <alignment vertical="center"/>
    </xf>
    <xf numFmtId="182" fontId="9" fillId="0" borderId="105" xfId="2" applyNumberFormat="1" applyFont="1" applyBorder="1" applyAlignment="1">
      <alignment horizontal="center" vertical="center"/>
    </xf>
    <xf numFmtId="183" fontId="9" fillId="0" borderId="106" xfId="2" applyNumberFormat="1" applyFont="1" applyBorder="1">
      <alignment vertical="center"/>
    </xf>
    <xf numFmtId="183" fontId="9" fillId="0" borderId="107" xfId="2" applyNumberFormat="1" applyFont="1" applyBorder="1">
      <alignment vertical="center"/>
    </xf>
    <xf numFmtId="183" fontId="9" fillId="0" borderId="108" xfId="2" applyNumberFormat="1" applyFont="1" applyBorder="1">
      <alignment vertical="center"/>
    </xf>
    <xf numFmtId="182" fontId="13" fillId="0" borderId="0" xfId="2" applyNumberFormat="1">
      <alignment vertical="center"/>
    </xf>
    <xf numFmtId="182" fontId="9" fillId="0" borderId="38" xfId="2" applyNumberFormat="1" applyFont="1" applyBorder="1" applyAlignment="1">
      <alignment horizontal="right" vertical="center"/>
    </xf>
    <xf numFmtId="182" fontId="23" fillId="0" borderId="79" xfId="2" applyNumberFormat="1" applyFont="1" applyBorder="1">
      <alignment vertical="center"/>
    </xf>
    <xf numFmtId="182" fontId="23" fillId="0" borderId="82" xfId="2" applyNumberFormat="1" applyFont="1" applyBorder="1">
      <alignment vertical="center"/>
    </xf>
    <xf numFmtId="182" fontId="23" fillId="0" borderId="83" xfId="2" applyNumberFormat="1" applyFont="1" applyBorder="1">
      <alignment vertical="center"/>
    </xf>
    <xf numFmtId="182" fontId="23" fillId="0" borderId="0" xfId="2" applyNumberFormat="1" applyFont="1" applyAlignment="1">
      <alignment horizontal="center" vertical="center"/>
    </xf>
    <xf numFmtId="182" fontId="23" fillId="0" borderId="55" xfId="2" applyNumberFormat="1" applyFont="1" applyBorder="1" applyAlignment="1">
      <alignment horizontal="center" vertical="center"/>
    </xf>
    <xf numFmtId="182" fontId="23" fillId="0" borderId="39" xfId="2" applyNumberFormat="1" applyFont="1" applyBorder="1" applyAlignment="1">
      <alignment horizontal="center" vertical="center"/>
    </xf>
    <xf numFmtId="178" fontId="25" fillId="0" borderId="7" xfId="1" applyNumberFormat="1" applyFont="1" applyBorder="1" applyAlignment="1">
      <alignment horizontal="center" vertical="center"/>
    </xf>
    <xf numFmtId="179" fontId="13" fillId="0" borderId="0" xfId="2" applyNumberFormat="1">
      <alignment vertical="center"/>
    </xf>
    <xf numFmtId="179" fontId="21" fillId="0" borderId="125" xfId="2" applyNumberFormat="1" applyFont="1" applyBorder="1" applyAlignment="1">
      <alignment horizontal="center" vertical="center"/>
    </xf>
    <xf numFmtId="179" fontId="21" fillId="0" borderId="126" xfId="2" applyNumberFormat="1" applyFont="1" applyBorder="1" applyAlignment="1">
      <alignment horizontal="center" vertical="center"/>
    </xf>
    <xf numFmtId="0" fontId="21" fillId="0" borderId="127" xfId="2" applyFont="1" applyBorder="1" applyAlignment="1">
      <alignment horizontal="center" vertical="center"/>
    </xf>
    <xf numFmtId="179" fontId="21" fillId="0" borderId="128" xfId="2" applyNumberFormat="1" applyFont="1" applyBorder="1" applyAlignment="1">
      <alignment horizontal="center" vertical="center"/>
    </xf>
    <xf numFmtId="0" fontId="21" fillId="0" borderId="129" xfId="2" applyFont="1" applyBorder="1" applyAlignment="1">
      <alignment horizontal="center" vertical="center"/>
    </xf>
    <xf numFmtId="179" fontId="9" fillId="0" borderId="89" xfId="2" applyNumberFormat="1" applyFont="1" applyBorder="1">
      <alignment vertical="center"/>
    </xf>
    <xf numFmtId="179" fontId="9" fillId="0" borderId="81" xfId="2" applyNumberFormat="1" applyFont="1" applyBorder="1">
      <alignment vertical="center"/>
    </xf>
    <xf numFmtId="179" fontId="9" fillId="0" borderId="93" xfId="2" applyNumberFormat="1" applyFont="1" applyBorder="1">
      <alignment vertical="center"/>
    </xf>
    <xf numFmtId="179" fontId="9" fillId="0" borderId="130" xfId="2" applyNumberFormat="1" applyFont="1" applyBorder="1">
      <alignment vertical="center"/>
    </xf>
    <xf numFmtId="179" fontId="9" fillId="0" borderId="97" xfId="2" applyNumberFormat="1" applyFont="1" applyBorder="1">
      <alignment vertical="center"/>
    </xf>
    <xf numFmtId="179" fontId="9" fillId="0" borderId="131" xfId="2" applyNumberFormat="1" applyFont="1" applyBorder="1">
      <alignment vertical="center"/>
    </xf>
    <xf numFmtId="179" fontId="9" fillId="0" borderId="132" xfId="2" applyNumberFormat="1" applyFont="1" applyBorder="1">
      <alignment vertical="center"/>
    </xf>
    <xf numFmtId="179" fontId="9" fillId="0" borderId="133" xfId="2" applyNumberFormat="1" applyFont="1" applyBorder="1">
      <alignment vertical="center"/>
    </xf>
    <xf numFmtId="183" fontId="9" fillId="0" borderId="134" xfId="2" applyNumberFormat="1" applyFont="1" applyBorder="1">
      <alignment vertical="center"/>
    </xf>
    <xf numFmtId="183" fontId="9" fillId="0" borderId="135" xfId="2" applyNumberFormat="1" applyFont="1" applyBorder="1">
      <alignment vertical="center"/>
    </xf>
    <xf numFmtId="179" fontId="9" fillId="0" borderId="136" xfId="2" applyNumberFormat="1" applyFont="1" applyBorder="1">
      <alignment vertical="center"/>
    </xf>
    <xf numFmtId="183" fontId="9" fillId="0" borderId="137" xfId="2" applyNumberFormat="1" applyFont="1" applyBorder="1">
      <alignment vertical="center"/>
    </xf>
    <xf numFmtId="183" fontId="9" fillId="0" borderId="138" xfId="2" applyNumberFormat="1" applyFont="1" applyBorder="1">
      <alignment vertical="center"/>
    </xf>
    <xf numFmtId="183" fontId="9" fillId="0" borderId="139" xfId="2" applyNumberFormat="1" applyFont="1" applyBorder="1">
      <alignment vertical="center"/>
    </xf>
    <xf numFmtId="183" fontId="9" fillId="0" borderId="140" xfId="2" applyNumberFormat="1" applyFont="1" applyBorder="1">
      <alignment vertical="center"/>
    </xf>
    <xf numFmtId="179" fontId="9" fillId="0" borderId="141" xfId="2" applyNumberFormat="1" applyFont="1" applyBorder="1">
      <alignment vertical="center"/>
    </xf>
    <xf numFmtId="179" fontId="9" fillId="0" borderId="142" xfId="2" applyNumberFormat="1" applyFont="1" applyBorder="1">
      <alignment vertical="center"/>
    </xf>
    <xf numFmtId="183" fontId="9" fillId="0" borderId="143" xfId="2" applyNumberFormat="1" applyFont="1" applyBorder="1">
      <alignment vertical="center"/>
    </xf>
    <xf numFmtId="183" fontId="9" fillId="0" borderId="144" xfId="2" applyNumberFormat="1" applyFont="1" applyBorder="1">
      <alignment vertical="center"/>
    </xf>
    <xf numFmtId="185" fontId="8" fillId="4" borderId="7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86" fontId="0" fillId="0" borderId="9" xfId="0" applyNumberFormat="1" applyBorder="1" applyAlignment="1">
      <alignment horizontal="center" vertical="center"/>
    </xf>
    <xf numFmtId="180" fontId="24" fillId="0" borderId="7" xfId="2" applyNumberFormat="1" applyFont="1" applyBorder="1">
      <alignment vertical="center"/>
    </xf>
    <xf numFmtId="180" fontId="24" fillId="0" borderId="0" xfId="2" applyNumberFormat="1" applyFont="1">
      <alignment vertical="center"/>
    </xf>
    <xf numFmtId="185" fontId="24" fillId="0" borderId="13" xfId="2" applyNumberFormat="1" applyFont="1" applyBorder="1">
      <alignment vertical="center"/>
    </xf>
    <xf numFmtId="0" fontId="28" fillId="0" borderId="0" xfId="2" applyFont="1">
      <alignment vertical="center"/>
    </xf>
    <xf numFmtId="0" fontId="28" fillId="0" borderId="54" xfId="2" applyFont="1" applyBorder="1" applyAlignment="1">
      <alignment horizontal="right" vertical="center"/>
    </xf>
    <xf numFmtId="178" fontId="29" fillId="0" borderId="13" xfId="1" applyNumberFormat="1" applyFont="1" applyBorder="1" applyAlignment="1">
      <alignment horizontal="center" vertical="center"/>
    </xf>
    <xf numFmtId="178" fontId="29" fillId="0" borderId="7" xfId="1" applyNumberFormat="1" applyFont="1" applyBorder="1" applyAlignment="1">
      <alignment horizontal="center" vertical="center"/>
    </xf>
    <xf numFmtId="0" fontId="30" fillId="0" borderId="0" xfId="2" applyFont="1">
      <alignment vertical="center"/>
    </xf>
    <xf numFmtId="0" fontId="29" fillId="0" borderId="7" xfId="1" applyFont="1" applyBorder="1" applyAlignment="1">
      <alignment horizontal="center" vertical="center"/>
    </xf>
    <xf numFmtId="178" fontId="29" fillId="0" borderId="3" xfId="1" applyNumberFormat="1" applyFont="1" applyBorder="1" applyAlignment="1">
      <alignment horizontal="center" vertical="center"/>
    </xf>
    <xf numFmtId="182" fontId="28" fillId="0" borderId="3" xfId="2" applyNumberFormat="1" applyFont="1" applyBorder="1" applyAlignment="1">
      <alignment horizontal="center" vertical="center"/>
    </xf>
    <xf numFmtId="183" fontId="28" fillId="0" borderId="145" xfId="2" applyNumberFormat="1" applyFont="1" applyBorder="1">
      <alignment vertical="center"/>
    </xf>
    <xf numFmtId="183" fontId="28" fillId="0" borderId="146" xfId="2" applyNumberFormat="1" applyFont="1" applyBorder="1">
      <alignment vertical="center"/>
    </xf>
    <xf numFmtId="182" fontId="28" fillId="0" borderId="116" xfId="2" applyNumberFormat="1" applyFont="1" applyBorder="1" applyAlignment="1">
      <alignment horizontal="center" vertical="center"/>
    </xf>
    <xf numFmtId="183" fontId="28" fillId="0" borderId="93" xfId="2" applyNumberFormat="1" applyFont="1" applyBorder="1">
      <alignment vertical="center"/>
    </xf>
    <xf numFmtId="183" fontId="28" fillId="0" borderId="94" xfId="2" applyNumberFormat="1" applyFont="1" applyBorder="1">
      <alignment vertical="center"/>
    </xf>
    <xf numFmtId="182" fontId="28" fillId="0" borderId="121" xfId="2" applyNumberFormat="1" applyFont="1" applyBorder="1" applyAlignment="1">
      <alignment horizontal="center" vertical="center"/>
    </xf>
    <xf numFmtId="183" fontId="28" fillId="0" borderId="136" xfId="2" applyNumberFormat="1" applyFont="1" applyBorder="1">
      <alignment vertical="center"/>
    </xf>
    <xf numFmtId="183" fontId="28" fillId="0" borderId="147" xfId="2" applyNumberFormat="1" applyFont="1" applyBorder="1">
      <alignment vertical="center"/>
    </xf>
    <xf numFmtId="183" fontId="28" fillId="0" borderId="101" xfId="2" applyNumberFormat="1" applyFont="1" applyBorder="1">
      <alignment vertical="center"/>
    </xf>
    <xf numFmtId="183" fontId="28" fillId="0" borderId="117" xfId="2" applyNumberFormat="1" applyFont="1" applyBorder="1">
      <alignment vertical="center"/>
    </xf>
    <xf numFmtId="182" fontId="28" fillId="0" borderId="118" xfId="2" applyNumberFormat="1" applyFont="1" applyBorder="1" applyAlignment="1">
      <alignment horizontal="center" vertical="center"/>
    </xf>
    <xf numFmtId="183" fontId="28" fillId="0" borderId="119" xfId="2" applyNumberFormat="1" applyFont="1" applyBorder="1">
      <alignment vertical="center"/>
    </xf>
    <xf numFmtId="183" fontId="28" fillId="0" borderId="98" xfId="2" applyNumberFormat="1" applyFont="1" applyBorder="1">
      <alignment vertical="center"/>
    </xf>
    <xf numFmtId="183" fontId="28" fillId="0" borderId="97" xfId="2" applyNumberFormat="1" applyFont="1" applyBorder="1">
      <alignment vertical="center"/>
    </xf>
    <xf numFmtId="184" fontId="28" fillId="0" borderId="120" xfId="2" applyNumberFormat="1" applyFont="1" applyBorder="1" applyAlignment="1">
      <alignment horizontal="center" vertical="center"/>
    </xf>
    <xf numFmtId="184" fontId="28" fillId="0" borderId="101" xfId="2" applyNumberFormat="1" applyFont="1" applyBorder="1">
      <alignment vertical="center"/>
    </xf>
    <xf numFmtId="184" fontId="28" fillId="0" borderId="120" xfId="2" applyNumberFormat="1" applyFont="1" applyBorder="1">
      <alignment vertical="center"/>
    </xf>
    <xf numFmtId="184" fontId="28" fillId="0" borderId="0" xfId="2" applyNumberFormat="1" applyFont="1">
      <alignment vertical="center"/>
    </xf>
    <xf numFmtId="184" fontId="28" fillId="0" borderId="116" xfId="2" applyNumberFormat="1" applyFont="1" applyBorder="1" applyAlignment="1">
      <alignment horizontal="center" vertical="center"/>
    </xf>
    <xf numFmtId="184" fontId="28" fillId="0" borderId="121" xfId="2" applyNumberFormat="1" applyFont="1" applyBorder="1">
      <alignment vertical="center"/>
    </xf>
    <xf numFmtId="184" fontId="28" fillId="0" borderId="122" xfId="2" applyNumberFormat="1" applyFont="1" applyBorder="1" applyAlignment="1">
      <alignment horizontal="center" vertical="center"/>
    </xf>
    <xf numFmtId="184" fontId="30" fillId="0" borderId="123" xfId="2" applyNumberFormat="1" applyFont="1" applyBorder="1" applyAlignment="1">
      <alignment horizontal="center" vertical="center"/>
    </xf>
    <xf numFmtId="184" fontId="30" fillId="0" borderId="123" xfId="2" applyNumberFormat="1" applyFont="1" applyBorder="1">
      <alignment vertical="center"/>
    </xf>
    <xf numFmtId="184" fontId="30" fillId="0" borderId="0" xfId="2" applyNumberFormat="1" applyFont="1">
      <alignment vertical="center"/>
    </xf>
    <xf numFmtId="178" fontId="25" fillId="0" borderId="13" xfId="1" applyNumberFormat="1" applyFont="1" applyBorder="1" applyAlignment="1">
      <alignment horizontal="center" vertical="center"/>
    </xf>
    <xf numFmtId="178" fontId="29" fillId="10" borderId="7" xfId="1" applyNumberFormat="1" applyFont="1" applyFill="1" applyBorder="1" applyAlignment="1">
      <alignment horizontal="center" vertical="center"/>
    </xf>
    <xf numFmtId="0" fontId="29" fillId="10" borderId="7" xfId="1" applyFont="1" applyFill="1" applyBorder="1" applyAlignment="1">
      <alignment horizontal="center" vertical="center"/>
    </xf>
    <xf numFmtId="178" fontId="29" fillId="10" borderId="13" xfId="1" applyNumberFormat="1" applyFont="1" applyFill="1" applyBorder="1" applyAlignment="1">
      <alignment horizontal="center" vertical="center"/>
    </xf>
    <xf numFmtId="178" fontId="29" fillId="10" borderId="7" xfId="1" applyNumberFormat="1" applyFont="1" applyFill="1" applyBorder="1" applyAlignment="1">
      <alignment horizontal="center" vertical="center" wrapText="1"/>
    </xf>
    <xf numFmtId="0" fontId="28" fillId="10" borderId="0" xfId="2" applyFont="1" applyFill="1" applyAlignment="1">
      <alignment horizontal="center" vertical="center"/>
    </xf>
    <xf numFmtId="0" fontId="9" fillId="0" borderId="13" xfId="1" applyFont="1" applyBorder="1" applyAlignment="1">
      <alignment horizontal="center" vertical="center" wrapText="1"/>
    </xf>
    <xf numFmtId="181" fontId="0" fillId="0" borderId="149" xfId="0" applyNumberFormat="1" applyBorder="1">
      <alignment vertical="center"/>
    </xf>
    <xf numFmtId="0" fontId="9" fillId="0" borderId="3" xfId="1" applyFont="1" applyBorder="1" applyAlignment="1">
      <alignment horizontal="center" vertical="center"/>
    </xf>
    <xf numFmtId="0" fontId="9" fillId="0" borderId="15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151" xfId="1" applyFont="1" applyBorder="1" applyAlignment="1">
      <alignment horizontal="center" vertical="center"/>
    </xf>
    <xf numFmtId="0" fontId="0" fillId="10" borderId="66" xfId="0" applyFill="1" applyBorder="1" applyAlignment="1">
      <alignment horizontal="center" vertical="center"/>
    </xf>
    <xf numFmtId="0" fontId="0" fillId="10" borderId="152" xfId="0" applyFill="1" applyBorder="1" applyAlignment="1">
      <alignment horizontal="center" vertical="center"/>
    </xf>
    <xf numFmtId="188" fontId="0" fillId="10" borderId="152" xfId="0" quotePrefix="1" applyNumberFormat="1" applyFill="1" applyBorder="1" applyAlignment="1">
      <alignment horizontal="center" vertical="center"/>
    </xf>
    <xf numFmtId="189" fontId="0" fillId="10" borderId="67" xfId="0" applyNumberFormat="1" applyFill="1" applyBorder="1" applyAlignment="1">
      <alignment horizontal="center" vertical="center"/>
    </xf>
    <xf numFmtId="190" fontId="0" fillId="10" borderId="153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7" fontId="0" fillId="0" borderId="60" xfId="0" applyNumberFormat="1" applyBorder="1">
      <alignment vertical="center"/>
    </xf>
    <xf numFmtId="0" fontId="8" fillId="4" borderId="7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87" fontId="0" fillId="0" borderId="7" xfId="0" applyNumberFormat="1" applyBorder="1">
      <alignment vertical="center"/>
    </xf>
    <xf numFmtId="0" fontId="9" fillId="15" borderId="7" xfId="1" applyFont="1" applyFill="1" applyBorder="1" applyAlignment="1">
      <alignment horizontal="center" vertical="center"/>
    </xf>
    <xf numFmtId="0" fontId="10" fillId="15" borderId="7" xfId="1" applyFont="1" applyFill="1" applyBorder="1" applyAlignment="1">
      <alignment horizontal="center" vertical="center" wrapText="1"/>
    </xf>
    <xf numFmtId="0" fontId="8" fillId="5" borderId="7" xfId="1" quotePrefix="1" applyFont="1" applyFill="1" applyBorder="1" applyAlignment="1">
      <alignment horizontal="center" vertical="center" wrapText="1"/>
    </xf>
    <xf numFmtId="0" fontId="9" fillId="16" borderId="7" xfId="1" applyFont="1" applyFill="1" applyBorder="1" applyAlignment="1">
      <alignment horizontal="center" vertical="center"/>
    </xf>
    <xf numFmtId="0" fontId="9" fillId="17" borderId="7" xfId="1" applyFont="1" applyFill="1" applyBorder="1" applyAlignment="1">
      <alignment horizontal="center" vertical="center"/>
    </xf>
    <xf numFmtId="0" fontId="10" fillId="17" borderId="7" xfId="1" applyFont="1" applyFill="1" applyBorder="1" applyAlignment="1">
      <alignment horizontal="center" vertical="center"/>
    </xf>
    <xf numFmtId="0" fontId="9" fillId="15" borderId="7" xfId="1" applyFont="1" applyFill="1" applyBorder="1" applyAlignment="1">
      <alignment horizontal="center" vertical="center" wrapText="1"/>
    </xf>
    <xf numFmtId="0" fontId="9" fillId="16" borderId="7" xfId="1" applyFont="1" applyFill="1" applyBorder="1" applyAlignment="1">
      <alignment horizontal="center" vertical="center" wrapText="1"/>
    </xf>
    <xf numFmtId="0" fontId="9" fillId="17" borderId="7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15" fillId="6" borderId="7" xfId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191" fontId="0" fillId="0" borderId="60" xfId="0" applyNumberFormat="1" applyBorder="1">
      <alignment vertical="center"/>
    </xf>
    <xf numFmtId="0" fontId="0" fillId="0" borderId="60" xfId="0" applyBorder="1" applyAlignment="1">
      <alignment horizontal="center" vertical="center"/>
    </xf>
    <xf numFmtId="191" fontId="0" fillId="0" borderId="7" xfId="0" applyNumberFormat="1" applyBorder="1">
      <alignment vertical="center"/>
    </xf>
    <xf numFmtId="181" fontId="0" fillId="0" borderId="0" xfId="0" applyNumberFormat="1" applyAlignment="1">
      <alignment horizontal="center" vertical="center"/>
    </xf>
    <xf numFmtId="0" fontId="4" fillId="6" borderId="7" xfId="1" applyFont="1" applyFill="1" applyBorder="1" applyAlignment="1">
      <alignment horizontal="center" vertical="center" wrapText="1"/>
    </xf>
    <xf numFmtId="0" fontId="4" fillId="6" borderId="17" xfId="1" applyFont="1" applyFill="1" applyBorder="1" applyAlignment="1">
      <alignment horizontal="center" vertical="center" wrapText="1"/>
    </xf>
    <xf numFmtId="188" fontId="33" fillId="10" borderId="0" xfId="0" applyNumberFormat="1" applyFont="1" applyFill="1" applyAlignment="1">
      <alignment horizontal="center" vertical="center"/>
    </xf>
    <xf numFmtId="0" fontId="9" fillId="18" borderId="7" xfId="1" applyFont="1" applyFill="1" applyBorder="1" applyAlignment="1">
      <alignment horizontal="center" vertical="center" wrapText="1"/>
    </xf>
    <xf numFmtId="0" fontId="9" fillId="18" borderId="55" xfId="1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4" fillId="6" borderId="25" xfId="1" applyFont="1" applyFill="1" applyBorder="1" applyAlignment="1">
      <alignment horizontal="center" vertical="center" wrapText="1"/>
    </xf>
    <xf numFmtId="0" fontId="4" fillId="6" borderId="55" xfId="1" applyFont="1" applyFill="1" applyBorder="1" applyAlignment="1">
      <alignment horizontal="center" vertical="center" wrapText="1"/>
    </xf>
    <xf numFmtId="0" fontId="4" fillId="6" borderId="10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4" fillId="5" borderId="11" xfId="1" quotePrefix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4" fillId="4" borderId="25" xfId="1" quotePrefix="1" applyFont="1" applyFill="1" applyBorder="1" applyAlignment="1">
      <alignment horizontal="center" vertical="center" wrapText="1"/>
    </xf>
    <xf numFmtId="0" fontId="4" fillId="4" borderId="55" xfId="1" quotePrefix="1" applyFont="1" applyFill="1" applyBorder="1" applyAlignment="1">
      <alignment horizontal="center" vertical="center" wrapText="1"/>
    </xf>
    <xf numFmtId="0" fontId="4" fillId="4" borderId="10" xfId="1" quotePrefix="1" applyFont="1" applyFill="1" applyBorder="1" applyAlignment="1">
      <alignment horizontal="center" vertical="center" wrapText="1"/>
    </xf>
    <xf numFmtId="0" fontId="4" fillId="5" borderId="25" xfId="1" applyFont="1" applyFill="1" applyBorder="1" applyAlignment="1">
      <alignment horizontal="center" vertical="center" wrapText="1"/>
    </xf>
    <xf numFmtId="0" fontId="4" fillId="5" borderId="55" xfId="1" applyFont="1" applyFill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vertical="center" wrapText="1"/>
    </xf>
    <xf numFmtId="0" fontId="4" fillId="4" borderId="25" xfId="1" applyFont="1" applyFill="1" applyBorder="1" applyAlignment="1">
      <alignment horizontal="center" vertical="center" wrapText="1"/>
    </xf>
    <xf numFmtId="0" fontId="4" fillId="4" borderId="55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4" fillId="6" borderId="11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6" fillId="5" borderId="25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6" borderId="25" xfId="1" applyFont="1" applyFill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vertical="center" wrapText="1"/>
    </xf>
    <xf numFmtId="0" fontId="6" fillId="4" borderId="25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9" fillId="6" borderId="11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6" borderId="13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5" fillId="3" borderId="40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6" fillId="4" borderId="26" xfId="1" applyFont="1" applyFill="1" applyBorder="1" applyAlignment="1">
      <alignment horizontal="center" vertical="center"/>
    </xf>
    <xf numFmtId="0" fontId="4" fillId="5" borderId="26" xfId="1" quotePrefix="1" applyFont="1" applyFill="1" applyBorder="1" applyAlignment="1">
      <alignment horizontal="center" vertical="center" wrapText="1"/>
    </xf>
    <xf numFmtId="0" fontId="4" fillId="5" borderId="13" xfId="1" quotePrefix="1" applyFont="1" applyFill="1" applyBorder="1" applyAlignment="1">
      <alignment horizontal="center" vertical="center" wrapText="1"/>
    </xf>
    <xf numFmtId="0" fontId="4" fillId="4" borderId="13" xfId="1" quotePrefix="1" applyFont="1" applyFill="1" applyBorder="1" applyAlignment="1">
      <alignment horizontal="center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9" fillId="4" borderId="13" xfId="1" applyFont="1" applyFill="1" applyBorder="1" applyAlignment="1">
      <alignment horizontal="center" vertical="center" wrapText="1"/>
    </xf>
    <xf numFmtId="0" fontId="6" fillId="5" borderId="53" xfId="1" applyFont="1" applyFill="1" applyBorder="1" applyAlignment="1">
      <alignment horizontal="center" vertical="center" wrapText="1"/>
    </xf>
    <xf numFmtId="0" fontId="6" fillId="5" borderId="54" xfId="1" applyFont="1" applyFill="1" applyBorder="1" applyAlignment="1">
      <alignment horizontal="center" vertical="center" wrapText="1"/>
    </xf>
    <xf numFmtId="0" fontId="6" fillId="4" borderId="48" xfId="1" applyFont="1" applyFill="1" applyBorder="1" applyAlignment="1">
      <alignment horizontal="center" vertical="center" wrapText="1"/>
    </xf>
    <xf numFmtId="0" fontId="6" fillId="4" borderId="54" xfId="1" applyFont="1" applyFill="1" applyBorder="1" applyAlignment="1">
      <alignment horizontal="center" vertical="center" wrapText="1"/>
    </xf>
    <xf numFmtId="0" fontId="6" fillId="4" borderId="28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7" borderId="68" xfId="0" applyFont="1" applyFill="1" applyBorder="1" applyAlignment="1">
      <alignment horizontal="center" vertical="center" wrapText="1"/>
    </xf>
    <xf numFmtId="0" fontId="5" fillId="7" borderId="69" xfId="0" applyFont="1" applyFill="1" applyBorder="1" applyAlignment="1">
      <alignment horizontal="center" vertical="center" wrapText="1"/>
    </xf>
    <xf numFmtId="0" fontId="5" fillId="7" borderId="70" xfId="0" applyFont="1" applyFill="1" applyBorder="1" applyAlignment="1">
      <alignment horizontal="center" vertical="center" wrapText="1"/>
    </xf>
    <xf numFmtId="0" fontId="9" fillId="4" borderId="26" xfId="1" applyFont="1" applyFill="1" applyBorder="1" applyAlignment="1">
      <alignment horizontal="center" vertical="center" wrapText="1"/>
    </xf>
    <xf numFmtId="0" fontId="9" fillId="4" borderId="54" xfId="1" applyFont="1" applyFill="1" applyBorder="1" applyAlignment="1">
      <alignment horizontal="center" vertical="center" wrapText="1"/>
    </xf>
    <xf numFmtId="0" fontId="9" fillId="4" borderId="67" xfId="1" applyFont="1" applyFill="1" applyBorder="1" applyAlignment="1">
      <alignment horizontal="center" vertical="center" wrapText="1"/>
    </xf>
    <xf numFmtId="0" fontId="9" fillId="6" borderId="13" xfId="1" applyFont="1" applyFill="1" applyBorder="1" applyAlignment="1">
      <alignment horizontal="center" vertical="center" wrapText="1"/>
    </xf>
    <xf numFmtId="0" fontId="9" fillId="6" borderId="26" xfId="1" applyFont="1" applyFill="1" applyBorder="1" applyAlignment="1">
      <alignment horizontal="center" vertical="center" wrapText="1"/>
    </xf>
    <xf numFmtId="0" fontId="5" fillId="8" borderId="68" xfId="1" applyFont="1" applyFill="1" applyBorder="1" applyAlignment="1">
      <alignment horizontal="center" vertical="center" wrapText="1"/>
    </xf>
    <xf numFmtId="0" fontId="5" fillId="8" borderId="69" xfId="1" applyFont="1" applyFill="1" applyBorder="1" applyAlignment="1">
      <alignment horizontal="center" vertical="center" wrapText="1"/>
    </xf>
    <xf numFmtId="0" fontId="5" fillId="8" borderId="70" xfId="1" applyFont="1" applyFill="1" applyBorder="1" applyAlignment="1">
      <alignment horizontal="center" vertical="center" wrapText="1"/>
    </xf>
    <xf numFmtId="0" fontId="6" fillId="5" borderId="13" xfId="1" applyFont="1" applyFill="1" applyBorder="1" applyAlignment="1">
      <alignment horizontal="center" vertical="center" wrapText="1"/>
    </xf>
    <xf numFmtId="0" fontId="9" fillId="5" borderId="26" xfId="1" applyFont="1" applyFill="1" applyBorder="1" applyAlignment="1">
      <alignment horizontal="center" vertical="center" wrapText="1"/>
    </xf>
    <xf numFmtId="0" fontId="9" fillId="5" borderId="54" xfId="1" applyFont="1" applyFill="1" applyBorder="1" applyAlignment="1">
      <alignment horizontal="center" vertical="center" wrapText="1"/>
    </xf>
    <xf numFmtId="0" fontId="6" fillId="5" borderId="67" xfId="1" applyFont="1" applyFill="1" applyBorder="1" applyAlignment="1">
      <alignment horizontal="center" vertical="center" wrapText="1"/>
    </xf>
    <xf numFmtId="0" fontId="4" fillId="4" borderId="45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9" fillId="4" borderId="38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center" vertical="center" wrapText="1"/>
    </xf>
    <xf numFmtId="0" fontId="9" fillId="4" borderId="55" xfId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0" fontId="4" fillId="5" borderId="25" xfId="1" quotePrefix="1" applyFont="1" applyFill="1" applyBorder="1" applyAlignment="1">
      <alignment horizontal="center" vertical="center" wrapText="1"/>
    </xf>
    <xf numFmtId="0" fontId="4" fillId="5" borderId="7" xfId="1" quotePrefix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7" xfId="1" applyFont="1" applyFill="1" applyBorder="1" applyAlignment="1">
      <alignment horizontal="center" vertical="center" wrapText="1"/>
    </xf>
    <xf numFmtId="0" fontId="4" fillId="6" borderId="17" xfId="1" applyFont="1" applyFill="1" applyBorder="1" applyAlignment="1">
      <alignment horizontal="center" vertical="center" wrapText="1"/>
    </xf>
    <xf numFmtId="0" fontId="4" fillId="4" borderId="7" xfId="1" quotePrefix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6" borderId="26" xfId="1" applyFont="1" applyFill="1" applyBorder="1" applyAlignment="1">
      <alignment horizontal="center" vertical="center" wrapText="1"/>
    </xf>
    <xf numFmtId="0" fontId="4" fillId="4" borderId="26" xfId="1" applyFont="1" applyFill="1" applyBorder="1" applyAlignment="1">
      <alignment horizontal="center" vertical="center" wrapText="1"/>
    </xf>
    <xf numFmtId="0" fontId="4" fillId="6" borderId="33" xfId="1" applyFont="1" applyFill="1" applyBorder="1" applyAlignment="1">
      <alignment horizontal="center" vertical="center" wrapText="1"/>
    </xf>
    <xf numFmtId="0" fontId="4" fillId="6" borderId="34" xfId="1" applyFont="1" applyFill="1" applyBorder="1" applyAlignment="1">
      <alignment horizontal="center" vertical="center" wrapText="1"/>
    </xf>
    <xf numFmtId="0" fontId="4" fillId="6" borderId="30" xfId="1" applyFont="1" applyFill="1" applyBorder="1" applyAlignment="1">
      <alignment horizontal="center" vertical="center" wrapText="1"/>
    </xf>
    <xf numFmtId="0" fontId="6" fillId="5" borderId="33" xfId="1" applyFont="1" applyFill="1" applyBorder="1" applyAlignment="1">
      <alignment horizontal="center" vertical="center" wrapText="1"/>
    </xf>
    <xf numFmtId="0" fontId="6" fillId="5" borderId="34" xfId="1" applyFont="1" applyFill="1" applyBorder="1" applyAlignment="1">
      <alignment horizontal="center" vertical="center" wrapText="1"/>
    </xf>
    <xf numFmtId="0" fontId="6" fillId="5" borderId="30" xfId="1" applyFont="1" applyFill="1" applyBorder="1" applyAlignment="1">
      <alignment horizontal="center" vertical="center" wrapText="1"/>
    </xf>
    <xf numFmtId="0" fontId="6" fillId="4" borderId="33" xfId="1" applyFont="1" applyFill="1" applyBorder="1" applyAlignment="1">
      <alignment horizontal="center" vertical="center" wrapText="1"/>
    </xf>
    <xf numFmtId="0" fontId="6" fillId="4" borderId="30" xfId="1" applyFont="1" applyFill="1" applyBorder="1" applyAlignment="1">
      <alignment horizontal="center" vertical="center" wrapText="1"/>
    </xf>
    <xf numFmtId="0" fontId="6" fillId="4" borderId="34" xfId="1" applyFont="1" applyFill="1" applyBorder="1" applyAlignment="1">
      <alignment horizontal="center" vertical="center" wrapText="1"/>
    </xf>
    <xf numFmtId="0" fontId="6" fillId="4" borderId="27" xfId="1" applyFont="1" applyFill="1" applyBorder="1" applyAlignment="1">
      <alignment horizontal="center" vertical="center" wrapText="1"/>
    </xf>
    <xf numFmtId="0" fontId="9" fillId="5" borderId="30" xfId="1" applyFont="1" applyFill="1" applyBorder="1" applyAlignment="1">
      <alignment horizontal="center" vertical="center" wrapText="1"/>
    </xf>
    <xf numFmtId="0" fontId="9" fillId="5" borderId="34" xfId="1" applyFont="1" applyFill="1" applyBorder="1" applyAlignment="1">
      <alignment horizontal="center" vertical="center" wrapText="1"/>
    </xf>
    <xf numFmtId="0" fontId="9" fillId="6" borderId="33" xfId="1" applyFont="1" applyFill="1" applyBorder="1" applyAlignment="1">
      <alignment horizontal="center" vertical="center" wrapText="1"/>
    </xf>
    <xf numFmtId="0" fontId="9" fillId="6" borderId="27" xfId="1" applyFont="1" applyFill="1" applyBorder="1" applyAlignment="1">
      <alignment horizontal="center" vertical="center" wrapText="1"/>
    </xf>
    <xf numFmtId="0" fontId="9" fillId="4" borderId="30" xfId="1" applyFont="1" applyFill="1" applyBorder="1" applyAlignment="1">
      <alignment horizontal="center" vertical="center" wrapText="1"/>
    </xf>
    <xf numFmtId="0" fontId="4" fillId="5" borderId="26" xfId="1" applyFont="1" applyFill="1" applyBorder="1" applyAlignment="1">
      <alignment horizontal="center" vertical="center" wrapText="1"/>
    </xf>
    <xf numFmtId="0" fontId="9" fillId="4" borderId="33" xfId="1" applyFont="1" applyFill="1" applyBorder="1" applyAlignment="1">
      <alignment horizontal="center" vertical="center" wrapText="1"/>
    </xf>
    <xf numFmtId="0" fontId="9" fillId="4" borderId="29" xfId="1" applyFont="1" applyFill="1" applyBorder="1" applyAlignment="1">
      <alignment horizontal="center" vertical="center" wrapText="1"/>
    </xf>
    <xf numFmtId="176" fontId="0" fillId="0" borderId="24" xfId="0" applyNumberForma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4" fillId="5" borderId="30" xfId="1" quotePrefix="1" applyFont="1" applyFill="1" applyBorder="1" applyAlignment="1">
      <alignment horizontal="center" vertical="center" wrapText="1"/>
    </xf>
    <xf numFmtId="0" fontId="4" fillId="5" borderId="29" xfId="1" quotePrefix="1" applyFont="1" applyFill="1" applyBorder="1" applyAlignment="1">
      <alignment horizontal="center" vertical="center" wrapText="1"/>
    </xf>
    <xf numFmtId="0" fontId="4" fillId="5" borderId="30" xfId="1" applyFont="1" applyFill="1" applyBorder="1" applyAlignment="1">
      <alignment horizontal="center" vertical="center" wrapText="1"/>
    </xf>
    <xf numFmtId="181" fontId="0" fillId="0" borderId="30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9" fillId="5" borderId="25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5" fillId="8" borderId="148" xfId="1" applyFont="1" applyFill="1" applyBorder="1" applyAlignment="1">
      <alignment horizontal="center" vertical="center"/>
    </xf>
    <xf numFmtId="0" fontId="5" fillId="8" borderId="110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178" fontId="29" fillId="13" borderId="3" xfId="1" applyNumberFormat="1" applyFont="1" applyFill="1" applyBorder="1" applyAlignment="1">
      <alignment horizontal="center" vertical="center" wrapText="1"/>
    </xf>
    <xf numFmtId="178" fontId="29" fillId="13" borderId="5" xfId="1" applyNumberFormat="1" applyFont="1" applyFill="1" applyBorder="1" applyAlignment="1">
      <alignment horizontal="center" vertical="center"/>
    </xf>
    <xf numFmtId="184" fontId="29" fillId="0" borderId="3" xfId="1" applyNumberFormat="1" applyFont="1" applyBorder="1" applyAlignment="1">
      <alignment horizontal="center" vertical="center"/>
    </xf>
    <xf numFmtId="184" fontId="29" fillId="0" borderId="5" xfId="1" applyNumberFormat="1" applyFont="1" applyBorder="1" applyAlignment="1">
      <alignment horizontal="center" vertical="center"/>
    </xf>
    <xf numFmtId="178" fontId="29" fillId="13" borderId="7" xfId="1" applyNumberFormat="1" applyFont="1" applyFill="1" applyBorder="1" applyAlignment="1">
      <alignment horizontal="center" vertical="center" wrapText="1"/>
    </xf>
    <xf numFmtId="178" fontId="29" fillId="13" borderId="7" xfId="1" applyNumberFormat="1" applyFont="1" applyFill="1" applyBorder="1" applyAlignment="1">
      <alignment horizontal="center" vertical="center"/>
    </xf>
    <xf numFmtId="178" fontId="29" fillId="0" borderId="13" xfId="1" applyNumberFormat="1" applyFont="1" applyBorder="1" applyAlignment="1">
      <alignment horizontal="center" vertical="center" wrapText="1"/>
    </xf>
    <xf numFmtId="178" fontId="29" fillId="0" borderId="11" xfId="1" applyNumberFormat="1" applyFont="1" applyBorder="1" applyAlignment="1">
      <alignment horizontal="center" vertical="center" wrapText="1"/>
    </xf>
    <xf numFmtId="0" fontId="29" fillId="0" borderId="13" xfId="1" applyFont="1" applyBorder="1" applyAlignment="1">
      <alignment horizontal="center"/>
    </xf>
    <xf numFmtId="0" fontId="29" fillId="0" borderId="34" xfId="1" applyFont="1" applyBorder="1" applyAlignment="1">
      <alignment horizontal="center"/>
    </xf>
    <xf numFmtId="0" fontId="29" fillId="0" borderId="11" xfId="1" applyFont="1" applyBorder="1" applyAlignment="1">
      <alignment horizontal="center"/>
    </xf>
    <xf numFmtId="178" fontId="29" fillId="0" borderId="34" xfId="1" applyNumberFormat="1" applyFont="1" applyBorder="1" applyAlignment="1">
      <alignment horizontal="center" vertical="center"/>
    </xf>
    <xf numFmtId="178" fontId="29" fillId="0" borderId="11" xfId="1" applyNumberFormat="1" applyFont="1" applyBorder="1" applyAlignment="1">
      <alignment horizontal="center" vertical="center"/>
    </xf>
    <xf numFmtId="178" fontId="29" fillId="0" borderId="13" xfId="1" applyNumberFormat="1" applyFont="1" applyBorder="1" applyAlignment="1">
      <alignment horizontal="center" vertical="center"/>
    </xf>
    <xf numFmtId="178" fontId="29" fillId="0" borderId="7" xfId="1" applyNumberFormat="1" applyFont="1" applyBorder="1" applyAlignment="1">
      <alignment horizontal="center" vertical="center"/>
    </xf>
    <xf numFmtId="0" fontId="29" fillId="0" borderId="7" xfId="1" applyFont="1" applyBorder="1" applyAlignment="1">
      <alignment horizontal="center"/>
    </xf>
    <xf numFmtId="14" fontId="28" fillId="0" borderId="76" xfId="2" applyNumberFormat="1" applyFont="1" applyBorder="1" applyAlignment="1">
      <alignment horizontal="center" vertical="center"/>
    </xf>
    <xf numFmtId="14" fontId="28" fillId="0" borderId="112" xfId="2" applyNumberFormat="1" applyFont="1" applyBorder="1" applyAlignment="1">
      <alignment horizontal="center" vertical="center"/>
    </xf>
    <xf numFmtId="0" fontId="28" fillId="0" borderId="113" xfId="2" applyFont="1" applyBorder="1" applyAlignment="1">
      <alignment horizontal="center" vertical="center" wrapText="1"/>
    </xf>
    <xf numFmtId="0" fontId="28" fillId="0" borderId="114" xfId="2" applyFont="1" applyBorder="1" applyAlignment="1">
      <alignment horizontal="center" vertical="center" wrapText="1"/>
    </xf>
    <xf numFmtId="0" fontId="28" fillId="0" borderId="115" xfId="2" applyFont="1" applyBorder="1" applyAlignment="1">
      <alignment horizontal="center" vertical="center" wrapText="1"/>
    </xf>
    <xf numFmtId="178" fontId="29" fillId="0" borderId="34" xfId="1" applyNumberFormat="1" applyFont="1" applyBorder="1" applyAlignment="1">
      <alignment horizontal="center" vertical="center" wrapText="1"/>
    </xf>
    <xf numFmtId="178" fontId="29" fillId="0" borderId="26" xfId="1" applyNumberFormat="1" applyFont="1" applyBorder="1" applyAlignment="1">
      <alignment horizontal="center" vertical="center"/>
    </xf>
    <xf numFmtId="178" fontId="29" fillId="0" borderId="30" xfId="1" applyNumberFormat="1" applyFont="1" applyBorder="1" applyAlignment="1">
      <alignment horizontal="center" vertical="center"/>
    </xf>
    <xf numFmtId="178" fontId="29" fillId="0" borderId="25" xfId="1" applyNumberFormat="1" applyFont="1" applyBorder="1" applyAlignment="1">
      <alignment horizontal="center" vertical="center"/>
    </xf>
    <xf numFmtId="182" fontId="23" fillId="0" borderId="79" xfId="2" applyNumberFormat="1" applyFont="1" applyBorder="1" applyAlignment="1">
      <alignment horizontal="center" vertical="center"/>
    </xf>
    <xf numFmtId="182" fontId="23" fillId="0" borderId="82" xfId="2" applyNumberFormat="1" applyFont="1" applyBorder="1" applyAlignment="1">
      <alignment horizontal="center" vertical="center"/>
    </xf>
    <xf numFmtId="182" fontId="23" fillId="0" borderId="83" xfId="2" applyNumberFormat="1" applyFont="1" applyBorder="1" applyAlignment="1">
      <alignment horizontal="center" vertical="center"/>
    </xf>
    <xf numFmtId="182" fontId="9" fillId="0" borderId="78" xfId="2" applyNumberFormat="1" applyFont="1" applyBorder="1" applyAlignment="1">
      <alignment horizontal="left" vertical="center" wrapText="1"/>
    </xf>
    <xf numFmtId="182" fontId="9" fillId="0" borderId="84" xfId="2" applyNumberFormat="1" applyFont="1" applyBorder="1" applyAlignment="1">
      <alignment horizontal="left" vertical="center"/>
    </xf>
    <xf numFmtId="182" fontId="21" fillId="0" borderId="76" xfId="2" applyNumberFormat="1" applyFont="1" applyBorder="1" applyAlignment="1">
      <alignment horizontal="center" vertical="center"/>
    </xf>
    <xf numFmtId="182" fontId="21" fillId="0" borderId="77" xfId="2" applyNumberFormat="1" applyFont="1" applyBorder="1" applyAlignment="1">
      <alignment horizontal="center" vertical="center"/>
    </xf>
    <xf numFmtId="0" fontId="9" fillId="0" borderId="78" xfId="2" applyFont="1" applyBorder="1" applyAlignment="1">
      <alignment horizontal="left" vertical="center" wrapText="1"/>
    </xf>
    <xf numFmtId="0" fontId="9" fillId="0" borderId="84" xfId="2" applyFont="1" applyBorder="1" applyAlignment="1">
      <alignment horizontal="left" vertical="center"/>
    </xf>
    <xf numFmtId="182" fontId="18" fillId="0" borderId="73" xfId="2" applyNumberFormat="1" applyFont="1" applyBorder="1" applyAlignment="1">
      <alignment horizontal="center" vertical="center"/>
    </xf>
    <xf numFmtId="182" fontId="18" fillId="0" borderId="74" xfId="2" applyNumberFormat="1" applyFont="1" applyBorder="1" applyAlignment="1">
      <alignment horizontal="center" vertical="center"/>
    </xf>
    <xf numFmtId="182" fontId="18" fillId="0" borderId="75" xfId="2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/>
    </xf>
    <xf numFmtId="14" fontId="21" fillId="0" borderId="76" xfId="2" applyNumberFormat="1" applyFont="1" applyBorder="1" applyAlignment="1">
      <alignment horizontal="center" vertical="center"/>
    </xf>
    <xf numFmtId="14" fontId="21" fillId="0" borderId="77" xfId="2" applyNumberFormat="1" applyFont="1" applyBorder="1" applyAlignment="1">
      <alignment horizontal="center" vertical="center"/>
    </xf>
    <xf numFmtId="0" fontId="23" fillId="0" borderId="79" xfId="2" applyFont="1" applyBorder="1" applyAlignment="1">
      <alignment horizontal="center" vertical="center"/>
    </xf>
    <xf numFmtId="0" fontId="23" fillId="0" borderId="80" xfId="2" applyFont="1" applyBorder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182" fontId="23" fillId="0" borderId="3" xfId="2" applyNumberFormat="1" applyFont="1" applyBorder="1" applyAlignment="1">
      <alignment horizontal="center" vertical="center"/>
    </xf>
    <xf numFmtId="182" fontId="23" fillId="0" borderId="124" xfId="2" applyNumberFormat="1" applyFont="1" applyBorder="1" applyAlignment="1">
      <alignment horizontal="center" vertical="center"/>
    </xf>
    <xf numFmtId="0" fontId="23" fillId="0" borderId="13" xfId="2" applyFont="1" applyBorder="1" applyAlignment="1">
      <alignment horizontal="center" vertical="center"/>
    </xf>
    <xf numFmtId="0" fontId="23" fillId="0" borderId="34" xfId="2" applyFont="1" applyBorder="1" applyAlignment="1">
      <alignment horizontal="center" vertical="center"/>
    </xf>
    <xf numFmtId="0" fontId="23" fillId="0" borderId="11" xfId="2" applyFont="1" applyBorder="1" applyAlignment="1">
      <alignment horizontal="center" vertical="center"/>
    </xf>
    <xf numFmtId="182" fontId="23" fillId="0" borderId="13" xfId="2" applyNumberFormat="1" applyFont="1" applyBorder="1" applyAlignment="1">
      <alignment horizontal="center" vertical="center"/>
    </xf>
    <xf numFmtId="182" fontId="23" fillId="0" borderId="34" xfId="2" applyNumberFormat="1" applyFont="1" applyBorder="1" applyAlignment="1">
      <alignment horizontal="center" vertical="center"/>
    </xf>
    <xf numFmtId="182" fontId="23" fillId="0" borderId="11" xfId="2" applyNumberFormat="1" applyFont="1" applyBorder="1" applyAlignment="1">
      <alignment horizontal="center" vertical="center"/>
    </xf>
    <xf numFmtId="182" fontId="23" fillId="0" borderId="27" xfId="2" applyNumberFormat="1" applyFont="1" applyBorder="1" applyAlignment="1">
      <alignment horizontal="center" vertical="center"/>
    </xf>
    <xf numFmtId="0" fontId="23" fillId="10" borderId="79" xfId="2" applyFont="1" applyFill="1" applyBorder="1" applyAlignment="1">
      <alignment horizontal="center" vertical="center"/>
    </xf>
    <xf numFmtId="0" fontId="23" fillId="10" borderId="80" xfId="2" applyFont="1" applyFill="1" applyBorder="1" applyAlignment="1">
      <alignment horizontal="center" vertical="center"/>
    </xf>
    <xf numFmtId="0" fontId="23" fillId="10" borderId="81" xfId="2" applyFont="1" applyFill="1" applyBorder="1" applyAlignment="1">
      <alignment horizontal="center" vertical="center"/>
    </xf>
    <xf numFmtId="0" fontId="23" fillId="10" borderId="82" xfId="2" applyFont="1" applyFill="1" applyBorder="1" applyAlignment="1">
      <alignment horizontal="center" vertical="center"/>
    </xf>
    <xf numFmtId="182" fontId="23" fillId="10" borderId="79" xfId="2" applyNumberFormat="1" applyFont="1" applyFill="1" applyBorder="1" applyAlignment="1">
      <alignment horizontal="center" vertical="center"/>
    </xf>
    <xf numFmtId="182" fontId="23" fillId="10" borderId="82" xfId="2" applyNumberFormat="1" applyFont="1" applyFill="1" applyBorder="1" applyAlignment="1">
      <alignment horizontal="center" vertical="center"/>
    </xf>
    <xf numFmtId="0" fontId="9" fillId="0" borderId="109" xfId="2" applyFont="1" applyBorder="1" applyAlignment="1">
      <alignment horizontal="left" vertical="center" wrapText="1"/>
    </xf>
    <xf numFmtId="182" fontId="23" fillId="10" borderId="26" xfId="2" applyNumberFormat="1" applyFont="1" applyFill="1" applyBorder="1" applyAlignment="1">
      <alignment horizontal="center" vertical="center"/>
    </xf>
    <xf numFmtId="182" fontId="23" fillId="10" borderId="30" xfId="2" applyNumberFormat="1" applyFont="1" applyFill="1" applyBorder="1" applyAlignment="1">
      <alignment horizontal="center" vertical="center"/>
    </xf>
    <xf numFmtId="182" fontId="23" fillId="10" borderId="25" xfId="2" applyNumberFormat="1" applyFont="1" applyFill="1" applyBorder="1" applyAlignment="1">
      <alignment horizontal="center" vertical="center"/>
    </xf>
    <xf numFmtId="182" fontId="23" fillId="10" borderId="54" xfId="2" applyNumberFormat="1" applyFont="1" applyFill="1" applyBorder="1" applyAlignment="1">
      <alignment horizontal="center" vertical="center"/>
    </xf>
    <xf numFmtId="182" fontId="23" fillId="10" borderId="0" xfId="2" applyNumberFormat="1" applyFont="1" applyFill="1" applyAlignment="1">
      <alignment horizontal="center" vertical="center"/>
    </xf>
    <xf numFmtId="182" fontId="23" fillId="10" borderId="55" xfId="2" applyNumberFormat="1" applyFont="1" applyFill="1" applyBorder="1" applyAlignment="1">
      <alignment horizontal="center" vertical="center"/>
    </xf>
    <xf numFmtId="182" fontId="9" fillId="0" borderId="109" xfId="2" applyNumberFormat="1" applyFont="1" applyBorder="1" applyAlignment="1">
      <alignment horizontal="left" vertical="center" wrapText="1"/>
    </xf>
    <xf numFmtId="182" fontId="23" fillId="10" borderId="28" xfId="2" applyNumberFormat="1" applyFont="1" applyFill="1" applyBorder="1" applyAlignment="1">
      <alignment horizontal="center" vertical="center"/>
    </xf>
    <xf numFmtId="182" fontId="23" fillId="10" borderId="110" xfId="2" applyNumberFormat="1" applyFont="1" applyFill="1" applyBorder="1" applyAlignment="1">
      <alignment horizontal="center" vertical="center"/>
    </xf>
    <xf numFmtId="182" fontId="23" fillId="10" borderId="10" xfId="2" applyNumberFormat="1" applyFont="1" applyFill="1" applyBorder="1" applyAlignment="1">
      <alignment horizontal="center" vertical="center"/>
    </xf>
    <xf numFmtId="182" fontId="23" fillId="10" borderId="29" xfId="2" applyNumberFormat="1" applyFont="1" applyFill="1" applyBorder="1" applyAlignment="1">
      <alignment horizontal="center" vertical="center"/>
    </xf>
    <xf numFmtId="182" fontId="23" fillId="10" borderId="39" xfId="2" applyNumberFormat="1" applyFont="1" applyFill="1" applyBorder="1" applyAlignment="1">
      <alignment horizontal="center" vertical="center"/>
    </xf>
    <xf numFmtId="0" fontId="23" fillId="10" borderId="26" xfId="2" applyFont="1" applyFill="1" applyBorder="1" applyAlignment="1">
      <alignment horizontal="center" vertical="center"/>
    </xf>
    <xf numFmtId="0" fontId="23" fillId="10" borderId="30" xfId="2" applyFont="1" applyFill="1" applyBorder="1" applyAlignment="1">
      <alignment horizontal="center" vertical="center"/>
    </xf>
    <xf numFmtId="0" fontId="23" fillId="10" borderId="25" xfId="2" applyFont="1" applyFill="1" applyBorder="1" applyAlignment="1">
      <alignment horizontal="center" vertical="center"/>
    </xf>
    <xf numFmtId="0" fontId="23" fillId="10" borderId="28" xfId="2" applyFont="1" applyFill="1" applyBorder="1" applyAlignment="1">
      <alignment horizontal="center" vertical="center"/>
    </xf>
    <xf numFmtId="0" fontId="23" fillId="10" borderId="110" xfId="2" applyFont="1" applyFill="1" applyBorder="1" applyAlignment="1">
      <alignment horizontal="center" vertical="center"/>
    </xf>
    <xf numFmtId="0" fontId="23" fillId="10" borderId="10" xfId="2" applyFont="1" applyFill="1" applyBorder="1" applyAlignment="1">
      <alignment horizontal="center" vertical="center"/>
    </xf>
    <xf numFmtId="0" fontId="23" fillId="0" borderId="111" xfId="2" applyFont="1" applyBorder="1" applyAlignment="1">
      <alignment horizontal="center" vertical="center"/>
    </xf>
    <xf numFmtId="0" fontId="23" fillId="0" borderId="82" xfId="2" applyFont="1" applyBorder="1" applyAlignment="1">
      <alignment horizontal="center" vertical="center"/>
    </xf>
    <xf numFmtId="187" fontId="32" fillId="4" borderId="3" xfId="0" applyNumberFormat="1" applyFont="1" applyFill="1" applyBorder="1" applyAlignment="1">
      <alignment horizontal="center" vertical="center"/>
    </xf>
    <xf numFmtId="187" fontId="32" fillId="4" borderId="48" xfId="0" applyNumberFormat="1" applyFont="1" applyFill="1" applyBorder="1" applyAlignment="1">
      <alignment horizontal="center" vertical="center"/>
    </xf>
    <xf numFmtId="178" fontId="25" fillId="0" borderId="26" xfId="1" applyNumberFormat="1" applyFont="1" applyBorder="1" applyAlignment="1">
      <alignment horizontal="center" vertical="center" wrapText="1"/>
    </xf>
    <xf numFmtId="178" fontId="25" fillId="0" borderId="25" xfId="1" applyNumberFormat="1" applyFont="1" applyBorder="1" applyAlignment="1">
      <alignment horizontal="center" vertical="center" wrapText="1"/>
    </xf>
    <xf numFmtId="178" fontId="25" fillId="0" borderId="28" xfId="1" applyNumberFormat="1" applyFont="1" applyBorder="1" applyAlignment="1">
      <alignment horizontal="center" vertical="center" wrapText="1"/>
    </xf>
    <xf numFmtId="178" fontId="25" fillId="0" borderId="10" xfId="1" applyNumberFormat="1" applyFont="1" applyBorder="1" applyAlignment="1">
      <alignment horizontal="center" vertical="center" wrapText="1"/>
    </xf>
    <xf numFmtId="187" fontId="32" fillId="0" borderId="26" xfId="0" applyNumberFormat="1" applyFont="1" applyBorder="1" applyAlignment="1">
      <alignment horizontal="center" vertical="center"/>
    </xf>
    <xf numFmtId="187" fontId="32" fillId="0" borderId="25" xfId="0" applyNumberFormat="1" applyFont="1" applyBorder="1" applyAlignment="1">
      <alignment horizontal="center" vertical="center"/>
    </xf>
    <xf numFmtId="187" fontId="32" fillId="0" borderId="28" xfId="0" applyNumberFormat="1" applyFont="1" applyBorder="1" applyAlignment="1">
      <alignment horizontal="center" vertical="center"/>
    </xf>
    <xf numFmtId="187" fontId="32" fillId="0" borderId="10" xfId="0" applyNumberFormat="1" applyFont="1" applyBorder="1" applyAlignment="1">
      <alignment horizontal="center" vertical="center"/>
    </xf>
    <xf numFmtId="187" fontId="32" fillId="4" borderId="26" xfId="1" applyNumberFormat="1" applyFont="1" applyFill="1" applyBorder="1" applyAlignment="1">
      <alignment horizontal="center" vertical="center" wrapText="1"/>
    </xf>
    <xf numFmtId="187" fontId="32" fillId="4" borderId="25" xfId="1" applyNumberFormat="1" applyFont="1" applyFill="1" applyBorder="1" applyAlignment="1">
      <alignment horizontal="center" vertical="center" wrapText="1"/>
    </xf>
    <xf numFmtId="187" fontId="32" fillId="4" borderId="28" xfId="1" applyNumberFormat="1" applyFont="1" applyFill="1" applyBorder="1" applyAlignment="1">
      <alignment horizontal="center" vertical="center" wrapText="1"/>
    </xf>
    <xf numFmtId="187" fontId="32" fillId="4" borderId="10" xfId="1" applyNumberFormat="1" applyFont="1" applyFill="1" applyBorder="1" applyAlignment="1">
      <alignment horizontal="center" vertical="center" wrapText="1"/>
    </xf>
    <xf numFmtId="187" fontId="32" fillId="5" borderId="26" xfId="1" applyNumberFormat="1" applyFont="1" applyFill="1" applyBorder="1" applyAlignment="1">
      <alignment horizontal="center" vertical="center" wrapText="1"/>
    </xf>
    <xf numFmtId="187" fontId="32" fillId="5" borderId="25" xfId="1" applyNumberFormat="1" applyFont="1" applyFill="1" applyBorder="1" applyAlignment="1">
      <alignment horizontal="center" vertical="center" wrapText="1"/>
    </xf>
    <xf numFmtId="187" fontId="32" fillId="5" borderId="28" xfId="1" applyNumberFormat="1" applyFont="1" applyFill="1" applyBorder="1" applyAlignment="1">
      <alignment horizontal="center" vertical="center" wrapText="1"/>
    </xf>
    <xf numFmtId="187" fontId="32" fillId="5" borderId="10" xfId="1" applyNumberFormat="1" applyFont="1" applyFill="1" applyBorder="1" applyAlignment="1">
      <alignment horizontal="center" vertical="center" wrapText="1"/>
    </xf>
    <xf numFmtId="187" fontId="32" fillId="5" borderId="3" xfId="0" applyNumberFormat="1" applyFont="1" applyFill="1" applyBorder="1" applyAlignment="1">
      <alignment horizontal="center" vertical="center"/>
    </xf>
    <xf numFmtId="187" fontId="32" fillId="5" borderId="48" xfId="0" applyNumberFormat="1" applyFont="1" applyFill="1" applyBorder="1" applyAlignment="1">
      <alignment horizontal="center" vertical="center"/>
    </xf>
    <xf numFmtId="187" fontId="32" fillId="5" borderId="5" xfId="0" applyNumberFormat="1" applyFont="1" applyFill="1" applyBorder="1" applyAlignment="1">
      <alignment horizontal="center" vertical="center"/>
    </xf>
    <xf numFmtId="187" fontId="32" fillId="0" borderId="30" xfId="0" applyNumberFormat="1" applyFont="1" applyBorder="1" applyAlignment="1">
      <alignment horizontal="center" vertical="center"/>
    </xf>
    <xf numFmtId="187" fontId="32" fillId="0" borderId="110" xfId="0" applyNumberFormat="1" applyFont="1" applyBorder="1" applyAlignment="1">
      <alignment horizontal="center" vertical="center"/>
    </xf>
    <xf numFmtId="187" fontId="32" fillId="6" borderId="26" xfId="1" applyNumberFormat="1" applyFont="1" applyFill="1" applyBorder="1" applyAlignment="1">
      <alignment horizontal="center" vertical="center" wrapText="1"/>
    </xf>
    <xf numFmtId="187" fontId="32" fillId="6" borderId="25" xfId="1" applyNumberFormat="1" applyFont="1" applyFill="1" applyBorder="1" applyAlignment="1">
      <alignment horizontal="center" vertical="center" wrapText="1"/>
    </xf>
    <xf numFmtId="187" fontId="32" fillId="6" borderId="28" xfId="1" applyNumberFormat="1" applyFont="1" applyFill="1" applyBorder="1" applyAlignment="1">
      <alignment horizontal="center" vertical="center" wrapText="1"/>
    </xf>
    <xf numFmtId="187" fontId="32" fillId="6" borderId="10" xfId="1" applyNumberFormat="1" applyFont="1" applyFill="1" applyBorder="1" applyAlignment="1">
      <alignment horizontal="center" vertical="center" wrapText="1"/>
    </xf>
    <xf numFmtId="187" fontId="32" fillId="0" borderId="3" xfId="0" applyNumberFormat="1" applyFont="1" applyBorder="1" applyAlignment="1">
      <alignment horizontal="center" vertical="center" wrapText="1"/>
    </xf>
    <xf numFmtId="187" fontId="32" fillId="0" borderId="5" xfId="0" applyNumberFormat="1" applyFont="1" applyBorder="1" applyAlignment="1">
      <alignment horizontal="center" vertical="center" wrapText="1"/>
    </xf>
    <xf numFmtId="187" fontId="9" fillId="4" borderId="26" xfId="1" applyNumberFormat="1" applyFont="1" applyFill="1" applyBorder="1" applyAlignment="1">
      <alignment horizontal="center" vertical="center" wrapText="1"/>
    </xf>
    <xf numFmtId="187" fontId="9" fillId="4" borderId="25" xfId="1" applyNumberFormat="1" applyFont="1" applyFill="1" applyBorder="1" applyAlignment="1">
      <alignment horizontal="center" vertical="center" wrapText="1"/>
    </xf>
    <xf numFmtId="187" fontId="9" fillId="4" borderId="28" xfId="1" applyNumberFormat="1" applyFont="1" applyFill="1" applyBorder="1" applyAlignment="1">
      <alignment horizontal="center" vertical="center" wrapText="1"/>
    </xf>
    <xf numFmtId="187" fontId="9" fillId="4" borderId="10" xfId="1" applyNumberFormat="1" applyFont="1" applyFill="1" applyBorder="1" applyAlignment="1">
      <alignment horizontal="center" vertical="center" wrapText="1"/>
    </xf>
    <xf numFmtId="187" fontId="27" fillId="6" borderId="7" xfId="1" applyNumberFormat="1" applyFont="1" applyFill="1" applyBorder="1" applyAlignment="1">
      <alignment horizontal="center" vertical="center" wrapText="1"/>
    </xf>
    <xf numFmtId="0" fontId="27" fillId="4" borderId="13" xfId="1" applyFont="1" applyFill="1" applyBorder="1" applyAlignment="1">
      <alignment horizontal="center" vertical="center" wrapText="1"/>
    </xf>
    <xf numFmtId="0" fontId="27" fillId="4" borderId="34" xfId="1" applyFont="1" applyFill="1" applyBorder="1" applyAlignment="1">
      <alignment horizontal="center" vertical="center" wrapText="1"/>
    </xf>
    <xf numFmtId="0" fontId="27" fillId="4" borderId="11" xfId="1" applyFont="1" applyFill="1" applyBorder="1" applyAlignment="1">
      <alignment horizontal="center" vertical="center" wrapText="1"/>
    </xf>
    <xf numFmtId="187" fontId="27" fillId="5" borderId="7" xfId="1" applyNumberFormat="1" applyFont="1" applyFill="1" applyBorder="1" applyAlignment="1">
      <alignment horizontal="center" vertical="center" wrapText="1"/>
    </xf>
    <xf numFmtId="187" fontId="27" fillId="4" borderId="11" xfId="1" applyNumberFormat="1" applyFont="1" applyFill="1" applyBorder="1" applyAlignment="1">
      <alignment horizontal="center" vertical="center" wrapText="1"/>
    </xf>
    <xf numFmtId="187" fontId="27" fillId="4" borderId="7" xfId="1" applyNumberFormat="1" applyFont="1" applyFill="1" applyBorder="1" applyAlignment="1">
      <alignment horizontal="center" vertical="center" wrapText="1"/>
    </xf>
    <xf numFmtId="0" fontId="32" fillId="4" borderId="26" xfId="1" applyFont="1" applyFill="1" applyBorder="1" applyAlignment="1">
      <alignment horizontal="center" vertical="center" wrapText="1"/>
    </xf>
    <xf numFmtId="0" fontId="32" fillId="4" borderId="25" xfId="1" applyFont="1" applyFill="1" applyBorder="1" applyAlignment="1">
      <alignment horizontal="center" vertical="center" wrapText="1"/>
    </xf>
    <xf numFmtId="0" fontId="32" fillId="4" borderId="28" xfId="1" applyFont="1" applyFill="1" applyBorder="1" applyAlignment="1">
      <alignment horizontal="center" vertical="center" wrapText="1"/>
    </xf>
    <xf numFmtId="0" fontId="32" fillId="4" borderId="10" xfId="1" applyFont="1" applyFill="1" applyBorder="1" applyAlignment="1">
      <alignment horizontal="center" vertical="center" wrapText="1"/>
    </xf>
    <xf numFmtId="187" fontId="32" fillId="4" borderId="3" xfId="1" applyNumberFormat="1" applyFont="1" applyFill="1" applyBorder="1" applyAlignment="1">
      <alignment horizontal="center" vertical="center" wrapText="1"/>
    </xf>
    <xf numFmtId="187" fontId="32" fillId="4" borderId="48" xfId="1" applyNumberFormat="1" applyFont="1" applyFill="1" applyBorder="1" applyAlignment="1">
      <alignment horizontal="center" vertical="center" wrapText="1"/>
    </xf>
    <xf numFmtId="187" fontId="32" fillId="4" borderId="5" xfId="1" applyNumberFormat="1" applyFont="1" applyFill="1" applyBorder="1" applyAlignment="1">
      <alignment horizontal="center" vertical="center" wrapText="1"/>
    </xf>
    <xf numFmtId="187" fontId="27" fillId="4" borderId="13" xfId="1" applyNumberFormat="1" applyFont="1" applyFill="1" applyBorder="1" applyAlignment="1">
      <alignment horizontal="center" vertical="center" wrapText="1"/>
    </xf>
    <xf numFmtId="187" fontId="27" fillId="4" borderId="34" xfId="1" applyNumberFormat="1" applyFont="1" applyFill="1" applyBorder="1" applyAlignment="1">
      <alignment horizontal="center" vertical="center" wrapText="1"/>
    </xf>
    <xf numFmtId="178" fontId="25" fillId="0" borderId="7" xfId="1" applyNumberFormat="1" applyFont="1" applyBorder="1" applyAlignment="1">
      <alignment horizontal="center" vertical="center" wrapText="1"/>
    </xf>
    <xf numFmtId="0" fontId="27" fillId="6" borderId="13" xfId="2" applyFont="1" applyFill="1" applyBorder="1" applyAlignment="1">
      <alignment horizontal="center" vertical="center"/>
    </xf>
    <xf numFmtId="0" fontId="27" fillId="6" borderId="34" xfId="2" applyFont="1" applyFill="1" applyBorder="1" applyAlignment="1">
      <alignment horizontal="center" vertical="center"/>
    </xf>
    <xf numFmtId="0" fontId="27" fillId="6" borderId="11" xfId="2" applyFont="1" applyFill="1" applyBorder="1" applyAlignment="1">
      <alignment horizontal="center" vertical="center"/>
    </xf>
    <xf numFmtId="178" fontId="25" fillId="6" borderId="3" xfId="1" applyNumberFormat="1" applyFont="1" applyFill="1" applyBorder="1" applyAlignment="1">
      <alignment horizontal="center" vertical="center"/>
    </xf>
    <xf numFmtId="178" fontId="25" fillId="6" borderId="48" xfId="1" applyNumberFormat="1" applyFont="1" applyFill="1" applyBorder="1" applyAlignment="1">
      <alignment horizontal="center" vertical="center"/>
    </xf>
    <xf numFmtId="178" fontId="25" fillId="6" borderId="7" xfId="1" applyNumberFormat="1" applyFont="1" applyFill="1" applyBorder="1" applyAlignment="1">
      <alignment horizontal="center" vertical="center" wrapText="1"/>
    </xf>
    <xf numFmtId="178" fontId="25" fillId="13" borderId="7" xfId="1" applyNumberFormat="1" applyFont="1" applyFill="1" applyBorder="1" applyAlignment="1">
      <alignment horizontal="center" vertical="center" wrapText="1"/>
    </xf>
    <xf numFmtId="178" fontId="25" fillId="14" borderId="7" xfId="1" applyNumberFormat="1" applyFont="1" applyFill="1" applyBorder="1" applyAlignment="1">
      <alignment horizontal="center" vertical="center" wrapText="1"/>
    </xf>
    <xf numFmtId="178" fontId="25" fillId="9" borderId="7" xfId="1" applyNumberFormat="1" applyFont="1" applyFill="1" applyBorder="1" applyAlignment="1">
      <alignment horizontal="center" vertical="center"/>
    </xf>
    <xf numFmtId="14" fontId="27" fillId="9" borderId="7" xfId="2" applyNumberFormat="1" applyFont="1" applyFill="1" applyBorder="1" applyAlignment="1">
      <alignment horizontal="center" vertical="center"/>
    </xf>
    <xf numFmtId="178" fontId="25" fillId="9" borderId="7" xfId="1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F687F33D-2A28-453A-93C8-30137832FE49}"/>
    <cellStyle name="표준 3" xfId="2" xr:uid="{89ADDB91-9CEB-422F-9157-6F38BCE232B4}"/>
  </cellStyles>
  <dxfs count="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6041;&#48512;(&#52572;&#50696;&#51008;)\&#48372;&#44256;&#49436;\SaniTOX%20LINK%20656eb78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간운영"/>
      <sheetName val="운영일보"/>
      <sheetName val="MNF산정"/>
      <sheetName val="1. 중블록 공급량 합산(동부)"/>
      <sheetName val="2. 중블록 공급량(동부)"/>
      <sheetName val="3. 공급량(동부)"/>
      <sheetName val="4. 공급량 수압(동부)"/>
      <sheetName val="1. 공급량(서부)"/>
      <sheetName val="2. 중블록 공급량(서부)"/>
      <sheetName val="3. 소블록 공급량(서부)"/>
      <sheetName val="4. MNF(서부)"/>
    </sheetNames>
    <sheetDataSet>
      <sheetData sheetId="0"/>
      <sheetData sheetId="1">
        <row r="65">
          <cell r="D6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AC9D-ED95-488C-9568-930C011706BC}">
  <dimension ref="A1:M251"/>
  <sheetViews>
    <sheetView view="pageBreakPreview" zoomScaleNormal="100" zoomScaleSheetLayoutView="100" workbookViewId="0">
      <pane xSplit="3" ySplit="1" topLeftCell="D224" activePane="bottomRight" state="frozen"/>
      <selection pane="topRight" activeCell="D1" sqref="D1"/>
      <selection pane="bottomLeft" activeCell="A2" sqref="A2"/>
      <selection pane="bottomRight" activeCell="M239" sqref="M239"/>
    </sheetView>
  </sheetViews>
  <sheetFormatPr defaultRowHeight="16.5" x14ac:dyDescent="0.3"/>
  <cols>
    <col min="1" max="1" width="14" bestFit="1" customWidth="1"/>
    <col min="2" max="2" width="17.625" bestFit="1" customWidth="1"/>
    <col min="4" max="4" width="8.875" customWidth="1"/>
    <col min="5" max="7" width="8.875" bestFit="1" customWidth="1"/>
    <col min="8" max="8" width="9.125" bestFit="1" customWidth="1"/>
    <col min="9" max="9" width="8.875" bestFit="1" customWidth="1"/>
    <col min="10" max="10" width="9.125" bestFit="1" customWidth="1"/>
    <col min="11" max="11" width="8.75" bestFit="1" customWidth="1"/>
    <col min="12" max="12" width="21.375" bestFit="1" customWidth="1"/>
    <col min="13" max="13" width="46.875" customWidth="1"/>
  </cols>
  <sheetData>
    <row r="1" spans="1:13" ht="17.25" thickBot="1" x14ac:dyDescent="0.35">
      <c r="A1" s="274" t="s">
        <v>707</v>
      </c>
      <c r="B1" s="275" t="s">
        <v>3</v>
      </c>
      <c r="C1" s="275" t="s">
        <v>708</v>
      </c>
      <c r="D1" s="276" t="s">
        <v>727</v>
      </c>
      <c r="E1" s="276" t="s">
        <v>728</v>
      </c>
      <c r="F1" s="276" t="s">
        <v>729</v>
      </c>
      <c r="G1" s="276" t="s">
        <v>730</v>
      </c>
      <c r="H1" s="276" t="s">
        <v>731</v>
      </c>
      <c r="I1" s="276" t="s">
        <v>732</v>
      </c>
      <c r="J1" s="276" t="s">
        <v>733</v>
      </c>
      <c r="K1" s="277" t="s">
        <v>709</v>
      </c>
      <c r="L1" s="278" t="s">
        <v>710</v>
      </c>
      <c r="M1" s="304" t="s">
        <v>714</v>
      </c>
    </row>
    <row r="2" spans="1:13" ht="17.25" x14ac:dyDescent="0.3">
      <c r="A2" s="311" t="s">
        <v>5</v>
      </c>
      <c r="B2" s="28" t="s">
        <v>294</v>
      </c>
      <c r="C2" s="279" t="s">
        <v>419</v>
      </c>
      <c r="D2" s="298">
        <v>9973</v>
      </c>
      <c r="E2" s="298">
        <v>9763</v>
      </c>
      <c r="F2" s="298">
        <v>9718</v>
      </c>
      <c r="G2" s="298">
        <v>9722</v>
      </c>
      <c r="H2" s="298">
        <v>9771</v>
      </c>
      <c r="I2" s="298">
        <v>10129</v>
      </c>
      <c r="J2" s="298">
        <v>10078</v>
      </c>
      <c r="K2" s="280">
        <f>AVERAGE(D2:J2)</f>
        <v>9879.1428571428569</v>
      </c>
      <c r="L2" s="299" t="str">
        <f>IF(OR(J2&gt;=K2*1.1,J2&lt;=K2*0.9),"확인필요","이상없음")</f>
        <v>이상없음</v>
      </c>
    </row>
    <row r="3" spans="1:13" ht="17.25" x14ac:dyDescent="0.3">
      <c r="A3" s="312"/>
      <c r="B3" s="281" t="s">
        <v>294</v>
      </c>
      <c r="C3" s="282" t="s">
        <v>112</v>
      </c>
      <c r="D3" s="300">
        <v>213</v>
      </c>
      <c r="E3" s="300">
        <v>218</v>
      </c>
      <c r="F3" s="300">
        <v>224</v>
      </c>
      <c r="G3" s="300">
        <v>216</v>
      </c>
      <c r="H3" s="300">
        <v>219</v>
      </c>
      <c r="I3" s="300">
        <v>221</v>
      </c>
      <c r="J3" s="300">
        <f>MNF산정!B$440</f>
        <v>210.76666666666668</v>
      </c>
      <c r="K3" s="283">
        <f t="shared" ref="K3:K68" si="0">AVERAGE(D3:J3)</f>
        <v>217.39523809523808</v>
      </c>
      <c r="L3" s="282" t="str">
        <f t="shared" ref="L3:L66" si="1">IF(OR(J3&gt;=K3*1.1,J3&lt;=K3*0.9),"확인필요","이상없음")</f>
        <v>이상없음</v>
      </c>
    </row>
    <row r="4" spans="1:13" ht="17.25" x14ac:dyDescent="0.3">
      <c r="A4" s="312"/>
      <c r="B4" s="284" t="s">
        <v>114</v>
      </c>
      <c r="C4" s="282" t="s">
        <v>419</v>
      </c>
      <c r="D4" s="300">
        <v>1701</v>
      </c>
      <c r="E4" s="300">
        <v>1689</v>
      </c>
      <c r="F4" s="300">
        <v>1658</v>
      </c>
      <c r="G4" s="300">
        <v>1678</v>
      </c>
      <c r="H4" s="300">
        <v>1676</v>
      </c>
      <c r="I4" s="300">
        <v>1701</v>
      </c>
      <c r="J4" s="300">
        <v>1732</v>
      </c>
      <c r="K4" s="283">
        <f t="shared" si="0"/>
        <v>1690.7142857142858</v>
      </c>
      <c r="L4" s="282" t="str">
        <f t="shared" si="1"/>
        <v>이상없음</v>
      </c>
    </row>
    <row r="5" spans="1:13" ht="17.25" x14ac:dyDescent="0.3">
      <c r="A5" s="312"/>
      <c r="B5" s="284" t="s">
        <v>114</v>
      </c>
      <c r="C5" s="282" t="s">
        <v>112</v>
      </c>
      <c r="D5" s="300">
        <v>48.37501653035482</v>
      </c>
      <c r="E5" s="300">
        <v>49.059216880798338</v>
      </c>
      <c r="F5" s="300">
        <v>48.738783454895021</v>
      </c>
      <c r="G5" s="300">
        <v>48.714317003885903</v>
      </c>
      <c r="H5" s="300">
        <v>49.809416643778484</v>
      </c>
      <c r="I5" s="300">
        <v>49.732150077819824</v>
      </c>
      <c r="J5" s="300">
        <f>MNF산정!C$440</f>
        <v>48.554100290934244</v>
      </c>
      <c r="K5" s="283">
        <f t="shared" si="0"/>
        <v>48.997571554638093</v>
      </c>
      <c r="L5" s="282" t="str">
        <f t="shared" si="1"/>
        <v>이상없음</v>
      </c>
    </row>
    <row r="6" spans="1:13" ht="17.25" x14ac:dyDescent="0.3">
      <c r="A6" s="312"/>
      <c r="B6" s="284" t="s">
        <v>44</v>
      </c>
      <c r="C6" s="282" t="s">
        <v>419</v>
      </c>
      <c r="D6" s="300">
        <v>2805</v>
      </c>
      <c r="E6" s="300">
        <v>2759</v>
      </c>
      <c r="F6" s="300">
        <v>2775</v>
      </c>
      <c r="G6" s="300">
        <v>2829</v>
      </c>
      <c r="H6" s="300">
        <v>2788</v>
      </c>
      <c r="I6" s="300">
        <v>2794</v>
      </c>
      <c r="J6" s="300">
        <v>2771</v>
      </c>
      <c r="K6" s="283">
        <f t="shared" si="0"/>
        <v>2788.7142857142858</v>
      </c>
      <c r="L6" s="282" t="str">
        <f t="shared" si="1"/>
        <v>이상없음</v>
      </c>
    </row>
    <row r="7" spans="1:13" ht="17.25" x14ac:dyDescent="0.3">
      <c r="A7" s="312"/>
      <c r="B7" s="284" t="s">
        <v>44</v>
      </c>
      <c r="C7" s="282" t="s">
        <v>112</v>
      </c>
      <c r="D7" s="300">
        <v>95.257583872477213</v>
      </c>
      <c r="E7" s="300">
        <v>95.649583689371738</v>
      </c>
      <c r="F7" s="300">
        <v>98.652416610717779</v>
      </c>
      <c r="G7" s="300">
        <v>97.01060040791829</v>
      </c>
      <c r="H7" s="300">
        <v>97.231183878580723</v>
      </c>
      <c r="I7" s="300">
        <v>95.202917226155606</v>
      </c>
      <c r="J7" s="300">
        <f>MNF산정!D$440</f>
        <v>95.870250320434565</v>
      </c>
      <c r="K7" s="283">
        <f t="shared" si="0"/>
        <v>96.410648000807996</v>
      </c>
      <c r="L7" s="282" t="str">
        <f t="shared" si="1"/>
        <v>이상없음</v>
      </c>
    </row>
    <row r="8" spans="1:13" ht="17.25" x14ac:dyDescent="0.3">
      <c r="A8" s="312"/>
      <c r="B8" s="284" t="s">
        <v>45</v>
      </c>
      <c r="C8" s="282" t="s">
        <v>419</v>
      </c>
      <c r="D8" s="300">
        <v>762</v>
      </c>
      <c r="E8" s="300">
        <v>823</v>
      </c>
      <c r="F8" s="300">
        <v>828</v>
      </c>
      <c r="G8" s="300">
        <v>857</v>
      </c>
      <c r="H8" s="300">
        <v>821</v>
      </c>
      <c r="I8" s="300">
        <v>881</v>
      </c>
      <c r="J8" s="300">
        <v>902</v>
      </c>
      <c r="K8" s="283">
        <f t="shared" si="0"/>
        <v>839.14285714285711</v>
      </c>
      <c r="L8" s="282" t="str">
        <f t="shared" si="1"/>
        <v>이상없음</v>
      </c>
    </row>
    <row r="9" spans="1:13" ht="17.25" x14ac:dyDescent="0.3">
      <c r="A9" s="312"/>
      <c r="B9" s="284" t="s">
        <v>45</v>
      </c>
      <c r="C9" s="282" t="s">
        <v>112</v>
      </c>
      <c r="D9" s="300">
        <v>15.727550156911214</v>
      </c>
      <c r="E9" s="300">
        <v>19.161999972661338</v>
      </c>
      <c r="F9" s="300">
        <v>16.911283429463705</v>
      </c>
      <c r="G9" s="300">
        <v>16.530600070953369</v>
      </c>
      <c r="H9" s="300">
        <v>17.131850051879884</v>
      </c>
      <c r="I9" s="300">
        <v>17.972483507792155</v>
      </c>
      <c r="J9" s="300">
        <f>MNF산정!E$440</f>
        <v>16.803866656621299</v>
      </c>
      <c r="K9" s="283">
        <f t="shared" si="0"/>
        <v>17.177090549468996</v>
      </c>
      <c r="L9" s="282" t="str">
        <f t="shared" si="1"/>
        <v>이상없음</v>
      </c>
    </row>
    <row r="10" spans="1:13" ht="17.25" x14ac:dyDescent="0.3">
      <c r="A10" s="312"/>
      <c r="B10" s="284" t="s">
        <v>46</v>
      </c>
      <c r="C10" s="282" t="s">
        <v>419</v>
      </c>
      <c r="D10" s="300">
        <v>901</v>
      </c>
      <c r="E10" s="300">
        <v>900</v>
      </c>
      <c r="F10" s="300">
        <v>829</v>
      </c>
      <c r="G10" s="300">
        <v>840</v>
      </c>
      <c r="H10" s="300">
        <v>834</v>
      </c>
      <c r="I10" s="300">
        <v>906</v>
      </c>
      <c r="J10" s="300">
        <v>924</v>
      </c>
      <c r="K10" s="283">
        <f t="shared" si="0"/>
        <v>876.28571428571433</v>
      </c>
      <c r="L10" s="282" t="str">
        <f t="shared" si="1"/>
        <v>이상없음</v>
      </c>
    </row>
    <row r="11" spans="1:13" ht="17.25" x14ac:dyDescent="0.3">
      <c r="A11" s="312"/>
      <c r="B11" s="284" t="s">
        <v>46</v>
      </c>
      <c r="C11" s="282" t="s">
        <v>112</v>
      </c>
      <c r="D11" s="300">
        <v>0</v>
      </c>
      <c r="E11" s="300">
        <v>0</v>
      </c>
      <c r="F11" s="300">
        <v>0</v>
      </c>
      <c r="G11" s="300">
        <v>0.45253562927246094</v>
      </c>
      <c r="H11" s="300">
        <v>0</v>
      </c>
      <c r="I11" s="300">
        <v>2.6550927003224691</v>
      </c>
      <c r="J11" s="300">
        <f>MNF산정!F$440</f>
        <v>1.997491216659546</v>
      </c>
      <c r="K11" s="283">
        <f t="shared" si="0"/>
        <v>0.72930279232206807</v>
      </c>
      <c r="L11" s="282" t="str">
        <f t="shared" si="1"/>
        <v>확인필요</v>
      </c>
    </row>
    <row r="12" spans="1:13" ht="17.25" x14ac:dyDescent="0.3">
      <c r="A12" s="312"/>
      <c r="B12" s="285" t="s">
        <v>115</v>
      </c>
      <c r="C12" s="282" t="s">
        <v>419</v>
      </c>
      <c r="D12" s="300">
        <v>798</v>
      </c>
      <c r="E12" s="300">
        <v>785</v>
      </c>
      <c r="F12" s="300">
        <v>771</v>
      </c>
      <c r="G12" s="300">
        <v>744</v>
      </c>
      <c r="H12" s="300">
        <v>782</v>
      </c>
      <c r="I12" s="300">
        <v>777</v>
      </c>
      <c r="J12" s="300">
        <v>766</v>
      </c>
      <c r="K12" s="283">
        <f t="shared" si="0"/>
        <v>774.71428571428567</v>
      </c>
      <c r="L12" s="282" t="str">
        <f t="shared" si="1"/>
        <v>이상없음</v>
      </c>
    </row>
    <row r="13" spans="1:13" ht="17.25" x14ac:dyDescent="0.3">
      <c r="A13" s="312"/>
      <c r="B13" s="285" t="s">
        <v>115</v>
      </c>
      <c r="C13" s="282" t="s">
        <v>112</v>
      </c>
      <c r="D13" s="300">
        <v>17.403266779581706</v>
      </c>
      <c r="E13" s="300">
        <v>18.313666661580402</v>
      </c>
      <c r="F13" s="300">
        <v>18.089400005340575</v>
      </c>
      <c r="G13" s="300">
        <v>16.417483377456666</v>
      </c>
      <c r="H13" s="300">
        <v>17.736950079600017</v>
      </c>
      <c r="I13" s="300">
        <v>17.288266690572105</v>
      </c>
      <c r="J13" s="300">
        <f>MNF산정!G$440</f>
        <v>16.758616654078164</v>
      </c>
      <c r="K13" s="283">
        <f t="shared" si="0"/>
        <v>17.429664321172805</v>
      </c>
      <c r="L13" s="282" t="str">
        <f t="shared" si="1"/>
        <v>이상없음</v>
      </c>
    </row>
    <row r="14" spans="1:13" ht="17.25" x14ac:dyDescent="0.3">
      <c r="A14" s="312"/>
      <c r="B14" s="285" t="s">
        <v>711</v>
      </c>
      <c r="C14" s="282" t="s">
        <v>419</v>
      </c>
      <c r="D14" s="300">
        <v>0</v>
      </c>
      <c r="E14" s="300">
        <v>0</v>
      </c>
      <c r="F14" s="300">
        <v>0</v>
      </c>
      <c r="G14" s="300">
        <v>0</v>
      </c>
      <c r="H14" s="300">
        <v>0</v>
      </c>
      <c r="I14" s="300">
        <v>0</v>
      </c>
      <c r="J14" s="300">
        <v>0</v>
      </c>
      <c r="K14" s="283">
        <f t="shared" si="0"/>
        <v>0</v>
      </c>
      <c r="L14" s="282" t="str">
        <f t="shared" si="1"/>
        <v>확인필요</v>
      </c>
    </row>
    <row r="15" spans="1:13" ht="17.25" x14ac:dyDescent="0.3">
      <c r="A15" s="312"/>
      <c r="B15" s="285" t="s">
        <v>711</v>
      </c>
      <c r="C15" s="282" t="s">
        <v>112</v>
      </c>
      <c r="D15" s="300">
        <v>0</v>
      </c>
      <c r="E15" s="300">
        <v>0</v>
      </c>
      <c r="F15" s="300">
        <v>0</v>
      </c>
      <c r="G15" s="300">
        <v>0</v>
      </c>
      <c r="H15" s="300">
        <v>0</v>
      </c>
      <c r="I15" s="300">
        <v>0</v>
      </c>
      <c r="J15" s="300"/>
      <c r="K15" s="283">
        <f t="shared" si="0"/>
        <v>0</v>
      </c>
      <c r="L15" s="282" t="str">
        <f t="shared" si="1"/>
        <v>확인필요</v>
      </c>
    </row>
    <row r="16" spans="1:13" ht="17.25" x14ac:dyDescent="0.3">
      <c r="A16" s="313" t="s">
        <v>144</v>
      </c>
      <c r="B16" s="12" t="s">
        <v>196</v>
      </c>
      <c r="C16" s="282" t="s">
        <v>419</v>
      </c>
      <c r="D16" s="300">
        <v>10200</v>
      </c>
      <c r="E16" s="300">
        <v>9681</v>
      </c>
      <c r="F16" s="300">
        <v>9627</v>
      </c>
      <c r="G16" s="300">
        <v>9625</v>
      </c>
      <c r="H16" s="300">
        <v>9749</v>
      </c>
      <c r="I16" s="300">
        <v>9860</v>
      </c>
      <c r="J16" s="300">
        <v>9713</v>
      </c>
      <c r="K16" s="283">
        <f t="shared" si="0"/>
        <v>9779.2857142857138</v>
      </c>
      <c r="L16" s="282" t="str">
        <f t="shared" si="1"/>
        <v>이상없음</v>
      </c>
    </row>
    <row r="17" spans="1:12" ht="17.25" x14ac:dyDescent="0.3">
      <c r="A17" s="313"/>
      <c r="B17" s="12" t="s">
        <v>196</v>
      </c>
      <c r="C17" s="282" t="s">
        <v>112</v>
      </c>
      <c r="D17" s="300">
        <v>306.03333333333336</v>
      </c>
      <c r="E17" s="300">
        <v>306.21666666666664</v>
      </c>
      <c r="F17" s="300">
        <v>298.61666666666667</v>
      </c>
      <c r="G17" s="300">
        <v>299.16666666666669</v>
      </c>
      <c r="H17" s="300">
        <v>308.39999999999998</v>
      </c>
      <c r="I17" s="300">
        <v>304.76666666666665</v>
      </c>
      <c r="J17" s="300">
        <f>MNF산정!H$440</f>
        <v>304.58333333333331</v>
      </c>
      <c r="K17" s="283">
        <f t="shared" si="0"/>
        <v>303.96904761904761</v>
      </c>
      <c r="L17" s="282" t="str">
        <f t="shared" si="1"/>
        <v>이상없음</v>
      </c>
    </row>
    <row r="18" spans="1:12" ht="17.25" x14ac:dyDescent="0.3">
      <c r="A18" s="313"/>
      <c r="B18" s="286" t="s">
        <v>297</v>
      </c>
      <c r="C18" s="282" t="s">
        <v>419</v>
      </c>
      <c r="D18" s="300">
        <v>9264</v>
      </c>
      <c r="E18" s="300">
        <v>8808</v>
      </c>
      <c r="F18" s="300">
        <v>8760</v>
      </c>
      <c r="G18" s="300">
        <v>8747</v>
      </c>
      <c r="H18" s="300">
        <v>8859</v>
      </c>
      <c r="I18" s="300">
        <v>8963</v>
      </c>
      <c r="J18" s="300">
        <v>8847</v>
      </c>
      <c r="K18" s="283">
        <f t="shared" si="0"/>
        <v>8892.5714285714294</v>
      </c>
      <c r="L18" s="282" t="str">
        <f t="shared" si="1"/>
        <v>이상없음</v>
      </c>
    </row>
    <row r="19" spans="1:12" ht="17.25" x14ac:dyDescent="0.3">
      <c r="A19" s="313"/>
      <c r="B19" s="286" t="s">
        <v>297</v>
      </c>
      <c r="C19" s="282" t="s">
        <v>112</v>
      </c>
      <c r="D19" s="300">
        <v>271.51666666666665</v>
      </c>
      <c r="E19" s="300">
        <v>273.35000000000002</v>
      </c>
      <c r="F19" s="300">
        <v>265.96666666666664</v>
      </c>
      <c r="G19" s="300">
        <v>267.46666666666664</v>
      </c>
      <c r="H19" s="300">
        <v>275.55</v>
      </c>
      <c r="I19" s="300">
        <v>272.61666666666667</v>
      </c>
      <c r="J19" s="300">
        <f>MNF산정!I$440</f>
        <v>271.93333333333334</v>
      </c>
      <c r="K19" s="283">
        <f t="shared" si="0"/>
        <v>271.2</v>
      </c>
      <c r="L19" s="282" t="str">
        <f t="shared" si="1"/>
        <v>이상없음</v>
      </c>
    </row>
    <row r="20" spans="1:12" ht="17.25" x14ac:dyDescent="0.3">
      <c r="A20" s="313"/>
      <c r="B20" s="287" t="s">
        <v>273</v>
      </c>
      <c r="C20" s="282" t="s">
        <v>419</v>
      </c>
      <c r="D20" s="300">
        <v>2013</v>
      </c>
      <c r="E20" s="300">
        <v>2012</v>
      </c>
      <c r="F20" s="300">
        <v>2013</v>
      </c>
      <c r="G20" s="300">
        <v>2007</v>
      </c>
      <c r="H20" s="300">
        <v>2014</v>
      </c>
      <c r="I20" s="300">
        <v>2025</v>
      </c>
      <c r="J20" s="300">
        <v>2046</v>
      </c>
      <c r="K20" s="283">
        <f t="shared" si="0"/>
        <v>2018.5714285714287</v>
      </c>
      <c r="L20" s="282" t="str">
        <f t="shared" si="1"/>
        <v>이상없음</v>
      </c>
    </row>
    <row r="21" spans="1:12" ht="17.25" x14ac:dyDescent="0.3">
      <c r="A21" s="313"/>
      <c r="B21" s="287" t="s">
        <v>273</v>
      </c>
      <c r="C21" s="282" t="s">
        <v>112</v>
      </c>
      <c r="D21" s="300">
        <v>58.717850112915038</v>
      </c>
      <c r="E21" s="300">
        <v>60.442483329772948</v>
      </c>
      <c r="F21" s="300">
        <v>58.985399945576987</v>
      </c>
      <c r="G21" s="300">
        <v>59.827966690063477</v>
      </c>
      <c r="H21" s="300">
        <v>58.76493345896403</v>
      </c>
      <c r="I21" s="300">
        <v>58.847833442687985</v>
      </c>
      <c r="J21" s="300">
        <f>MNF산정!J$440</f>
        <v>60.446250216166177</v>
      </c>
      <c r="K21" s="283">
        <f t="shared" si="0"/>
        <v>59.433245313735235</v>
      </c>
      <c r="L21" s="282" t="str">
        <f t="shared" si="1"/>
        <v>이상없음</v>
      </c>
    </row>
    <row r="22" spans="1:12" ht="17.25" x14ac:dyDescent="0.3">
      <c r="A22" s="313"/>
      <c r="B22" s="287" t="s">
        <v>272</v>
      </c>
      <c r="C22" s="282" t="s">
        <v>419</v>
      </c>
      <c r="D22" s="300">
        <v>1807</v>
      </c>
      <c r="E22" s="300">
        <v>1804</v>
      </c>
      <c r="F22" s="300">
        <v>1802</v>
      </c>
      <c r="G22" s="300">
        <v>1838</v>
      </c>
      <c r="H22" s="300">
        <v>1787</v>
      </c>
      <c r="I22" s="300">
        <v>1850</v>
      </c>
      <c r="J22" s="300">
        <v>1797</v>
      </c>
      <c r="K22" s="283">
        <f t="shared" si="0"/>
        <v>1812.1428571428571</v>
      </c>
      <c r="L22" s="282" t="str">
        <f t="shared" si="1"/>
        <v>이상없음</v>
      </c>
    </row>
    <row r="23" spans="1:12" ht="17.25" x14ac:dyDescent="0.3">
      <c r="A23" s="313"/>
      <c r="B23" s="287" t="s">
        <v>272</v>
      </c>
      <c r="C23" s="282" t="s">
        <v>112</v>
      </c>
      <c r="D23" s="300">
        <v>59.192994435628258</v>
      </c>
      <c r="E23" s="300">
        <v>60.59092585245768</v>
      </c>
      <c r="F23" s="300">
        <v>59.158357048034667</v>
      </c>
      <c r="G23" s="300">
        <v>59.172293980916344</v>
      </c>
      <c r="H23" s="300">
        <v>61.317236455281574</v>
      </c>
      <c r="I23" s="300">
        <v>60.419416618347171</v>
      </c>
      <c r="J23" s="300">
        <f>MNF산정!K$440</f>
        <v>60.400438117980954</v>
      </c>
      <c r="K23" s="283">
        <f t="shared" si="0"/>
        <v>60.035951786949518</v>
      </c>
      <c r="L23" s="282" t="str">
        <f t="shared" si="1"/>
        <v>이상없음</v>
      </c>
    </row>
    <row r="24" spans="1:12" ht="17.25" x14ac:dyDescent="0.3">
      <c r="A24" s="313"/>
      <c r="B24" s="287" t="s">
        <v>50</v>
      </c>
      <c r="C24" s="282" t="s">
        <v>419</v>
      </c>
      <c r="D24" s="300">
        <v>1874</v>
      </c>
      <c r="E24" s="300">
        <v>1646</v>
      </c>
      <c r="F24" s="300">
        <v>1713</v>
      </c>
      <c r="G24" s="300">
        <v>1747</v>
      </c>
      <c r="H24" s="300">
        <v>1701</v>
      </c>
      <c r="I24" s="300">
        <v>1754</v>
      </c>
      <c r="J24" s="300">
        <v>1734</v>
      </c>
      <c r="K24" s="283">
        <f t="shared" si="0"/>
        <v>1738.4285714285713</v>
      </c>
      <c r="L24" s="282" t="str">
        <f t="shared" si="1"/>
        <v>이상없음</v>
      </c>
    </row>
    <row r="25" spans="1:12" ht="17.25" x14ac:dyDescent="0.3">
      <c r="A25" s="313"/>
      <c r="B25" s="287" t="s">
        <v>50</v>
      </c>
      <c r="C25" s="282" t="s">
        <v>112</v>
      </c>
      <c r="D25" s="300">
        <v>41.347850290934247</v>
      </c>
      <c r="E25" s="300">
        <v>41.989849917093913</v>
      </c>
      <c r="F25" s="300">
        <v>41.553966776529947</v>
      </c>
      <c r="G25" s="300">
        <v>40.855900128682457</v>
      </c>
      <c r="H25" s="300">
        <v>42.140000152587888</v>
      </c>
      <c r="I25" s="300">
        <v>42.216666793823244</v>
      </c>
      <c r="J25" s="300">
        <f>MNF산정!L$440</f>
        <v>43.447733561197914</v>
      </c>
      <c r="K25" s="283">
        <f t="shared" si="0"/>
        <v>41.935995374407085</v>
      </c>
      <c r="L25" s="282" t="str">
        <f t="shared" si="1"/>
        <v>이상없음</v>
      </c>
    </row>
    <row r="26" spans="1:12" ht="17.25" x14ac:dyDescent="0.3">
      <c r="A26" s="313"/>
      <c r="B26" s="287" t="s">
        <v>51</v>
      </c>
      <c r="C26" s="282" t="s">
        <v>419</v>
      </c>
      <c r="D26" s="300">
        <v>443</v>
      </c>
      <c r="E26" s="300">
        <v>445</v>
      </c>
      <c r="F26" s="300">
        <v>447</v>
      </c>
      <c r="G26" s="300">
        <v>428</v>
      </c>
      <c r="H26" s="300">
        <v>456</v>
      </c>
      <c r="I26" s="300">
        <v>448</v>
      </c>
      <c r="J26" s="300">
        <v>442</v>
      </c>
      <c r="K26" s="283">
        <f t="shared" si="0"/>
        <v>444.14285714285717</v>
      </c>
      <c r="L26" s="282" t="str">
        <f t="shared" si="1"/>
        <v>이상없음</v>
      </c>
    </row>
    <row r="27" spans="1:12" ht="17.25" x14ac:dyDescent="0.3">
      <c r="A27" s="313"/>
      <c r="B27" s="287" t="s">
        <v>51</v>
      </c>
      <c r="C27" s="282" t="s">
        <v>112</v>
      </c>
      <c r="D27" s="300">
        <v>11.987883265813192</v>
      </c>
      <c r="E27" s="300">
        <v>13.045299927393595</v>
      </c>
      <c r="F27" s="300">
        <v>11.78811666170756</v>
      </c>
      <c r="G27" s="300">
        <v>13.126250139872234</v>
      </c>
      <c r="H27" s="300">
        <v>12.894500017166138</v>
      </c>
      <c r="I27" s="300">
        <v>12.362916628519693</v>
      </c>
      <c r="J27" s="300">
        <f>MNF산정!M$440</f>
        <v>11.833283297220866</v>
      </c>
      <c r="K27" s="283">
        <f t="shared" si="0"/>
        <v>12.434035705384755</v>
      </c>
      <c r="L27" s="282" t="str">
        <f t="shared" si="1"/>
        <v>이상없음</v>
      </c>
    </row>
    <row r="28" spans="1:12" ht="17.25" x14ac:dyDescent="0.3">
      <c r="A28" s="313"/>
      <c r="B28" s="287" t="s">
        <v>52</v>
      </c>
      <c r="C28" s="282" t="s">
        <v>419</v>
      </c>
      <c r="D28" s="300">
        <v>477</v>
      </c>
      <c r="E28" s="300">
        <v>465</v>
      </c>
      <c r="F28" s="300">
        <v>449</v>
      </c>
      <c r="G28" s="300">
        <v>445</v>
      </c>
      <c r="H28" s="300">
        <v>449</v>
      </c>
      <c r="I28" s="300">
        <v>424</v>
      </c>
      <c r="J28" s="300">
        <v>432</v>
      </c>
      <c r="K28" s="283">
        <f t="shared" si="0"/>
        <v>448.71428571428572</v>
      </c>
      <c r="L28" s="282" t="str">
        <f t="shared" si="1"/>
        <v>이상없음</v>
      </c>
    </row>
    <row r="29" spans="1:12" ht="17.25" x14ac:dyDescent="0.3">
      <c r="A29" s="313"/>
      <c r="B29" s="287" t="s">
        <v>52</v>
      </c>
      <c r="C29" s="282" t="s">
        <v>112</v>
      </c>
      <c r="D29" s="300">
        <v>16.828400246302287</v>
      </c>
      <c r="E29" s="300">
        <v>18.655266602834065</v>
      </c>
      <c r="F29" s="300">
        <v>17.064766756693523</v>
      </c>
      <c r="G29" s="300">
        <v>19.157816441853843</v>
      </c>
      <c r="H29" s="300">
        <v>16.668283557891847</v>
      </c>
      <c r="I29" s="300">
        <v>16.172066974639893</v>
      </c>
      <c r="J29" s="300">
        <f>MNF산정!N$440</f>
        <v>17.025583600997926</v>
      </c>
      <c r="K29" s="283">
        <f t="shared" si="0"/>
        <v>17.367454883030486</v>
      </c>
      <c r="L29" s="282" t="str">
        <f t="shared" si="1"/>
        <v>이상없음</v>
      </c>
    </row>
    <row r="30" spans="1:12" ht="17.25" x14ac:dyDescent="0.3">
      <c r="A30" s="313" t="s">
        <v>145</v>
      </c>
      <c r="B30" s="12" t="s">
        <v>117</v>
      </c>
      <c r="C30" s="282" t="s">
        <v>419</v>
      </c>
      <c r="D30" s="300">
        <v>684</v>
      </c>
      <c r="E30" s="300">
        <v>719</v>
      </c>
      <c r="F30" s="300">
        <v>654</v>
      </c>
      <c r="G30" s="300">
        <v>671</v>
      </c>
      <c r="H30" s="300">
        <v>729</v>
      </c>
      <c r="I30" s="300">
        <v>709</v>
      </c>
      <c r="J30" s="300">
        <v>738</v>
      </c>
      <c r="K30" s="283">
        <f t="shared" si="0"/>
        <v>700.57142857142856</v>
      </c>
      <c r="L30" s="282" t="str">
        <f t="shared" si="1"/>
        <v>이상없음</v>
      </c>
    </row>
    <row r="31" spans="1:12" ht="17.25" x14ac:dyDescent="0.3">
      <c r="A31" s="313"/>
      <c r="B31" s="12" t="s">
        <v>117</v>
      </c>
      <c r="C31" s="282" t="s">
        <v>112</v>
      </c>
      <c r="D31" s="300">
        <v>15.783333333333333</v>
      </c>
      <c r="E31" s="300">
        <v>15.433333333333334</v>
      </c>
      <c r="F31" s="300">
        <v>15.35</v>
      </c>
      <c r="G31" s="300">
        <v>15.466666666666667</v>
      </c>
      <c r="H31" s="300">
        <v>15.766666666666667</v>
      </c>
      <c r="I31" s="300">
        <v>16.5</v>
      </c>
      <c r="J31" s="300">
        <f>MNF산정!O$440</f>
        <v>16.433333333333334</v>
      </c>
      <c r="K31" s="283">
        <f t="shared" si="0"/>
        <v>15.819047619047621</v>
      </c>
      <c r="L31" s="282" t="str">
        <f t="shared" si="1"/>
        <v>이상없음</v>
      </c>
    </row>
    <row r="32" spans="1:12" ht="17.25" x14ac:dyDescent="0.3">
      <c r="A32" s="313"/>
      <c r="B32" s="12" t="s">
        <v>195</v>
      </c>
      <c r="C32" s="282" t="s">
        <v>419</v>
      </c>
      <c r="D32" s="300">
        <v>0</v>
      </c>
      <c r="E32" s="300">
        <v>0</v>
      </c>
      <c r="F32" s="300">
        <v>0</v>
      </c>
      <c r="G32" s="300">
        <v>0</v>
      </c>
      <c r="H32" s="300">
        <v>0</v>
      </c>
      <c r="I32" s="300">
        <v>0</v>
      </c>
      <c r="J32" s="300">
        <v>0</v>
      </c>
      <c r="K32" s="283">
        <f t="shared" si="0"/>
        <v>0</v>
      </c>
      <c r="L32" s="282" t="str">
        <f t="shared" si="1"/>
        <v>확인필요</v>
      </c>
    </row>
    <row r="33" spans="1:12" ht="17.25" x14ac:dyDescent="0.3">
      <c r="A33" s="313"/>
      <c r="B33" s="12" t="s">
        <v>195</v>
      </c>
      <c r="C33" s="282" t="s">
        <v>112</v>
      </c>
      <c r="D33" s="300">
        <v>0</v>
      </c>
      <c r="E33" s="300">
        <v>0</v>
      </c>
      <c r="F33" s="300">
        <v>0</v>
      </c>
      <c r="G33" s="300">
        <v>0</v>
      </c>
      <c r="H33" s="300">
        <v>0</v>
      </c>
      <c r="I33" s="300">
        <v>0</v>
      </c>
      <c r="J33" s="300">
        <f>MNF산정!P$440</f>
        <v>0</v>
      </c>
      <c r="K33" s="283">
        <f t="shared" si="0"/>
        <v>0</v>
      </c>
      <c r="L33" s="282" t="str">
        <f t="shared" si="1"/>
        <v>확인필요</v>
      </c>
    </row>
    <row r="34" spans="1:12" ht="17.25" x14ac:dyDescent="0.3">
      <c r="A34" s="313"/>
      <c r="B34" s="287" t="s">
        <v>274</v>
      </c>
      <c r="C34" s="282" t="s">
        <v>419</v>
      </c>
      <c r="D34" s="300">
        <v>700</v>
      </c>
      <c r="E34" s="300">
        <v>736</v>
      </c>
      <c r="F34" s="300">
        <v>671</v>
      </c>
      <c r="G34" s="300">
        <v>686</v>
      </c>
      <c r="H34" s="300">
        <v>746</v>
      </c>
      <c r="I34" s="300">
        <v>726</v>
      </c>
      <c r="J34" s="300">
        <v>756</v>
      </c>
      <c r="K34" s="283">
        <f t="shared" si="0"/>
        <v>717.28571428571433</v>
      </c>
      <c r="L34" s="282" t="str">
        <f t="shared" si="1"/>
        <v>이상없음</v>
      </c>
    </row>
    <row r="35" spans="1:12" ht="17.25" x14ac:dyDescent="0.3">
      <c r="A35" s="313"/>
      <c r="B35" s="287" t="s">
        <v>274</v>
      </c>
      <c r="C35" s="282" t="s">
        <v>112</v>
      </c>
      <c r="D35" s="300">
        <v>16.119424374898276</v>
      </c>
      <c r="E35" s="300">
        <v>15.766541846593221</v>
      </c>
      <c r="F35" s="300">
        <v>15.767655452092489</v>
      </c>
      <c r="G35" s="300">
        <v>16.07650063832601</v>
      </c>
      <c r="H35" s="300">
        <v>16.109717003504436</v>
      </c>
      <c r="I35" s="300">
        <v>16.885083230336509</v>
      </c>
      <c r="J35" s="300">
        <f>MNF산정!Q$440</f>
        <v>16.788743877410887</v>
      </c>
      <c r="K35" s="283">
        <f t="shared" si="0"/>
        <v>16.21623806045169</v>
      </c>
      <c r="L35" s="282" t="str">
        <f t="shared" si="1"/>
        <v>이상없음</v>
      </c>
    </row>
    <row r="36" spans="1:12" ht="17.25" x14ac:dyDescent="0.3">
      <c r="A36" s="313" t="s">
        <v>146</v>
      </c>
      <c r="B36" s="12" t="s">
        <v>121</v>
      </c>
      <c r="C36" s="282" t="s">
        <v>419</v>
      </c>
      <c r="D36" s="300">
        <v>947</v>
      </c>
      <c r="E36" s="300">
        <v>943</v>
      </c>
      <c r="F36" s="300">
        <v>904</v>
      </c>
      <c r="G36" s="300">
        <v>905</v>
      </c>
      <c r="H36" s="300">
        <v>924</v>
      </c>
      <c r="I36" s="300">
        <v>964</v>
      </c>
      <c r="J36" s="300">
        <v>1022</v>
      </c>
      <c r="K36" s="283">
        <f t="shared" si="0"/>
        <v>944.14285714285711</v>
      </c>
      <c r="L36" s="282" t="str">
        <f t="shared" si="1"/>
        <v>이상없음</v>
      </c>
    </row>
    <row r="37" spans="1:12" ht="17.25" x14ac:dyDescent="0.3">
      <c r="A37" s="313"/>
      <c r="B37" s="12" t="s">
        <v>120</v>
      </c>
      <c r="C37" s="282" t="s">
        <v>112</v>
      </c>
      <c r="D37" s="300">
        <v>1.8160937150319418</v>
      </c>
      <c r="E37" s="300">
        <v>5.698749923706055</v>
      </c>
      <c r="F37" s="300">
        <v>1.9328124682108561</v>
      </c>
      <c r="G37" s="300">
        <v>7.25</v>
      </c>
      <c r="H37" s="300">
        <v>5.5660937150319416</v>
      </c>
      <c r="I37" s="300">
        <v>8.3001562595367435</v>
      </c>
      <c r="J37" s="300">
        <f>MNF산정!R$440</f>
        <v>4.1324999491373697</v>
      </c>
      <c r="K37" s="283">
        <f t="shared" si="0"/>
        <v>4.9566294329507006</v>
      </c>
      <c r="L37" s="282" t="str">
        <f t="shared" si="1"/>
        <v>확인필요</v>
      </c>
    </row>
    <row r="38" spans="1:12" ht="17.25" x14ac:dyDescent="0.3">
      <c r="A38" s="313"/>
      <c r="B38" s="287" t="s">
        <v>275</v>
      </c>
      <c r="C38" s="282" t="s">
        <v>419</v>
      </c>
      <c r="D38" s="300">
        <v>996</v>
      </c>
      <c r="E38" s="300">
        <v>994</v>
      </c>
      <c r="F38" s="300">
        <v>947</v>
      </c>
      <c r="G38" s="300">
        <v>955</v>
      </c>
      <c r="H38" s="300">
        <v>966</v>
      </c>
      <c r="I38" s="300">
        <v>1007</v>
      </c>
      <c r="J38" s="300">
        <v>1073</v>
      </c>
      <c r="K38" s="283">
        <f t="shared" si="0"/>
        <v>991.14285714285711</v>
      </c>
      <c r="L38" s="282" t="str">
        <f t="shared" si="1"/>
        <v>이상없음</v>
      </c>
    </row>
    <row r="39" spans="1:12" ht="17.25" x14ac:dyDescent="0.3">
      <c r="A39" s="313"/>
      <c r="B39" s="287" t="s">
        <v>275</v>
      </c>
      <c r="C39" s="282" t="s">
        <v>112</v>
      </c>
      <c r="D39" s="300">
        <v>3.7130124161640805</v>
      </c>
      <c r="E39" s="300">
        <v>6.3389444510142008</v>
      </c>
      <c r="F39" s="300">
        <v>3.3029584805170695</v>
      </c>
      <c r="G39" s="300">
        <v>7.1748363653818767</v>
      </c>
      <c r="H39" s="300">
        <v>5.5900076905886333</v>
      </c>
      <c r="I39" s="300">
        <v>8.1410752375920605</v>
      </c>
      <c r="J39" s="300">
        <f>MNF산정!S$440</f>
        <v>4.9219543019930523</v>
      </c>
      <c r="K39" s="283">
        <f t="shared" si="0"/>
        <v>5.5975412776072826</v>
      </c>
      <c r="L39" s="282" t="str">
        <f t="shared" si="1"/>
        <v>확인필요</v>
      </c>
    </row>
    <row r="40" spans="1:12" ht="17.25" x14ac:dyDescent="0.3">
      <c r="A40" s="313" t="s">
        <v>147</v>
      </c>
      <c r="B40" s="12" t="s">
        <v>431</v>
      </c>
      <c r="C40" s="282" t="s">
        <v>419</v>
      </c>
      <c r="D40" s="300">
        <v>140</v>
      </c>
      <c r="E40" s="300">
        <v>134</v>
      </c>
      <c r="F40" s="300">
        <v>134</v>
      </c>
      <c r="G40" s="300">
        <v>131</v>
      </c>
      <c r="H40" s="300">
        <v>131</v>
      </c>
      <c r="I40" s="300">
        <v>124</v>
      </c>
      <c r="J40" s="300">
        <v>131</v>
      </c>
      <c r="K40" s="283">
        <f t="shared" si="0"/>
        <v>132.14285714285714</v>
      </c>
      <c r="L40" s="282" t="str">
        <f t="shared" si="1"/>
        <v>이상없음</v>
      </c>
    </row>
    <row r="41" spans="1:12" ht="17.25" x14ac:dyDescent="0.3">
      <c r="A41" s="313"/>
      <c r="B41" s="12" t="s">
        <v>257</v>
      </c>
      <c r="C41" s="282" t="s">
        <v>112</v>
      </c>
      <c r="D41" s="300">
        <v>4.8166666666666664</v>
      </c>
      <c r="E41" s="300">
        <v>4.9333333333333336</v>
      </c>
      <c r="F41" s="300">
        <v>4.833333333333333</v>
      </c>
      <c r="G41" s="300">
        <v>4.8</v>
      </c>
      <c r="H41" s="300">
        <v>0</v>
      </c>
      <c r="I41" s="300">
        <v>4.1833333333333336</v>
      </c>
      <c r="J41" s="300">
        <f>MNF산정!T$440</f>
        <v>4.45</v>
      </c>
      <c r="K41" s="283">
        <f t="shared" si="0"/>
        <v>4.0023809523809524</v>
      </c>
      <c r="L41" s="282" t="str">
        <f t="shared" si="1"/>
        <v>확인필요</v>
      </c>
    </row>
    <row r="42" spans="1:12" ht="17.25" x14ac:dyDescent="0.3">
      <c r="A42" s="313"/>
      <c r="B42" s="287" t="s">
        <v>100</v>
      </c>
      <c r="C42" s="282" t="s">
        <v>419</v>
      </c>
      <c r="D42" s="300">
        <v>140</v>
      </c>
      <c r="E42" s="300">
        <v>134</v>
      </c>
      <c r="F42" s="300">
        <v>134</v>
      </c>
      <c r="G42" s="300">
        <v>131</v>
      </c>
      <c r="H42" s="300">
        <v>131</v>
      </c>
      <c r="I42" s="300">
        <v>124</v>
      </c>
      <c r="J42" s="300">
        <v>131</v>
      </c>
      <c r="K42" s="283">
        <f t="shared" si="0"/>
        <v>132.14285714285714</v>
      </c>
      <c r="L42" s="282" t="str">
        <f t="shared" si="1"/>
        <v>이상없음</v>
      </c>
    </row>
    <row r="43" spans="1:12" ht="17.25" x14ac:dyDescent="0.3">
      <c r="A43" s="313"/>
      <c r="B43" s="287" t="s">
        <v>100</v>
      </c>
      <c r="C43" s="282" t="s">
        <v>112</v>
      </c>
      <c r="D43" s="300">
        <v>4.8166666666666664</v>
      </c>
      <c r="E43" s="300">
        <v>4.9333333333333336</v>
      </c>
      <c r="F43" s="300">
        <v>4.833333333333333</v>
      </c>
      <c r="G43" s="300">
        <v>4.8</v>
      </c>
      <c r="H43" s="300">
        <v>0</v>
      </c>
      <c r="I43" s="300">
        <v>4.1833333333333336</v>
      </c>
      <c r="J43" s="300">
        <f>MNF산정!U$440</f>
        <v>4.45</v>
      </c>
      <c r="K43" s="283">
        <f t="shared" si="0"/>
        <v>4.0023809523809524</v>
      </c>
      <c r="L43" s="282" t="str">
        <f t="shared" si="1"/>
        <v>확인필요</v>
      </c>
    </row>
    <row r="44" spans="1:12" ht="17.25" x14ac:dyDescent="0.3">
      <c r="A44" s="308" t="s">
        <v>148</v>
      </c>
      <c r="B44" s="13" t="s">
        <v>276</v>
      </c>
      <c r="C44" s="282" t="s">
        <v>419</v>
      </c>
      <c r="D44" s="300">
        <v>31318</v>
      </c>
      <c r="E44" s="300">
        <v>31347</v>
      </c>
      <c r="F44" s="300">
        <v>31232</v>
      </c>
      <c r="G44" s="300">
        <v>31097</v>
      </c>
      <c r="H44" s="300">
        <v>30924</v>
      </c>
      <c r="I44" s="300">
        <v>31363</v>
      </c>
      <c r="J44" s="300">
        <v>31305</v>
      </c>
      <c r="K44" s="283">
        <f t="shared" si="0"/>
        <v>31226.571428571428</v>
      </c>
      <c r="L44" s="282" t="str">
        <f t="shared" si="1"/>
        <v>이상없음</v>
      </c>
    </row>
    <row r="45" spans="1:12" ht="17.25" x14ac:dyDescent="0.3">
      <c r="A45" s="309"/>
      <c r="B45" s="13" t="s">
        <v>276</v>
      </c>
      <c r="C45" s="282" t="s">
        <v>112</v>
      </c>
      <c r="D45" s="300">
        <v>856.41666666666663</v>
      </c>
      <c r="E45" s="300">
        <v>859.38333333333333</v>
      </c>
      <c r="F45" s="300">
        <v>878.4</v>
      </c>
      <c r="G45" s="300">
        <v>889.9</v>
      </c>
      <c r="H45" s="300">
        <v>861.55</v>
      </c>
      <c r="I45" s="300">
        <v>861.23333333333335</v>
      </c>
      <c r="J45" s="300">
        <f>MNF산정!V$440</f>
        <v>843.75</v>
      </c>
      <c r="K45" s="283">
        <f t="shared" si="0"/>
        <v>864.37619047619046</v>
      </c>
      <c r="L45" s="282" t="str">
        <f t="shared" si="1"/>
        <v>이상없음</v>
      </c>
    </row>
    <row r="46" spans="1:12" ht="17.25" x14ac:dyDescent="0.3">
      <c r="A46" s="309"/>
      <c r="B46" s="288" t="s">
        <v>293</v>
      </c>
      <c r="C46" s="282" t="s">
        <v>419</v>
      </c>
      <c r="D46" s="300">
        <v>1095</v>
      </c>
      <c r="E46" s="300">
        <v>1111</v>
      </c>
      <c r="F46" s="300">
        <v>1079</v>
      </c>
      <c r="G46" s="300">
        <v>1071</v>
      </c>
      <c r="H46" s="300">
        <v>1109</v>
      </c>
      <c r="I46" s="300">
        <v>1105</v>
      </c>
      <c r="J46" s="300">
        <v>1132</v>
      </c>
      <c r="K46" s="283">
        <f t="shared" si="0"/>
        <v>1100.2857142857142</v>
      </c>
      <c r="L46" s="282" t="str">
        <f t="shared" si="1"/>
        <v>이상없음</v>
      </c>
    </row>
    <row r="47" spans="1:12" ht="17.25" x14ac:dyDescent="0.3">
      <c r="A47" s="309"/>
      <c r="B47" s="288" t="s">
        <v>293</v>
      </c>
      <c r="C47" s="282" t="s">
        <v>112</v>
      </c>
      <c r="D47" s="300">
        <v>26.620802529652913</v>
      </c>
      <c r="E47" s="300">
        <v>26.314704799652098</v>
      </c>
      <c r="F47" s="300">
        <v>27.711843299865723</v>
      </c>
      <c r="G47" s="300">
        <v>25.886020183563232</v>
      </c>
      <c r="H47" s="300">
        <v>29.459299818674722</v>
      </c>
      <c r="I47" s="300">
        <v>28.967110379536948</v>
      </c>
      <c r="J47" s="300">
        <f>MNF산정!W$440</f>
        <v>25.568621921539307</v>
      </c>
      <c r="K47" s="283">
        <f t="shared" si="0"/>
        <v>27.218343276069277</v>
      </c>
      <c r="L47" s="282" t="str">
        <f t="shared" si="1"/>
        <v>이상없음</v>
      </c>
    </row>
    <row r="48" spans="1:12" ht="17.25" x14ac:dyDescent="0.3">
      <c r="A48" s="309"/>
      <c r="B48" s="288" t="s">
        <v>292</v>
      </c>
      <c r="C48" s="282" t="s">
        <v>419</v>
      </c>
      <c r="D48" s="300">
        <v>1011</v>
      </c>
      <c r="E48" s="300">
        <v>970</v>
      </c>
      <c r="F48" s="300">
        <v>933</v>
      </c>
      <c r="G48" s="300">
        <v>871</v>
      </c>
      <c r="H48" s="300">
        <v>938</v>
      </c>
      <c r="I48" s="300">
        <v>879</v>
      </c>
      <c r="J48" s="300">
        <v>891</v>
      </c>
      <c r="K48" s="283">
        <f t="shared" si="0"/>
        <v>927.57142857142856</v>
      </c>
      <c r="L48" s="282" t="str">
        <f t="shared" si="1"/>
        <v>이상없음</v>
      </c>
    </row>
    <row r="49" spans="1:12" ht="17.25" x14ac:dyDescent="0.3">
      <c r="A49" s="309"/>
      <c r="B49" s="288" t="s">
        <v>292</v>
      </c>
      <c r="C49" s="282" t="s">
        <v>112</v>
      </c>
      <c r="D49" s="300">
        <v>23.593483289082844</v>
      </c>
      <c r="E49" s="300">
        <v>23.184466679890949</v>
      </c>
      <c r="F49" s="300">
        <v>22.94694995880127</v>
      </c>
      <c r="G49" s="300">
        <v>22.355050055185952</v>
      </c>
      <c r="H49" s="300">
        <v>24.081766732533772</v>
      </c>
      <c r="I49" s="300">
        <v>23.007199986775717</v>
      </c>
      <c r="J49" s="300">
        <f>MNF산정!X$440</f>
        <v>24.439800230662026</v>
      </c>
      <c r="K49" s="283">
        <f t="shared" si="0"/>
        <v>23.372673847561792</v>
      </c>
      <c r="L49" s="282" t="str">
        <f t="shared" si="1"/>
        <v>이상없음</v>
      </c>
    </row>
    <row r="50" spans="1:12" ht="17.25" x14ac:dyDescent="0.3">
      <c r="A50" s="309"/>
      <c r="B50" s="288" t="s">
        <v>291</v>
      </c>
      <c r="C50" s="282" t="s">
        <v>419</v>
      </c>
      <c r="D50" s="300">
        <v>337</v>
      </c>
      <c r="E50" s="300">
        <v>324</v>
      </c>
      <c r="F50" s="300">
        <v>317</v>
      </c>
      <c r="G50" s="300">
        <v>334</v>
      </c>
      <c r="H50" s="300">
        <v>310</v>
      </c>
      <c r="I50" s="300">
        <v>325</v>
      </c>
      <c r="J50" s="300">
        <v>341</v>
      </c>
      <c r="K50" s="283">
        <f t="shared" si="0"/>
        <v>326.85714285714283</v>
      </c>
      <c r="L50" s="282" t="str">
        <f t="shared" si="1"/>
        <v>이상없음</v>
      </c>
    </row>
    <row r="51" spans="1:12" ht="17.25" x14ac:dyDescent="0.3">
      <c r="A51" s="309"/>
      <c r="B51" s="288" t="s">
        <v>291</v>
      </c>
      <c r="C51" s="282" t="s">
        <v>112</v>
      </c>
      <c r="D51" s="300">
        <v>5.9838000377019247</v>
      </c>
      <c r="E51" s="300">
        <v>5.7091333707173666</v>
      </c>
      <c r="F51" s="300">
        <v>6.6157333691914877</v>
      </c>
      <c r="G51" s="300">
        <v>5.9276000499725345</v>
      </c>
      <c r="H51" s="300">
        <v>6.7716333945592249</v>
      </c>
      <c r="I51" s="300">
        <v>6.1767667134602862</v>
      </c>
      <c r="J51" s="300">
        <f>MNF산정!Y$440</f>
        <v>6.0548500378926597</v>
      </c>
      <c r="K51" s="283">
        <f t="shared" si="0"/>
        <v>6.1770738533564975</v>
      </c>
      <c r="L51" s="282" t="str">
        <f t="shared" si="1"/>
        <v>이상없음</v>
      </c>
    </row>
    <row r="52" spans="1:12" ht="17.25" x14ac:dyDescent="0.3">
      <c r="A52" s="309"/>
      <c r="B52" s="288" t="s">
        <v>290</v>
      </c>
      <c r="C52" s="282" t="s">
        <v>419</v>
      </c>
      <c r="D52" s="300">
        <v>0</v>
      </c>
      <c r="E52" s="300">
        <v>0</v>
      </c>
      <c r="F52" s="300">
        <v>0</v>
      </c>
      <c r="G52" s="300">
        <v>0</v>
      </c>
      <c r="H52" s="300">
        <v>0</v>
      </c>
      <c r="I52" s="300">
        <v>0</v>
      </c>
      <c r="J52" s="300">
        <v>0</v>
      </c>
      <c r="K52" s="283">
        <f t="shared" si="0"/>
        <v>0</v>
      </c>
      <c r="L52" s="282" t="str">
        <f t="shared" si="1"/>
        <v>확인필요</v>
      </c>
    </row>
    <row r="53" spans="1:12" ht="17.25" x14ac:dyDescent="0.3">
      <c r="A53" s="309"/>
      <c r="B53" s="288" t="s">
        <v>290</v>
      </c>
      <c r="C53" s="282" t="s">
        <v>112</v>
      </c>
      <c r="D53" s="300">
        <v>0</v>
      </c>
      <c r="E53" s="300">
        <v>0</v>
      </c>
      <c r="F53" s="300">
        <v>0</v>
      </c>
      <c r="G53" s="300">
        <v>0</v>
      </c>
      <c r="H53" s="300">
        <v>0</v>
      </c>
      <c r="I53" s="300">
        <v>0</v>
      </c>
      <c r="J53" s="300">
        <f>MNF산정!Z$440</f>
        <v>0</v>
      </c>
      <c r="K53" s="283">
        <f t="shared" si="0"/>
        <v>0</v>
      </c>
      <c r="L53" s="282" t="str">
        <f t="shared" si="1"/>
        <v>확인필요</v>
      </c>
    </row>
    <row r="54" spans="1:12" ht="17.25" x14ac:dyDescent="0.3">
      <c r="A54" s="309"/>
      <c r="B54" s="288" t="s">
        <v>289</v>
      </c>
      <c r="C54" s="282" t="s">
        <v>419</v>
      </c>
      <c r="D54" s="300">
        <v>691</v>
      </c>
      <c r="E54" s="300">
        <v>686</v>
      </c>
      <c r="F54" s="300">
        <v>749</v>
      </c>
      <c r="G54" s="300">
        <v>797</v>
      </c>
      <c r="H54" s="300">
        <v>740</v>
      </c>
      <c r="I54" s="300">
        <v>771</v>
      </c>
      <c r="J54" s="300">
        <v>764</v>
      </c>
      <c r="K54" s="283">
        <f t="shared" si="0"/>
        <v>742.57142857142856</v>
      </c>
      <c r="L54" s="282" t="str">
        <f t="shared" si="1"/>
        <v>이상없음</v>
      </c>
    </row>
    <row r="55" spans="1:12" ht="17.25" x14ac:dyDescent="0.3">
      <c r="A55" s="309"/>
      <c r="B55" s="288" t="s">
        <v>289</v>
      </c>
      <c r="C55" s="282" t="s">
        <v>112</v>
      </c>
      <c r="D55" s="300">
        <v>17.325983349482218</v>
      </c>
      <c r="E55" s="300">
        <v>16.790700070063274</v>
      </c>
      <c r="F55" s="300">
        <v>19.953650029500327</v>
      </c>
      <c r="G55" s="300">
        <v>18.794316673278807</v>
      </c>
      <c r="H55" s="300">
        <v>17.79161664644877</v>
      </c>
      <c r="I55" s="300">
        <v>20.411666584014892</v>
      </c>
      <c r="J55" s="300">
        <f>MNF산정!AA$440</f>
        <v>18.383516693115233</v>
      </c>
      <c r="K55" s="283">
        <f t="shared" si="0"/>
        <v>18.493064292271931</v>
      </c>
      <c r="L55" s="282" t="str">
        <f t="shared" si="1"/>
        <v>이상없음</v>
      </c>
    </row>
    <row r="56" spans="1:12" ht="17.25" x14ac:dyDescent="0.3">
      <c r="A56" s="309"/>
      <c r="B56" s="288" t="s">
        <v>288</v>
      </c>
      <c r="C56" s="282" t="s">
        <v>419</v>
      </c>
      <c r="D56" s="300">
        <v>0</v>
      </c>
      <c r="E56" s="300">
        <v>0</v>
      </c>
      <c r="F56" s="300">
        <v>0</v>
      </c>
      <c r="G56" s="300">
        <v>0</v>
      </c>
      <c r="H56" s="300">
        <v>0</v>
      </c>
      <c r="I56" s="300">
        <v>0</v>
      </c>
      <c r="J56" s="300">
        <v>0</v>
      </c>
      <c r="K56" s="283">
        <f t="shared" si="0"/>
        <v>0</v>
      </c>
      <c r="L56" s="282" t="str">
        <f t="shared" si="1"/>
        <v>확인필요</v>
      </c>
    </row>
    <row r="57" spans="1:12" ht="17.25" x14ac:dyDescent="0.3">
      <c r="A57" s="309"/>
      <c r="B57" s="288" t="s">
        <v>288</v>
      </c>
      <c r="C57" s="282" t="s">
        <v>112</v>
      </c>
      <c r="D57" s="300">
        <v>0</v>
      </c>
      <c r="E57" s="300">
        <v>0</v>
      </c>
      <c r="F57" s="300">
        <v>0</v>
      </c>
      <c r="G57" s="300">
        <v>0</v>
      </c>
      <c r="H57" s="300">
        <v>0</v>
      </c>
      <c r="I57" s="300">
        <v>0</v>
      </c>
      <c r="J57" s="300">
        <f>MNF산정!AB$440</f>
        <v>0</v>
      </c>
      <c r="K57" s="283">
        <f t="shared" si="0"/>
        <v>0</v>
      </c>
      <c r="L57" s="282" t="str">
        <f t="shared" si="1"/>
        <v>확인필요</v>
      </c>
    </row>
    <row r="58" spans="1:12" ht="17.25" x14ac:dyDescent="0.3">
      <c r="A58" s="309"/>
      <c r="B58" s="288" t="s">
        <v>287</v>
      </c>
      <c r="C58" s="282" t="s">
        <v>419</v>
      </c>
      <c r="D58" s="300">
        <v>1890</v>
      </c>
      <c r="E58" s="300">
        <v>1882</v>
      </c>
      <c r="F58" s="300">
        <v>1801</v>
      </c>
      <c r="G58" s="300">
        <v>1823</v>
      </c>
      <c r="H58" s="300">
        <v>1813</v>
      </c>
      <c r="I58" s="300">
        <v>1860</v>
      </c>
      <c r="J58" s="300">
        <v>1878</v>
      </c>
      <c r="K58" s="283">
        <f t="shared" si="0"/>
        <v>1849.5714285714287</v>
      </c>
      <c r="L58" s="282" t="str">
        <f t="shared" si="1"/>
        <v>이상없음</v>
      </c>
    </row>
    <row r="59" spans="1:12" ht="17.25" x14ac:dyDescent="0.3">
      <c r="A59" s="309"/>
      <c r="B59" s="288" t="s">
        <v>287</v>
      </c>
      <c r="C59" s="282" t="s">
        <v>112</v>
      </c>
      <c r="D59" s="300">
        <v>53.209169642130533</v>
      </c>
      <c r="E59" s="300">
        <v>51.109151903788252</v>
      </c>
      <c r="F59" s="300">
        <v>51.491879336039226</v>
      </c>
      <c r="G59" s="300">
        <v>51.718740653991702</v>
      </c>
      <c r="H59" s="300">
        <v>53.018015670776364</v>
      </c>
      <c r="I59" s="300">
        <v>53.121957397460939</v>
      </c>
      <c r="J59" s="300">
        <f>MNF산정!AC$440</f>
        <v>51.320355796813963</v>
      </c>
      <c r="K59" s="283">
        <f t="shared" si="0"/>
        <v>52.141324343000143</v>
      </c>
      <c r="L59" s="282" t="str">
        <f t="shared" si="1"/>
        <v>이상없음</v>
      </c>
    </row>
    <row r="60" spans="1:12" ht="17.25" x14ac:dyDescent="0.3">
      <c r="A60" s="309"/>
      <c r="B60" s="288" t="s">
        <v>286</v>
      </c>
      <c r="C60" s="282" t="s">
        <v>419</v>
      </c>
      <c r="D60" s="300">
        <v>178</v>
      </c>
      <c r="E60" s="300">
        <v>169</v>
      </c>
      <c r="F60" s="300">
        <v>168</v>
      </c>
      <c r="G60" s="300">
        <v>168</v>
      </c>
      <c r="H60" s="300">
        <v>162</v>
      </c>
      <c r="I60" s="300">
        <v>161</v>
      </c>
      <c r="J60" s="300">
        <v>168</v>
      </c>
      <c r="K60" s="283">
        <f t="shared" si="0"/>
        <v>167.71428571428572</v>
      </c>
      <c r="L60" s="282" t="str">
        <f t="shared" si="1"/>
        <v>이상없음</v>
      </c>
    </row>
    <row r="61" spans="1:12" ht="17.25" x14ac:dyDescent="0.3">
      <c r="A61" s="309"/>
      <c r="B61" s="288" t="s">
        <v>286</v>
      </c>
      <c r="C61" s="282" t="s">
        <v>112</v>
      </c>
      <c r="D61" s="300">
        <v>6.3188333511352539</v>
      </c>
      <c r="E61" s="300">
        <v>5.9413167317708337</v>
      </c>
      <c r="F61" s="300">
        <v>6.3909334023793543</v>
      </c>
      <c r="G61" s="300">
        <v>6.3951500733693445</v>
      </c>
      <c r="H61" s="300">
        <v>5.7292001406351725</v>
      </c>
      <c r="I61" s="300">
        <v>6.2297166665395105</v>
      </c>
      <c r="J61" s="300">
        <f>MNF산정!AD$440</f>
        <v>5.9031001091003414</v>
      </c>
      <c r="K61" s="283">
        <f t="shared" si="0"/>
        <v>6.1297500678471151</v>
      </c>
      <c r="L61" s="282" t="str">
        <f t="shared" si="1"/>
        <v>이상없음</v>
      </c>
    </row>
    <row r="62" spans="1:12" ht="17.25" x14ac:dyDescent="0.3">
      <c r="A62" s="309"/>
      <c r="B62" s="288" t="s">
        <v>285</v>
      </c>
      <c r="C62" s="282" t="s">
        <v>419</v>
      </c>
      <c r="D62" s="300">
        <v>111</v>
      </c>
      <c r="E62" s="300">
        <v>120</v>
      </c>
      <c r="F62" s="300">
        <v>125</v>
      </c>
      <c r="G62" s="300">
        <v>94</v>
      </c>
      <c r="H62" s="300">
        <v>92</v>
      </c>
      <c r="I62" s="300">
        <v>112</v>
      </c>
      <c r="J62" s="300">
        <v>111</v>
      </c>
      <c r="K62" s="283">
        <f t="shared" si="0"/>
        <v>109.28571428571429</v>
      </c>
      <c r="L62" s="282" t="str">
        <f t="shared" si="1"/>
        <v>이상없음</v>
      </c>
    </row>
    <row r="63" spans="1:12" ht="17.25" x14ac:dyDescent="0.3">
      <c r="A63" s="309"/>
      <c r="B63" s="288" t="s">
        <v>285</v>
      </c>
      <c r="C63" s="282" t="s">
        <v>112</v>
      </c>
      <c r="D63" s="300">
        <v>0</v>
      </c>
      <c r="E63" s="300">
        <v>0</v>
      </c>
      <c r="F63" s="300">
        <v>0</v>
      </c>
      <c r="G63" s="300">
        <v>0</v>
      </c>
      <c r="H63" s="300">
        <v>0</v>
      </c>
      <c r="I63" s="300">
        <v>0</v>
      </c>
      <c r="J63" s="300">
        <f>MNF산정!AE$440</f>
        <v>0</v>
      </c>
      <c r="K63" s="283">
        <f t="shared" si="0"/>
        <v>0</v>
      </c>
      <c r="L63" s="282" t="str">
        <f t="shared" si="1"/>
        <v>확인필요</v>
      </c>
    </row>
    <row r="64" spans="1:12" ht="17.25" x14ac:dyDescent="0.3">
      <c r="A64" s="309"/>
      <c r="B64" s="288" t="s">
        <v>284</v>
      </c>
      <c r="C64" s="282" t="s">
        <v>419</v>
      </c>
      <c r="D64" s="300">
        <v>2671</v>
      </c>
      <c r="E64" s="300">
        <v>2676</v>
      </c>
      <c r="F64" s="300">
        <v>2609</v>
      </c>
      <c r="G64" s="300">
        <v>2695</v>
      </c>
      <c r="H64" s="300">
        <v>2683</v>
      </c>
      <c r="I64" s="300">
        <v>2689</v>
      </c>
      <c r="J64" s="300">
        <v>2697</v>
      </c>
      <c r="K64" s="283">
        <f t="shared" si="0"/>
        <v>2674.2857142857142</v>
      </c>
      <c r="L64" s="282" t="str">
        <f t="shared" si="1"/>
        <v>이상없음</v>
      </c>
    </row>
    <row r="65" spans="1:12" ht="17.25" x14ac:dyDescent="0.3">
      <c r="A65" s="309"/>
      <c r="B65" s="288" t="s">
        <v>284</v>
      </c>
      <c r="C65" s="282" t="s">
        <v>112</v>
      </c>
      <c r="D65" s="300">
        <v>79.23823483784993</v>
      </c>
      <c r="E65" s="300">
        <v>79.516679509480795</v>
      </c>
      <c r="F65" s="300">
        <v>79.107429504394531</v>
      </c>
      <c r="G65" s="300">
        <v>82.600065739949542</v>
      </c>
      <c r="H65" s="300">
        <v>79.727798461914063</v>
      </c>
      <c r="I65" s="300">
        <v>80.31935106913248</v>
      </c>
      <c r="J65" s="300">
        <f>MNF산정!AF$440</f>
        <v>79.630315399169916</v>
      </c>
      <c r="K65" s="283">
        <f t="shared" si="0"/>
        <v>80.019982074555898</v>
      </c>
      <c r="L65" s="282" t="str">
        <f t="shared" si="1"/>
        <v>이상없음</v>
      </c>
    </row>
    <row r="66" spans="1:12" ht="17.25" x14ac:dyDescent="0.3">
      <c r="A66" s="309"/>
      <c r="B66" s="288" t="s">
        <v>277</v>
      </c>
      <c r="C66" s="282" t="s">
        <v>419</v>
      </c>
      <c r="D66" s="300">
        <v>1355</v>
      </c>
      <c r="E66" s="300">
        <v>1373</v>
      </c>
      <c r="F66" s="300">
        <v>1171</v>
      </c>
      <c r="G66" s="300">
        <v>1268</v>
      </c>
      <c r="H66" s="300">
        <v>1199</v>
      </c>
      <c r="I66" s="300">
        <v>1382</v>
      </c>
      <c r="J66" s="300">
        <v>1405</v>
      </c>
      <c r="K66" s="283">
        <f t="shared" si="0"/>
        <v>1307.5714285714287</v>
      </c>
      <c r="L66" s="282" t="str">
        <f t="shared" si="1"/>
        <v>이상없음</v>
      </c>
    </row>
    <row r="67" spans="1:12" ht="17.25" x14ac:dyDescent="0.3">
      <c r="A67" s="309"/>
      <c r="B67" s="288" t="s">
        <v>277</v>
      </c>
      <c r="C67" s="282" t="s">
        <v>112</v>
      </c>
      <c r="D67" s="300">
        <v>0</v>
      </c>
      <c r="E67" s="300">
        <v>0</v>
      </c>
      <c r="F67" s="300">
        <v>0</v>
      </c>
      <c r="G67" s="300">
        <v>0</v>
      </c>
      <c r="H67" s="300">
        <v>0</v>
      </c>
      <c r="I67" s="300">
        <v>0</v>
      </c>
      <c r="J67" s="300">
        <f>MNF산정!AG$440</f>
        <v>0</v>
      </c>
      <c r="K67" s="283">
        <f t="shared" si="0"/>
        <v>0</v>
      </c>
      <c r="L67" s="282" t="str">
        <f t="shared" ref="L67:L130" si="2">IF(OR(J67&gt;=K67*1.1,J67&lt;=K67*0.9),"확인필요","이상없음")</f>
        <v>확인필요</v>
      </c>
    </row>
    <row r="68" spans="1:12" ht="17.25" x14ac:dyDescent="0.3">
      <c r="A68" s="309"/>
      <c r="B68" s="288" t="s">
        <v>283</v>
      </c>
      <c r="C68" s="282" t="s">
        <v>419</v>
      </c>
      <c r="D68" s="300">
        <v>2371</v>
      </c>
      <c r="E68" s="300">
        <v>2381</v>
      </c>
      <c r="F68" s="300">
        <v>2329</v>
      </c>
      <c r="G68" s="300">
        <v>2325</v>
      </c>
      <c r="H68" s="300">
        <v>2357</v>
      </c>
      <c r="I68" s="300">
        <v>2336</v>
      </c>
      <c r="J68" s="300">
        <v>2390</v>
      </c>
      <c r="K68" s="283">
        <f t="shared" si="0"/>
        <v>2355.5714285714284</v>
      </c>
      <c r="L68" s="282" t="str">
        <f t="shared" si="2"/>
        <v>이상없음</v>
      </c>
    </row>
    <row r="69" spans="1:12" ht="17.25" x14ac:dyDescent="0.3">
      <c r="A69" s="309"/>
      <c r="B69" s="288" t="s">
        <v>283</v>
      </c>
      <c r="C69" s="282" t="s">
        <v>112</v>
      </c>
      <c r="D69" s="300">
        <v>59.203709920247398</v>
      </c>
      <c r="E69" s="300">
        <v>60.012127367655438</v>
      </c>
      <c r="F69" s="300">
        <v>59.402331034342446</v>
      </c>
      <c r="G69" s="300">
        <v>59.04005317687988</v>
      </c>
      <c r="H69" s="300">
        <v>60.000896008809406</v>
      </c>
      <c r="I69" s="300">
        <v>62.166157404581703</v>
      </c>
      <c r="J69" s="300">
        <f>MNF산정!AH$440</f>
        <v>59.836030006408691</v>
      </c>
      <c r="K69" s="283">
        <f t="shared" ref="K69:K132" si="3">AVERAGE(D69:J69)</f>
        <v>59.951614988417852</v>
      </c>
      <c r="L69" s="282" t="str">
        <f t="shared" si="2"/>
        <v>이상없음</v>
      </c>
    </row>
    <row r="70" spans="1:12" ht="17.25" x14ac:dyDescent="0.3">
      <c r="A70" s="309"/>
      <c r="B70" s="288" t="s">
        <v>282</v>
      </c>
      <c r="C70" s="282" t="s">
        <v>419</v>
      </c>
      <c r="D70" s="300">
        <v>992</v>
      </c>
      <c r="E70" s="300">
        <v>964</v>
      </c>
      <c r="F70" s="300">
        <v>976</v>
      </c>
      <c r="G70" s="300">
        <v>914</v>
      </c>
      <c r="H70" s="300">
        <v>946</v>
      </c>
      <c r="I70" s="300">
        <v>923</v>
      </c>
      <c r="J70" s="300">
        <v>896</v>
      </c>
      <c r="K70" s="283">
        <f t="shared" si="3"/>
        <v>944.42857142857144</v>
      </c>
      <c r="L70" s="282" t="str">
        <f t="shared" si="2"/>
        <v>이상없음</v>
      </c>
    </row>
    <row r="71" spans="1:12" ht="17.25" x14ac:dyDescent="0.3">
      <c r="A71" s="309"/>
      <c r="B71" s="288" t="s">
        <v>282</v>
      </c>
      <c r="C71" s="282" t="s">
        <v>112</v>
      </c>
      <c r="D71" s="300">
        <v>12.259616645177205</v>
      </c>
      <c r="E71" s="300">
        <v>14.215849955876669</v>
      </c>
      <c r="F71" s="300">
        <v>14.828699938456218</v>
      </c>
      <c r="G71" s="300">
        <v>12.351849953333536</v>
      </c>
      <c r="H71" s="300">
        <v>13.06538332303365</v>
      </c>
      <c r="I71" s="300">
        <v>12.736666711171468</v>
      </c>
      <c r="J71" s="300">
        <f>MNF산정!AI$440</f>
        <v>11.999783356984457</v>
      </c>
      <c r="K71" s="283">
        <f t="shared" si="3"/>
        <v>13.065407126290456</v>
      </c>
      <c r="L71" s="282" t="str">
        <f t="shared" si="2"/>
        <v>이상없음</v>
      </c>
    </row>
    <row r="72" spans="1:12" ht="17.25" x14ac:dyDescent="0.3">
      <c r="A72" s="309"/>
      <c r="B72" s="288" t="s">
        <v>281</v>
      </c>
      <c r="C72" s="282" t="s">
        <v>419</v>
      </c>
      <c r="D72" s="300">
        <v>1116</v>
      </c>
      <c r="E72" s="300">
        <v>1145</v>
      </c>
      <c r="F72" s="300">
        <v>1091</v>
      </c>
      <c r="G72" s="300">
        <v>1131</v>
      </c>
      <c r="H72" s="300">
        <v>1113</v>
      </c>
      <c r="I72" s="300">
        <v>1142</v>
      </c>
      <c r="J72" s="300">
        <v>1137</v>
      </c>
      <c r="K72" s="283">
        <f t="shared" si="3"/>
        <v>1125</v>
      </c>
      <c r="L72" s="282" t="str">
        <f t="shared" si="2"/>
        <v>이상없음</v>
      </c>
    </row>
    <row r="73" spans="1:12" ht="17.25" x14ac:dyDescent="0.3">
      <c r="A73" s="309"/>
      <c r="B73" s="288" t="s">
        <v>281</v>
      </c>
      <c r="C73" s="282" t="s">
        <v>112</v>
      </c>
      <c r="D73" s="300">
        <v>15.501875480016073</v>
      </c>
      <c r="E73" s="300">
        <v>15.530632559458414</v>
      </c>
      <c r="F73" s="300">
        <v>16.475745693842569</v>
      </c>
      <c r="G73" s="300">
        <v>16.014512681961058</v>
      </c>
      <c r="H73" s="300">
        <v>16.396964677174886</v>
      </c>
      <c r="I73" s="300">
        <v>15.83992493947347</v>
      </c>
      <c r="J73" s="300">
        <f>MNF산정!AJ$440</f>
        <v>15.944715213775634</v>
      </c>
      <c r="K73" s="283">
        <f t="shared" si="3"/>
        <v>15.957767320814584</v>
      </c>
      <c r="L73" s="282" t="str">
        <f t="shared" si="2"/>
        <v>이상없음</v>
      </c>
    </row>
    <row r="74" spans="1:12" ht="17.25" x14ac:dyDescent="0.3">
      <c r="A74" s="309"/>
      <c r="B74" s="289" t="s">
        <v>280</v>
      </c>
      <c r="C74" s="282" t="s">
        <v>419</v>
      </c>
      <c r="D74" s="300">
        <v>1292</v>
      </c>
      <c r="E74" s="300">
        <v>1286</v>
      </c>
      <c r="F74" s="300">
        <v>1271</v>
      </c>
      <c r="G74" s="300">
        <v>1285</v>
      </c>
      <c r="H74" s="300">
        <v>1269</v>
      </c>
      <c r="I74" s="300">
        <v>1296</v>
      </c>
      <c r="J74" s="300">
        <v>1307</v>
      </c>
      <c r="K74" s="283">
        <f t="shared" si="3"/>
        <v>1286.5714285714287</v>
      </c>
      <c r="L74" s="282" t="str">
        <f t="shared" si="2"/>
        <v>이상없음</v>
      </c>
    </row>
    <row r="75" spans="1:12" ht="17.25" x14ac:dyDescent="0.3">
      <c r="A75" s="309"/>
      <c r="B75" s="289" t="s">
        <v>280</v>
      </c>
      <c r="C75" s="282" t="s">
        <v>112</v>
      </c>
      <c r="D75" s="300">
        <v>36.1735876083374</v>
      </c>
      <c r="E75" s="300">
        <v>36.167371940612796</v>
      </c>
      <c r="F75" s="300">
        <v>36.943393135070799</v>
      </c>
      <c r="G75" s="300">
        <v>35.838284365336101</v>
      </c>
      <c r="H75" s="300">
        <v>36.004646428426106</v>
      </c>
      <c r="I75" s="300">
        <v>36.604336611429851</v>
      </c>
      <c r="J75" s="300">
        <f>MNF산정!AK$440</f>
        <v>35.874720891316734</v>
      </c>
      <c r="K75" s="283">
        <f t="shared" si="3"/>
        <v>36.229477282932827</v>
      </c>
      <c r="L75" s="282" t="str">
        <f t="shared" si="2"/>
        <v>이상없음</v>
      </c>
    </row>
    <row r="76" spans="1:12" ht="17.25" x14ac:dyDescent="0.3">
      <c r="A76" s="309"/>
      <c r="B76" s="288" t="s">
        <v>278</v>
      </c>
      <c r="C76" s="282" t="s">
        <v>419</v>
      </c>
      <c r="D76" s="300">
        <v>1519</v>
      </c>
      <c r="E76" s="300">
        <v>1396</v>
      </c>
      <c r="F76" s="300">
        <v>1488</v>
      </c>
      <c r="G76" s="300">
        <v>1590</v>
      </c>
      <c r="H76" s="300">
        <v>1562</v>
      </c>
      <c r="I76" s="300">
        <v>1518</v>
      </c>
      <c r="J76" s="300">
        <v>1526</v>
      </c>
      <c r="K76" s="283">
        <f t="shared" si="3"/>
        <v>1514.1428571428571</v>
      </c>
      <c r="L76" s="282" t="str">
        <f t="shared" si="2"/>
        <v>이상없음</v>
      </c>
    </row>
    <row r="77" spans="1:12" ht="17.25" x14ac:dyDescent="0.3">
      <c r="A77" s="309"/>
      <c r="B77" s="288" t="s">
        <v>278</v>
      </c>
      <c r="C77" s="282" t="s">
        <v>112</v>
      </c>
      <c r="D77" s="300">
        <v>36.002099990844727</v>
      </c>
      <c r="E77" s="300">
        <v>39.654199981689452</v>
      </c>
      <c r="F77" s="300">
        <v>51.632583363850912</v>
      </c>
      <c r="G77" s="300">
        <v>49.364650026957193</v>
      </c>
      <c r="H77" s="300">
        <v>37.065333302815752</v>
      </c>
      <c r="I77" s="300">
        <v>34.788683319091795</v>
      </c>
      <c r="J77" s="300">
        <f>MNF산정!AL$440</f>
        <v>35.813633219401041</v>
      </c>
      <c r="K77" s="283">
        <f t="shared" si="3"/>
        <v>40.617311886378694</v>
      </c>
      <c r="L77" s="282" t="str">
        <f t="shared" si="2"/>
        <v>확인필요</v>
      </c>
    </row>
    <row r="78" spans="1:12" ht="17.25" x14ac:dyDescent="0.3">
      <c r="A78" s="309"/>
      <c r="B78" s="288" t="s">
        <v>279</v>
      </c>
      <c r="C78" s="282" t="s">
        <v>419</v>
      </c>
      <c r="D78" s="300">
        <v>1823</v>
      </c>
      <c r="E78" s="300">
        <v>1734</v>
      </c>
      <c r="F78" s="300">
        <v>1753</v>
      </c>
      <c r="G78" s="300">
        <v>1642</v>
      </c>
      <c r="H78" s="300">
        <v>1667</v>
      </c>
      <c r="I78" s="300">
        <v>1719</v>
      </c>
      <c r="J78" s="300">
        <v>1676</v>
      </c>
      <c r="K78" s="283">
        <f t="shared" si="3"/>
        <v>1716.2857142857142</v>
      </c>
      <c r="L78" s="282" t="str">
        <f t="shared" si="2"/>
        <v>이상없음</v>
      </c>
    </row>
    <row r="79" spans="1:12" ht="17.25" x14ac:dyDescent="0.3">
      <c r="A79" s="310"/>
      <c r="B79" s="288" t="s">
        <v>279</v>
      </c>
      <c r="C79" s="282" t="s">
        <v>112</v>
      </c>
      <c r="D79" s="300">
        <v>55.397383562723796</v>
      </c>
      <c r="E79" s="300">
        <v>55.449383544921872</v>
      </c>
      <c r="F79" s="300">
        <v>56.118383407592773</v>
      </c>
      <c r="G79" s="300">
        <v>54.347766494750978</v>
      </c>
      <c r="H79" s="300">
        <v>55.310433324178057</v>
      </c>
      <c r="I79" s="300">
        <v>55.529899978637694</v>
      </c>
      <c r="J79" s="300">
        <f>MNF산정!AM$440</f>
        <v>54.743183008829753</v>
      </c>
      <c r="K79" s="283">
        <f t="shared" si="3"/>
        <v>55.270919045947842</v>
      </c>
      <c r="L79" s="282" t="str">
        <f t="shared" si="2"/>
        <v>이상없음</v>
      </c>
    </row>
    <row r="80" spans="1:12" ht="17.25" x14ac:dyDescent="0.3">
      <c r="A80" s="315" t="s">
        <v>152</v>
      </c>
      <c r="B80" s="14" t="s">
        <v>298</v>
      </c>
      <c r="C80" s="282" t="s">
        <v>419</v>
      </c>
      <c r="D80" s="300">
        <v>5091</v>
      </c>
      <c r="E80" s="300">
        <v>5110</v>
      </c>
      <c r="F80" s="300">
        <v>4958</v>
      </c>
      <c r="G80" s="300">
        <v>5127</v>
      </c>
      <c r="H80" s="300">
        <v>5071</v>
      </c>
      <c r="I80" s="300">
        <v>4989</v>
      </c>
      <c r="J80" s="300">
        <v>5127</v>
      </c>
      <c r="K80" s="283">
        <f t="shared" si="3"/>
        <v>5067.5714285714284</v>
      </c>
      <c r="L80" s="282" t="str">
        <f t="shared" si="2"/>
        <v>이상없음</v>
      </c>
    </row>
    <row r="81" spans="1:12" ht="17.25" x14ac:dyDescent="0.3">
      <c r="A81" s="316"/>
      <c r="B81" s="14" t="s">
        <v>298</v>
      </c>
      <c r="C81" s="282" t="s">
        <v>112</v>
      </c>
      <c r="D81" s="300">
        <v>110.6</v>
      </c>
      <c r="E81" s="300">
        <v>110.85312500000001</v>
      </c>
      <c r="F81" s="300">
        <v>120.109375</v>
      </c>
      <c r="G81" s="300">
        <v>117.01354166666667</v>
      </c>
      <c r="H81" s="300">
        <v>118.25208333333333</v>
      </c>
      <c r="I81" s="300">
        <v>115.06458333333333</v>
      </c>
      <c r="J81" s="300">
        <f>MNF산정!AN$440</f>
        <v>111.68854166666667</v>
      </c>
      <c r="K81" s="283">
        <f t="shared" si="3"/>
        <v>114.79732142857142</v>
      </c>
      <c r="L81" s="282" t="str">
        <f t="shared" si="2"/>
        <v>이상없음</v>
      </c>
    </row>
    <row r="82" spans="1:12" ht="17.25" x14ac:dyDescent="0.3">
      <c r="A82" s="316"/>
      <c r="B82" s="14" t="s">
        <v>215</v>
      </c>
      <c r="C82" s="282" t="s">
        <v>419</v>
      </c>
      <c r="D82" s="300">
        <v>2892</v>
      </c>
      <c r="E82" s="300">
        <v>2906</v>
      </c>
      <c r="F82" s="300">
        <v>2812</v>
      </c>
      <c r="G82" s="300">
        <v>2913</v>
      </c>
      <c r="H82" s="300">
        <v>2878</v>
      </c>
      <c r="I82" s="300">
        <v>2864</v>
      </c>
      <c r="J82" s="300">
        <v>2928</v>
      </c>
      <c r="K82" s="283">
        <f t="shared" si="3"/>
        <v>2884.7142857142858</v>
      </c>
      <c r="L82" s="282" t="str">
        <f t="shared" si="2"/>
        <v>이상없음</v>
      </c>
    </row>
    <row r="83" spans="1:12" ht="17.25" x14ac:dyDescent="0.3">
      <c r="A83" s="316"/>
      <c r="B83" s="14" t="s">
        <v>215</v>
      </c>
      <c r="C83" s="282" t="s">
        <v>112</v>
      </c>
      <c r="D83" s="300">
        <v>58.583300000000001</v>
      </c>
      <c r="E83" s="300">
        <v>58.583300000000001</v>
      </c>
      <c r="F83" s="300">
        <v>58.583300000000001</v>
      </c>
      <c r="G83" s="300">
        <v>58.583300000000001</v>
      </c>
      <c r="H83" s="300">
        <v>58.583300000000001</v>
      </c>
      <c r="I83" s="300">
        <v>58.583300000000001</v>
      </c>
      <c r="J83" s="300">
        <f>MNF산정!AO$440</f>
        <v>56.783333333333331</v>
      </c>
      <c r="K83" s="283">
        <f t="shared" si="3"/>
        <v>58.326161904761911</v>
      </c>
      <c r="L83" s="282" t="str">
        <f t="shared" si="2"/>
        <v>이상없음</v>
      </c>
    </row>
    <row r="84" spans="1:12" ht="17.25" x14ac:dyDescent="0.3">
      <c r="A84" s="316"/>
      <c r="B84" s="290" t="s">
        <v>70</v>
      </c>
      <c r="C84" s="282" t="s">
        <v>419</v>
      </c>
      <c r="D84" s="300">
        <v>2379</v>
      </c>
      <c r="E84" s="300">
        <v>2377</v>
      </c>
      <c r="F84" s="300">
        <v>2320</v>
      </c>
      <c r="G84" s="300">
        <v>2418</v>
      </c>
      <c r="H84" s="300">
        <v>2442</v>
      </c>
      <c r="I84" s="300">
        <v>2391</v>
      </c>
      <c r="J84" s="300">
        <v>2393</v>
      </c>
      <c r="K84" s="283">
        <f t="shared" si="3"/>
        <v>2388.5714285714284</v>
      </c>
      <c r="L84" s="282" t="str">
        <f t="shared" si="2"/>
        <v>이상없음</v>
      </c>
    </row>
    <row r="85" spans="1:12" ht="17.25" x14ac:dyDescent="0.3">
      <c r="A85" s="316"/>
      <c r="B85" s="290" t="s">
        <v>70</v>
      </c>
      <c r="C85" s="282" t="s">
        <v>112</v>
      </c>
      <c r="D85" s="300">
        <v>59.873633321126299</v>
      </c>
      <c r="E85" s="300">
        <v>60.697267214457192</v>
      </c>
      <c r="F85" s="300">
        <v>62.796961148579918</v>
      </c>
      <c r="G85" s="300">
        <v>64.33750495910644</v>
      </c>
      <c r="H85" s="300">
        <v>66.136589686075851</v>
      </c>
      <c r="I85" s="300">
        <v>61.664969571431477</v>
      </c>
      <c r="J85" s="300">
        <f>MNF산정!AP$440</f>
        <v>59.120028114318849</v>
      </c>
      <c r="K85" s="283">
        <f t="shared" si="3"/>
        <v>62.089564859299436</v>
      </c>
      <c r="L85" s="282" t="str">
        <f t="shared" si="2"/>
        <v>이상없음</v>
      </c>
    </row>
    <row r="86" spans="1:12" ht="17.25" x14ac:dyDescent="0.3">
      <c r="A86" s="316"/>
      <c r="B86" s="290" t="s">
        <v>71</v>
      </c>
      <c r="C86" s="282" t="s">
        <v>419</v>
      </c>
      <c r="D86" s="300">
        <v>1983</v>
      </c>
      <c r="E86" s="300">
        <v>2011</v>
      </c>
      <c r="F86" s="300">
        <v>1920</v>
      </c>
      <c r="G86" s="300">
        <v>2000</v>
      </c>
      <c r="H86" s="300">
        <v>1937</v>
      </c>
      <c r="I86" s="300">
        <v>1940</v>
      </c>
      <c r="J86" s="300">
        <v>2030</v>
      </c>
      <c r="K86" s="283">
        <f t="shared" si="3"/>
        <v>1974.4285714285713</v>
      </c>
      <c r="L86" s="282" t="str">
        <f t="shared" si="2"/>
        <v>이상없음</v>
      </c>
    </row>
    <row r="87" spans="1:12" ht="17.25" x14ac:dyDescent="0.3">
      <c r="A87" s="317"/>
      <c r="B87" s="290" t="s">
        <v>71</v>
      </c>
      <c r="C87" s="282" t="s">
        <v>112</v>
      </c>
      <c r="D87" s="300">
        <v>34.763400491078691</v>
      </c>
      <c r="E87" s="300">
        <v>35.331520016988115</v>
      </c>
      <c r="F87" s="300">
        <v>37.58643601735433</v>
      </c>
      <c r="G87" s="300">
        <v>36.1387633005778</v>
      </c>
      <c r="H87" s="300">
        <v>35.579324277242023</v>
      </c>
      <c r="I87" s="300">
        <v>35.540808105468749</v>
      </c>
      <c r="J87" s="300">
        <f>MNF산정!AQ$440</f>
        <v>34.962172126770021</v>
      </c>
      <c r="K87" s="283">
        <f t="shared" si="3"/>
        <v>35.700346333639963</v>
      </c>
      <c r="L87" s="282" t="str">
        <f t="shared" si="2"/>
        <v>이상없음</v>
      </c>
    </row>
    <row r="88" spans="1:12" ht="17.25" x14ac:dyDescent="0.3">
      <c r="A88" s="318" t="s">
        <v>151</v>
      </c>
      <c r="B88" s="12" t="s">
        <v>217</v>
      </c>
      <c r="C88" s="282" t="s">
        <v>419</v>
      </c>
      <c r="D88" s="300">
        <v>2782</v>
      </c>
      <c r="E88" s="300">
        <v>2784</v>
      </c>
      <c r="F88" s="300">
        <v>2656</v>
      </c>
      <c r="G88" s="300">
        <v>2628</v>
      </c>
      <c r="H88" s="300">
        <v>2699</v>
      </c>
      <c r="I88" s="300">
        <v>2579</v>
      </c>
      <c r="J88" s="300">
        <v>2706</v>
      </c>
      <c r="K88" s="283">
        <f t="shared" si="3"/>
        <v>2690.5714285714284</v>
      </c>
      <c r="L88" s="282" t="str">
        <f t="shared" si="2"/>
        <v>이상없음</v>
      </c>
    </row>
    <row r="89" spans="1:12" ht="17.25" x14ac:dyDescent="0.3">
      <c r="A89" s="319"/>
      <c r="B89" s="12" t="s">
        <v>217</v>
      </c>
      <c r="C89" s="282" t="s">
        <v>112</v>
      </c>
      <c r="D89" s="300">
        <v>85.13333333333334</v>
      </c>
      <c r="E89" s="300">
        <v>77.683333333333337</v>
      </c>
      <c r="F89" s="300">
        <v>88.983333333333334</v>
      </c>
      <c r="G89" s="300">
        <v>86.88333333333334</v>
      </c>
      <c r="H89" s="300">
        <v>82.05</v>
      </c>
      <c r="I89" s="300">
        <v>81.733333333333334</v>
      </c>
      <c r="J89" s="300">
        <f>MNF산정!AR$440</f>
        <v>83.88333333333334</v>
      </c>
      <c r="K89" s="283">
        <f t="shared" si="3"/>
        <v>83.76428571428572</v>
      </c>
      <c r="L89" s="282" t="str">
        <f t="shared" si="2"/>
        <v>이상없음</v>
      </c>
    </row>
    <row r="90" spans="1:12" ht="17.25" x14ac:dyDescent="0.3">
      <c r="A90" s="319"/>
      <c r="B90" s="291" t="s">
        <v>106</v>
      </c>
      <c r="C90" s="282" t="s">
        <v>419</v>
      </c>
      <c r="D90" s="300"/>
      <c r="E90" s="300"/>
      <c r="F90" s="300"/>
      <c r="G90" s="300"/>
      <c r="H90" s="300"/>
      <c r="I90" s="300"/>
      <c r="J90" s="300"/>
      <c r="K90" s="283" t="e">
        <f t="shared" si="3"/>
        <v>#DIV/0!</v>
      </c>
      <c r="L90" s="282" t="e">
        <f t="shared" si="2"/>
        <v>#DIV/0!</v>
      </c>
    </row>
    <row r="91" spans="1:12" ht="17.25" x14ac:dyDescent="0.3">
      <c r="A91" s="319"/>
      <c r="B91" s="291" t="s">
        <v>106</v>
      </c>
      <c r="C91" s="282" t="s">
        <v>112</v>
      </c>
      <c r="D91" s="300"/>
      <c r="E91" s="300"/>
      <c r="F91" s="300"/>
      <c r="G91" s="300"/>
      <c r="H91" s="300"/>
      <c r="I91" s="300"/>
      <c r="J91" s="300" t="e">
        <f>MNF산정!AS$440</f>
        <v>#DIV/0!</v>
      </c>
      <c r="K91" s="283" t="e">
        <f t="shared" si="3"/>
        <v>#DIV/0!</v>
      </c>
      <c r="L91" s="282" t="e">
        <f t="shared" si="2"/>
        <v>#DIV/0!</v>
      </c>
    </row>
    <row r="92" spans="1:12" ht="17.25" x14ac:dyDescent="0.3">
      <c r="A92" s="319"/>
      <c r="B92" s="12" t="s">
        <v>219</v>
      </c>
      <c r="C92" s="282" t="s">
        <v>419</v>
      </c>
      <c r="D92" s="300">
        <v>2925</v>
      </c>
      <c r="E92" s="300">
        <v>2875</v>
      </c>
      <c r="F92" s="300">
        <v>3023</v>
      </c>
      <c r="G92" s="300">
        <v>2771</v>
      </c>
      <c r="H92" s="300">
        <v>2700</v>
      </c>
      <c r="I92" s="300">
        <v>2505</v>
      </c>
      <c r="J92" s="300">
        <v>2473</v>
      </c>
      <c r="K92" s="283">
        <f t="shared" si="3"/>
        <v>2753.1428571428573</v>
      </c>
      <c r="L92" s="282" t="str">
        <f t="shared" si="2"/>
        <v>확인필요</v>
      </c>
    </row>
    <row r="93" spans="1:12" ht="17.25" x14ac:dyDescent="0.3">
      <c r="A93" s="319"/>
      <c r="B93" s="12" t="s">
        <v>219</v>
      </c>
      <c r="C93" s="282" t="s">
        <v>112</v>
      </c>
      <c r="D93" s="300">
        <v>107.88333333333334</v>
      </c>
      <c r="E93" s="300">
        <v>111.38333333333334</v>
      </c>
      <c r="F93" s="300">
        <v>102.78333333333333</v>
      </c>
      <c r="G93" s="300">
        <v>95.333333333333329</v>
      </c>
      <c r="H93" s="300">
        <v>99.2</v>
      </c>
      <c r="I93" s="300">
        <v>90.75</v>
      </c>
      <c r="J93" s="300">
        <f>MNF산정!AT$440</f>
        <v>95.916666666666671</v>
      </c>
      <c r="K93" s="283">
        <f t="shared" si="3"/>
        <v>100.46428571428571</v>
      </c>
      <c r="L93" s="282" t="str">
        <f t="shared" si="2"/>
        <v>이상없음</v>
      </c>
    </row>
    <row r="94" spans="1:12" ht="17.25" x14ac:dyDescent="0.3">
      <c r="A94" s="319"/>
      <c r="B94" s="291" t="s">
        <v>107</v>
      </c>
      <c r="C94" s="282" t="s">
        <v>419</v>
      </c>
      <c r="D94" s="300"/>
      <c r="E94" s="300"/>
      <c r="F94" s="300"/>
      <c r="G94" s="300"/>
      <c r="H94" s="300"/>
      <c r="I94" s="300"/>
      <c r="J94" s="300"/>
      <c r="K94" s="283" t="e">
        <f t="shared" si="3"/>
        <v>#DIV/0!</v>
      </c>
      <c r="L94" s="282" t="e">
        <f t="shared" si="2"/>
        <v>#DIV/0!</v>
      </c>
    </row>
    <row r="95" spans="1:12" ht="17.25" x14ac:dyDescent="0.3">
      <c r="A95" s="320"/>
      <c r="B95" s="291" t="s">
        <v>107</v>
      </c>
      <c r="C95" s="282" t="s">
        <v>112</v>
      </c>
      <c r="D95" s="300"/>
      <c r="E95" s="300"/>
      <c r="F95" s="300"/>
      <c r="G95" s="300"/>
      <c r="H95" s="300"/>
      <c r="I95" s="300"/>
      <c r="J95" s="300" t="e">
        <f>MNF산정!AU$440</f>
        <v>#DIV/0!</v>
      </c>
      <c r="K95" s="283" t="e">
        <f t="shared" si="3"/>
        <v>#DIV/0!</v>
      </c>
      <c r="L95" s="282" t="e">
        <f t="shared" si="2"/>
        <v>#DIV/0!</v>
      </c>
    </row>
    <row r="96" spans="1:12" ht="17.25" x14ac:dyDescent="0.3">
      <c r="A96" s="308" t="s">
        <v>150</v>
      </c>
      <c r="B96" s="13" t="s">
        <v>221</v>
      </c>
      <c r="C96" s="282" t="s">
        <v>419</v>
      </c>
      <c r="D96" s="300">
        <v>2274</v>
      </c>
      <c r="E96" s="300">
        <v>2443</v>
      </c>
      <c r="F96" s="300">
        <v>2314</v>
      </c>
      <c r="G96" s="300">
        <v>2126</v>
      </c>
      <c r="H96" s="300">
        <v>2283</v>
      </c>
      <c r="I96" s="300">
        <v>2241</v>
      </c>
      <c r="J96" s="300">
        <v>2200</v>
      </c>
      <c r="K96" s="283">
        <f t="shared" si="3"/>
        <v>2268.7142857142858</v>
      </c>
      <c r="L96" s="282" t="str">
        <f t="shared" si="2"/>
        <v>이상없음</v>
      </c>
    </row>
    <row r="97" spans="1:12" ht="17.25" x14ac:dyDescent="0.3">
      <c r="A97" s="309"/>
      <c r="B97" s="13" t="s">
        <v>221</v>
      </c>
      <c r="C97" s="282" t="s">
        <v>112</v>
      </c>
      <c r="D97" s="300">
        <v>54.016666666666666</v>
      </c>
      <c r="E97" s="300">
        <v>67.816666666666663</v>
      </c>
      <c r="F97" s="300">
        <v>53.7</v>
      </c>
      <c r="G97" s="300">
        <v>53.68333333333333</v>
      </c>
      <c r="H97" s="300">
        <v>54.6</v>
      </c>
      <c r="I97" s="300">
        <v>53.516666666666666</v>
      </c>
      <c r="J97" s="300">
        <f>MNF산정!AV$440</f>
        <v>54.416666666666664</v>
      </c>
      <c r="K97" s="283">
        <f t="shared" si="3"/>
        <v>55.964285714285715</v>
      </c>
      <c r="L97" s="282" t="str">
        <f t="shared" si="2"/>
        <v>이상없음</v>
      </c>
    </row>
    <row r="98" spans="1:12" ht="17.25" x14ac:dyDescent="0.3">
      <c r="A98" s="309"/>
      <c r="B98" s="292" t="s">
        <v>9</v>
      </c>
      <c r="C98" s="282" t="s">
        <v>419</v>
      </c>
      <c r="D98" s="300"/>
      <c r="E98" s="300"/>
      <c r="F98" s="300"/>
      <c r="G98" s="300"/>
      <c r="H98" s="300"/>
      <c r="I98" s="300"/>
      <c r="J98" s="300"/>
      <c r="K98" s="283" t="e">
        <f t="shared" si="3"/>
        <v>#DIV/0!</v>
      </c>
      <c r="L98" s="282" t="e">
        <f t="shared" si="2"/>
        <v>#DIV/0!</v>
      </c>
    </row>
    <row r="99" spans="1:12" ht="17.25" x14ac:dyDescent="0.3">
      <c r="A99" s="310"/>
      <c r="B99" s="292" t="s">
        <v>9</v>
      </c>
      <c r="C99" s="282" t="s">
        <v>112</v>
      </c>
      <c r="D99" s="300"/>
      <c r="E99" s="300"/>
      <c r="F99" s="300"/>
      <c r="G99" s="300"/>
      <c r="H99" s="300"/>
      <c r="I99" s="300"/>
      <c r="J99" s="300" t="e">
        <f>MNF산정!AW$440</f>
        <v>#DIV/0!</v>
      </c>
      <c r="K99" s="283" t="e">
        <f t="shared" si="3"/>
        <v>#DIV/0!</v>
      </c>
      <c r="L99" s="282" t="e">
        <f t="shared" si="2"/>
        <v>#DIV/0!</v>
      </c>
    </row>
    <row r="100" spans="1:12" ht="17.25" x14ac:dyDescent="0.3">
      <c r="A100" s="321" t="s">
        <v>149</v>
      </c>
      <c r="B100" s="14" t="s">
        <v>197</v>
      </c>
      <c r="C100" s="282" t="s">
        <v>419</v>
      </c>
      <c r="D100" s="300">
        <v>1085</v>
      </c>
      <c r="E100" s="300">
        <v>1061</v>
      </c>
      <c r="F100" s="300">
        <v>1037</v>
      </c>
      <c r="G100" s="300">
        <v>1039</v>
      </c>
      <c r="H100" s="300">
        <v>1038</v>
      </c>
      <c r="I100" s="300">
        <v>1091</v>
      </c>
      <c r="J100" s="300">
        <v>1120</v>
      </c>
      <c r="K100" s="283">
        <f t="shared" si="3"/>
        <v>1067.2857142857142</v>
      </c>
      <c r="L100" s="282" t="str">
        <f t="shared" si="2"/>
        <v>이상없음</v>
      </c>
    </row>
    <row r="101" spans="1:12" ht="17.25" x14ac:dyDescent="0.3">
      <c r="A101" s="322"/>
      <c r="B101" s="14" t="s">
        <v>197</v>
      </c>
      <c r="C101" s="282" t="s">
        <v>112</v>
      </c>
      <c r="D101" s="300">
        <v>29.7</v>
      </c>
      <c r="E101" s="300">
        <v>29.05</v>
      </c>
      <c r="F101" s="300">
        <v>29.45</v>
      </c>
      <c r="G101" s="300">
        <v>28.966666666666665</v>
      </c>
      <c r="H101" s="300">
        <v>30.566666666666666</v>
      </c>
      <c r="I101" s="300">
        <v>30.35</v>
      </c>
      <c r="J101" s="300">
        <f>MNF산정!AX$440</f>
        <v>29.483333333333334</v>
      </c>
      <c r="K101" s="283">
        <f t="shared" si="3"/>
        <v>29.652380952380952</v>
      </c>
      <c r="L101" s="282" t="str">
        <f t="shared" si="2"/>
        <v>이상없음</v>
      </c>
    </row>
    <row r="102" spans="1:12" ht="17.25" x14ac:dyDescent="0.3">
      <c r="A102" s="322"/>
      <c r="B102" s="290" t="s">
        <v>204</v>
      </c>
      <c r="C102" s="282" t="s">
        <v>419</v>
      </c>
      <c r="D102" s="300">
        <v>1121</v>
      </c>
      <c r="E102" s="300">
        <v>1100</v>
      </c>
      <c r="F102" s="300">
        <v>1079</v>
      </c>
      <c r="G102" s="300">
        <v>1073</v>
      </c>
      <c r="H102" s="300">
        <v>1077</v>
      </c>
      <c r="I102" s="300">
        <v>1128</v>
      </c>
      <c r="J102" s="300">
        <v>1161</v>
      </c>
      <c r="K102" s="283">
        <f t="shared" si="3"/>
        <v>1105.5714285714287</v>
      </c>
      <c r="L102" s="282" t="str">
        <f t="shared" si="2"/>
        <v>이상없음</v>
      </c>
    </row>
    <row r="103" spans="1:12" ht="17.25" x14ac:dyDescent="0.3">
      <c r="A103" s="323"/>
      <c r="B103" s="290" t="s">
        <v>204</v>
      </c>
      <c r="C103" s="282" t="s">
        <v>112</v>
      </c>
      <c r="D103" s="300">
        <v>31.74017333984375</v>
      </c>
      <c r="E103" s="300">
        <v>31.464246114095051</v>
      </c>
      <c r="F103" s="300">
        <v>31.47776091893514</v>
      </c>
      <c r="G103" s="300">
        <v>31.039401181538899</v>
      </c>
      <c r="H103" s="300">
        <v>32.181067307790123</v>
      </c>
      <c r="I103" s="300">
        <v>32.507333787282306</v>
      </c>
      <c r="J103" s="300">
        <f>MNF산정!AY$440</f>
        <v>32.389781729380289</v>
      </c>
      <c r="K103" s="283">
        <f t="shared" si="3"/>
        <v>31.828537768409369</v>
      </c>
      <c r="L103" s="282" t="str">
        <f t="shared" si="2"/>
        <v>이상없음</v>
      </c>
    </row>
    <row r="104" spans="1:12" ht="19.5" x14ac:dyDescent="0.3">
      <c r="A104" s="318" t="s">
        <v>153</v>
      </c>
      <c r="B104" s="293" t="s">
        <v>205</v>
      </c>
      <c r="C104" s="282" t="s">
        <v>419</v>
      </c>
      <c r="D104" s="300">
        <v>577</v>
      </c>
      <c r="E104" s="300">
        <v>649</v>
      </c>
      <c r="F104" s="300">
        <v>635</v>
      </c>
      <c r="G104" s="300">
        <v>558</v>
      </c>
      <c r="H104" s="300">
        <v>635</v>
      </c>
      <c r="I104" s="300">
        <v>639</v>
      </c>
      <c r="J104" s="300">
        <v>699</v>
      </c>
      <c r="K104" s="283">
        <f t="shared" si="3"/>
        <v>627.42857142857144</v>
      </c>
      <c r="L104" s="282" t="str">
        <f t="shared" si="2"/>
        <v>확인필요</v>
      </c>
    </row>
    <row r="105" spans="1:12" ht="19.5" x14ac:dyDescent="0.3">
      <c r="A105" s="319"/>
      <c r="B105" s="293" t="s">
        <v>205</v>
      </c>
      <c r="C105" s="282" t="s">
        <v>112</v>
      </c>
      <c r="D105" s="300">
        <v>0</v>
      </c>
      <c r="E105" s="300">
        <v>0.78333333333333333</v>
      </c>
      <c r="F105" s="300">
        <v>2.25</v>
      </c>
      <c r="G105" s="300">
        <v>4.1833333333333336</v>
      </c>
      <c r="H105" s="300">
        <v>4.1833333333333336</v>
      </c>
      <c r="I105" s="300">
        <v>6.3</v>
      </c>
      <c r="J105" s="300">
        <f>MNF산정!AZ$440</f>
        <v>3.6833333333333331</v>
      </c>
      <c r="K105" s="283">
        <f t="shared" si="3"/>
        <v>3.0547619047619046</v>
      </c>
      <c r="L105" s="282" t="str">
        <f t="shared" si="2"/>
        <v>확인필요</v>
      </c>
    </row>
    <row r="106" spans="1:12" ht="17.25" x14ac:dyDescent="0.3">
      <c r="A106" s="319"/>
      <c r="B106" s="12" t="s">
        <v>11</v>
      </c>
      <c r="C106" s="282" t="s">
        <v>419</v>
      </c>
      <c r="D106" s="300"/>
      <c r="E106" s="300"/>
      <c r="F106" s="300"/>
      <c r="G106" s="300"/>
      <c r="H106" s="300"/>
      <c r="I106" s="300"/>
      <c r="J106" s="300"/>
      <c r="K106" s="283" t="e">
        <f t="shared" si="3"/>
        <v>#DIV/0!</v>
      </c>
      <c r="L106" s="282" t="e">
        <f t="shared" si="2"/>
        <v>#DIV/0!</v>
      </c>
    </row>
    <row r="107" spans="1:12" ht="17.25" x14ac:dyDescent="0.3">
      <c r="A107" s="320"/>
      <c r="B107" s="12" t="s">
        <v>11</v>
      </c>
      <c r="C107" s="282" t="s">
        <v>112</v>
      </c>
      <c r="D107" s="300"/>
      <c r="E107" s="300"/>
      <c r="F107" s="300"/>
      <c r="G107" s="300"/>
      <c r="H107" s="300"/>
      <c r="I107" s="300"/>
      <c r="J107" s="300" t="e">
        <f>MNF산정!BA$440</f>
        <v>#DIV/0!</v>
      </c>
      <c r="K107" s="283" t="e">
        <f t="shared" si="3"/>
        <v>#DIV/0!</v>
      </c>
      <c r="L107" s="282" t="e">
        <f t="shared" si="2"/>
        <v>#DIV/0!</v>
      </c>
    </row>
    <row r="108" spans="1:12" x14ac:dyDescent="0.3">
      <c r="A108" s="308" t="s">
        <v>154</v>
      </c>
      <c r="B108" s="294" t="s">
        <v>224</v>
      </c>
      <c r="C108" s="282" t="s">
        <v>419</v>
      </c>
      <c r="D108" s="300">
        <v>5343</v>
      </c>
      <c r="E108" s="300">
        <v>5342</v>
      </c>
      <c r="F108" s="300">
        <v>5235</v>
      </c>
      <c r="G108" s="300">
        <v>5303</v>
      </c>
      <c r="H108" s="300">
        <v>5306</v>
      </c>
      <c r="I108" s="300">
        <v>5297</v>
      </c>
      <c r="J108" s="300">
        <v>5449</v>
      </c>
      <c r="K108" s="283">
        <f t="shared" si="3"/>
        <v>5325</v>
      </c>
      <c r="L108" s="282" t="str">
        <f t="shared" si="2"/>
        <v>이상없음</v>
      </c>
    </row>
    <row r="109" spans="1:12" x14ac:dyDescent="0.3">
      <c r="A109" s="309"/>
      <c r="B109" s="294" t="s">
        <v>224</v>
      </c>
      <c r="C109" s="282" t="s">
        <v>112</v>
      </c>
      <c r="D109" s="300">
        <v>172.68333333333334</v>
      </c>
      <c r="E109" s="300">
        <v>172</v>
      </c>
      <c r="F109" s="300">
        <v>172.35</v>
      </c>
      <c r="G109" s="300">
        <v>172.3</v>
      </c>
      <c r="H109" s="300">
        <v>175.36666666666667</v>
      </c>
      <c r="I109" s="300">
        <v>176.01666666666668</v>
      </c>
      <c r="J109" s="300">
        <f>MNF산정!BB$440</f>
        <v>176.26666666666668</v>
      </c>
      <c r="K109" s="283">
        <f t="shared" si="3"/>
        <v>173.85476190476192</v>
      </c>
      <c r="L109" s="282" t="str">
        <f t="shared" si="2"/>
        <v>이상없음</v>
      </c>
    </row>
    <row r="110" spans="1:12" ht="34.5" x14ac:dyDescent="0.3">
      <c r="A110" s="309"/>
      <c r="B110" s="292" t="s">
        <v>305</v>
      </c>
      <c r="C110" s="282" t="s">
        <v>419</v>
      </c>
      <c r="D110" s="300">
        <v>5494</v>
      </c>
      <c r="E110" s="300">
        <v>5491</v>
      </c>
      <c r="F110" s="300">
        <v>5386</v>
      </c>
      <c r="G110" s="300">
        <v>5451</v>
      </c>
      <c r="H110" s="300">
        <v>5454</v>
      </c>
      <c r="I110" s="300">
        <v>5440</v>
      </c>
      <c r="J110" s="300">
        <v>5593</v>
      </c>
      <c r="K110" s="283">
        <f t="shared" si="3"/>
        <v>5472.7142857142853</v>
      </c>
      <c r="L110" s="282" t="str">
        <f t="shared" si="2"/>
        <v>이상없음</v>
      </c>
    </row>
    <row r="111" spans="1:12" ht="34.5" x14ac:dyDescent="0.3">
      <c r="A111" s="310"/>
      <c r="B111" s="292" t="s">
        <v>305</v>
      </c>
      <c r="C111" s="282" t="s">
        <v>112</v>
      </c>
      <c r="D111" s="300">
        <v>172.78912048339845</v>
      </c>
      <c r="E111" s="300">
        <v>172.0281026204427</v>
      </c>
      <c r="F111" s="300">
        <v>172.97194646199543</v>
      </c>
      <c r="G111" s="300">
        <v>172.75588200887043</v>
      </c>
      <c r="H111" s="300">
        <v>175.71988957722982</v>
      </c>
      <c r="I111" s="300">
        <v>176.36324437459311</v>
      </c>
      <c r="J111" s="300">
        <f>MNF산정!BC$440</f>
        <v>176.05192616780599</v>
      </c>
      <c r="K111" s="283">
        <f t="shared" si="3"/>
        <v>174.09715881347657</v>
      </c>
      <c r="L111" s="282" t="str">
        <f t="shared" si="2"/>
        <v>이상없음</v>
      </c>
    </row>
    <row r="112" spans="1:12" ht="17.25" x14ac:dyDescent="0.3">
      <c r="A112" s="318" t="s">
        <v>155</v>
      </c>
      <c r="B112" s="295" t="s">
        <v>206</v>
      </c>
      <c r="C112" s="282" t="s">
        <v>419</v>
      </c>
      <c r="D112" s="300">
        <v>242</v>
      </c>
      <c r="E112" s="300">
        <v>246</v>
      </c>
      <c r="F112" s="300">
        <v>249</v>
      </c>
      <c r="G112" s="300">
        <v>269</v>
      </c>
      <c r="H112" s="300">
        <v>258</v>
      </c>
      <c r="I112" s="300">
        <v>268</v>
      </c>
      <c r="J112" s="300">
        <v>267</v>
      </c>
      <c r="K112" s="283">
        <f t="shared" si="3"/>
        <v>257</v>
      </c>
      <c r="L112" s="282" t="str">
        <f t="shared" si="2"/>
        <v>이상없음</v>
      </c>
    </row>
    <row r="113" spans="1:12" ht="17.25" x14ac:dyDescent="0.3">
      <c r="A113" s="319"/>
      <c r="B113" s="295" t="s">
        <v>206</v>
      </c>
      <c r="C113" s="282" t="s">
        <v>112</v>
      </c>
      <c r="D113" s="300">
        <v>6.4933333396911621</v>
      </c>
      <c r="E113" s="300">
        <v>7.0183333158493042</v>
      </c>
      <c r="F113" s="300">
        <v>8.0383334159851074</v>
      </c>
      <c r="G113" s="300">
        <v>7.7950001557668047</v>
      </c>
      <c r="H113" s="300">
        <v>7.4000000317891441</v>
      </c>
      <c r="I113" s="300">
        <v>7.5333333492279051</v>
      </c>
      <c r="J113" s="300">
        <f>MNF산정!BD$440</f>
        <v>6.5966665824254358</v>
      </c>
      <c r="K113" s="283">
        <f t="shared" si="3"/>
        <v>7.2678571701049801</v>
      </c>
      <c r="L113" s="282" t="str">
        <f t="shared" si="2"/>
        <v>이상없음</v>
      </c>
    </row>
    <row r="114" spans="1:12" ht="17.25" x14ac:dyDescent="0.3">
      <c r="A114" s="319"/>
      <c r="B114" s="291" t="s">
        <v>306</v>
      </c>
      <c r="C114" s="282" t="s">
        <v>419</v>
      </c>
      <c r="D114" s="300">
        <v>241</v>
      </c>
      <c r="E114" s="300">
        <v>245</v>
      </c>
      <c r="F114" s="300">
        <v>249</v>
      </c>
      <c r="G114" s="300">
        <v>269</v>
      </c>
      <c r="H114" s="300">
        <v>258</v>
      </c>
      <c r="I114" s="300">
        <v>269</v>
      </c>
      <c r="J114" s="300">
        <v>266</v>
      </c>
      <c r="K114" s="283">
        <f t="shared" si="3"/>
        <v>256.71428571428572</v>
      </c>
      <c r="L114" s="282" t="str">
        <f t="shared" si="2"/>
        <v>이상없음</v>
      </c>
    </row>
    <row r="115" spans="1:12" ht="17.25" x14ac:dyDescent="0.3">
      <c r="A115" s="320"/>
      <c r="B115" s="291" t="s">
        <v>306</v>
      </c>
      <c r="C115" s="282" t="s">
        <v>112</v>
      </c>
      <c r="D115" s="300">
        <v>6.5443378607432043</v>
      </c>
      <c r="E115" s="300">
        <v>7.0495975653330483</v>
      </c>
      <c r="F115" s="300">
        <v>8.1681706746419263</v>
      </c>
      <c r="G115" s="300">
        <v>7.8677273750305172</v>
      </c>
      <c r="H115" s="300">
        <v>7.4879951794942219</v>
      </c>
      <c r="I115" s="300">
        <v>7.6039496739705408</v>
      </c>
      <c r="J115" s="300">
        <f>MNF산정!BE$440</f>
        <v>6.654758278528849</v>
      </c>
      <c r="K115" s="283">
        <f t="shared" si="3"/>
        <v>7.3395052296774725</v>
      </c>
      <c r="L115" s="282" t="str">
        <f t="shared" si="2"/>
        <v>이상없음</v>
      </c>
    </row>
    <row r="116" spans="1:12" ht="17.25" x14ac:dyDescent="0.3">
      <c r="A116" s="324" t="s">
        <v>156</v>
      </c>
      <c r="B116" s="9" t="s">
        <v>226</v>
      </c>
      <c r="C116" s="282" t="s">
        <v>419</v>
      </c>
      <c r="D116" s="300">
        <v>932</v>
      </c>
      <c r="E116" s="300">
        <v>923</v>
      </c>
      <c r="F116" s="300">
        <v>903</v>
      </c>
      <c r="G116" s="300">
        <v>898</v>
      </c>
      <c r="H116" s="300">
        <v>917</v>
      </c>
      <c r="I116" s="300">
        <v>906</v>
      </c>
      <c r="J116" s="300">
        <v>903</v>
      </c>
      <c r="K116" s="283">
        <f t="shared" si="3"/>
        <v>911.71428571428567</v>
      </c>
      <c r="L116" s="282" t="str">
        <f t="shared" si="2"/>
        <v>이상없음</v>
      </c>
    </row>
    <row r="117" spans="1:12" ht="17.25" x14ac:dyDescent="0.3">
      <c r="A117" s="324"/>
      <c r="B117" s="9" t="s">
        <v>226</v>
      </c>
      <c r="C117" s="282" t="s">
        <v>112</v>
      </c>
      <c r="D117" s="300">
        <v>29.483333333333334</v>
      </c>
      <c r="E117" s="300">
        <v>29.8</v>
      </c>
      <c r="F117" s="300">
        <v>30.133333333333333</v>
      </c>
      <c r="G117" s="300">
        <v>29.75</v>
      </c>
      <c r="H117" s="300">
        <v>29.75</v>
      </c>
      <c r="I117" s="300">
        <v>29.65</v>
      </c>
      <c r="J117" s="300">
        <f>MNF산정!BF$440</f>
        <v>29.366666666666667</v>
      </c>
      <c r="K117" s="283">
        <f t="shared" si="3"/>
        <v>29.704761904761906</v>
      </c>
      <c r="L117" s="282" t="str">
        <f t="shared" si="2"/>
        <v>이상없음</v>
      </c>
    </row>
    <row r="118" spans="1:12" ht="17.25" x14ac:dyDescent="0.3">
      <c r="A118" s="325" t="s">
        <v>157</v>
      </c>
      <c r="B118" s="14" t="s">
        <v>228</v>
      </c>
      <c r="C118" s="282" t="s">
        <v>419</v>
      </c>
      <c r="D118" s="300">
        <v>316</v>
      </c>
      <c r="E118" s="300">
        <v>315</v>
      </c>
      <c r="F118" s="300">
        <v>319</v>
      </c>
      <c r="G118" s="300">
        <v>313</v>
      </c>
      <c r="H118" s="300">
        <v>316</v>
      </c>
      <c r="I118" s="300">
        <v>311</v>
      </c>
      <c r="J118" s="300">
        <v>307</v>
      </c>
      <c r="K118" s="283">
        <f t="shared" si="3"/>
        <v>313.85714285714283</v>
      </c>
      <c r="L118" s="282" t="str">
        <f t="shared" si="2"/>
        <v>이상없음</v>
      </c>
    </row>
    <row r="119" spans="1:12" ht="17.25" x14ac:dyDescent="0.3">
      <c r="A119" s="325"/>
      <c r="B119" s="14" t="s">
        <v>228</v>
      </c>
      <c r="C119" s="282" t="s">
        <v>112</v>
      </c>
      <c r="D119" s="300">
        <v>10</v>
      </c>
      <c r="E119" s="300">
        <v>10.050000000000001</v>
      </c>
      <c r="F119" s="300">
        <v>10.016666666666667</v>
      </c>
      <c r="G119" s="300">
        <v>10</v>
      </c>
      <c r="H119" s="300">
        <v>10.050000000000001</v>
      </c>
      <c r="I119" s="300">
        <v>10.566666666666666</v>
      </c>
      <c r="J119" s="300">
        <f>MNF산정!BG$440</f>
        <v>10.050000000000001</v>
      </c>
      <c r="K119" s="283">
        <f t="shared" si="3"/>
        <v>10.104761904761904</v>
      </c>
      <c r="L119" s="282" t="str">
        <f t="shared" si="2"/>
        <v>이상없음</v>
      </c>
    </row>
    <row r="120" spans="1:12" ht="17.25" x14ac:dyDescent="0.3">
      <c r="A120" s="325"/>
      <c r="B120" s="284" t="s">
        <v>16</v>
      </c>
      <c r="C120" s="282" t="s">
        <v>419</v>
      </c>
      <c r="D120" s="300">
        <v>323</v>
      </c>
      <c r="E120" s="300">
        <v>319</v>
      </c>
      <c r="F120" s="300">
        <v>323</v>
      </c>
      <c r="G120" s="300">
        <v>319</v>
      </c>
      <c r="H120" s="300">
        <v>323</v>
      </c>
      <c r="I120" s="300">
        <v>316</v>
      </c>
      <c r="J120" s="300">
        <v>314</v>
      </c>
      <c r="K120" s="283">
        <f t="shared" si="3"/>
        <v>319.57142857142856</v>
      </c>
      <c r="L120" s="282" t="str">
        <f t="shared" si="2"/>
        <v>이상없음</v>
      </c>
    </row>
    <row r="121" spans="1:12" ht="17.25" x14ac:dyDescent="0.3">
      <c r="A121" s="325"/>
      <c r="B121" s="284" t="s">
        <v>16</v>
      </c>
      <c r="C121" s="282" t="s">
        <v>112</v>
      </c>
      <c r="D121" s="300">
        <v>10.792474508285522</v>
      </c>
      <c r="E121" s="300">
        <v>11.019438823064169</v>
      </c>
      <c r="F121" s="300">
        <v>10.797666422526042</v>
      </c>
      <c r="G121" s="300">
        <v>10.935307614008586</v>
      </c>
      <c r="H121" s="300">
        <v>10.92904774347941</v>
      </c>
      <c r="I121" s="300">
        <v>11.45621304512024</v>
      </c>
      <c r="J121" s="300">
        <f>MNF산정!BH$440</f>
        <v>10.96327470143636</v>
      </c>
      <c r="K121" s="283">
        <f t="shared" si="3"/>
        <v>10.984774693988617</v>
      </c>
      <c r="L121" s="282" t="str">
        <f t="shared" si="2"/>
        <v>이상없음</v>
      </c>
    </row>
    <row r="122" spans="1:12" ht="17.25" x14ac:dyDescent="0.3">
      <c r="A122" s="314" t="s">
        <v>158</v>
      </c>
      <c r="B122" s="287" t="s">
        <v>230</v>
      </c>
      <c r="C122" s="282" t="s">
        <v>419</v>
      </c>
      <c r="D122" s="300">
        <v>605</v>
      </c>
      <c r="E122" s="300">
        <v>594</v>
      </c>
      <c r="F122" s="300">
        <v>569</v>
      </c>
      <c r="G122" s="300">
        <v>554</v>
      </c>
      <c r="H122" s="300">
        <v>583</v>
      </c>
      <c r="I122" s="300">
        <v>587</v>
      </c>
      <c r="J122" s="300">
        <v>599</v>
      </c>
      <c r="K122" s="283">
        <f t="shared" si="3"/>
        <v>584.42857142857144</v>
      </c>
      <c r="L122" s="282" t="str">
        <f t="shared" si="2"/>
        <v>이상없음</v>
      </c>
    </row>
    <row r="123" spans="1:12" ht="17.25" x14ac:dyDescent="0.3">
      <c r="A123" s="314"/>
      <c r="B123" s="287" t="s">
        <v>230</v>
      </c>
      <c r="C123" s="282" t="s">
        <v>112</v>
      </c>
      <c r="D123" s="300">
        <v>11.666666666666666</v>
      </c>
      <c r="E123" s="300">
        <v>10.25</v>
      </c>
      <c r="F123" s="300">
        <v>10.45</v>
      </c>
      <c r="G123" s="300">
        <v>10.283333333333333</v>
      </c>
      <c r="H123" s="300">
        <v>10.15</v>
      </c>
      <c r="I123" s="300">
        <v>10.033333333333333</v>
      </c>
      <c r="J123" s="300">
        <f>MNF산정!BK$440</f>
        <v>10.366666666666667</v>
      </c>
      <c r="K123" s="283">
        <f t="shared" si="3"/>
        <v>10.457142857142856</v>
      </c>
      <c r="L123" s="282" t="str">
        <f t="shared" si="2"/>
        <v>이상없음</v>
      </c>
    </row>
    <row r="124" spans="1:12" ht="17.25" x14ac:dyDescent="0.3">
      <c r="A124" s="314"/>
      <c r="B124" s="287" t="s">
        <v>685</v>
      </c>
      <c r="C124" s="282" t="s">
        <v>419</v>
      </c>
      <c r="D124" s="300">
        <v>0</v>
      </c>
      <c r="E124" s="300">
        <v>0</v>
      </c>
      <c r="F124" s="300">
        <v>0</v>
      </c>
      <c r="G124" s="300">
        <v>0</v>
      </c>
      <c r="H124" s="300">
        <v>0</v>
      </c>
      <c r="I124" s="300">
        <v>0</v>
      </c>
      <c r="J124" s="300">
        <v>0</v>
      </c>
      <c r="K124" s="283">
        <f t="shared" si="3"/>
        <v>0</v>
      </c>
      <c r="L124" s="282" t="str">
        <f t="shared" si="2"/>
        <v>확인필요</v>
      </c>
    </row>
    <row r="125" spans="1:12" ht="17.25" x14ac:dyDescent="0.3">
      <c r="A125" s="314"/>
      <c r="B125" s="287" t="s">
        <v>685</v>
      </c>
      <c r="C125" s="282" t="s">
        <v>112</v>
      </c>
      <c r="D125" s="300">
        <v>0</v>
      </c>
      <c r="E125" s="300">
        <v>0</v>
      </c>
      <c r="F125" s="300">
        <v>0</v>
      </c>
      <c r="G125" s="300">
        <v>0</v>
      </c>
      <c r="H125" s="300">
        <v>0</v>
      </c>
      <c r="I125" s="300">
        <v>0</v>
      </c>
      <c r="J125" s="300">
        <f>MNF산정!BL$440</f>
        <v>0</v>
      </c>
      <c r="K125" s="283">
        <f t="shared" si="3"/>
        <v>0</v>
      </c>
      <c r="L125" s="282" t="str">
        <f t="shared" si="2"/>
        <v>확인필요</v>
      </c>
    </row>
    <row r="126" spans="1:12" ht="17.25" x14ac:dyDescent="0.3">
      <c r="A126" s="324" t="s">
        <v>159</v>
      </c>
      <c r="B126" s="9" t="s">
        <v>385</v>
      </c>
      <c r="C126" s="282" t="s">
        <v>419</v>
      </c>
      <c r="D126" s="300"/>
      <c r="E126" s="300"/>
      <c r="F126" s="300"/>
      <c r="G126" s="300"/>
      <c r="H126" s="300"/>
      <c r="I126" s="300"/>
      <c r="J126" s="300"/>
      <c r="K126" s="283" t="e">
        <f t="shared" si="3"/>
        <v>#DIV/0!</v>
      </c>
      <c r="L126" s="282" t="e">
        <f t="shared" si="2"/>
        <v>#DIV/0!</v>
      </c>
    </row>
    <row r="127" spans="1:12" ht="17.25" x14ac:dyDescent="0.3">
      <c r="A127" s="324"/>
      <c r="B127" s="9" t="s">
        <v>17</v>
      </c>
      <c r="C127" s="282" t="s">
        <v>112</v>
      </c>
      <c r="D127" s="300"/>
      <c r="E127" s="300"/>
      <c r="F127" s="300"/>
      <c r="G127" s="300"/>
      <c r="H127" s="300"/>
      <c r="I127" s="300"/>
      <c r="J127" s="300" t="e">
        <f>MNF산정!BM$440</f>
        <v>#DIV/0!</v>
      </c>
      <c r="K127" s="283" t="e">
        <f t="shared" si="3"/>
        <v>#DIV/0!</v>
      </c>
      <c r="L127" s="282" t="e">
        <f t="shared" si="2"/>
        <v>#DIV/0!</v>
      </c>
    </row>
    <row r="128" spans="1:12" ht="17.25" x14ac:dyDescent="0.3">
      <c r="A128" s="314" t="s">
        <v>712</v>
      </c>
      <c r="B128" s="295" t="s">
        <v>683</v>
      </c>
      <c r="C128" s="282" t="s">
        <v>419</v>
      </c>
      <c r="D128" s="300">
        <v>1828</v>
      </c>
      <c r="E128" s="300">
        <v>1831</v>
      </c>
      <c r="F128" s="300">
        <v>1832</v>
      </c>
      <c r="G128" s="300">
        <v>1836</v>
      </c>
      <c r="H128" s="300">
        <v>1826</v>
      </c>
      <c r="I128" s="300">
        <v>1834</v>
      </c>
      <c r="J128" s="300">
        <v>1845</v>
      </c>
      <c r="K128" s="283">
        <f t="shared" si="3"/>
        <v>1833.1428571428571</v>
      </c>
      <c r="L128" s="282" t="str">
        <f t="shared" si="2"/>
        <v>이상없음</v>
      </c>
    </row>
    <row r="129" spans="1:12" ht="17.25" x14ac:dyDescent="0.3">
      <c r="A129" s="314"/>
      <c r="B129" s="295" t="s">
        <v>683</v>
      </c>
      <c r="C129" s="282" t="s">
        <v>112</v>
      </c>
      <c r="D129" s="300">
        <v>72.400000000000006</v>
      </c>
      <c r="E129" s="300">
        <v>72.216666666666669</v>
      </c>
      <c r="F129" s="300">
        <v>72.433333333333337</v>
      </c>
      <c r="G129" s="300">
        <v>72.083333333333329</v>
      </c>
      <c r="H129" s="300">
        <v>72.2</v>
      </c>
      <c r="I129" s="300">
        <v>72.349999999999994</v>
      </c>
      <c r="J129" s="300">
        <f>MNF산정!BO$440</f>
        <v>72.266666666666666</v>
      </c>
      <c r="K129" s="283">
        <f t="shared" si="3"/>
        <v>72.278571428571425</v>
      </c>
      <c r="L129" s="282" t="str">
        <f t="shared" si="2"/>
        <v>이상없음</v>
      </c>
    </row>
    <row r="130" spans="1:12" ht="17.25" x14ac:dyDescent="0.3">
      <c r="A130" s="314"/>
      <c r="B130" s="295" t="s">
        <v>684</v>
      </c>
      <c r="C130" s="282" t="s">
        <v>419</v>
      </c>
      <c r="D130" s="300">
        <v>993</v>
      </c>
      <c r="E130" s="300">
        <v>1026</v>
      </c>
      <c r="F130" s="300">
        <v>1000</v>
      </c>
      <c r="G130" s="300">
        <v>1003</v>
      </c>
      <c r="H130" s="300">
        <v>1037</v>
      </c>
      <c r="I130" s="300">
        <v>1001</v>
      </c>
      <c r="J130" s="300">
        <v>1032</v>
      </c>
      <c r="K130" s="283">
        <f t="shared" si="3"/>
        <v>1013.1428571428571</v>
      </c>
      <c r="L130" s="282" t="str">
        <f t="shared" si="2"/>
        <v>이상없음</v>
      </c>
    </row>
    <row r="131" spans="1:12" ht="17.25" x14ac:dyDescent="0.3">
      <c r="A131" s="314"/>
      <c r="B131" s="295" t="s">
        <v>684</v>
      </c>
      <c r="C131" s="282" t="s">
        <v>112</v>
      </c>
      <c r="D131" s="300">
        <v>37.91500017841657</v>
      </c>
      <c r="E131" s="300">
        <v>8.1433333198229469</v>
      </c>
      <c r="F131" s="300">
        <v>48.133333651224774</v>
      </c>
      <c r="G131" s="300">
        <v>48.090000343322757</v>
      </c>
      <c r="H131" s="300">
        <v>10.930000050862629</v>
      </c>
      <c r="I131" s="300">
        <v>46.8966667175293</v>
      </c>
      <c r="J131" s="300">
        <f>MNF산정!BP$440</f>
        <v>48.151666959126793</v>
      </c>
      <c r="K131" s="283">
        <f t="shared" si="3"/>
        <v>35.465714460043685</v>
      </c>
      <c r="L131" s="282" t="str">
        <f t="shared" ref="L131:L194" si="4">IF(OR(J131&gt;=K131*1.1,J131&lt;=K131*0.9),"확인필요","이상없음")</f>
        <v>확인필요</v>
      </c>
    </row>
    <row r="132" spans="1:12" ht="17.25" x14ac:dyDescent="0.3">
      <c r="A132" s="325" t="s">
        <v>160</v>
      </c>
      <c r="B132" s="14" t="s">
        <v>214</v>
      </c>
      <c r="C132" s="282" t="s">
        <v>419</v>
      </c>
      <c r="D132" s="300">
        <v>14207</v>
      </c>
      <c r="E132" s="300">
        <v>13330</v>
      </c>
      <c r="F132" s="300">
        <v>13710</v>
      </c>
      <c r="G132" s="300">
        <v>13721</v>
      </c>
      <c r="H132" s="300">
        <v>13735</v>
      </c>
      <c r="I132" s="300">
        <v>13467</v>
      </c>
      <c r="J132" s="300">
        <v>14674</v>
      </c>
      <c r="K132" s="283">
        <f t="shared" si="3"/>
        <v>13834.857142857143</v>
      </c>
      <c r="L132" s="282" t="str">
        <f t="shared" si="4"/>
        <v>이상없음</v>
      </c>
    </row>
    <row r="133" spans="1:12" ht="17.25" x14ac:dyDescent="0.3">
      <c r="A133" s="325"/>
      <c r="B133" s="14" t="s">
        <v>214</v>
      </c>
      <c r="C133" s="282" t="s">
        <v>112</v>
      </c>
      <c r="D133" s="300">
        <v>256.85000000000002</v>
      </c>
      <c r="E133" s="300">
        <v>263.21666666666664</v>
      </c>
      <c r="F133" s="300">
        <v>262.35000000000002</v>
      </c>
      <c r="G133" s="300">
        <v>263.11666666666667</v>
      </c>
      <c r="H133" s="300">
        <v>274.01666666666665</v>
      </c>
      <c r="I133" s="300">
        <v>269.71666666666664</v>
      </c>
      <c r="J133" s="300">
        <f>MNF산정!BQ$440</f>
        <v>262.36666666666667</v>
      </c>
      <c r="K133" s="283">
        <f t="shared" ref="K133:K196" si="5">AVERAGE(D133:J133)</f>
        <v>264.51904761904763</v>
      </c>
      <c r="L133" s="282" t="str">
        <f t="shared" si="4"/>
        <v>이상없음</v>
      </c>
    </row>
    <row r="134" spans="1:12" ht="17.25" x14ac:dyDescent="0.3">
      <c r="A134" s="325"/>
      <c r="B134" s="284" t="s">
        <v>72</v>
      </c>
      <c r="C134" s="282" t="s">
        <v>419</v>
      </c>
      <c r="D134" s="300">
        <v>3830</v>
      </c>
      <c r="E134" s="300">
        <v>3854</v>
      </c>
      <c r="F134" s="300">
        <v>3671</v>
      </c>
      <c r="G134" s="300">
        <v>3516</v>
      </c>
      <c r="H134" s="300">
        <v>3620</v>
      </c>
      <c r="I134" s="300">
        <v>3663</v>
      </c>
      <c r="J134" s="300">
        <v>3732</v>
      </c>
      <c r="K134" s="283">
        <f t="shared" si="5"/>
        <v>3698</v>
      </c>
      <c r="L134" s="282" t="str">
        <f t="shared" si="4"/>
        <v>이상없음</v>
      </c>
    </row>
    <row r="135" spans="1:12" ht="17.25" x14ac:dyDescent="0.3">
      <c r="A135" s="325"/>
      <c r="B135" s="284" t="s">
        <v>72</v>
      </c>
      <c r="C135" s="282" t="s">
        <v>112</v>
      </c>
      <c r="D135" s="300">
        <v>63.132282829284669</v>
      </c>
      <c r="E135" s="300">
        <v>67.718400001525879</v>
      </c>
      <c r="F135" s="300">
        <v>65.3715830485026</v>
      </c>
      <c r="G135" s="300">
        <v>69.239633051554364</v>
      </c>
      <c r="H135" s="300">
        <v>72.592883173624671</v>
      </c>
      <c r="I135" s="300">
        <v>66.964466730753585</v>
      </c>
      <c r="J135" s="300">
        <f>MNF산정!BR$440</f>
        <v>66.080383427937832</v>
      </c>
      <c r="K135" s="283">
        <f t="shared" si="5"/>
        <v>67.299947466169087</v>
      </c>
      <c r="L135" s="282" t="str">
        <f t="shared" si="4"/>
        <v>이상없음</v>
      </c>
    </row>
    <row r="136" spans="1:12" ht="17.25" x14ac:dyDescent="0.3">
      <c r="A136" s="325"/>
      <c r="B136" s="284" t="s">
        <v>101</v>
      </c>
      <c r="C136" s="282" t="s">
        <v>419</v>
      </c>
      <c r="D136" s="300">
        <v>2962</v>
      </c>
      <c r="E136" s="300">
        <v>2386</v>
      </c>
      <c r="F136" s="300">
        <v>2812</v>
      </c>
      <c r="G136" s="300">
        <v>2821</v>
      </c>
      <c r="H136" s="300">
        <v>2537</v>
      </c>
      <c r="I136" s="300">
        <v>2612</v>
      </c>
      <c r="J136" s="300">
        <v>3095</v>
      </c>
      <c r="K136" s="283">
        <f t="shared" si="5"/>
        <v>2746.4285714285716</v>
      </c>
      <c r="L136" s="282" t="str">
        <f t="shared" si="4"/>
        <v>확인필요</v>
      </c>
    </row>
    <row r="137" spans="1:12" ht="17.25" x14ac:dyDescent="0.3">
      <c r="A137" s="325"/>
      <c r="B137" s="284" t="s">
        <v>101</v>
      </c>
      <c r="C137" s="282" t="s">
        <v>112</v>
      </c>
      <c r="D137" s="300">
        <v>23.071449979146323</v>
      </c>
      <c r="E137" s="300">
        <v>22.600500043233236</v>
      </c>
      <c r="F137" s="300">
        <v>22.498750082651775</v>
      </c>
      <c r="G137" s="300">
        <v>22.452116711934408</v>
      </c>
      <c r="H137" s="300">
        <v>22.816866842905679</v>
      </c>
      <c r="I137" s="300">
        <v>25.314849869410196</v>
      </c>
      <c r="J137" s="300">
        <f>MNF산정!BS$440</f>
        <v>24.101983483632406</v>
      </c>
      <c r="K137" s="283">
        <f t="shared" si="5"/>
        <v>23.265216716130574</v>
      </c>
      <c r="L137" s="282" t="str">
        <f t="shared" si="4"/>
        <v>이상없음</v>
      </c>
    </row>
    <row r="138" spans="1:12" ht="17.25" x14ac:dyDescent="0.3">
      <c r="A138" s="325"/>
      <c r="B138" s="284" t="s">
        <v>102</v>
      </c>
      <c r="C138" s="282" t="s">
        <v>419</v>
      </c>
      <c r="D138" s="300">
        <v>3528</v>
      </c>
      <c r="E138" s="300">
        <v>3205</v>
      </c>
      <c r="F138" s="300">
        <v>3552</v>
      </c>
      <c r="G138" s="300">
        <v>3554</v>
      </c>
      <c r="H138" s="300">
        <v>3736</v>
      </c>
      <c r="I138" s="300">
        <v>3470</v>
      </c>
      <c r="J138" s="300">
        <v>3926</v>
      </c>
      <c r="K138" s="283">
        <f t="shared" si="5"/>
        <v>3567.2857142857142</v>
      </c>
      <c r="L138" s="282" t="str">
        <f t="shared" si="4"/>
        <v>확인필요</v>
      </c>
    </row>
    <row r="139" spans="1:12" ht="17.25" x14ac:dyDescent="0.3">
      <c r="A139" s="325"/>
      <c r="B139" s="284" t="s">
        <v>102</v>
      </c>
      <c r="C139" s="282" t="s">
        <v>112</v>
      </c>
      <c r="D139" s="300">
        <v>40.338948694864911</v>
      </c>
      <c r="E139" s="300">
        <v>39.81361618041992</v>
      </c>
      <c r="F139" s="300">
        <v>40.131199073791507</v>
      </c>
      <c r="G139" s="300">
        <v>40.246599133809404</v>
      </c>
      <c r="H139" s="300">
        <v>41.066332499186196</v>
      </c>
      <c r="I139" s="300">
        <v>40.852782185872393</v>
      </c>
      <c r="J139" s="300">
        <f>MNF산정!BT$440</f>
        <v>40.656465339660642</v>
      </c>
      <c r="K139" s="283">
        <f t="shared" si="5"/>
        <v>40.443706158229283</v>
      </c>
      <c r="L139" s="282" t="str">
        <f t="shared" si="4"/>
        <v>이상없음</v>
      </c>
    </row>
    <row r="140" spans="1:12" ht="17.25" x14ac:dyDescent="0.3">
      <c r="A140" s="325"/>
      <c r="B140" s="284" t="s">
        <v>103</v>
      </c>
      <c r="C140" s="282" t="s">
        <v>419</v>
      </c>
      <c r="D140" s="300">
        <v>1504</v>
      </c>
      <c r="E140" s="300">
        <v>1497</v>
      </c>
      <c r="F140" s="300">
        <v>1277</v>
      </c>
      <c r="G140" s="300">
        <v>1503</v>
      </c>
      <c r="H140" s="300">
        <v>1491</v>
      </c>
      <c r="I140" s="300">
        <v>1332</v>
      </c>
      <c r="J140" s="300">
        <v>1579</v>
      </c>
      <c r="K140" s="283">
        <f t="shared" si="5"/>
        <v>1454.7142857142858</v>
      </c>
      <c r="L140" s="282" t="str">
        <f t="shared" si="4"/>
        <v>이상없음</v>
      </c>
    </row>
    <row r="141" spans="1:12" ht="17.25" x14ac:dyDescent="0.3">
      <c r="A141" s="325"/>
      <c r="B141" s="284" t="s">
        <v>103</v>
      </c>
      <c r="C141" s="282" t="s">
        <v>112</v>
      </c>
      <c r="D141" s="300">
        <v>33.747416814168297</v>
      </c>
      <c r="E141" s="300">
        <v>34.668800067901614</v>
      </c>
      <c r="F141" s="300">
        <v>35.159650039672854</v>
      </c>
      <c r="G141" s="300">
        <v>34.738733482360843</v>
      </c>
      <c r="H141" s="300">
        <v>35.904050159454343</v>
      </c>
      <c r="I141" s="300">
        <v>34.737716833750405</v>
      </c>
      <c r="J141" s="300">
        <f>MNF산정!BU$440</f>
        <v>33.601083374023439</v>
      </c>
      <c r="K141" s="283">
        <f t="shared" si="5"/>
        <v>34.651064395904541</v>
      </c>
      <c r="L141" s="282" t="str">
        <f t="shared" si="4"/>
        <v>이상없음</v>
      </c>
    </row>
    <row r="142" spans="1:12" ht="17.25" x14ac:dyDescent="0.3">
      <c r="A142" s="327" t="s">
        <v>161</v>
      </c>
      <c r="B142" s="12" t="s">
        <v>208</v>
      </c>
      <c r="C142" s="282" t="s">
        <v>419</v>
      </c>
      <c r="D142" s="300">
        <v>1515</v>
      </c>
      <c r="E142" s="300">
        <v>1727</v>
      </c>
      <c r="F142" s="300">
        <v>1720</v>
      </c>
      <c r="G142" s="300">
        <v>1719</v>
      </c>
      <c r="H142" s="300">
        <v>1721</v>
      </c>
      <c r="I142" s="300">
        <v>1715</v>
      </c>
      <c r="J142" s="300">
        <v>1715</v>
      </c>
      <c r="K142" s="283">
        <f t="shared" si="5"/>
        <v>1690.2857142857142</v>
      </c>
      <c r="L142" s="282" t="str">
        <f t="shared" si="4"/>
        <v>이상없음</v>
      </c>
    </row>
    <row r="143" spans="1:12" ht="17.25" x14ac:dyDescent="0.3">
      <c r="A143" s="328"/>
      <c r="B143" s="12" t="s">
        <v>208</v>
      </c>
      <c r="C143" s="282" t="s">
        <v>112</v>
      </c>
      <c r="D143" s="300">
        <v>68.755000305175784</v>
      </c>
      <c r="E143" s="300">
        <v>68.928333028157553</v>
      </c>
      <c r="F143" s="300">
        <v>68.851667404174805</v>
      </c>
      <c r="G143" s="300">
        <v>69.161667378743488</v>
      </c>
      <c r="H143" s="300">
        <v>68.681667200724277</v>
      </c>
      <c r="I143" s="300">
        <v>68.601667149861655</v>
      </c>
      <c r="J143" s="300">
        <f>MNF산정!BV$440</f>
        <v>68.996666590372726</v>
      </c>
      <c r="K143" s="283">
        <f t="shared" si="5"/>
        <v>68.853809865315768</v>
      </c>
      <c r="L143" s="282" t="str">
        <f t="shared" si="4"/>
        <v>이상없음</v>
      </c>
    </row>
    <row r="144" spans="1:12" ht="17.25" x14ac:dyDescent="0.3">
      <c r="A144" s="329" t="s">
        <v>162</v>
      </c>
      <c r="B144" s="13" t="s">
        <v>207</v>
      </c>
      <c r="C144" s="282" t="s">
        <v>419</v>
      </c>
      <c r="D144" s="300">
        <v>241</v>
      </c>
      <c r="E144" s="300">
        <v>245</v>
      </c>
      <c r="F144" s="300">
        <v>231</v>
      </c>
      <c r="G144" s="300">
        <v>227</v>
      </c>
      <c r="H144" s="300">
        <v>230</v>
      </c>
      <c r="I144" s="300">
        <v>239</v>
      </c>
      <c r="J144" s="300">
        <v>249</v>
      </c>
      <c r="K144" s="283">
        <f t="shared" si="5"/>
        <v>237.42857142857142</v>
      </c>
      <c r="L144" s="282" t="str">
        <f t="shared" si="4"/>
        <v>이상없음</v>
      </c>
    </row>
    <row r="145" spans="1:12" ht="17.25" x14ac:dyDescent="0.3">
      <c r="A145" s="330"/>
      <c r="B145" s="13" t="s">
        <v>207</v>
      </c>
      <c r="C145" s="282" t="s">
        <v>112</v>
      </c>
      <c r="D145" s="300">
        <v>5.8583333889643354</v>
      </c>
      <c r="E145" s="300">
        <v>5.8133333603541057</v>
      </c>
      <c r="F145" s="300">
        <v>6.171666598320007</v>
      </c>
      <c r="G145" s="300">
        <v>5.6533332983652747</v>
      </c>
      <c r="H145" s="300">
        <v>5.9216667334238684</v>
      </c>
      <c r="I145" s="300">
        <v>5.798333382606506</v>
      </c>
      <c r="J145" s="300">
        <f>MNF산정!BW$440</f>
        <v>5.7833333889643352</v>
      </c>
      <c r="K145" s="283">
        <f t="shared" si="5"/>
        <v>5.8571428787140629</v>
      </c>
      <c r="L145" s="282" t="str">
        <f t="shared" si="4"/>
        <v>이상없음</v>
      </c>
    </row>
    <row r="146" spans="1:12" ht="17.25" x14ac:dyDescent="0.3">
      <c r="A146" s="331" t="s">
        <v>163</v>
      </c>
      <c r="B146" s="14" t="s">
        <v>209</v>
      </c>
      <c r="C146" s="282" t="s">
        <v>419</v>
      </c>
      <c r="D146" s="300">
        <v>356</v>
      </c>
      <c r="E146" s="300">
        <v>353</v>
      </c>
      <c r="F146" s="300">
        <v>352</v>
      </c>
      <c r="G146" s="300">
        <v>351</v>
      </c>
      <c r="H146" s="300">
        <v>353</v>
      </c>
      <c r="I146" s="300">
        <v>353</v>
      </c>
      <c r="J146" s="300">
        <v>353</v>
      </c>
      <c r="K146" s="283">
        <f t="shared" si="5"/>
        <v>353</v>
      </c>
      <c r="L146" s="282" t="str">
        <f t="shared" si="4"/>
        <v>이상없음</v>
      </c>
    </row>
    <row r="147" spans="1:12" ht="17.25" x14ac:dyDescent="0.3">
      <c r="A147" s="332"/>
      <c r="B147" s="14" t="s">
        <v>209</v>
      </c>
      <c r="C147" s="282" t="s">
        <v>112</v>
      </c>
      <c r="D147" s="300">
        <v>13.416666348775228</v>
      </c>
      <c r="E147" s="300">
        <v>13.353333409627279</v>
      </c>
      <c r="F147" s="300">
        <v>13.439999755223592</v>
      </c>
      <c r="G147" s="300">
        <v>13.551666688919067</v>
      </c>
      <c r="H147" s="300">
        <v>13.40833298365275</v>
      </c>
      <c r="I147" s="300">
        <v>13.448333104451498</v>
      </c>
      <c r="J147" s="300">
        <f>MNF산정!BX$440</f>
        <v>13.563333336512247</v>
      </c>
      <c r="K147" s="283">
        <f t="shared" si="5"/>
        <v>13.454523661023094</v>
      </c>
      <c r="L147" s="282" t="str">
        <f t="shared" si="4"/>
        <v>이상없음</v>
      </c>
    </row>
    <row r="148" spans="1:12" ht="17.25" x14ac:dyDescent="0.3">
      <c r="A148" s="333" t="s">
        <v>164</v>
      </c>
      <c r="B148" s="296" t="s">
        <v>232</v>
      </c>
      <c r="C148" s="282" t="s">
        <v>419</v>
      </c>
      <c r="D148" s="300">
        <v>111</v>
      </c>
      <c r="E148" s="300">
        <v>117</v>
      </c>
      <c r="F148" s="300">
        <v>103</v>
      </c>
      <c r="G148" s="300">
        <v>105</v>
      </c>
      <c r="H148" s="300">
        <v>104</v>
      </c>
      <c r="I148" s="300">
        <v>139</v>
      </c>
      <c r="J148" s="300">
        <v>122</v>
      </c>
      <c r="K148" s="283">
        <f t="shared" si="5"/>
        <v>114.42857142857143</v>
      </c>
      <c r="L148" s="282" t="str">
        <f t="shared" si="4"/>
        <v>이상없음</v>
      </c>
    </row>
    <row r="149" spans="1:12" ht="17.25" x14ac:dyDescent="0.3">
      <c r="A149" s="333"/>
      <c r="B149" s="296" t="s">
        <v>232</v>
      </c>
      <c r="C149" s="282" t="s">
        <v>112</v>
      </c>
      <c r="D149" s="300">
        <v>1.4064143535991509E-2</v>
      </c>
      <c r="E149" s="300">
        <v>1.5021005800614754E-2</v>
      </c>
      <c r="F149" s="300">
        <v>1.3788143654043477E-2</v>
      </c>
      <c r="G149" s="300">
        <v>1.3134161351869504E-2</v>
      </c>
      <c r="H149" s="300">
        <v>1.3272897386923433E-2</v>
      </c>
      <c r="I149" s="300">
        <v>1.3722547764579455E-2</v>
      </c>
      <c r="J149" s="300">
        <f>MNF산정!BZ$440</f>
        <v>1.4105707903703054E-2</v>
      </c>
      <c r="K149" s="283">
        <f t="shared" si="5"/>
        <v>1.3872658199675026E-2</v>
      </c>
      <c r="L149" s="282" t="str">
        <f t="shared" si="4"/>
        <v>이상없음</v>
      </c>
    </row>
    <row r="150" spans="1:12" ht="17.25" x14ac:dyDescent="0.3">
      <c r="A150" s="324" t="s">
        <v>165</v>
      </c>
      <c r="B150" s="297" t="s">
        <v>234</v>
      </c>
      <c r="C150" s="282" t="s">
        <v>419</v>
      </c>
      <c r="D150" s="300">
        <v>771</v>
      </c>
      <c r="E150" s="300">
        <v>761</v>
      </c>
      <c r="F150" s="300">
        <v>753</v>
      </c>
      <c r="G150" s="300">
        <v>753</v>
      </c>
      <c r="H150" s="300">
        <v>753</v>
      </c>
      <c r="I150" s="300">
        <v>755</v>
      </c>
      <c r="J150" s="300">
        <v>756</v>
      </c>
      <c r="K150" s="283">
        <f t="shared" si="5"/>
        <v>757.42857142857144</v>
      </c>
      <c r="L150" s="282" t="str">
        <f t="shared" si="4"/>
        <v>이상없음</v>
      </c>
    </row>
    <row r="151" spans="1:12" ht="17.25" x14ac:dyDescent="0.3">
      <c r="A151" s="324"/>
      <c r="B151" s="297" t="s">
        <v>234</v>
      </c>
      <c r="C151" s="282" t="s">
        <v>112</v>
      </c>
      <c r="D151" s="300">
        <v>29.450054105122884</v>
      </c>
      <c r="E151" s="300">
        <v>28.731720161437988</v>
      </c>
      <c r="F151" s="300">
        <v>29.38653710683187</v>
      </c>
      <c r="G151" s="300">
        <v>29.414314079284669</v>
      </c>
      <c r="H151" s="300">
        <v>29.257855542500813</v>
      </c>
      <c r="I151" s="300">
        <v>29.268947283426922</v>
      </c>
      <c r="J151" s="300">
        <f>MNF산정!CB$440</f>
        <v>29.171509997049967</v>
      </c>
      <c r="K151" s="283">
        <f t="shared" si="5"/>
        <v>29.240134039379296</v>
      </c>
      <c r="L151" s="282" t="str">
        <f t="shared" si="4"/>
        <v>이상없음</v>
      </c>
    </row>
    <row r="152" spans="1:12" ht="17.25" x14ac:dyDescent="0.3">
      <c r="A152" s="334" t="s">
        <v>166</v>
      </c>
      <c r="B152" s="11" t="s">
        <v>18</v>
      </c>
      <c r="C152" s="282" t="s">
        <v>419</v>
      </c>
      <c r="D152" s="300"/>
      <c r="E152" s="300"/>
      <c r="F152" s="300"/>
      <c r="G152" s="300"/>
      <c r="H152" s="300"/>
      <c r="I152" s="300"/>
      <c r="J152" s="300"/>
      <c r="K152" s="283" t="e">
        <f t="shared" si="5"/>
        <v>#DIV/0!</v>
      </c>
      <c r="L152" s="282" t="e">
        <f t="shared" si="4"/>
        <v>#DIV/0!</v>
      </c>
    </row>
    <row r="153" spans="1:12" ht="17.25" x14ac:dyDescent="0.3">
      <c r="A153" s="334"/>
      <c r="B153" s="11" t="s">
        <v>18</v>
      </c>
      <c r="C153" s="282" t="s">
        <v>112</v>
      </c>
      <c r="D153" s="300"/>
      <c r="E153" s="300"/>
      <c r="F153" s="300"/>
      <c r="G153" s="300"/>
      <c r="H153" s="300"/>
      <c r="I153" s="300"/>
      <c r="J153" s="300" t="e">
        <f>MNF산정!CC$440</f>
        <v>#DIV/0!</v>
      </c>
      <c r="K153" s="283" t="e">
        <f t="shared" si="5"/>
        <v>#DIV/0!</v>
      </c>
      <c r="L153" s="282" t="e">
        <f t="shared" si="4"/>
        <v>#DIV/0!</v>
      </c>
    </row>
    <row r="154" spans="1:12" ht="17.25" x14ac:dyDescent="0.3">
      <c r="A154" s="314" t="s">
        <v>167</v>
      </c>
      <c r="B154" s="12" t="s">
        <v>38</v>
      </c>
      <c r="C154" s="282" t="s">
        <v>419</v>
      </c>
      <c r="D154" s="300">
        <v>10546</v>
      </c>
      <c r="E154" s="300">
        <v>10468</v>
      </c>
      <c r="F154" s="300">
        <v>10477</v>
      </c>
      <c r="G154" s="300">
        <v>10476</v>
      </c>
      <c r="H154" s="300">
        <v>10516</v>
      </c>
      <c r="I154" s="300">
        <v>10593</v>
      </c>
      <c r="J154" s="300">
        <v>10650</v>
      </c>
      <c r="K154" s="283">
        <f t="shared" si="5"/>
        <v>10532.285714285714</v>
      </c>
      <c r="L154" s="282" t="str">
        <f t="shared" si="4"/>
        <v>이상없음</v>
      </c>
    </row>
    <row r="155" spans="1:12" ht="17.25" x14ac:dyDescent="0.3">
      <c r="A155" s="314"/>
      <c r="B155" s="12" t="s">
        <v>38</v>
      </c>
      <c r="C155" s="282" t="s">
        <v>112</v>
      </c>
      <c r="D155" s="300">
        <v>336.55357818603517</v>
      </c>
      <c r="E155" s="300">
        <v>330.36667582194008</v>
      </c>
      <c r="F155" s="300">
        <v>335.8538869222005</v>
      </c>
      <c r="G155" s="300">
        <v>331.76121114095054</v>
      </c>
      <c r="H155" s="300">
        <v>352.12152048746742</v>
      </c>
      <c r="I155" s="300">
        <v>341.79698893229164</v>
      </c>
      <c r="J155" s="300">
        <f>MNF산정!CD$440</f>
        <v>332.46124877929685</v>
      </c>
      <c r="K155" s="283">
        <f t="shared" si="5"/>
        <v>337.27358718145462</v>
      </c>
      <c r="L155" s="282" t="str">
        <f t="shared" si="4"/>
        <v>이상없음</v>
      </c>
    </row>
    <row r="156" spans="1:12" ht="17.25" x14ac:dyDescent="0.3">
      <c r="A156" s="314"/>
      <c r="B156" s="15" t="s">
        <v>76</v>
      </c>
      <c r="C156" s="282" t="s">
        <v>419</v>
      </c>
      <c r="D156" s="300">
        <v>1630</v>
      </c>
      <c r="E156" s="300">
        <v>1571</v>
      </c>
      <c r="F156" s="300">
        <v>1647</v>
      </c>
      <c r="G156" s="300">
        <v>1644</v>
      </c>
      <c r="H156" s="300">
        <v>1633</v>
      </c>
      <c r="I156" s="300">
        <v>1694</v>
      </c>
      <c r="J156" s="300">
        <v>1664</v>
      </c>
      <c r="K156" s="283">
        <f t="shared" si="5"/>
        <v>1640.4285714285713</v>
      </c>
      <c r="L156" s="282" t="str">
        <f t="shared" si="4"/>
        <v>이상없음</v>
      </c>
    </row>
    <row r="157" spans="1:12" ht="17.25" x14ac:dyDescent="0.3">
      <c r="A157" s="314"/>
      <c r="B157" s="15" t="s">
        <v>76</v>
      </c>
      <c r="C157" s="282" t="s">
        <v>112</v>
      </c>
      <c r="D157" s="300">
        <v>27.23307243982951</v>
      </c>
      <c r="E157" s="300">
        <v>27.337406317392986</v>
      </c>
      <c r="F157" s="300">
        <v>31.105040868123371</v>
      </c>
      <c r="G157" s="300">
        <v>24.603795687357586</v>
      </c>
      <c r="H157" s="300">
        <v>34.643129603068033</v>
      </c>
      <c r="I157" s="300">
        <v>29.909762859344482</v>
      </c>
      <c r="J157" s="300">
        <f>MNF산정!CE$440</f>
        <v>29.284590752919517</v>
      </c>
      <c r="K157" s="283">
        <f t="shared" si="5"/>
        <v>29.159542646862214</v>
      </c>
      <c r="L157" s="282" t="str">
        <f t="shared" si="4"/>
        <v>이상없음</v>
      </c>
    </row>
    <row r="158" spans="1:12" ht="17.25" x14ac:dyDescent="0.3">
      <c r="A158" s="314"/>
      <c r="B158" s="15" t="s">
        <v>653</v>
      </c>
      <c r="C158" s="282" t="s">
        <v>419</v>
      </c>
      <c r="D158" s="300">
        <v>792</v>
      </c>
      <c r="E158" s="300">
        <v>828</v>
      </c>
      <c r="F158" s="300">
        <v>771</v>
      </c>
      <c r="G158" s="300">
        <v>783</v>
      </c>
      <c r="H158" s="300">
        <v>785</v>
      </c>
      <c r="I158" s="300">
        <v>793</v>
      </c>
      <c r="J158" s="300">
        <v>862</v>
      </c>
      <c r="K158" s="283">
        <f t="shared" si="5"/>
        <v>802</v>
      </c>
      <c r="L158" s="282" t="str">
        <f t="shared" si="4"/>
        <v>이상없음</v>
      </c>
    </row>
    <row r="159" spans="1:12" ht="17.25" x14ac:dyDescent="0.3">
      <c r="A159" s="314"/>
      <c r="B159" s="15" t="s">
        <v>653</v>
      </c>
      <c r="C159" s="282" t="s">
        <v>112</v>
      </c>
      <c r="D159" s="300">
        <v>16.156188376744588</v>
      </c>
      <c r="E159" s="300">
        <v>16.788583517074585</v>
      </c>
      <c r="F159" s="300">
        <v>16.504302755991617</v>
      </c>
      <c r="G159" s="300">
        <v>16.327845001220702</v>
      </c>
      <c r="H159" s="300">
        <v>17.483221419652303</v>
      </c>
      <c r="I159" s="300">
        <v>17.468832365671794</v>
      </c>
      <c r="J159" s="300">
        <f>MNF산정!CF$440</f>
        <v>16.682582251230876</v>
      </c>
      <c r="K159" s="283">
        <f t="shared" si="5"/>
        <v>16.773079383940928</v>
      </c>
      <c r="L159" s="282" t="str">
        <f t="shared" si="4"/>
        <v>이상없음</v>
      </c>
    </row>
    <row r="160" spans="1:12" ht="17.25" x14ac:dyDescent="0.3">
      <c r="A160" s="314"/>
      <c r="B160" s="22" t="s">
        <v>238</v>
      </c>
      <c r="C160" s="282" t="s">
        <v>419</v>
      </c>
      <c r="D160" s="300">
        <v>580</v>
      </c>
      <c r="E160" s="300">
        <v>500</v>
      </c>
      <c r="F160" s="300">
        <v>0</v>
      </c>
      <c r="G160" s="300">
        <v>0</v>
      </c>
      <c r="H160" s="300">
        <v>0</v>
      </c>
      <c r="I160" s="300">
        <v>0</v>
      </c>
      <c r="J160" s="300">
        <v>0</v>
      </c>
      <c r="K160" s="283">
        <f t="shared" si="5"/>
        <v>154.28571428571428</v>
      </c>
      <c r="L160" s="282" t="str">
        <f t="shared" si="4"/>
        <v>확인필요</v>
      </c>
    </row>
    <row r="161" spans="1:12" ht="17.25" x14ac:dyDescent="0.3">
      <c r="A161" s="314"/>
      <c r="B161" s="22" t="s">
        <v>238</v>
      </c>
      <c r="C161" s="282" t="s">
        <v>112</v>
      </c>
      <c r="D161" s="300">
        <v>11.61895661354065</v>
      </c>
      <c r="E161" s="300">
        <v>35.338191986083984</v>
      </c>
      <c r="F161" s="300">
        <v>35.338191986083984</v>
      </c>
      <c r="G161" s="300">
        <v>35.338191986083984</v>
      </c>
      <c r="H161" s="300">
        <v>35.338191986083984</v>
      </c>
      <c r="I161" s="300">
        <v>35.338191986083984</v>
      </c>
      <c r="J161" s="300">
        <f>MNF산정!CG$440</f>
        <v>35.338191986083984</v>
      </c>
      <c r="K161" s="283">
        <f t="shared" si="5"/>
        <v>31.949729790006366</v>
      </c>
      <c r="L161" s="282" t="str">
        <f t="shared" si="4"/>
        <v>확인필요</v>
      </c>
    </row>
    <row r="162" spans="1:12" ht="17.25" x14ac:dyDescent="0.3">
      <c r="A162" s="314"/>
      <c r="B162" s="22" t="s">
        <v>240</v>
      </c>
      <c r="C162" s="282" t="s">
        <v>419</v>
      </c>
      <c r="D162" s="300">
        <v>7311</v>
      </c>
      <c r="E162" s="300">
        <v>7316</v>
      </c>
      <c r="F162" s="300">
        <v>7284</v>
      </c>
      <c r="G162" s="300">
        <v>7253</v>
      </c>
      <c r="H162" s="300">
        <v>7278</v>
      </c>
      <c r="I162" s="300">
        <v>7289</v>
      </c>
      <c r="J162" s="300">
        <v>7297</v>
      </c>
      <c r="K162" s="283">
        <f t="shared" si="5"/>
        <v>7289.7142857142853</v>
      </c>
      <c r="L162" s="282" t="str">
        <f t="shared" si="4"/>
        <v>이상없음</v>
      </c>
    </row>
    <row r="163" spans="1:12" ht="17.25" x14ac:dyDescent="0.3">
      <c r="A163" s="314"/>
      <c r="B163" s="22" t="s">
        <v>240</v>
      </c>
      <c r="C163" s="282" t="s">
        <v>112</v>
      </c>
      <c r="D163" s="300">
        <v>277.80570170084633</v>
      </c>
      <c r="E163" s="300">
        <v>270.94041798909507</v>
      </c>
      <c r="F163" s="300">
        <v>272.71300303141277</v>
      </c>
      <c r="G163" s="300">
        <v>271.64150136311849</v>
      </c>
      <c r="H163" s="300">
        <v>275.93245951334637</v>
      </c>
      <c r="I163" s="300">
        <v>276.25214996337888</v>
      </c>
      <c r="J163" s="300">
        <f>MNF산정!CH$440</f>
        <v>271.51519063313805</v>
      </c>
      <c r="K163" s="283">
        <f t="shared" si="5"/>
        <v>273.82863202776224</v>
      </c>
      <c r="L163" s="282" t="str">
        <f t="shared" si="4"/>
        <v>이상없음</v>
      </c>
    </row>
    <row r="164" spans="1:12" ht="17.25" x14ac:dyDescent="0.3">
      <c r="A164" s="314"/>
      <c r="B164" s="12" t="s">
        <v>200</v>
      </c>
      <c r="C164" s="282" t="s">
        <v>419</v>
      </c>
      <c r="D164" s="300">
        <v>3820</v>
      </c>
      <c r="E164" s="300">
        <v>3729</v>
      </c>
      <c r="F164" s="300">
        <v>3658</v>
      </c>
      <c r="G164" s="300">
        <v>3502</v>
      </c>
      <c r="H164" s="300">
        <v>3716</v>
      </c>
      <c r="I164" s="300">
        <v>3738</v>
      </c>
      <c r="J164" s="300">
        <v>3720</v>
      </c>
      <c r="K164" s="283">
        <f t="shared" si="5"/>
        <v>3697.5714285714284</v>
      </c>
      <c r="L164" s="282" t="str">
        <f t="shared" si="4"/>
        <v>이상없음</v>
      </c>
    </row>
    <row r="165" spans="1:12" ht="17.25" x14ac:dyDescent="0.3">
      <c r="A165" s="314"/>
      <c r="B165" s="12" t="s">
        <v>200</v>
      </c>
      <c r="C165" s="282" t="s">
        <v>112</v>
      </c>
      <c r="D165" s="300">
        <v>73.395692571004233</v>
      </c>
      <c r="E165" s="300">
        <v>75.276060104370117</v>
      </c>
      <c r="F165" s="300">
        <v>78.160319773356122</v>
      </c>
      <c r="G165" s="300">
        <v>76.476931126912433</v>
      </c>
      <c r="H165" s="300">
        <v>78.592743301391607</v>
      </c>
      <c r="I165" s="300">
        <v>77.255840810139972</v>
      </c>
      <c r="J165" s="300">
        <f>MNF산정!CI$440</f>
        <v>77.171879704793298</v>
      </c>
      <c r="K165" s="283">
        <f t="shared" si="5"/>
        <v>76.618495341709675</v>
      </c>
      <c r="L165" s="282" t="str">
        <f t="shared" si="4"/>
        <v>이상없음</v>
      </c>
    </row>
    <row r="166" spans="1:12" ht="17.25" x14ac:dyDescent="0.3">
      <c r="A166" s="314"/>
      <c r="B166" s="15" t="s">
        <v>77</v>
      </c>
      <c r="C166" s="282" t="s">
        <v>419</v>
      </c>
      <c r="D166" s="300">
        <v>1971</v>
      </c>
      <c r="E166" s="300">
        <v>1942</v>
      </c>
      <c r="F166" s="300">
        <v>1936</v>
      </c>
      <c r="G166" s="300">
        <v>1737</v>
      </c>
      <c r="H166" s="300">
        <v>1888</v>
      </c>
      <c r="I166" s="300">
        <v>1817</v>
      </c>
      <c r="J166" s="300">
        <v>1816</v>
      </c>
      <c r="K166" s="283">
        <f t="shared" si="5"/>
        <v>1872.4285714285713</v>
      </c>
      <c r="L166" s="282" t="str">
        <f t="shared" si="4"/>
        <v>이상없음</v>
      </c>
    </row>
    <row r="167" spans="1:12" ht="17.25" x14ac:dyDescent="0.3">
      <c r="A167" s="314"/>
      <c r="B167" s="15" t="s">
        <v>77</v>
      </c>
      <c r="C167" s="282" t="s">
        <v>112</v>
      </c>
      <c r="D167" s="300">
        <v>30.536263116200765</v>
      </c>
      <c r="E167" s="300">
        <v>33.342739995320635</v>
      </c>
      <c r="F167" s="300">
        <v>33.65448128382365</v>
      </c>
      <c r="G167" s="300">
        <v>31.268893845876057</v>
      </c>
      <c r="H167" s="300">
        <v>32.749995740254718</v>
      </c>
      <c r="I167" s="300">
        <v>32.054435666402178</v>
      </c>
      <c r="J167" s="300">
        <f>MNF산정!CJ$440</f>
        <v>32.77827132542928</v>
      </c>
      <c r="K167" s="283">
        <f t="shared" si="5"/>
        <v>32.340725853329609</v>
      </c>
      <c r="L167" s="282" t="str">
        <f t="shared" si="4"/>
        <v>이상없음</v>
      </c>
    </row>
    <row r="168" spans="1:12" ht="17.25" x14ac:dyDescent="0.3">
      <c r="A168" s="314"/>
      <c r="B168" s="15" t="s">
        <v>78</v>
      </c>
      <c r="C168" s="282" t="s">
        <v>419</v>
      </c>
      <c r="D168" s="300">
        <v>2008</v>
      </c>
      <c r="E168" s="300">
        <v>1949</v>
      </c>
      <c r="F168" s="300">
        <v>1888</v>
      </c>
      <c r="G168" s="300">
        <v>1925</v>
      </c>
      <c r="H168" s="300">
        <v>1997</v>
      </c>
      <c r="I168" s="300">
        <v>2089</v>
      </c>
      <c r="J168" s="300">
        <v>2065</v>
      </c>
      <c r="K168" s="283">
        <f t="shared" si="5"/>
        <v>1988.7142857142858</v>
      </c>
      <c r="L168" s="282" t="str">
        <f t="shared" si="4"/>
        <v>이상없음</v>
      </c>
    </row>
    <row r="169" spans="1:12" ht="17.25" x14ac:dyDescent="0.3">
      <c r="A169" s="314"/>
      <c r="B169" s="15" t="s">
        <v>78</v>
      </c>
      <c r="C169" s="282" t="s">
        <v>112</v>
      </c>
      <c r="D169" s="300">
        <v>45.926692008972168</v>
      </c>
      <c r="E169" s="300">
        <v>45.000841077168779</v>
      </c>
      <c r="F169" s="300">
        <v>47.430964787801109</v>
      </c>
      <c r="G169" s="300">
        <v>47.965685844421387</v>
      </c>
      <c r="H169" s="300">
        <v>48.861777623494469</v>
      </c>
      <c r="I169" s="300">
        <v>47.844169553120928</v>
      </c>
      <c r="J169" s="300">
        <f>MNF산정!CK$440</f>
        <v>47.314433924357097</v>
      </c>
      <c r="K169" s="283">
        <f t="shared" si="5"/>
        <v>47.192080688476565</v>
      </c>
      <c r="L169" s="282" t="str">
        <f t="shared" si="4"/>
        <v>이상없음</v>
      </c>
    </row>
    <row r="170" spans="1:12" ht="17.25" x14ac:dyDescent="0.3">
      <c r="A170" s="314"/>
      <c r="B170" s="12" t="s">
        <v>242</v>
      </c>
      <c r="C170" s="282" t="s">
        <v>419</v>
      </c>
      <c r="D170" s="300">
        <v>1247</v>
      </c>
      <c r="E170" s="300">
        <v>1279</v>
      </c>
      <c r="F170" s="300">
        <v>1230</v>
      </c>
      <c r="G170" s="300">
        <v>1266</v>
      </c>
      <c r="H170" s="300">
        <v>1267</v>
      </c>
      <c r="I170" s="300">
        <v>1283</v>
      </c>
      <c r="J170" s="300">
        <v>1315</v>
      </c>
      <c r="K170" s="283">
        <f t="shared" si="5"/>
        <v>1269.5714285714287</v>
      </c>
      <c r="L170" s="282" t="str">
        <f t="shared" si="4"/>
        <v>이상없음</v>
      </c>
    </row>
    <row r="171" spans="1:12" ht="17.25" x14ac:dyDescent="0.3">
      <c r="A171" s="314"/>
      <c r="B171" s="12" t="s">
        <v>242</v>
      </c>
      <c r="C171" s="282" t="s">
        <v>112</v>
      </c>
      <c r="D171" s="300">
        <v>24.997284094492596</v>
      </c>
      <c r="E171" s="300">
        <v>23.755264155069987</v>
      </c>
      <c r="F171" s="300">
        <v>24.652437464396158</v>
      </c>
      <c r="G171" s="300">
        <v>24.446922206878661</v>
      </c>
      <c r="H171" s="300">
        <v>27.310620752970376</v>
      </c>
      <c r="I171" s="300">
        <v>25.11730286280314</v>
      </c>
      <c r="J171" s="300">
        <f>MNF산정!CL$440</f>
        <v>24.062316449483237</v>
      </c>
      <c r="K171" s="283">
        <f t="shared" si="5"/>
        <v>24.906021140870592</v>
      </c>
      <c r="L171" s="282" t="str">
        <f t="shared" si="4"/>
        <v>이상없음</v>
      </c>
    </row>
    <row r="172" spans="1:12" ht="17.25" x14ac:dyDescent="0.3">
      <c r="A172" s="324" t="s">
        <v>168</v>
      </c>
      <c r="B172" s="13" t="s">
        <v>268</v>
      </c>
      <c r="C172" s="282" t="s">
        <v>419</v>
      </c>
      <c r="D172" s="300">
        <v>6923</v>
      </c>
      <c r="E172" s="300">
        <v>6877</v>
      </c>
      <c r="F172" s="300">
        <v>6877</v>
      </c>
      <c r="G172" s="300">
        <v>7044</v>
      </c>
      <c r="H172" s="300">
        <v>7038</v>
      </c>
      <c r="I172" s="300">
        <v>7182</v>
      </c>
      <c r="J172" s="300">
        <v>7147</v>
      </c>
      <c r="K172" s="283">
        <f t="shared" si="5"/>
        <v>7012.5714285714284</v>
      </c>
      <c r="L172" s="282" t="str">
        <f t="shared" si="4"/>
        <v>이상없음</v>
      </c>
    </row>
    <row r="173" spans="1:12" ht="17.25" x14ac:dyDescent="0.3">
      <c r="A173" s="324"/>
      <c r="B173" s="13" t="s">
        <v>268</v>
      </c>
      <c r="C173" s="282" t="s">
        <v>112</v>
      </c>
      <c r="D173" s="300">
        <v>156.38706003824871</v>
      </c>
      <c r="E173" s="300">
        <v>150.76897404988605</v>
      </c>
      <c r="F173" s="300">
        <v>178.74012654622396</v>
      </c>
      <c r="G173" s="300">
        <v>172.09061508178712</v>
      </c>
      <c r="H173" s="300">
        <v>167.44407958984374</v>
      </c>
      <c r="I173" s="300">
        <v>190.47005030314128</v>
      </c>
      <c r="J173" s="300">
        <f>MNF산정!CM$440</f>
        <v>164.21879196166992</v>
      </c>
      <c r="K173" s="283">
        <f t="shared" si="5"/>
        <v>168.58852822440011</v>
      </c>
      <c r="L173" s="282" t="str">
        <f t="shared" si="4"/>
        <v>이상없음</v>
      </c>
    </row>
    <row r="174" spans="1:12" ht="17.25" x14ac:dyDescent="0.3">
      <c r="A174" s="324"/>
      <c r="B174" s="15" t="s">
        <v>84</v>
      </c>
      <c r="C174" s="282" t="s">
        <v>419</v>
      </c>
      <c r="D174" s="300">
        <v>2640</v>
      </c>
      <c r="E174" s="300">
        <v>2668</v>
      </c>
      <c r="F174" s="300">
        <v>2584</v>
      </c>
      <c r="G174" s="300">
        <v>2703</v>
      </c>
      <c r="H174" s="300">
        <v>2672</v>
      </c>
      <c r="I174" s="300">
        <v>2710</v>
      </c>
      <c r="J174" s="300">
        <v>2701</v>
      </c>
      <c r="K174" s="283">
        <f t="shared" si="5"/>
        <v>2668.2857142857142</v>
      </c>
      <c r="L174" s="282" t="str">
        <f t="shared" si="4"/>
        <v>이상없음</v>
      </c>
    </row>
    <row r="175" spans="1:12" ht="17.25" x14ac:dyDescent="0.3">
      <c r="A175" s="324"/>
      <c r="B175" s="15" t="s">
        <v>84</v>
      </c>
      <c r="C175" s="282" t="s">
        <v>112</v>
      </c>
      <c r="D175" s="300">
        <v>47.842038790384926</v>
      </c>
      <c r="E175" s="300">
        <v>44.498864491780601</v>
      </c>
      <c r="F175" s="300">
        <v>48.934978866577147</v>
      </c>
      <c r="G175" s="300">
        <v>48.205122820536296</v>
      </c>
      <c r="H175" s="300">
        <v>46.618357849121097</v>
      </c>
      <c r="I175" s="300">
        <v>48.56535892486572</v>
      </c>
      <c r="J175" s="300">
        <f>MNF산정!CN$440</f>
        <v>52.666149711608888</v>
      </c>
      <c r="K175" s="283">
        <f t="shared" si="5"/>
        <v>48.190124493553533</v>
      </c>
      <c r="L175" s="282" t="str">
        <f t="shared" si="4"/>
        <v>이상없음</v>
      </c>
    </row>
    <row r="176" spans="1:12" ht="17.25" x14ac:dyDescent="0.3">
      <c r="A176" s="324"/>
      <c r="B176" s="15" t="s">
        <v>85</v>
      </c>
      <c r="C176" s="282" t="s">
        <v>419</v>
      </c>
      <c r="D176" s="300">
        <v>1845</v>
      </c>
      <c r="E176" s="300">
        <v>1767</v>
      </c>
      <c r="F176" s="300">
        <v>1797</v>
      </c>
      <c r="G176" s="300">
        <v>1815</v>
      </c>
      <c r="H176" s="300">
        <v>1814</v>
      </c>
      <c r="I176" s="300">
        <v>1870</v>
      </c>
      <c r="J176" s="300">
        <v>1897</v>
      </c>
      <c r="K176" s="283">
        <f t="shared" si="5"/>
        <v>1829.2857142857142</v>
      </c>
      <c r="L176" s="282" t="str">
        <f t="shared" si="4"/>
        <v>이상없음</v>
      </c>
    </row>
    <row r="177" spans="1:12" ht="17.25" x14ac:dyDescent="0.3">
      <c r="A177" s="324"/>
      <c r="B177" s="15" t="s">
        <v>85</v>
      </c>
      <c r="C177" s="282" t="s">
        <v>112</v>
      </c>
      <c r="D177" s="300">
        <v>47.96623128255208</v>
      </c>
      <c r="E177" s="300">
        <v>47.872318840026857</v>
      </c>
      <c r="F177" s="300">
        <v>51.126433881123859</v>
      </c>
      <c r="G177" s="300">
        <v>53.680336952209473</v>
      </c>
      <c r="H177" s="300">
        <v>49.46282278696696</v>
      </c>
      <c r="I177" s="300">
        <v>65.955604998270672</v>
      </c>
      <c r="J177" s="300">
        <f>MNF산정!CO$440</f>
        <v>49.302287928263347</v>
      </c>
      <c r="K177" s="283">
        <f t="shared" si="5"/>
        <v>52.195148095630465</v>
      </c>
      <c r="L177" s="282" t="str">
        <f t="shared" si="4"/>
        <v>이상없음</v>
      </c>
    </row>
    <row r="178" spans="1:12" ht="17.25" x14ac:dyDescent="0.3">
      <c r="A178" s="324"/>
      <c r="B178" s="15" t="s">
        <v>400</v>
      </c>
      <c r="C178" s="282" t="s">
        <v>419</v>
      </c>
      <c r="D178" s="300">
        <v>2369</v>
      </c>
      <c r="E178" s="300">
        <v>2335</v>
      </c>
      <c r="F178" s="300">
        <v>2412</v>
      </c>
      <c r="G178" s="300">
        <v>2493</v>
      </c>
      <c r="H178" s="300">
        <v>2522</v>
      </c>
      <c r="I178" s="300">
        <v>2567</v>
      </c>
      <c r="J178" s="300">
        <v>2472</v>
      </c>
      <c r="K178" s="283">
        <f t="shared" si="5"/>
        <v>2452.8571428571427</v>
      </c>
      <c r="L178" s="282" t="str">
        <f t="shared" si="4"/>
        <v>이상없음</v>
      </c>
    </row>
    <row r="179" spans="1:12" ht="17.25" x14ac:dyDescent="0.3">
      <c r="A179" s="324"/>
      <c r="B179" s="15" t="s">
        <v>400</v>
      </c>
      <c r="C179" s="282" t="s">
        <v>112</v>
      </c>
      <c r="D179" s="300">
        <v>55.966835021972656</v>
      </c>
      <c r="E179" s="300">
        <v>53.342823918660478</v>
      </c>
      <c r="F179" s="300">
        <v>61.629788080851235</v>
      </c>
      <c r="G179" s="300">
        <v>60.932811101277672</v>
      </c>
      <c r="H179" s="300">
        <v>63.423728624979653</v>
      </c>
      <c r="I179" s="300">
        <v>62.085257593790693</v>
      </c>
      <c r="J179" s="300">
        <f>MNF산정!CP$440</f>
        <v>55.324314626057941</v>
      </c>
      <c r="K179" s="283">
        <f t="shared" si="5"/>
        <v>58.957936995370055</v>
      </c>
      <c r="L179" s="282" t="str">
        <f t="shared" si="4"/>
        <v>이상없음</v>
      </c>
    </row>
    <row r="180" spans="1:12" ht="17.25" x14ac:dyDescent="0.3">
      <c r="A180" s="324"/>
      <c r="B180" s="13" t="s">
        <v>697</v>
      </c>
      <c r="C180" s="282" t="s">
        <v>419</v>
      </c>
      <c r="D180" s="300">
        <v>0</v>
      </c>
      <c r="E180" s="300">
        <v>0</v>
      </c>
      <c r="F180" s="300">
        <v>0</v>
      </c>
      <c r="G180" s="300">
        <v>0</v>
      </c>
      <c r="H180" s="300">
        <v>0</v>
      </c>
      <c r="I180" s="300">
        <v>0</v>
      </c>
      <c r="J180" s="300">
        <v>0</v>
      </c>
      <c r="K180" s="283">
        <f t="shared" si="5"/>
        <v>0</v>
      </c>
      <c r="L180" s="282" t="str">
        <f t="shared" si="4"/>
        <v>확인필요</v>
      </c>
    </row>
    <row r="181" spans="1:12" ht="17.25" x14ac:dyDescent="0.3">
      <c r="A181" s="324"/>
      <c r="B181" s="13" t="s">
        <v>697</v>
      </c>
      <c r="C181" s="282" t="s">
        <v>112</v>
      </c>
      <c r="D181" s="300">
        <v>0</v>
      </c>
      <c r="E181" s="300">
        <v>0</v>
      </c>
      <c r="F181" s="300">
        <v>0</v>
      </c>
      <c r="G181" s="300">
        <v>0</v>
      </c>
      <c r="H181" s="300">
        <v>0</v>
      </c>
      <c r="I181" s="300">
        <v>0</v>
      </c>
      <c r="J181" s="300">
        <f>MNF산정!CQ$440</f>
        <v>0</v>
      </c>
      <c r="K181" s="283">
        <f t="shared" si="5"/>
        <v>0</v>
      </c>
      <c r="L181" s="282" t="str">
        <f t="shared" si="4"/>
        <v>확인필요</v>
      </c>
    </row>
    <row r="182" spans="1:12" ht="17.25" x14ac:dyDescent="0.3">
      <c r="A182" s="324"/>
      <c r="B182" s="15" t="s">
        <v>79</v>
      </c>
      <c r="C182" s="282" t="s">
        <v>419</v>
      </c>
      <c r="D182" s="300">
        <v>2166</v>
      </c>
      <c r="E182" s="300">
        <v>2124</v>
      </c>
      <c r="F182" s="300">
        <v>2168</v>
      </c>
      <c r="G182" s="300">
        <v>2109</v>
      </c>
      <c r="H182" s="300">
        <v>2222</v>
      </c>
      <c r="I182" s="300">
        <v>2199</v>
      </c>
      <c r="J182" s="300">
        <v>2229</v>
      </c>
      <c r="K182" s="283">
        <f t="shared" si="5"/>
        <v>2173.8571428571427</v>
      </c>
      <c r="L182" s="282" t="str">
        <f t="shared" si="4"/>
        <v>이상없음</v>
      </c>
    </row>
    <row r="183" spans="1:12" ht="17.25" x14ac:dyDescent="0.3">
      <c r="A183" s="324"/>
      <c r="B183" s="15" t="s">
        <v>79</v>
      </c>
      <c r="C183" s="282" t="s">
        <v>112</v>
      </c>
      <c r="D183" s="300">
        <v>42.19513543446859</v>
      </c>
      <c r="E183" s="300">
        <v>42.020064544677737</v>
      </c>
      <c r="F183" s="300">
        <v>46.485901514689125</v>
      </c>
      <c r="G183" s="300">
        <v>48.856164105733235</v>
      </c>
      <c r="H183" s="300">
        <v>49.030637041727701</v>
      </c>
      <c r="I183" s="300">
        <v>49.391829299926755</v>
      </c>
      <c r="J183" s="300">
        <f>MNF산정!CR$440</f>
        <v>48.088500849405925</v>
      </c>
      <c r="K183" s="283">
        <f t="shared" si="5"/>
        <v>46.581176112947006</v>
      </c>
      <c r="L183" s="282" t="str">
        <f t="shared" si="4"/>
        <v>이상없음</v>
      </c>
    </row>
    <row r="184" spans="1:12" ht="17.25" x14ac:dyDescent="0.3">
      <c r="A184" s="324"/>
      <c r="B184" s="15" t="s">
        <v>80</v>
      </c>
      <c r="C184" s="282" t="s">
        <v>419</v>
      </c>
      <c r="D184" s="300">
        <v>439</v>
      </c>
      <c r="E184" s="300">
        <v>447</v>
      </c>
      <c r="F184" s="300">
        <v>422</v>
      </c>
      <c r="G184" s="300">
        <v>421</v>
      </c>
      <c r="H184" s="300">
        <v>421</v>
      </c>
      <c r="I184" s="300">
        <v>491</v>
      </c>
      <c r="J184" s="300">
        <v>532</v>
      </c>
      <c r="K184" s="283">
        <f t="shared" si="5"/>
        <v>453.28571428571428</v>
      </c>
      <c r="L184" s="282" t="str">
        <f t="shared" si="4"/>
        <v>확인필요</v>
      </c>
    </row>
    <row r="185" spans="1:12" ht="17.25" x14ac:dyDescent="0.3">
      <c r="A185" s="324"/>
      <c r="B185" s="15" t="s">
        <v>80</v>
      </c>
      <c r="C185" s="282" t="s">
        <v>112</v>
      </c>
      <c r="D185" s="300">
        <v>7.9122618516286218</v>
      </c>
      <c r="E185" s="300">
        <v>8.1018053054809567</v>
      </c>
      <c r="F185" s="300">
        <v>7.7916082223256433</v>
      </c>
      <c r="G185" s="300">
        <v>7.6593288421630863</v>
      </c>
      <c r="H185" s="300">
        <v>8.3616278012593579</v>
      </c>
      <c r="I185" s="300">
        <v>14.893841012318928</v>
      </c>
      <c r="J185" s="300">
        <f>MNF산정!CS$440</f>
        <v>7.9165302832921345</v>
      </c>
      <c r="K185" s="283">
        <f t="shared" si="5"/>
        <v>8.9481433312098186</v>
      </c>
      <c r="L185" s="282" t="str">
        <f t="shared" si="4"/>
        <v>확인필요</v>
      </c>
    </row>
    <row r="186" spans="1:12" ht="17.25" x14ac:dyDescent="0.3">
      <c r="A186" s="324"/>
      <c r="B186" s="15" t="s">
        <v>81</v>
      </c>
      <c r="C186" s="282" t="s">
        <v>419</v>
      </c>
      <c r="D186" s="300">
        <v>2477</v>
      </c>
      <c r="E186" s="300">
        <v>2303</v>
      </c>
      <c r="F186" s="300">
        <v>2379</v>
      </c>
      <c r="G186" s="300">
        <v>2385</v>
      </c>
      <c r="H186" s="300">
        <v>2244</v>
      </c>
      <c r="I186" s="300">
        <v>2407</v>
      </c>
      <c r="J186" s="300">
        <v>2359</v>
      </c>
      <c r="K186" s="283">
        <f t="shared" si="5"/>
        <v>2364.8571428571427</v>
      </c>
      <c r="L186" s="282" t="str">
        <f t="shared" si="4"/>
        <v>이상없음</v>
      </c>
    </row>
    <row r="187" spans="1:12" ht="17.25" x14ac:dyDescent="0.3">
      <c r="A187" s="324"/>
      <c r="B187" s="15" t="s">
        <v>81</v>
      </c>
      <c r="C187" s="282" t="s">
        <v>112</v>
      </c>
      <c r="D187" s="300">
        <v>40.858009274800615</v>
      </c>
      <c r="E187" s="300">
        <v>33.404261302948001</v>
      </c>
      <c r="F187" s="300">
        <v>32.883314069112139</v>
      </c>
      <c r="G187" s="300">
        <v>31.798871835072834</v>
      </c>
      <c r="H187" s="300">
        <v>35.597630691528323</v>
      </c>
      <c r="I187" s="300">
        <v>35.939507802327476</v>
      </c>
      <c r="J187" s="300">
        <f>MNF산정!CT$440</f>
        <v>29.929259618123371</v>
      </c>
      <c r="K187" s="283">
        <f t="shared" si="5"/>
        <v>34.344407799130401</v>
      </c>
      <c r="L187" s="282" t="str">
        <f t="shared" si="4"/>
        <v>확인필요</v>
      </c>
    </row>
    <row r="188" spans="1:12" ht="17.25" x14ac:dyDescent="0.3">
      <c r="A188" s="324"/>
      <c r="B188" s="15" t="s">
        <v>82</v>
      </c>
      <c r="C188" s="282" t="s">
        <v>419</v>
      </c>
      <c r="D188" s="300">
        <v>3958</v>
      </c>
      <c r="E188" s="300">
        <v>4568</v>
      </c>
      <c r="F188" s="300">
        <v>3926</v>
      </c>
      <c r="G188" s="300">
        <v>4001</v>
      </c>
      <c r="H188" s="300">
        <v>3824</v>
      </c>
      <c r="I188" s="300">
        <v>3721</v>
      </c>
      <c r="J188" s="300">
        <v>4195</v>
      </c>
      <c r="K188" s="283">
        <f t="shared" si="5"/>
        <v>4027.5714285714284</v>
      </c>
      <c r="L188" s="282" t="str">
        <f t="shared" si="4"/>
        <v>이상없음</v>
      </c>
    </row>
    <row r="189" spans="1:12" ht="17.25" x14ac:dyDescent="0.3">
      <c r="A189" s="324"/>
      <c r="B189" s="15" t="s">
        <v>82</v>
      </c>
      <c r="C189" s="282" t="s">
        <v>112</v>
      </c>
      <c r="D189" s="300">
        <v>39.029352442423502</v>
      </c>
      <c r="E189" s="300">
        <v>41.419859441121417</v>
      </c>
      <c r="F189" s="300">
        <v>40.417324638366701</v>
      </c>
      <c r="G189" s="300">
        <v>37.078681564331056</v>
      </c>
      <c r="H189" s="300">
        <v>41.279626019795735</v>
      </c>
      <c r="I189" s="300">
        <v>41.243199284871416</v>
      </c>
      <c r="J189" s="300">
        <f>MNF산정!CU$440</f>
        <v>39.337095642089842</v>
      </c>
      <c r="K189" s="283">
        <f t="shared" si="5"/>
        <v>39.972162718999947</v>
      </c>
      <c r="L189" s="282" t="str">
        <f t="shared" si="4"/>
        <v>이상없음</v>
      </c>
    </row>
    <row r="190" spans="1:12" ht="17.25" x14ac:dyDescent="0.3">
      <c r="A190" s="324"/>
      <c r="B190" s="15" t="s">
        <v>83</v>
      </c>
      <c r="C190" s="282" t="s">
        <v>419</v>
      </c>
      <c r="D190" s="300">
        <v>3054</v>
      </c>
      <c r="E190" s="300">
        <v>2697</v>
      </c>
      <c r="F190" s="300">
        <v>2820</v>
      </c>
      <c r="G190" s="300">
        <v>2731</v>
      </c>
      <c r="H190" s="300">
        <v>2804</v>
      </c>
      <c r="I190" s="300">
        <v>2710</v>
      </c>
      <c r="J190" s="300">
        <v>2803</v>
      </c>
      <c r="K190" s="283">
        <f t="shared" si="5"/>
        <v>2802.7142857142858</v>
      </c>
      <c r="L190" s="282" t="str">
        <f t="shared" si="4"/>
        <v>이상없음</v>
      </c>
    </row>
    <row r="191" spans="1:12" ht="17.25" x14ac:dyDescent="0.3">
      <c r="A191" s="324"/>
      <c r="B191" s="15" t="s">
        <v>83</v>
      </c>
      <c r="C191" s="282" t="s">
        <v>112</v>
      </c>
      <c r="D191" s="300">
        <v>50.171618207295737</v>
      </c>
      <c r="E191" s="300">
        <v>50.015156173706053</v>
      </c>
      <c r="F191" s="300">
        <v>49.576966349283857</v>
      </c>
      <c r="G191" s="300">
        <v>58.363266563415529</v>
      </c>
      <c r="H191" s="300">
        <v>55.919402758280434</v>
      </c>
      <c r="I191" s="300">
        <v>79.361945851643881</v>
      </c>
      <c r="J191" s="300">
        <f>MNF산정!CV$440</f>
        <v>52.239985020955402</v>
      </c>
      <c r="K191" s="283">
        <f t="shared" si="5"/>
        <v>56.521191560654415</v>
      </c>
      <c r="L191" s="282" t="str">
        <f t="shared" si="4"/>
        <v>이상없음</v>
      </c>
    </row>
    <row r="192" spans="1:12" ht="17.25" x14ac:dyDescent="0.3">
      <c r="A192" s="326" t="s">
        <v>245</v>
      </c>
      <c r="B192" s="14" t="s">
        <v>244</v>
      </c>
      <c r="C192" s="282" t="s">
        <v>419</v>
      </c>
      <c r="D192" s="300">
        <v>367</v>
      </c>
      <c r="E192" s="300">
        <v>354</v>
      </c>
      <c r="F192" s="300">
        <v>348</v>
      </c>
      <c r="G192" s="300">
        <v>360</v>
      </c>
      <c r="H192" s="300">
        <v>388</v>
      </c>
      <c r="I192" s="300">
        <v>388</v>
      </c>
      <c r="J192" s="300">
        <v>378</v>
      </c>
      <c r="K192" s="283">
        <f t="shared" si="5"/>
        <v>369</v>
      </c>
      <c r="L192" s="282" t="str">
        <f t="shared" si="4"/>
        <v>이상없음</v>
      </c>
    </row>
    <row r="193" spans="1:12" ht="17.25" x14ac:dyDescent="0.3">
      <c r="A193" s="326"/>
      <c r="B193" s="14" t="s">
        <v>244</v>
      </c>
      <c r="C193" s="282" t="s">
        <v>112</v>
      </c>
      <c r="D193" s="300">
        <v>3.1166666666666667</v>
      </c>
      <c r="E193" s="300">
        <v>3.2833333333333332</v>
      </c>
      <c r="F193" s="300">
        <v>2.8166666666666669</v>
      </c>
      <c r="G193" s="300">
        <v>3.0166666666666666</v>
      </c>
      <c r="H193" s="300">
        <v>2.7833333333333332</v>
      </c>
      <c r="I193" s="300">
        <v>2.75</v>
      </c>
      <c r="J193" s="300">
        <f>MNF산정!CW$440</f>
        <v>3.1333333333333333</v>
      </c>
      <c r="K193" s="283">
        <f t="shared" si="5"/>
        <v>2.9857142857142853</v>
      </c>
      <c r="L193" s="282" t="str">
        <f t="shared" si="4"/>
        <v>이상없음</v>
      </c>
    </row>
    <row r="194" spans="1:12" ht="17.25" x14ac:dyDescent="0.3">
      <c r="A194" s="326" t="s">
        <v>248</v>
      </c>
      <c r="B194" s="14" t="s">
        <v>247</v>
      </c>
      <c r="C194" s="282" t="s">
        <v>419</v>
      </c>
      <c r="D194" s="300">
        <v>12952</v>
      </c>
      <c r="E194" s="300">
        <v>12918</v>
      </c>
      <c r="F194" s="300">
        <v>12458</v>
      </c>
      <c r="G194" s="300">
        <v>12600</v>
      </c>
      <c r="H194" s="300">
        <v>12715</v>
      </c>
      <c r="I194" s="300">
        <v>12999</v>
      </c>
      <c r="J194" s="300">
        <v>13257</v>
      </c>
      <c r="K194" s="283">
        <f t="shared" si="5"/>
        <v>12842.714285714286</v>
      </c>
      <c r="L194" s="282" t="str">
        <f t="shared" si="4"/>
        <v>이상없음</v>
      </c>
    </row>
    <row r="195" spans="1:12" ht="17.25" x14ac:dyDescent="0.3">
      <c r="A195" s="326"/>
      <c r="B195" s="14" t="s">
        <v>247</v>
      </c>
      <c r="C195" s="282" t="s">
        <v>112</v>
      </c>
      <c r="D195" s="300">
        <v>289.68333333333334</v>
      </c>
      <c r="E195" s="300">
        <v>289.85000000000002</v>
      </c>
      <c r="F195" s="300">
        <v>290.55</v>
      </c>
      <c r="G195" s="300">
        <v>293.28333333333336</v>
      </c>
      <c r="H195" s="300">
        <v>292.63333333333333</v>
      </c>
      <c r="I195" s="300">
        <v>300.8</v>
      </c>
      <c r="J195" s="300">
        <f>MNF산정!CX$440</f>
        <v>293.14999999999998</v>
      </c>
      <c r="K195" s="283">
        <f t="shared" si="5"/>
        <v>292.84999999999997</v>
      </c>
      <c r="L195" s="282" t="str">
        <f t="shared" ref="L195:L249" si="6">IF(OR(J195&gt;=K195*1.1,J195&lt;=K195*0.9),"확인필요","이상없음")</f>
        <v>이상없음</v>
      </c>
    </row>
    <row r="196" spans="1:12" ht="17.25" x14ac:dyDescent="0.3">
      <c r="A196" s="326" t="s">
        <v>172</v>
      </c>
      <c r="B196" s="15" t="s">
        <v>87</v>
      </c>
      <c r="C196" s="282" t="s">
        <v>419</v>
      </c>
      <c r="D196" s="300">
        <v>5739</v>
      </c>
      <c r="E196" s="300">
        <v>5658</v>
      </c>
      <c r="F196" s="300">
        <v>5548</v>
      </c>
      <c r="G196" s="300">
        <v>5673</v>
      </c>
      <c r="H196" s="300">
        <v>5630</v>
      </c>
      <c r="I196" s="300">
        <v>5762</v>
      </c>
      <c r="J196" s="300">
        <v>5947</v>
      </c>
      <c r="K196" s="283">
        <f t="shared" si="5"/>
        <v>5708.1428571428569</v>
      </c>
      <c r="L196" s="282" t="str">
        <f t="shared" si="6"/>
        <v>이상없음</v>
      </c>
    </row>
    <row r="197" spans="1:12" ht="17.25" x14ac:dyDescent="0.3">
      <c r="A197" s="326"/>
      <c r="B197" s="15" t="s">
        <v>87</v>
      </c>
      <c r="C197" s="282" t="s">
        <v>112</v>
      </c>
      <c r="D197" s="300">
        <v>105.12692871093751</v>
      </c>
      <c r="E197" s="300">
        <v>107.21759401957193</v>
      </c>
      <c r="F197" s="300">
        <v>107.73623441060384</v>
      </c>
      <c r="G197" s="300">
        <v>107.4478157043457</v>
      </c>
      <c r="H197" s="300">
        <v>105.96991526285807</v>
      </c>
      <c r="I197" s="300">
        <v>107.11370684305827</v>
      </c>
      <c r="J197" s="300">
        <f>MNF산정!CY$440</f>
        <v>107.92376073201497</v>
      </c>
      <c r="K197" s="283">
        <f t="shared" ref="K197:K249" si="7">AVERAGE(D197:J197)</f>
        <v>106.93370795477004</v>
      </c>
      <c r="L197" s="282" t="str">
        <f t="shared" si="6"/>
        <v>이상없음</v>
      </c>
    </row>
    <row r="198" spans="1:12" ht="17.25" x14ac:dyDescent="0.3">
      <c r="A198" s="326"/>
      <c r="B198" s="15" t="s">
        <v>175</v>
      </c>
      <c r="C198" s="282" t="s">
        <v>419</v>
      </c>
      <c r="D198" s="300">
        <v>2001</v>
      </c>
      <c r="E198" s="300">
        <v>2021</v>
      </c>
      <c r="F198" s="300">
        <v>1877</v>
      </c>
      <c r="G198" s="300">
        <v>1922</v>
      </c>
      <c r="H198" s="300">
        <v>1932</v>
      </c>
      <c r="I198" s="300">
        <v>1963</v>
      </c>
      <c r="J198" s="300">
        <v>2020</v>
      </c>
      <c r="K198" s="283">
        <f t="shared" si="7"/>
        <v>1962.2857142857142</v>
      </c>
      <c r="L198" s="282" t="str">
        <f t="shared" si="6"/>
        <v>이상없음</v>
      </c>
    </row>
    <row r="199" spans="1:12" ht="17.25" x14ac:dyDescent="0.3">
      <c r="A199" s="326"/>
      <c r="B199" s="15" t="s">
        <v>175</v>
      </c>
      <c r="C199" s="282" t="s">
        <v>112</v>
      </c>
      <c r="D199" s="300">
        <v>50.536826070149736</v>
      </c>
      <c r="E199" s="300">
        <v>47.154652214050294</v>
      </c>
      <c r="F199" s="300">
        <v>49.652618598937991</v>
      </c>
      <c r="G199" s="300">
        <v>47.636624844868976</v>
      </c>
      <c r="H199" s="300">
        <v>51.230398623148602</v>
      </c>
      <c r="I199" s="300">
        <v>49.415377044677733</v>
      </c>
      <c r="J199" s="300">
        <f>MNF산정!CZ$440</f>
        <v>47.088481267293297</v>
      </c>
      <c r="K199" s="283">
        <f t="shared" si="7"/>
        <v>48.959282666160945</v>
      </c>
      <c r="L199" s="282" t="str">
        <f t="shared" si="6"/>
        <v>이상없음</v>
      </c>
    </row>
    <row r="200" spans="1:12" ht="17.25" x14ac:dyDescent="0.3">
      <c r="A200" s="326"/>
      <c r="B200" s="15" t="s">
        <v>89</v>
      </c>
      <c r="C200" s="282" t="s">
        <v>419</v>
      </c>
      <c r="D200" s="300">
        <v>753</v>
      </c>
      <c r="E200" s="300">
        <v>739</v>
      </c>
      <c r="F200" s="300">
        <v>724</v>
      </c>
      <c r="G200" s="300">
        <v>732</v>
      </c>
      <c r="H200" s="300">
        <v>708</v>
      </c>
      <c r="I200" s="300">
        <v>733</v>
      </c>
      <c r="J200" s="300">
        <v>756</v>
      </c>
      <c r="K200" s="283">
        <f t="shared" si="7"/>
        <v>735</v>
      </c>
      <c r="L200" s="282" t="str">
        <f t="shared" si="6"/>
        <v>이상없음</v>
      </c>
    </row>
    <row r="201" spans="1:12" ht="17.25" x14ac:dyDescent="0.3">
      <c r="A201" s="326"/>
      <c r="B201" s="15" t="s">
        <v>89</v>
      </c>
      <c r="C201" s="282" t="s">
        <v>112</v>
      </c>
      <c r="D201" s="300">
        <v>18.518380769093831</v>
      </c>
      <c r="E201" s="300">
        <v>18.016534868876139</v>
      </c>
      <c r="F201" s="300">
        <v>18.427162901560465</v>
      </c>
      <c r="G201" s="300">
        <v>18.33186492919922</v>
      </c>
      <c r="H201" s="300">
        <v>19.15279467900594</v>
      </c>
      <c r="I201" s="300">
        <v>19.319751230875649</v>
      </c>
      <c r="J201" s="300">
        <f>MNF산정!DA$440</f>
        <v>19.65365810394287</v>
      </c>
      <c r="K201" s="283">
        <f t="shared" si="7"/>
        <v>18.774306783222016</v>
      </c>
      <c r="L201" s="282" t="str">
        <f t="shared" si="6"/>
        <v>이상없음</v>
      </c>
    </row>
    <row r="202" spans="1:12" ht="17.25" x14ac:dyDescent="0.3">
      <c r="A202" s="326"/>
      <c r="B202" s="15" t="s">
        <v>90</v>
      </c>
      <c r="C202" s="282" t="s">
        <v>419</v>
      </c>
      <c r="D202" s="300">
        <v>1526</v>
      </c>
      <c r="E202" s="300">
        <v>1567</v>
      </c>
      <c r="F202" s="300">
        <v>1480</v>
      </c>
      <c r="G202" s="300">
        <v>1452</v>
      </c>
      <c r="H202" s="300">
        <v>1504</v>
      </c>
      <c r="I202" s="300">
        <v>1571</v>
      </c>
      <c r="J202" s="300">
        <v>1532</v>
      </c>
      <c r="K202" s="283">
        <f t="shared" si="7"/>
        <v>1518.8571428571429</v>
      </c>
      <c r="L202" s="282" t="str">
        <f t="shared" si="6"/>
        <v>이상없음</v>
      </c>
    </row>
    <row r="203" spans="1:12" ht="17.25" x14ac:dyDescent="0.3">
      <c r="A203" s="326"/>
      <c r="B203" s="15" t="s">
        <v>90</v>
      </c>
      <c r="C203" s="282" t="s">
        <v>112</v>
      </c>
      <c r="D203" s="300">
        <v>27.946059703826904</v>
      </c>
      <c r="E203" s="300">
        <v>27.585636742909749</v>
      </c>
      <c r="F203" s="300">
        <v>29.219312699635825</v>
      </c>
      <c r="G203" s="300">
        <v>27.751866658528645</v>
      </c>
      <c r="H203" s="300">
        <v>28.052233695983887</v>
      </c>
      <c r="I203" s="300">
        <v>28.805636405944824</v>
      </c>
      <c r="J203" s="300">
        <f>MNF산정!DB$440</f>
        <v>30.203117815653481</v>
      </c>
      <c r="K203" s="283">
        <f t="shared" si="7"/>
        <v>28.509123388926188</v>
      </c>
      <c r="L203" s="282" t="str">
        <f t="shared" si="6"/>
        <v>이상없음</v>
      </c>
    </row>
    <row r="204" spans="1:12" ht="17.25" x14ac:dyDescent="0.3">
      <c r="A204" s="326"/>
      <c r="B204" s="15" t="s">
        <v>91</v>
      </c>
      <c r="C204" s="282" t="s">
        <v>419</v>
      </c>
      <c r="D204" s="300">
        <v>2587</v>
      </c>
      <c r="E204" s="300">
        <v>2591</v>
      </c>
      <c r="F204" s="300">
        <v>2512</v>
      </c>
      <c r="G204" s="300">
        <v>2488</v>
      </c>
      <c r="H204" s="300">
        <v>2596</v>
      </c>
      <c r="I204" s="300">
        <v>2625</v>
      </c>
      <c r="J204" s="300">
        <v>2638</v>
      </c>
      <c r="K204" s="283">
        <f t="shared" si="7"/>
        <v>2576.7142857142858</v>
      </c>
      <c r="L204" s="282" t="str">
        <f t="shared" si="6"/>
        <v>이상없음</v>
      </c>
    </row>
    <row r="205" spans="1:12" ht="17.25" x14ac:dyDescent="0.3">
      <c r="A205" s="326"/>
      <c r="B205" s="15" t="s">
        <v>91</v>
      </c>
      <c r="C205" s="282" t="s">
        <v>112</v>
      </c>
      <c r="D205" s="300">
        <v>72.615789794921881</v>
      </c>
      <c r="E205" s="300">
        <v>74.307960128784174</v>
      </c>
      <c r="F205" s="300">
        <v>70.115154520670572</v>
      </c>
      <c r="G205" s="300">
        <v>75.419346237182623</v>
      </c>
      <c r="H205" s="300">
        <v>73.824949518839517</v>
      </c>
      <c r="I205" s="300">
        <v>77.447394816080731</v>
      </c>
      <c r="J205" s="300">
        <f>MNF산정!DC$440</f>
        <v>70.221483612060553</v>
      </c>
      <c r="K205" s="283">
        <f t="shared" si="7"/>
        <v>73.421725518362862</v>
      </c>
      <c r="L205" s="282" t="str">
        <f t="shared" si="6"/>
        <v>이상없음</v>
      </c>
    </row>
    <row r="206" spans="1:12" ht="17.25" x14ac:dyDescent="0.3">
      <c r="A206" s="326"/>
      <c r="B206" s="14" t="s">
        <v>250</v>
      </c>
      <c r="C206" s="282" t="s">
        <v>419</v>
      </c>
      <c r="D206" s="300">
        <v>6153</v>
      </c>
      <c r="E206" s="300">
        <v>6517</v>
      </c>
      <c r="F206" s="300">
        <v>6974</v>
      </c>
      <c r="G206" s="300">
        <v>5486</v>
      </c>
      <c r="H206" s="300">
        <v>6256</v>
      </c>
      <c r="I206" s="300">
        <v>7429</v>
      </c>
      <c r="J206" s="300">
        <v>6159</v>
      </c>
      <c r="K206" s="283">
        <f t="shared" si="7"/>
        <v>6424.8571428571431</v>
      </c>
      <c r="L206" s="282" t="str">
        <f t="shared" si="6"/>
        <v>이상없음</v>
      </c>
    </row>
    <row r="207" spans="1:12" ht="17.25" x14ac:dyDescent="0.3">
      <c r="A207" s="326"/>
      <c r="B207" s="14" t="s">
        <v>250</v>
      </c>
      <c r="C207" s="282" t="s">
        <v>112</v>
      </c>
      <c r="D207" s="300">
        <v>32.283333333333331</v>
      </c>
      <c r="E207" s="300">
        <v>44.15</v>
      </c>
      <c r="F207" s="300">
        <v>34.883333333333333</v>
      </c>
      <c r="G207" s="300">
        <v>32.15</v>
      </c>
      <c r="H207" s="300">
        <v>47.166666666666664</v>
      </c>
      <c r="I207" s="300">
        <v>56.45</v>
      </c>
      <c r="J207" s="300">
        <f>MNF산정!DD$440</f>
        <v>44.85</v>
      </c>
      <c r="K207" s="283">
        <f t="shared" si="7"/>
        <v>41.704761904761902</v>
      </c>
      <c r="L207" s="282" t="str">
        <f t="shared" si="6"/>
        <v>이상없음</v>
      </c>
    </row>
    <row r="208" spans="1:12" ht="17.25" x14ac:dyDescent="0.3">
      <c r="A208" s="326"/>
      <c r="B208" s="14" t="s">
        <v>721</v>
      </c>
      <c r="C208" s="282" t="s">
        <v>419</v>
      </c>
      <c r="D208" s="300">
        <v>4563</v>
      </c>
      <c r="E208" s="300">
        <v>4662</v>
      </c>
      <c r="F208" s="300">
        <v>4574</v>
      </c>
      <c r="G208" s="300">
        <v>4634</v>
      </c>
      <c r="H208" s="300">
        <v>4695</v>
      </c>
      <c r="I208" s="300">
        <v>4701</v>
      </c>
      <c r="J208" s="300">
        <v>4525</v>
      </c>
      <c r="K208" s="283">
        <f t="shared" si="7"/>
        <v>4622</v>
      </c>
      <c r="L208" s="282" t="str">
        <f t="shared" si="6"/>
        <v>이상없음</v>
      </c>
    </row>
    <row r="209" spans="1:12" ht="17.25" x14ac:dyDescent="0.3">
      <c r="A209" s="326"/>
      <c r="B209" s="14" t="s">
        <v>721</v>
      </c>
      <c r="C209" s="282" t="s">
        <v>112</v>
      </c>
      <c r="D209" s="300">
        <v>289.68333333333334</v>
      </c>
      <c r="E209" s="300">
        <v>289.85000000000002</v>
      </c>
      <c r="F209" s="300">
        <v>290.55</v>
      </c>
      <c r="G209" s="300">
        <v>293.28333333333336</v>
      </c>
      <c r="H209" s="300">
        <v>292.63333333333333</v>
      </c>
      <c r="I209" s="300">
        <v>300.8</v>
      </c>
      <c r="J209" s="300">
        <f>MNF산정!DE$440</f>
        <v>168.36666666666667</v>
      </c>
      <c r="K209" s="283">
        <f t="shared" si="7"/>
        <v>275.02380952380952</v>
      </c>
      <c r="L209" s="282" t="str">
        <f t="shared" si="6"/>
        <v>확인필요</v>
      </c>
    </row>
    <row r="210" spans="1:12" ht="17.25" x14ac:dyDescent="0.3">
      <c r="A210" s="326"/>
      <c r="B210" s="15" t="s">
        <v>212</v>
      </c>
      <c r="C210" s="282" t="s">
        <v>419</v>
      </c>
      <c r="D210" s="300">
        <v>4694</v>
      </c>
      <c r="E210" s="300">
        <v>4990</v>
      </c>
      <c r="F210" s="300">
        <v>5038</v>
      </c>
      <c r="G210" s="300">
        <v>4501</v>
      </c>
      <c r="H210" s="300">
        <v>4871</v>
      </c>
      <c r="I210" s="300">
        <v>4932</v>
      </c>
      <c r="J210" s="300">
        <v>4775</v>
      </c>
      <c r="K210" s="283">
        <f t="shared" si="7"/>
        <v>4828.7142857142853</v>
      </c>
      <c r="L210" s="282" t="str">
        <f t="shared" si="6"/>
        <v>이상없음</v>
      </c>
    </row>
    <row r="211" spans="1:12" ht="17.25" x14ac:dyDescent="0.3">
      <c r="A211" s="326"/>
      <c r="B211" s="15" t="s">
        <v>212</v>
      </c>
      <c r="C211" s="282" t="s">
        <v>112</v>
      </c>
      <c r="D211" s="300">
        <v>93.272412618001297</v>
      </c>
      <c r="E211" s="300">
        <v>92.033494313557938</v>
      </c>
      <c r="F211" s="300">
        <v>97.723142623901367</v>
      </c>
      <c r="G211" s="300">
        <v>95.842532475789383</v>
      </c>
      <c r="H211" s="300">
        <v>94.567290242513025</v>
      </c>
      <c r="I211" s="300">
        <v>100.96859690348307</v>
      </c>
      <c r="J211" s="300">
        <f>MNF산정!DF$440</f>
        <v>97.251313527425125</v>
      </c>
      <c r="K211" s="283">
        <f t="shared" si="7"/>
        <v>95.951254672095885</v>
      </c>
      <c r="L211" s="282" t="str">
        <f t="shared" si="6"/>
        <v>이상없음</v>
      </c>
    </row>
    <row r="212" spans="1:12" ht="17.25" x14ac:dyDescent="0.3">
      <c r="A212" s="326"/>
      <c r="B212" s="15" t="s">
        <v>93</v>
      </c>
      <c r="C212" s="282" t="s">
        <v>419</v>
      </c>
      <c r="D212" s="300">
        <v>3142</v>
      </c>
      <c r="E212" s="300">
        <v>3102</v>
      </c>
      <c r="F212" s="300">
        <v>3033</v>
      </c>
      <c r="G212" s="300">
        <v>3035</v>
      </c>
      <c r="H212" s="300">
        <v>2982</v>
      </c>
      <c r="I212" s="300">
        <v>3121</v>
      </c>
      <c r="J212" s="300">
        <v>3076</v>
      </c>
      <c r="K212" s="283">
        <f t="shared" si="7"/>
        <v>3070.1428571428573</v>
      </c>
      <c r="L212" s="282" t="str">
        <f t="shared" si="6"/>
        <v>이상없음</v>
      </c>
    </row>
    <row r="213" spans="1:12" ht="17.25" x14ac:dyDescent="0.3">
      <c r="A213" s="326"/>
      <c r="B213" s="15" t="s">
        <v>93</v>
      </c>
      <c r="C213" s="282" t="s">
        <v>112</v>
      </c>
      <c r="D213" s="300">
        <v>63.757058588663739</v>
      </c>
      <c r="E213" s="300">
        <v>63.4934076944987</v>
      </c>
      <c r="F213" s="300">
        <v>63.830928103129068</v>
      </c>
      <c r="G213" s="300">
        <v>61.271840667724611</v>
      </c>
      <c r="H213" s="300">
        <v>62.893370755513509</v>
      </c>
      <c r="I213" s="300">
        <v>64.752339553833011</v>
      </c>
      <c r="J213" s="300">
        <f>MNF산정!DG$440</f>
        <v>62.650705464680989</v>
      </c>
      <c r="K213" s="283">
        <f t="shared" si="7"/>
        <v>63.235664404006229</v>
      </c>
      <c r="L213" s="282" t="str">
        <f t="shared" si="6"/>
        <v>이상없음</v>
      </c>
    </row>
    <row r="214" spans="1:12" ht="17.25" x14ac:dyDescent="0.3">
      <c r="A214" s="326"/>
      <c r="B214" s="15" t="s">
        <v>94</v>
      </c>
      <c r="C214" s="282" t="s">
        <v>419</v>
      </c>
      <c r="D214" s="300">
        <v>1743</v>
      </c>
      <c r="E214" s="300">
        <v>1750</v>
      </c>
      <c r="F214" s="300">
        <v>1686</v>
      </c>
      <c r="G214" s="300">
        <v>1702</v>
      </c>
      <c r="H214" s="300">
        <v>1719</v>
      </c>
      <c r="I214" s="300">
        <v>1973</v>
      </c>
      <c r="J214" s="300">
        <v>1818</v>
      </c>
      <c r="K214" s="283">
        <f t="shared" si="7"/>
        <v>1770.1428571428571</v>
      </c>
      <c r="L214" s="282" t="str">
        <f t="shared" si="6"/>
        <v>이상없음</v>
      </c>
    </row>
    <row r="215" spans="1:12" ht="17.25" x14ac:dyDescent="0.3">
      <c r="A215" s="326"/>
      <c r="B215" s="15" t="s">
        <v>94</v>
      </c>
      <c r="C215" s="282" t="s">
        <v>112</v>
      </c>
      <c r="D215" s="300">
        <v>36.942369270324704</v>
      </c>
      <c r="E215" s="300">
        <v>38.710710271199545</v>
      </c>
      <c r="F215" s="300">
        <v>40.007049242655434</v>
      </c>
      <c r="G215" s="300">
        <v>41.443365732828774</v>
      </c>
      <c r="H215" s="300">
        <v>45.988201141357422</v>
      </c>
      <c r="I215" s="300">
        <v>40.1354985555013</v>
      </c>
      <c r="J215" s="300">
        <f>MNF산정!DH$440</f>
        <v>40.525480016072592</v>
      </c>
      <c r="K215" s="283">
        <f t="shared" si="7"/>
        <v>40.536096318562826</v>
      </c>
      <c r="L215" s="282" t="str">
        <f t="shared" si="6"/>
        <v>이상없음</v>
      </c>
    </row>
    <row r="216" spans="1:12" ht="17.25" x14ac:dyDescent="0.3">
      <c r="A216" s="326"/>
      <c r="B216" s="15" t="s">
        <v>95</v>
      </c>
      <c r="C216" s="282" t="s">
        <v>419</v>
      </c>
      <c r="D216" s="300">
        <v>1838</v>
      </c>
      <c r="E216" s="300">
        <v>1609</v>
      </c>
      <c r="F216" s="300">
        <v>1603</v>
      </c>
      <c r="G216" s="300">
        <v>1605</v>
      </c>
      <c r="H216" s="300">
        <v>1636</v>
      </c>
      <c r="I216" s="300">
        <v>1861</v>
      </c>
      <c r="J216" s="300">
        <v>1717</v>
      </c>
      <c r="K216" s="283">
        <f t="shared" si="7"/>
        <v>1695.5714285714287</v>
      </c>
      <c r="L216" s="282" t="str">
        <f t="shared" si="6"/>
        <v>이상없음</v>
      </c>
    </row>
    <row r="217" spans="1:12" ht="17.25" x14ac:dyDescent="0.3">
      <c r="A217" s="326"/>
      <c r="B217" s="15" t="s">
        <v>95</v>
      </c>
      <c r="C217" s="282" t="s">
        <v>112</v>
      </c>
      <c r="D217" s="300">
        <v>34.336503569285078</v>
      </c>
      <c r="E217" s="300">
        <v>40.389421272277829</v>
      </c>
      <c r="F217" s="300">
        <v>34.708074124654132</v>
      </c>
      <c r="G217" s="300">
        <v>37.637295595804851</v>
      </c>
      <c r="H217" s="300">
        <v>36.638487561543783</v>
      </c>
      <c r="I217" s="300">
        <v>38.061130142211915</v>
      </c>
      <c r="J217" s="300">
        <f>MNF산정!DI$440</f>
        <v>36.665082041422529</v>
      </c>
      <c r="K217" s="283">
        <f t="shared" si="7"/>
        <v>36.919427758171445</v>
      </c>
      <c r="L217" s="282" t="str">
        <f t="shared" si="6"/>
        <v>이상없음</v>
      </c>
    </row>
    <row r="218" spans="1:12" ht="17.25" x14ac:dyDescent="0.3">
      <c r="A218" s="336" t="s">
        <v>177</v>
      </c>
      <c r="B218" s="12" t="s">
        <v>203</v>
      </c>
      <c r="C218" s="282" t="s">
        <v>419</v>
      </c>
      <c r="D218" s="300">
        <v>7168</v>
      </c>
      <c r="E218" s="300">
        <v>7165</v>
      </c>
      <c r="F218" s="300">
        <v>6992</v>
      </c>
      <c r="G218" s="300">
        <v>6974</v>
      </c>
      <c r="H218" s="300">
        <v>7104</v>
      </c>
      <c r="I218" s="300">
        <v>7182</v>
      </c>
      <c r="J218" s="300">
        <v>7152</v>
      </c>
      <c r="K218" s="283">
        <f t="shared" si="7"/>
        <v>7105.2857142857147</v>
      </c>
      <c r="L218" s="282" t="str">
        <f t="shared" si="6"/>
        <v>이상없음</v>
      </c>
    </row>
    <row r="219" spans="1:12" ht="17.25" x14ac:dyDescent="0.3">
      <c r="A219" s="336"/>
      <c r="B219" s="12" t="s">
        <v>203</v>
      </c>
      <c r="C219" s="282" t="s">
        <v>112</v>
      </c>
      <c r="D219" s="300">
        <v>210.11666666666667</v>
      </c>
      <c r="E219" s="300">
        <v>206.48333333333332</v>
      </c>
      <c r="F219" s="300">
        <v>210.6</v>
      </c>
      <c r="G219" s="300">
        <v>214.38333333333333</v>
      </c>
      <c r="H219" s="300">
        <v>212.31666666666666</v>
      </c>
      <c r="I219" s="300">
        <v>204.6</v>
      </c>
      <c r="J219" s="300">
        <f>MNF산정!DJ$440</f>
        <v>203.26666666666668</v>
      </c>
      <c r="K219" s="283">
        <f t="shared" si="7"/>
        <v>208.82380952380953</v>
      </c>
      <c r="L219" s="282" t="str">
        <f t="shared" si="6"/>
        <v>이상없음</v>
      </c>
    </row>
    <row r="220" spans="1:12" ht="17.25" x14ac:dyDescent="0.3">
      <c r="A220" s="336"/>
      <c r="B220" s="12" t="s">
        <v>253</v>
      </c>
      <c r="C220" s="282" t="s">
        <v>419</v>
      </c>
      <c r="D220" s="300">
        <v>4542</v>
      </c>
      <c r="E220" s="300">
        <v>4558</v>
      </c>
      <c r="F220" s="300">
        <v>4414</v>
      </c>
      <c r="G220" s="300">
        <v>4366</v>
      </c>
      <c r="H220" s="300">
        <v>4539</v>
      </c>
      <c r="I220" s="300">
        <v>4520</v>
      </c>
      <c r="J220" s="300">
        <v>4494</v>
      </c>
      <c r="K220" s="283">
        <f t="shared" si="7"/>
        <v>4490.4285714285716</v>
      </c>
      <c r="L220" s="282" t="str">
        <f t="shared" si="6"/>
        <v>이상없음</v>
      </c>
    </row>
    <row r="221" spans="1:12" ht="17.25" x14ac:dyDescent="0.3">
      <c r="A221" s="336"/>
      <c r="B221" s="12" t="s">
        <v>253</v>
      </c>
      <c r="C221" s="282" t="s">
        <v>112</v>
      </c>
      <c r="D221" s="300">
        <v>110.46024932861329</v>
      </c>
      <c r="E221" s="300">
        <v>106.36753349304199</v>
      </c>
      <c r="F221" s="300">
        <v>108.4075335184733</v>
      </c>
      <c r="G221" s="300">
        <v>116.52941627502442</v>
      </c>
      <c r="H221" s="300">
        <v>113.44181620279947</v>
      </c>
      <c r="I221" s="300">
        <v>104.1240161895752</v>
      </c>
      <c r="J221" s="300">
        <f>MNF산정!DK$440</f>
        <v>102.43179918924967</v>
      </c>
      <c r="K221" s="283">
        <f t="shared" si="7"/>
        <v>108.8231948852539</v>
      </c>
      <c r="L221" s="282" t="str">
        <f t="shared" si="6"/>
        <v>이상없음</v>
      </c>
    </row>
    <row r="222" spans="1:12" ht="17.25" x14ac:dyDescent="0.3">
      <c r="A222" s="336"/>
      <c r="B222" s="15" t="s">
        <v>96</v>
      </c>
      <c r="C222" s="282" t="s">
        <v>419</v>
      </c>
      <c r="D222" s="300">
        <v>1096</v>
      </c>
      <c r="E222" s="300">
        <v>1100</v>
      </c>
      <c r="F222" s="300">
        <v>1080</v>
      </c>
      <c r="G222" s="300">
        <v>1053</v>
      </c>
      <c r="H222" s="300">
        <v>1096</v>
      </c>
      <c r="I222" s="300">
        <v>1095</v>
      </c>
      <c r="J222" s="300">
        <v>1114</v>
      </c>
      <c r="K222" s="283">
        <f t="shared" si="7"/>
        <v>1090.5714285714287</v>
      </c>
      <c r="L222" s="282" t="str">
        <f t="shared" si="6"/>
        <v>이상없음</v>
      </c>
    </row>
    <row r="223" spans="1:12" ht="17.25" x14ac:dyDescent="0.3">
      <c r="A223" s="336"/>
      <c r="B223" s="15" t="s">
        <v>96</v>
      </c>
      <c r="C223" s="282" t="s">
        <v>112</v>
      </c>
      <c r="D223" s="300">
        <v>23.467183367411295</v>
      </c>
      <c r="E223" s="300">
        <v>22.1439666112264</v>
      </c>
      <c r="F223" s="300">
        <v>21.844283453623454</v>
      </c>
      <c r="G223" s="300">
        <v>25.169349861145019</v>
      </c>
      <c r="H223" s="300">
        <v>22.471900049845377</v>
      </c>
      <c r="I223" s="300">
        <v>25.34463342030843</v>
      </c>
      <c r="J223" s="300">
        <f>MNF산정!DL$440</f>
        <v>24.160816733042399</v>
      </c>
      <c r="K223" s="283">
        <f t="shared" si="7"/>
        <v>23.514590499514622</v>
      </c>
      <c r="L223" s="282" t="str">
        <f t="shared" si="6"/>
        <v>이상없음</v>
      </c>
    </row>
    <row r="224" spans="1:12" ht="17.25" x14ac:dyDescent="0.3">
      <c r="A224" s="336"/>
      <c r="B224" s="15" t="s">
        <v>97</v>
      </c>
      <c r="C224" s="282" t="s">
        <v>419</v>
      </c>
      <c r="D224" s="300">
        <v>1782</v>
      </c>
      <c r="E224" s="300">
        <v>1798</v>
      </c>
      <c r="F224" s="300">
        <v>1715</v>
      </c>
      <c r="G224" s="300">
        <v>1639</v>
      </c>
      <c r="H224" s="300">
        <v>1718</v>
      </c>
      <c r="I224" s="300">
        <v>1656</v>
      </c>
      <c r="J224" s="300">
        <v>1636</v>
      </c>
      <c r="K224" s="283">
        <f t="shared" si="7"/>
        <v>1706.2857142857142</v>
      </c>
      <c r="L224" s="282" t="str">
        <f t="shared" si="6"/>
        <v>이상없음</v>
      </c>
    </row>
    <row r="225" spans="1:12" ht="17.25" x14ac:dyDescent="0.3">
      <c r="A225" s="336"/>
      <c r="B225" s="15" t="s">
        <v>97</v>
      </c>
      <c r="C225" s="282" t="s">
        <v>112</v>
      </c>
      <c r="D225" s="300">
        <v>33.952250003814697</v>
      </c>
      <c r="E225" s="300">
        <v>31.422416623433431</v>
      </c>
      <c r="F225" s="300">
        <v>32.650450007120767</v>
      </c>
      <c r="G225" s="300">
        <v>32.073266474405926</v>
      </c>
      <c r="H225" s="300">
        <v>33.69013312657674</v>
      </c>
      <c r="I225" s="300">
        <v>24.748433272043865</v>
      </c>
      <c r="J225" s="300">
        <f>MNF산정!DM$440</f>
        <v>24.362550036112467</v>
      </c>
      <c r="K225" s="283">
        <f t="shared" si="7"/>
        <v>30.414214220501126</v>
      </c>
      <c r="L225" s="282" t="str">
        <f t="shared" si="6"/>
        <v>확인필요</v>
      </c>
    </row>
    <row r="226" spans="1:12" ht="17.25" x14ac:dyDescent="0.3">
      <c r="A226" s="336"/>
      <c r="B226" s="15" t="s">
        <v>104</v>
      </c>
      <c r="C226" s="282" t="s">
        <v>419</v>
      </c>
      <c r="D226" s="300">
        <v>1837</v>
      </c>
      <c r="E226" s="300">
        <v>1950</v>
      </c>
      <c r="F226" s="300">
        <v>1745</v>
      </c>
      <c r="G226" s="300">
        <v>1805</v>
      </c>
      <c r="H226" s="300">
        <v>1845</v>
      </c>
      <c r="I226" s="300">
        <v>1924</v>
      </c>
      <c r="J226" s="300">
        <v>1966</v>
      </c>
      <c r="K226" s="283">
        <f t="shared" si="7"/>
        <v>1867.4285714285713</v>
      </c>
      <c r="L226" s="282" t="str">
        <f t="shared" si="6"/>
        <v>이상없음</v>
      </c>
    </row>
    <row r="227" spans="1:12" ht="17.25" x14ac:dyDescent="0.3">
      <c r="A227" s="336"/>
      <c r="B227" s="15" t="s">
        <v>104</v>
      </c>
      <c r="C227" s="282" t="s">
        <v>112</v>
      </c>
      <c r="D227" s="300">
        <v>49.912533760070801</v>
      </c>
      <c r="E227" s="300">
        <v>47.709433364868161</v>
      </c>
      <c r="F227" s="300">
        <v>48.755083338419595</v>
      </c>
      <c r="G227" s="300">
        <v>53.51158332824707</v>
      </c>
      <c r="H227" s="300">
        <v>50.265883445739746</v>
      </c>
      <c r="I227" s="300">
        <v>51.59724992116292</v>
      </c>
      <c r="J227" s="300">
        <f>MNF산정!DN$440</f>
        <v>48.560600026448569</v>
      </c>
      <c r="K227" s="283">
        <f t="shared" si="7"/>
        <v>50.044623883565272</v>
      </c>
      <c r="L227" s="282" t="str">
        <f t="shared" si="6"/>
        <v>이상없음</v>
      </c>
    </row>
    <row r="228" spans="1:12" ht="17.25" x14ac:dyDescent="0.3">
      <c r="A228" s="336"/>
      <c r="B228" s="15" t="s">
        <v>105</v>
      </c>
      <c r="C228" s="282" t="s">
        <v>419</v>
      </c>
      <c r="D228" s="300">
        <v>3045</v>
      </c>
      <c r="E228" s="300">
        <v>3015</v>
      </c>
      <c r="F228" s="300">
        <v>2994</v>
      </c>
      <c r="G228" s="300">
        <v>3058</v>
      </c>
      <c r="H228" s="300">
        <v>3063</v>
      </c>
      <c r="I228" s="300">
        <v>3112</v>
      </c>
      <c r="J228" s="300">
        <v>3135</v>
      </c>
      <c r="K228" s="283">
        <f t="shared" si="7"/>
        <v>3060.2857142857142</v>
      </c>
      <c r="L228" s="282" t="str">
        <f t="shared" si="6"/>
        <v>이상없음</v>
      </c>
    </row>
    <row r="229" spans="1:12" ht="17.25" x14ac:dyDescent="0.3">
      <c r="A229" s="336"/>
      <c r="B229" s="15" t="s">
        <v>105</v>
      </c>
      <c r="C229" s="282" t="s">
        <v>112</v>
      </c>
      <c r="D229" s="300">
        <v>109.00086847941081</v>
      </c>
      <c r="E229" s="300">
        <v>108.68124071756999</v>
      </c>
      <c r="F229" s="300">
        <v>110.81544812520345</v>
      </c>
      <c r="G229" s="300">
        <v>110.93629620869955</v>
      </c>
      <c r="H229" s="300">
        <v>111.46515731811523</v>
      </c>
      <c r="I229" s="300">
        <v>111.85665219624838</v>
      </c>
      <c r="J229" s="300">
        <f>MNF산정!DO$440</f>
        <v>111.10856959025065</v>
      </c>
      <c r="K229" s="283">
        <f t="shared" si="7"/>
        <v>110.5520332336426</v>
      </c>
      <c r="L229" s="282" t="str">
        <f t="shared" si="6"/>
        <v>이상없음</v>
      </c>
    </row>
    <row r="230" spans="1:12" ht="17.25" x14ac:dyDescent="0.3">
      <c r="A230" s="335" t="s">
        <v>303</v>
      </c>
      <c r="B230" s="15" t="s">
        <v>303</v>
      </c>
      <c r="C230" s="282" t="s">
        <v>419</v>
      </c>
      <c r="D230" s="300">
        <v>425</v>
      </c>
      <c r="E230" s="300">
        <v>433</v>
      </c>
      <c r="F230" s="300">
        <v>424</v>
      </c>
      <c r="G230" s="300">
        <v>423</v>
      </c>
      <c r="H230" s="300">
        <v>447</v>
      </c>
      <c r="I230" s="300">
        <v>463</v>
      </c>
      <c r="J230" s="300">
        <v>464</v>
      </c>
      <c r="K230" s="283">
        <f t="shared" si="7"/>
        <v>439.85714285714283</v>
      </c>
      <c r="L230" s="282" t="str">
        <f t="shared" si="6"/>
        <v>이상없음</v>
      </c>
    </row>
    <row r="231" spans="1:12" ht="17.25" x14ac:dyDescent="0.3">
      <c r="A231" s="335"/>
      <c r="B231" s="15" t="s">
        <v>303</v>
      </c>
      <c r="C231" s="282" t="s">
        <v>112</v>
      </c>
      <c r="D231" s="300">
        <v>14.244083261489868</v>
      </c>
      <c r="E231" s="300">
        <v>14.484849818547566</v>
      </c>
      <c r="F231" s="300">
        <v>14.24508326848348</v>
      </c>
      <c r="G231" s="300">
        <v>14.349666611353557</v>
      </c>
      <c r="H231" s="300">
        <v>15.436816724141439</v>
      </c>
      <c r="I231" s="300">
        <v>15.330750068028768</v>
      </c>
      <c r="J231" s="300">
        <f>MNF산정!DP$440</f>
        <v>15.202566719055175</v>
      </c>
      <c r="K231" s="283">
        <f t="shared" si="7"/>
        <v>14.756259495871406</v>
      </c>
      <c r="L231" s="282" t="str">
        <f t="shared" si="6"/>
        <v>이상없음</v>
      </c>
    </row>
    <row r="232" spans="1:12" ht="17.25" x14ac:dyDescent="0.3">
      <c r="A232" s="337" t="s">
        <v>180</v>
      </c>
      <c r="B232" s="15" t="s">
        <v>183</v>
      </c>
      <c r="C232" s="282" t="s">
        <v>419</v>
      </c>
      <c r="D232" s="300">
        <v>1641</v>
      </c>
      <c r="E232" s="300">
        <v>1672</v>
      </c>
      <c r="F232" s="300">
        <v>1591</v>
      </c>
      <c r="G232" s="300">
        <v>1619</v>
      </c>
      <c r="H232" s="300">
        <v>1621</v>
      </c>
      <c r="I232" s="300">
        <v>1616</v>
      </c>
      <c r="J232" s="300">
        <v>1583</v>
      </c>
      <c r="K232" s="283">
        <f t="shared" si="7"/>
        <v>1620.4285714285713</v>
      </c>
      <c r="L232" s="282" t="str">
        <f t="shared" si="6"/>
        <v>이상없음</v>
      </c>
    </row>
    <row r="233" spans="1:12" ht="17.25" x14ac:dyDescent="0.3">
      <c r="A233" s="337"/>
      <c r="B233" s="15" t="s">
        <v>183</v>
      </c>
      <c r="C233" s="282" t="s">
        <v>112</v>
      </c>
      <c r="D233" s="300">
        <v>30.494999917348228</v>
      </c>
      <c r="E233" s="300">
        <v>32.654999891916908</v>
      </c>
      <c r="F233" s="300">
        <v>31.554999796549478</v>
      </c>
      <c r="G233" s="300">
        <v>31.398333199818929</v>
      </c>
      <c r="H233" s="300">
        <v>33.653333250681563</v>
      </c>
      <c r="I233" s="300">
        <v>27.486666584014891</v>
      </c>
      <c r="J233" s="300">
        <f>MNF산정!DS$440</f>
        <v>28.444999853769939</v>
      </c>
      <c r="K233" s="283">
        <f t="shared" si="7"/>
        <v>30.812618927728561</v>
      </c>
      <c r="L233" s="282" t="str">
        <f t="shared" si="6"/>
        <v>이상없음</v>
      </c>
    </row>
    <row r="234" spans="1:12" ht="17.25" x14ac:dyDescent="0.3">
      <c r="A234" s="335" t="s">
        <v>184</v>
      </c>
      <c r="B234" s="15" t="s">
        <v>509</v>
      </c>
      <c r="C234" s="282" t="s">
        <v>419</v>
      </c>
      <c r="D234" s="300">
        <v>402</v>
      </c>
      <c r="E234" s="300">
        <v>394</v>
      </c>
      <c r="F234" s="300">
        <v>395</v>
      </c>
      <c r="G234" s="300">
        <v>380</v>
      </c>
      <c r="H234" s="300">
        <v>389</v>
      </c>
      <c r="I234" s="300">
        <v>392</v>
      </c>
      <c r="J234" s="300">
        <v>399</v>
      </c>
      <c r="K234" s="283">
        <f t="shared" si="7"/>
        <v>393</v>
      </c>
      <c r="L234" s="282" t="str">
        <f t="shared" si="6"/>
        <v>이상없음</v>
      </c>
    </row>
    <row r="235" spans="1:12" ht="17.25" x14ac:dyDescent="0.3">
      <c r="A235" s="335"/>
      <c r="B235" s="15" t="s">
        <v>509</v>
      </c>
      <c r="C235" s="282" t="s">
        <v>112</v>
      </c>
      <c r="D235" s="300">
        <v>12.083333333333334</v>
      </c>
      <c r="E235" s="300">
        <v>13.016666666666667</v>
      </c>
      <c r="F235" s="300">
        <v>12.1</v>
      </c>
      <c r="G235" s="300">
        <v>12.033333333333333</v>
      </c>
      <c r="H235" s="300">
        <v>12.633333333333333</v>
      </c>
      <c r="I235" s="300">
        <v>12.683333333333334</v>
      </c>
      <c r="J235" s="300">
        <f>MNF산정!DT$440</f>
        <v>12.066666666666666</v>
      </c>
      <c r="K235" s="283">
        <f t="shared" si="7"/>
        <v>12.373809523809523</v>
      </c>
      <c r="L235" s="282" t="str">
        <f t="shared" si="6"/>
        <v>이상없음</v>
      </c>
    </row>
    <row r="236" spans="1:12" ht="17.25" x14ac:dyDescent="0.3">
      <c r="A236" s="336" t="s">
        <v>300</v>
      </c>
      <c r="B236" s="15" t="s">
        <v>301</v>
      </c>
      <c r="C236" s="282" t="s">
        <v>419</v>
      </c>
      <c r="D236" s="300">
        <v>2389</v>
      </c>
      <c r="E236" s="300">
        <v>1967</v>
      </c>
      <c r="F236" s="300">
        <v>1889</v>
      </c>
      <c r="G236" s="300">
        <v>2308</v>
      </c>
      <c r="H236" s="300">
        <v>2187</v>
      </c>
      <c r="I236" s="300">
        <v>2068</v>
      </c>
      <c r="J236" s="300">
        <v>2212</v>
      </c>
      <c r="K236" s="283">
        <f t="shared" si="7"/>
        <v>2145.7142857142858</v>
      </c>
      <c r="L236" s="282" t="str">
        <f t="shared" si="6"/>
        <v>이상없음</v>
      </c>
    </row>
    <row r="237" spans="1:12" ht="17.25" x14ac:dyDescent="0.3">
      <c r="A237" s="336"/>
      <c r="B237" s="15" t="s">
        <v>301</v>
      </c>
      <c r="C237" s="282" t="s">
        <v>112</v>
      </c>
      <c r="D237" s="300">
        <v>5.3</v>
      </c>
      <c r="E237" s="300">
        <v>7.55</v>
      </c>
      <c r="F237" s="300">
        <v>7.333333333333333</v>
      </c>
      <c r="G237" s="300">
        <v>6.95</v>
      </c>
      <c r="H237" s="300">
        <v>6.7166666666666668</v>
      </c>
      <c r="I237" s="300">
        <v>8.2333333333333325</v>
      </c>
      <c r="J237" s="300">
        <f>MNF산정!DV$440</f>
        <v>7.75</v>
      </c>
      <c r="K237" s="283">
        <f t="shared" si="7"/>
        <v>7.1190476190476195</v>
      </c>
      <c r="L237" s="282" t="str">
        <f t="shared" si="6"/>
        <v>이상없음</v>
      </c>
    </row>
    <row r="238" spans="1:12" ht="17.25" x14ac:dyDescent="0.3">
      <c r="A238" s="336"/>
      <c r="B238" s="15" t="s">
        <v>35</v>
      </c>
      <c r="C238" s="282" t="s">
        <v>419</v>
      </c>
      <c r="D238" s="300">
        <v>1777</v>
      </c>
      <c r="E238" s="300">
        <v>1513</v>
      </c>
      <c r="F238" s="300">
        <v>1475</v>
      </c>
      <c r="G238" s="300">
        <v>1918</v>
      </c>
      <c r="H238" s="300">
        <v>1810</v>
      </c>
      <c r="I238" s="300">
        <v>1674</v>
      </c>
      <c r="J238" s="300">
        <v>1804</v>
      </c>
      <c r="K238" s="283">
        <f t="shared" si="7"/>
        <v>1710.1428571428571</v>
      </c>
      <c r="L238" s="282" t="str">
        <f t="shared" si="6"/>
        <v>이상없음</v>
      </c>
    </row>
    <row r="239" spans="1:12" ht="17.25" x14ac:dyDescent="0.3">
      <c r="A239" s="336"/>
      <c r="B239" s="15" t="s">
        <v>35</v>
      </c>
      <c r="C239" s="282" t="s">
        <v>112</v>
      </c>
      <c r="D239" s="300">
        <v>1.0263557612895966</v>
      </c>
      <c r="E239" s="300">
        <v>0.7602464581529299</v>
      </c>
      <c r="F239" s="300">
        <v>1.2800725926955541</v>
      </c>
      <c r="G239" s="300">
        <v>1.594795928398768</v>
      </c>
      <c r="H239" s="300">
        <v>1.5085204154253007</v>
      </c>
      <c r="I239" s="300">
        <v>1.4404168148835501</v>
      </c>
      <c r="J239" s="300">
        <f>MNF산정!DW$440</f>
        <v>1.3532158315181733</v>
      </c>
      <c r="K239" s="283">
        <f t="shared" si="7"/>
        <v>1.2805176860519818</v>
      </c>
      <c r="L239" s="282" t="str">
        <f t="shared" si="6"/>
        <v>이상없음</v>
      </c>
    </row>
    <row r="240" spans="1:12" ht="17.25" x14ac:dyDescent="0.3">
      <c r="A240" s="337" t="s">
        <v>304</v>
      </c>
      <c r="B240" s="15" t="s">
        <v>304</v>
      </c>
      <c r="C240" s="282" t="s">
        <v>419</v>
      </c>
      <c r="D240" s="300">
        <v>432</v>
      </c>
      <c r="E240" s="300">
        <v>414</v>
      </c>
      <c r="F240" s="300">
        <v>407</v>
      </c>
      <c r="G240" s="300">
        <v>392</v>
      </c>
      <c r="H240" s="300">
        <v>429</v>
      </c>
      <c r="I240" s="300">
        <v>465</v>
      </c>
      <c r="J240" s="300">
        <v>412</v>
      </c>
      <c r="K240" s="283">
        <f t="shared" si="7"/>
        <v>421.57142857142856</v>
      </c>
      <c r="L240" s="282" t="str">
        <f t="shared" si="6"/>
        <v>이상없음</v>
      </c>
    </row>
    <row r="241" spans="1:12" ht="17.25" x14ac:dyDescent="0.3">
      <c r="A241" s="337"/>
      <c r="B241" s="15" t="s">
        <v>304</v>
      </c>
      <c r="C241" s="282" t="s">
        <v>112</v>
      </c>
      <c r="D241" s="300">
        <v>7.083333333333333</v>
      </c>
      <c r="E241" s="300">
        <v>8.9833333333333325</v>
      </c>
      <c r="F241" s="300">
        <v>9.5</v>
      </c>
      <c r="G241" s="300">
        <v>11.183333333333334</v>
      </c>
      <c r="H241" s="300">
        <v>11.216666666666667</v>
      </c>
      <c r="I241" s="300">
        <v>11.266666666666667</v>
      </c>
      <c r="J241" s="300">
        <f>MNF산정!DX$440</f>
        <v>9.9833333333333325</v>
      </c>
      <c r="K241" s="283">
        <f t="shared" si="7"/>
        <v>9.8880952380952376</v>
      </c>
      <c r="L241" s="282" t="str">
        <f t="shared" si="6"/>
        <v>이상없음</v>
      </c>
    </row>
    <row r="242" spans="1:12" ht="17.25" x14ac:dyDescent="0.3">
      <c r="A242" s="335" t="s">
        <v>420</v>
      </c>
      <c r="B242" s="14" t="s">
        <v>643</v>
      </c>
      <c r="C242" s="282" t="s">
        <v>419</v>
      </c>
      <c r="D242" s="300">
        <v>1379</v>
      </c>
      <c r="E242" s="300">
        <v>1336</v>
      </c>
      <c r="F242" s="300">
        <v>1345</v>
      </c>
      <c r="G242" s="300">
        <v>1321</v>
      </c>
      <c r="H242" s="300">
        <v>1376</v>
      </c>
      <c r="I242" s="300">
        <v>1409</v>
      </c>
      <c r="J242" s="300">
        <v>1394</v>
      </c>
      <c r="K242" s="283">
        <f t="shared" si="7"/>
        <v>1365.7142857142858</v>
      </c>
      <c r="L242" s="282" t="str">
        <f t="shared" si="6"/>
        <v>이상없음</v>
      </c>
    </row>
    <row r="243" spans="1:12" ht="17.25" x14ac:dyDescent="0.3">
      <c r="A243" s="335"/>
      <c r="B243" s="14" t="s">
        <v>643</v>
      </c>
      <c r="C243" s="282" t="s">
        <v>112</v>
      </c>
      <c r="D243" s="300">
        <v>39.266666666666666</v>
      </c>
      <c r="E243" s="300">
        <v>42.9</v>
      </c>
      <c r="F243" s="300">
        <v>39.016666666666666</v>
      </c>
      <c r="G243" s="300">
        <v>41.266666666666666</v>
      </c>
      <c r="H243" s="300">
        <v>41.416666666666664</v>
      </c>
      <c r="I243" s="300">
        <v>40.283333333333331</v>
      </c>
      <c r="J243" s="300">
        <f>MNF산정!DZ$440</f>
        <v>44.43333333333333</v>
      </c>
      <c r="K243" s="283">
        <f t="shared" si="7"/>
        <v>41.226190476190474</v>
      </c>
      <c r="L243" s="282" t="str">
        <f t="shared" si="6"/>
        <v>이상없음</v>
      </c>
    </row>
    <row r="244" spans="1:12" ht="17.25" x14ac:dyDescent="0.3">
      <c r="A244" s="335"/>
      <c r="B244" s="14" t="s">
        <v>644</v>
      </c>
      <c r="C244" s="282" t="s">
        <v>419</v>
      </c>
      <c r="D244" s="300">
        <v>82</v>
      </c>
      <c r="E244" s="300">
        <v>84</v>
      </c>
      <c r="F244" s="300">
        <v>84</v>
      </c>
      <c r="G244" s="300">
        <v>86</v>
      </c>
      <c r="H244" s="300">
        <v>82</v>
      </c>
      <c r="I244" s="300">
        <v>79</v>
      </c>
      <c r="J244" s="300">
        <v>77</v>
      </c>
      <c r="K244" s="283">
        <f t="shared" si="7"/>
        <v>82</v>
      </c>
      <c r="L244" s="282" t="str">
        <f t="shared" si="6"/>
        <v>이상없음</v>
      </c>
    </row>
    <row r="245" spans="1:12" ht="17.25" x14ac:dyDescent="0.3">
      <c r="A245" s="335"/>
      <c r="B245" s="14" t="s">
        <v>644</v>
      </c>
      <c r="C245" s="282" t="s">
        <v>112</v>
      </c>
      <c r="D245" s="300">
        <v>3</v>
      </c>
      <c r="E245" s="300">
        <v>3</v>
      </c>
      <c r="F245" s="300">
        <v>3</v>
      </c>
      <c r="G245" s="300">
        <v>3</v>
      </c>
      <c r="H245" s="300">
        <v>3</v>
      </c>
      <c r="I245" s="300">
        <v>3</v>
      </c>
      <c r="J245" s="300">
        <f>MNF산정!EA$440</f>
        <v>3</v>
      </c>
      <c r="K245" s="283">
        <f t="shared" si="7"/>
        <v>3</v>
      </c>
      <c r="L245" s="282" t="str">
        <f t="shared" si="6"/>
        <v>이상없음</v>
      </c>
    </row>
    <row r="246" spans="1:12" ht="17.25" x14ac:dyDescent="0.3">
      <c r="A246" s="335"/>
      <c r="B246" s="14" t="s">
        <v>516</v>
      </c>
      <c r="C246" s="282" t="s">
        <v>419</v>
      </c>
      <c r="D246" s="300">
        <v>179</v>
      </c>
      <c r="E246" s="300">
        <v>147</v>
      </c>
      <c r="F246" s="300">
        <v>141</v>
      </c>
      <c r="G246" s="300">
        <v>138</v>
      </c>
      <c r="H246" s="300">
        <v>201</v>
      </c>
      <c r="I246" s="300">
        <v>188</v>
      </c>
      <c r="J246" s="300">
        <v>234</v>
      </c>
      <c r="K246" s="283">
        <f t="shared" si="7"/>
        <v>175.42857142857142</v>
      </c>
      <c r="L246" s="282" t="str">
        <f t="shared" si="6"/>
        <v>확인필요</v>
      </c>
    </row>
    <row r="247" spans="1:12" ht="17.25" x14ac:dyDescent="0.3">
      <c r="A247" s="335"/>
      <c r="B247" s="14" t="s">
        <v>516</v>
      </c>
      <c r="C247" s="282" t="s">
        <v>112</v>
      </c>
      <c r="D247" s="300">
        <v>0</v>
      </c>
      <c r="E247" s="300">
        <v>0</v>
      </c>
      <c r="F247" s="300">
        <v>0</v>
      </c>
      <c r="G247" s="300">
        <v>0</v>
      </c>
      <c r="H247" s="300">
        <v>0</v>
      </c>
      <c r="I247" s="300">
        <v>0</v>
      </c>
      <c r="J247" s="300">
        <f>MNF산정!EB$440</f>
        <v>0</v>
      </c>
      <c r="K247" s="283">
        <f t="shared" si="7"/>
        <v>0</v>
      </c>
      <c r="L247" s="282" t="str">
        <f t="shared" si="6"/>
        <v>확인필요</v>
      </c>
    </row>
    <row r="248" spans="1:12" ht="17.25" x14ac:dyDescent="0.3">
      <c r="A248" s="335"/>
      <c r="B248" s="14" t="s">
        <v>642</v>
      </c>
      <c r="C248" s="282" t="s">
        <v>419</v>
      </c>
      <c r="D248" s="300">
        <v>648</v>
      </c>
      <c r="E248" s="300">
        <v>656</v>
      </c>
      <c r="F248" s="300">
        <v>657</v>
      </c>
      <c r="G248" s="300">
        <v>658</v>
      </c>
      <c r="H248" s="300">
        <v>644</v>
      </c>
      <c r="I248" s="300">
        <v>647</v>
      </c>
      <c r="J248" s="300">
        <v>637</v>
      </c>
      <c r="K248" s="283">
        <f t="shared" si="7"/>
        <v>649.57142857142856</v>
      </c>
      <c r="L248" s="282" t="str">
        <f t="shared" si="6"/>
        <v>이상없음</v>
      </c>
    </row>
    <row r="249" spans="1:12" ht="17.25" x14ac:dyDescent="0.3">
      <c r="A249" s="335"/>
      <c r="B249" s="14" t="s">
        <v>642</v>
      </c>
      <c r="C249" s="282" t="s">
        <v>112</v>
      </c>
      <c r="D249" s="300">
        <v>29</v>
      </c>
      <c r="E249" s="300">
        <v>29</v>
      </c>
      <c r="F249" s="300">
        <v>29</v>
      </c>
      <c r="G249" s="300">
        <v>29</v>
      </c>
      <c r="H249" s="300">
        <v>28.583333333333332</v>
      </c>
      <c r="I249" s="300">
        <v>1</v>
      </c>
      <c r="J249" s="300">
        <f>MNF산정!EC$440</f>
        <v>1.0166666666666666</v>
      </c>
      <c r="K249" s="283">
        <f t="shared" si="7"/>
        <v>20.942857142857147</v>
      </c>
      <c r="L249" s="282" t="str">
        <f t="shared" si="6"/>
        <v>확인필요</v>
      </c>
    </row>
    <row r="250" spans="1:12" ht="34.5" x14ac:dyDescent="0.3">
      <c r="B250" s="14" t="s">
        <v>716</v>
      </c>
      <c r="C250" s="282" t="s">
        <v>419</v>
      </c>
      <c r="D250" s="300"/>
      <c r="E250" s="300"/>
      <c r="F250" s="300"/>
      <c r="G250" s="300"/>
      <c r="H250" s="300"/>
      <c r="I250" s="300"/>
      <c r="J250" s="300"/>
      <c r="K250" s="283" t="e">
        <f t="shared" ref="K250:K251" si="8">AVERAGE(D250:J250)</f>
        <v>#DIV/0!</v>
      </c>
      <c r="L250" s="282" t="e">
        <f t="shared" ref="L250:L251" si="9">IF(OR(J250&gt;=K250*1.1,J250&lt;=K250*0.9),"확인필요","이상없음")</f>
        <v>#DIV/0!</v>
      </c>
    </row>
    <row r="251" spans="1:12" ht="34.5" x14ac:dyDescent="0.3">
      <c r="B251" s="14" t="s">
        <v>716</v>
      </c>
      <c r="C251" s="282" t="s">
        <v>112</v>
      </c>
      <c r="D251" s="300"/>
      <c r="E251" s="300"/>
      <c r="F251" s="300"/>
      <c r="G251" s="300"/>
      <c r="H251" s="300"/>
      <c r="I251" s="300"/>
      <c r="J251" s="300">
        <f>MNF산정!ED$440</f>
        <v>228.03666687011719</v>
      </c>
      <c r="K251" s="283">
        <f t="shared" si="8"/>
        <v>228.03666687011719</v>
      </c>
      <c r="L251" s="282" t="str">
        <f t="shared" si="9"/>
        <v>이상없음</v>
      </c>
    </row>
  </sheetData>
  <autoFilter ref="A1:L249" xr:uid="{107F35CF-B3D3-495E-8894-2C2966C45DDB}"/>
  <mergeCells count="37">
    <mergeCell ref="A242:A249"/>
    <mergeCell ref="A218:A229"/>
    <mergeCell ref="A230:A231"/>
    <mergeCell ref="A232:A233"/>
    <mergeCell ref="A234:A235"/>
    <mergeCell ref="A236:A239"/>
    <mergeCell ref="A240:A241"/>
    <mergeCell ref="A196:A217"/>
    <mergeCell ref="A132:A141"/>
    <mergeCell ref="A142:A143"/>
    <mergeCell ref="A144:A145"/>
    <mergeCell ref="A146:A147"/>
    <mergeCell ref="A148:A149"/>
    <mergeCell ref="A150:A151"/>
    <mergeCell ref="A152:A153"/>
    <mergeCell ref="A154:A171"/>
    <mergeCell ref="A172:A191"/>
    <mergeCell ref="A192:A193"/>
    <mergeCell ref="A194:A195"/>
    <mergeCell ref="A128:A131"/>
    <mergeCell ref="A80:A87"/>
    <mergeCell ref="A88:A95"/>
    <mergeCell ref="A96:A99"/>
    <mergeCell ref="A100:A103"/>
    <mergeCell ref="A104:A107"/>
    <mergeCell ref="A108:A111"/>
    <mergeCell ref="A112:A115"/>
    <mergeCell ref="A116:A117"/>
    <mergeCell ref="A118:A121"/>
    <mergeCell ref="A122:A125"/>
    <mergeCell ref="A126:A127"/>
    <mergeCell ref="A44:A79"/>
    <mergeCell ref="A2:A15"/>
    <mergeCell ref="A16:A29"/>
    <mergeCell ref="A30:A35"/>
    <mergeCell ref="A36:A39"/>
    <mergeCell ref="A40:A43"/>
  </mergeCells>
  <phoneticPr fontId="1" type="noConversion"/>
  <conditionalFormatting sqref="J2:J251">
    <cfRule type="expression" dxfId="4" priority="1">
      <formula>L2="확인필요"</formula>
    </cfRule>
  </conditionalFormatting>
  <conditionalFormatting sqref="L1">
    <cfRule type="expression" dxfId="3" priority="6">
      <formula>"L2=""x"""</formula>
    </cfRule>
  </conditionalFormatting>
  <conditionalFormatting sqref="L2:L251">
    <cfRule type="expression" dxfId="2" priority="2">
      <formula>L2="확인필요"</formula>
    </cfRule>
  </conditionalFormatting>
  <pageMargins left="0.7" right="0.7" top="0.75" bottom="0.75" header="0.3" footer="0.3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B78C-86AA-4B72-A6DA-7AFC24F70BE1}">
  <dimension ref="A1:G137"/>
  <sheetViews>
    <sheetView tabSelected="1" view="pageBreakPreview" zoomScaleNormal="100" zoomScaleSheetLayoutView="100" workbookViewId="0">
      <pane xSplit="3" ySplit="3" topLeftCell="D76" activePane="bottomRight" state="frozen"/>
      <selection pane="topRight" activeCell="D1" sqref="D1"/>
      <selection pane="bottomLeft" activeCell="A4" sqref="A4"/>
      <selection pane="bottomRight" activeCell="E88" sqref="E88"/>
    </sheetView>
  </sheetViews>
  <sheetFormatPr defaultRowHeight="16.5" x14ac:dyDescent="0.3"/>
  <cols>
    <col min="1" max="1" width="9.625" customWidth="1"/>
    <col min="2" max="2" width="16.75" customWidth="1"/>
    <col min="3" max="3" width="21" style="5" customWidth="1"/>
    <col min="4" max="4" width="20.625" style="25" customWidth="1"/>
    <col min="5" max="5" width="18.875" style="60" bestFit="1" customWidth="1"/>
    <col min="6" max="6" width="17.875" hidden="1" customWidth="1"/>
    <col min="7" max="7" width="61.5" hidden="1" customWidth="1"/>
  </cols>
  <sheetData>
    <row r="1" spans="1:7" x14ac:dyDescent="0.3">
      <c r="A1" s="357" t="s">
        <v>1</v>
      </c>
      <c r="B1" s="338" t="s">
        <v>2</v>
      </c>
      <c r="C1" s="338" t="s">
        <v>3</v>
      </c>
      <c r="D1" s="25" t="s">
        <v>725</v>
      </c>
    </row>
    <row r="2" spans="1:7" x14ac:dyDescent="0.3">
      <c r="A2" s="358"/>
      <c r="B2" s="339"/>
      <c r="C2" s="339"/>
      <c r="E2" s="61" t="s">
        <v>194</v>
      </c>
      <c r="F2" s="23" t="s">
        <v>22</v>
      </c>
      <c r="G2" s="7" t="s">
        <v>23</v>
      </c>
    </row>
    <row r="3" spans="1:7" ht="33.75" thickBot="1" x14ac:dyDescent="0.35">
      <c r="A3" s="63"/>
      <c r="B3" s="1"/>
      <c r="C3" s="1"/>
      <c r="D3" s="98" t="s">
        <v>19</v>
      </c>
      <c r="E3" s="24" t="s">
        <v>32</v>
      </c>
      <c r="F3" s="6" t="s">
        <v>20</v>
      </c>
      <c r="G3" s="7" t="s">
        <v>21</v>
      </c>
    </row>
    <row r="4" spans="1:7" ht="17.25" x14ac:dyDescent="0.3">
      <c r="A4" s="342" t="s">
        <v>4</v>
      </c>
      <c r="B4" s="345" t="s">
        <v>5</v>
      </c>
      <c r="C4" s="62"/>
    </row>
    <row r="5" spans="1:7" ht="17.25" x14ac:dyDescent="0.3">
      <c r="A5" s="343"/>
      <c r="B5" s="346"/>
      <c r="C5" s="29" t="s">
        <v>294</v>
      </c>
      <c r="D5" s="25">
        <v>10080</v>
      </c>
      <c r="E5" s="122">
        <f>MNF산정!EG4</f>
        <v>210.76666666666668</v>
      </c>
    </row>
    <row r="6" spans="1:7" ht="17.25" x14ac:dyDescent="0.3">
      <c r="A6" s="343"/>
      <c r="B6" s="345"/>
      <c r="C6" s="71" t="s">
        <v>114</v>
      </c>
      <c r="D6" s="25">
        <v>1732</v>
      </c>
      <c r="E6" s="301">
        <f>MNF산정!EG5</f>
        <v>48.554100290934244</v>
      </c>
    </row>
    <row r="7" spans="1:7" ht="17.25" x14ac:dyDescent="0.3">
      <c r="A7" s="343"/>
      <c r="B7" s="345"/>
      <c r="C7" s="66" t="s">
        <v>44</v>
      </c>
      <c r="D7" s="25">
        <v>2772</v>
      </c>
      <c r="E7" s="301">
        <f>MNF산정!EG6</f>
        <v>95.870250320434565</v>
      </c>
    </row>
    <row r="8" spans="1:7" ht="17.25" x14ac:dyDescent="0.3">
      <c r="A8" s="343"/>
      <c r="B8" s="345"/>
      <c r="C8" s="66" t="s">
        <v>45</v>
      </c>
      <c r="D8" s="25">
        <v>901</v>
      </c>
      <c r="E8" s="301">
        <f>MNF산정!EG7</f>
        <v>16.803866656621299</v>
      </c>
    </row>
    <row r="9" spans="1:7" ht="17.25" x14ac:dyDescent="0.3">
      <c r="A9" s="343"/>
      <c r="B9" s="345"/>
      <c r="C9" s="66" t="s">
        <v>46</v>
      </c>
      <c r="D9" s="25">
        <v>924</v>
      </c>
      <c r="E9" s="301">
        <f>MNF산정!EG8</f>
        <v>1.997491216659546</v>
      </c>
    </row>
    <row r="10" spans="1:7" ht="17.25" x14ac:dyDescent="0.3">
      <c r="A10" s="343"/>
      <c r="B10" s="345"/>
      <c r="C10" s="70" t="s">
        <v>115</v>
      </c>
      <c r="D10" s="25">
        <v>766</v>
      </c>
      <c r="E10" s="301">
        <f>MNF산정!EG9</f>
        <v>16.758616654078164</v>
      </c>
    </row>
    <row r="11" spans="1:7" ht="17.25" x14ac:dyDescent="0.3">
      <c r="A11" s="343"/>
      <c r="B11" s="347" t="s">
        <v>144</v>
      </c>
      <c r="C11" s="72" t="s">
        <v>196</v>
      </c>
      <c r="D11" s="25">
        <v>738</v>
      </c>
      <c r="E11" s="301">
        <f>MNF산정!EG10</f>
        <v>304.58333333333331</v>
      </c>
    </row>
    <row r="12" spans="1:7" ht="17.25" x14ac:dyDescent="0.3">
      <c r="A12" s="343"/>
      <c r="B12" s="347"/>
      <c r="C12" s="73" t="s">
        <v>297</v>
      </c>
      <c r="D12" s="25">
        <v>0</v>
      </c>
      <c r="E12" s="301">
        <f>MNF산정!EG11</f>
        <v>271.93333333333334</v>
      </c>
    </row>
    <row r="13" spans="1:7" ht="17.25" x14ac:dyDescent="0.3">
      <c r="A13" s="343"/>
      <c r="B13" s="348"/>
      <c r="C13" s="71" t="s">
        <v>273</v>
      </c>
      <c r="D13" s="25">
        <v>2046</v>
      </c>
      <c r="E13" s="301">
        <f>MNF산정!EG12</f>
        <v>60.446250216166177</v>
      </c>
    </row>
    <row r="14" spans="1:7" ht="17.25" x14ac:dyDescent="0.3">
      <c r="A14" s="343"/>
      <c r="B14" s="348"/>
      <c r="C14" s="66" t="s">
        <v>272</v>
      </c>
      <c r="D14" s="25">
        <v>1797</v>
      </c>
      <c r="E14" s="301">
        <f>MNF산정!EG13</f>
        <v>60.400438117980954</v>
      </c>
    </row>
    <row r="15" spans="1:7" ht="17.25" x14ac:dyDescent="0.3">
      <c r="A15" s="343"/>
      <c r="B15" s="348"/>
      <c r="C15" s="66" t="s">
        <v>50</v>
      </c>
      <c r="D15" s="25">
        <v>1734</v>
      </c>
      <c r="E15" s="301">
        <f>MNF산정!EG14</f>
        <v>43.447733561197914</v>
      </c>
    </row>
    <row r="16" spans="1:7" ht="17.25" x14ac:dyDescent="0.3">
      <c r="A16" s="343"/>
      <c r="B16" s="348"/>
      <c r="C16" s="66" t="s">
        <v>51</v>
      </c>
      <c r="D16" s="25">
        <v>442</v>
      </c>
      <c r="E16" s="301">
        <f>MNF산정!EG15</f>
        <v>11.833283297220866</v>
      </c>
    </row>
    <row r="17" spans="1:5" ht="17.25" x14ac:dyDescent="0.3">
      <c r="A17" s="343"/>
      <c r="B17" s="348"/>
      <c r="C17" s="74" t="s">
        <v>52</v>
      </c>
      <c r="D17" s="25">
        <v>432</v>
      </c>
      <c r="E17" s="301">
        <f>MNF산정!EG16</f>
        <v>17.025583600997926</v>
      </c>
    </row>
    <row r="18" spans="1:5" ht="17.25" x14ac:dyDescent="0.3">
      <c r="A18" s="343"/>
      <c r="B18" s="348" t="s">
        <v>145</v>
      </c>
      <c r="C18" s="45" t="s">
        <v>117</v>
      </c>
      <c r="D18" s="25">
        <v>9714</v>
      </c>
      <c r="E18" s="301">
        <f>MNF산정!EG17</f>
        <v>16.433333333333334</v>
      </c>
    </row>
    <row r="19" spans="1:5" ht="17.25" x14ac:dyDescent="0.3">
      <c r="A19" s="343"/>
      <c r="B19" s="348"/>
      <c r="C19" s="104" t="s">
        <v>195</v>
      </c>
      <c r="D19" s="25">
        <v>8848</v>
      </c>
      <c r="E19" s="301">
        <f>MNF산정!EG18</f>
        <v>0</v>
      </c>
    </row>
    <row r="20" spans="1:5" ht="17.25" x14ac:dyDescent="0.3">
      <c r="A20" s="343"/>
      <c r="B20" s="348"/>
      <c r="C20" s="75" t="s">
        <v>274</v>
      </c>
      <c r="D20" s="25">
        <v>756</v>
      </c>
      <c r="E20" s="301">
        <f>MNF산정!EG19</f>
        <v>16.788743877410887</v>
      </c>
    </row>
    <row r="21" spans="1:5" ht="17.25" x14ac:dyDescent="0.3">
      <c r="A21" s="343"/>
      <c r="B21" s="348" t="s">
        <v>146</v>
      </c>
      <c r="C21" s="44" t="s">
        <v>120</v>
      </c>
      <c r="D21" s="25">
        <v>1022</v>
      </c>
      <c r="E21" s="301">
        <f>MNF산정!EG20</f>
        <v>4.1324999491373697</v>
      </c>
    </row>
    <row r="22" spans="1:5" ht="17.25" x14ac:dyDescent="0.3">
      <c r="A22" s="343"/>
      <c r="B22" s="348"/>
      <c r="C22" s="75" t="s">
        <v>275</v>
      </c>
      <c r="D22" s="25">
        <v>1073</v>
      </c>
      <c r="E22" s="301">
        <f>MNF산정!EG21</f>
        <v>4.9219543019930523</v>
      </c>
    </row>
    <row r="23" spans="1:5" ht="17.25" x14ac:dyDescent="0.3">
      <c r="A23" s="343"/>
      <c r="B23" s="348" t="s">
        <v>147</v>
      </c>
      <c r="C23" s="44" t="s">
        <v>257</v>
      </c>
      <c r="D23" s="25">
        <v>131</v>
      </c>
      <c r="E23" s="301">
        <f>MNF산정!EG22</f>
        <v>4.45</v>
      </c>
    </row>
    <row r="24" spans="1:5" ht="17.25" x14ac:dyDescent="0.3">
      <c r="A24" s="343"/>
      <c r="B24" s="348"/>
      <c r="C24" s="75" t="s">
        <v>100</v>
      </c>
      <c r="D24" s="25">
        <v>131</v>
      </c>
      <c r="E24" s="301">
        <f>MNF산정!EG23</f>
        <v>4.45</v>
      </c>
    </row>
    <row r="25" spans="1:5" ht="17.25" x14ac:dyDescent="0.3">
      <c r="A25" s="343"/>
      <c r="B25" s="340" t="s">
        <v>148</v>
      </c>
      <c r="C25" s="76" t="s">
        <v>276</v>
      </c>
      <c r="D25" s="25">
        <v>31314</v>
      </c>
      <c r="E25" s="301">
        <f>MNF산정!EG24</f>
        <v>843.75</v>
      </c>
    </row>
    <row r="26" spans="1:5" ht="17.25" x14ac:dyDescent="0.3">
      <c r="A26" s="343"/>
      <c r="B26" s="340"/>
      <c r="C26" s="71" t="s">
        <v>293</v>
      </c>
      <c r="D26" s="25">
        <v>1132</v>
      </c>
      <c r="E26" s="301">
        <f>MNF산정!EG25</f>
        <v>25.568621921539307</v>
      </c>
    </row>
    <row r="27" spans="1:5" ht="17.25" x14ac:dyDescent="0.3">
      <c r="A27" s="343"/>
      <c r="B27" s="340"/>
      <c r="C27" s="66" t="s">
        <v>292</v>
      </c>
      <c r="D27" s="25">
        <v>891</v>
      </c>
      <c r="E27" s="301">
        <f>MNF산정!EG26</f>
        <v>24.439800230662026</v>
      </c>
    </row>
    <row r="28" spans="1:5" ht="17.25" x14ac:dyDescent="0.3">
      <c r="A28" s="343"/>
      <c r="B28" s="340"/>
      <c r="C28" s="66" t="s">
        <v>291</v>
      </c>
      <c r="D28" s="25">
        <v>341</v>
      </c>
      <c r="E28" s="301">
        <f>MNF산정!EG27</f>
        <v>6.0548500378926597</v>
      </c>
    </row>
    <row r="29" spans="1:5" ht="17.25" x14ac:dyDescent="0.3">
      <c r="A29" s="343"/>
      <c r="B29" s="340"/>
      <c r="C29" s="66" t="s">
        <v>290</v>
      </c>
      <c r="D29" s="25">
        <v>0</v>
      </c>
      <c r="E29" s="301">
        <f>MNF산정!EG28</f>
        <v>0</v>
      </c>
    </row>
    <row r="30" spans="1:5" ht="17.25" x14ac:dyDescent="0.3">
      <c r="A30" s="343"/>
      <c r="B30" s="340"/>
      <c r="C30" s="66" t="s">
        <v>289</v>
      </c>
      <c r="D30" s="25">
        <v>764</v>
      </c>
      <c r="E30" s="301">
        <f>MNF산정!EG29</f>
        <v>18.383516693115233</v>
      </c>
    </row>
    <row r="31" spans="1:5" ht="17.25" x14ac:dyDescent="0.3">
      <c r="A31" s="343"/>
      <c r="B31" s="340"/>
      <c r="C31" s="66" t="s">
        <v>288</v>
      </c>
      <c r="D31" s="25">
        <v>0</v>
      </c>
      <c r="E31" s="301">
        <f>MNF산정!EG30</f>
        <v>0</v>
      </c>
    </row>
    <row r="32" spans="1:5" ht="17.25" x14ac:dyDescent="0.3">
      <c r="A32" s="343"/>
      <c r="B32" s="340"/>
      <c r="C32" s="66" t="s">
        <v>287</v>
      </c>
      <c r="D32" s="25">
        <v>1878</v>
      </c>
      <c r="E32" s="301">
        <f>MNF산정!EG31</f>
        <v>51.320355796813963</v>
      </c>
    </row>
    <row r="33" spans="1:5" ht="17.25" x14ac:dyDescent="0.3">
      <c r="A33" s="343"/>
      <c r="B33" s="340"/>
      <c r="C33" s="66" t="s">
        <v>286</v>
      </c>
      <c r="D33" s="25">
        <v>168</v>
      </c>
      <c r="E33" s="301">
        <f>MNF산정!EG32</f>
        <v>5.9031001091003414</v>
      </c>
    </row>
    <row r="34" spans="1:5" ht="17.25" x14ac:dyDescent="0.3">
      <c r="A34" s="343"/>
      <c r="B34" s="340"/>
      <c r="C34" s="66" t="s">
        <v>285</v>
      </c>
      <c r="D34" s="25">
        <v>111</v>
      </c>
      <c r="E34" s="301">
        <f>MNF산정!EG33</f>
        <v>0</v>
      </c>
    </row>
    <row r="35" spans="1:5" ht="17.25" x14ac:dyDescent="0.3">
      <c r="A35" s="343"/>
      <c r="B35" s="340"/>
      <c r="C35" s="66" t="s">
        <v>284</v>
      </c>
      <c r="D35" s="25">
        <v>2697</v>
      </c>
      <c r="E35" s="301">
        <f>MNF산정!EG34</f>
        <v>79.630315399169916</v>
      </c>
    </row>
    <row r="36" spans="1:5" ht="17.25" x14ac:dyDescent="0.3">
      <c r="A36" s="343"/>
      <c r="B36" s="340"/>
      <c r="C36" s="66" t="s">
        <v>277</v>
      </c>
      <c r="D36" s="25">
        <v>1405</v>
      </c>
      <c r="E36" s="301">
        <f>MNF산정!EG35</f>
        <v>0</v>
      </c>
    </row>
    <row r="37" spans="1:5" ht="17.25" x14ac:dyDescent="0.3">
      <c r="A37" s="343"/>
      <c r="B37" s="340"/>
      <c r="C37" s="66" t="s">
        <v>283</v>
      </c>
      <c r="D37" s="25">
        <v>2390</v>
      </c>
      <c r="E37" s="301">
        <f>MNF산정!EG36</f>
        <v>59.836030006408691</v>
      </c>
    </row>
    <row r="38" spans="1:5" ht="17.25" x14ac:dyDescent="0.3">
      <c r="A38" s="343"/>
      <c r="B38" s="340"/>
      <c r="C38" s="66" t="s">
        <v>282</v>
      </c>
      <c r="D38" s="25">
        <v>896</v>
      </c>
      <c r="E38" s="301">
        <f>MNF산정!EG37</f>
        <v>11.999783356984457</v>
      </c>
    </row>
    <row r="39" spans="1:5" ht="17.25" x14ac:dyDescent="0.3">
      <c r="A39" s="343"/>
      <c r="B39" s="340"/>
      <c r="C39" s="66" t="s">
        <v>281</v>
      </c>
      <c r="D39" s="25">
        <v>1137</v>
      </c>
      <c r="E39" s="301">
        <f>MNF산정!EG38</f>
        <v>15.944715213775634</v>
      </c>
    </row>
    <row r="40" spans="1:5" ht="17.25" x14ac:dyDescent="0.3">
      <c r="A40" s="343"/>
      <c r="B40" s="340"/>
      <c r="C40" s="67" t="s">
        <v>280</v>
      </c>
      <c r="D40" s="25">
        <v>1307</v>
      </c>
      <c r="E40" s="301">
        <f>MNF산정!EG39</f>
        <v>35.874720891316734</v>
      </c>
    </row>
    <row r="41" spans="1:5" ht="17.25" x14ac:dyDescent="0.3">
      <c r="A41" s="343"/>
      <c r="B41" s="340"/>
      <c r="C41" s="66" t="s">
        <v>278</v>
      </c>
      <c r="D41" s="25">
        <v>1526</v>
      </c>
      <c r="E41" s="301">
        <f>MNF산정!EG40</f>
        <v>35.813633219401041</v>
      </c>
    </row>
    <row r="42" spans="1:5" ht="17.25" x14ac:dyDescent="0.3">
      <c r="A42" s="343"/>
      <c r="B42" s="340"/>
      <c r="C42" s="74" t="s">
        <v>279</v>
      </c>
      <c r="D42" s="25">
        <v>1676</v>
      </c>
      <c r="E42" s="301">
        <f>MNF산정!EG41</f>
        <v>54.743183008829753</v>
      </c>
    </row>
    <row r="43" spans="1:5" ht="17.25" x14ac:dyDescent="0.3">
      <c r="A43" s="343"/>
      <c r="B43" s="349" t="s">
        <v>152</v>
      </c>
      <c r="C43" s="105" t="s">
        <v>298</v>
      </c>
      <c r="D43" s="25">
        <v>5128</v>
      </c>
      <c r="E43" s="301">
        <f>MNF산정!EG42</f>
        <v>111.68854166666667</v>
      </c>
    </row>
    <row r="44" spans="1:5" ht="17.25" x14ac:dyDescent="0.3">
      <c r="A44" s="343"/>
      <c r="B44" s="349"/>
      <c r="C44" s="106" t="s">
        <v>299</v>
      </c>
      <c r="D44" s="25">
        <v>2929</v>
      </c>
      <c r="E44" s="301">
        <f>MNF산정!EG43</f>
        <v>56.783333333333331</v>
      </c>
    </row>
    <row r="45" spans="1:5" ht="17.25" x14ac:dyDescent="0.3">
      <c r="A45" s="343"/>
      <c r="B45" s="349"/>
      <c r="C45" s="77" t="s">
        <v>70</v>
      </c>
      <c r="D45" s="25">
        <v>2393</v>
      </c>
      <c r="E45" s="301">
        <f>MNF산정!EG44</f>
        <v>59.120028114318849</v>
      </c>
    </row>
    <row r="46" spans="1:5" ht="17.25" x14ac:dyDescent="0.3">
      <c r="A46" s="343"/>
      <c r="B46" s="349"/>
      <c r="C46" s="78" t="s">
        <v>71</v>
      </c>
      <c r="D46" s="25">
        <v>2030</v>
      </c>
      <c r="E46" s="301">
        <f>MNF산정!EG45</f>
        <v>34.962172126770021</v>
      </c>
    </row>
    <row r="47" spans="1:5" ht="17.25" x14ac:dyDescent="0.3">
      <c r="A47" s="343"/>
      <c r="B47" s="350" t="s">
        <v>151</v>
      </c>
      <c r="C47" s="44" t="s">
        <v>217</v>
      </c>
      <c r="D47" s="25">
        <v>2707</v>
      </c>
      <c r="E47" s="301">
        <f>MNF산정!EG46</f>
        <v>83.88333333333334</v>
      </c>
    </row>
    <row r="48" spans="1:5" ht="17.25" x14ac:dyDescent="0.3">
      <c r="A48" s="343"/>
      <c r="B48" s="350"/>
      <c r="C48" s="79" t="s">
        <v>106</v>
      </c>
      <c r="E48" s="301" t="e">
        <f>MNF산정!EG47</f>
        <v>#DIV/0!</v>
      </c>
    </row>
    <row r="49" spans="1:5" ht="17.25" x14ac:dyDescent="0.3">
      <c r="A49" s="343"/>
      <c r="B49" s="350"/>
      <c r="C49" s="44" t="s">
        <v>219</v>
      </c>
      <c r="D49" s="25">
        <v>2474</v>
      </c>
      <c r="E49" s="301">
        <f>MNF산정!EG48</f>
        <v>95.916666666666671</v>
      </c>
    </row>
    <row r="50" spans="1:5" ht="17.25" x14ac:dyDescent="0.3">
      <c r="A50" s="343"/>
      <c r="B50" s="350"/>
      <c r="C50" s="79" t="s">
        <v>107</v>
      </c>
      <c r="E50" s="301" t="e">
        <f>MNF산정!EG49</f>
        <v>#DIV/0!</v>
      </c>
    </row>
    <row r="51" spans="1:5" ht="17.25" x14ac:dyDescent="0.3">
      <c r="A51" s="343"/>
      <c r="B51" s="340" t="s">
        <v>150</v>
      </c>
      <c r="C51" s="76" t="s">
        <v>221</v>
      </c>
      <c r="D51" s="25">
        <v>2200</v>
      </c>
      <c r="E51" s="301">
        <f>MNF산정!EG50</f>
        <v>54.416666666666664</v>
      </c>
    </row>
    <row r="52" spans="1:5" ht="17.25" x14ac:dyDescent="0.3">
      <c r="A52" s="343"/>
      <c r="B52" s="340"/>
      <c r="C52" s="38" t="s">
        <v>9</v>
      </c>
      <c r="E52" s="301" t="e">
        <f>MNF산정!EG51</f>
        <v>#DIV/0!</v>
      </c>
    </row>
    <row r="53" spans="1:5" ht="17.25" x14ac:dyDescent="0.3">
      <c r="A53" s="343"/>
      <c r="B53" s="341" t="s">
        <v>149</v>
      </c>
      <c r="C53" s="53" t="s">
        <v>197</v>
      </c>
      <c r="D53" s="25">
        <v>1120</v>
      </c>
      <c r="E53" s="301">
        <f>MNF산정!EG52</f>
        <v>29.483333333333334</v>
      </c>
    </row>
    <row r="54" spans="1:5" ht="17.25" x14ac:dyDescent="0.3">
      <c r="A54" s="343"/>
      <c r="B54" s="341"/>
      <c r="C54" s="38" t="s">
        <v>204</v>
      </c>
      <c r="D54" s="25">
        <v>1161</v>
      </c>
      <c r="E54" s="301">
        <f>MNF산정!EG53</f>
        <v>32.389781729380289</v>
      </c>
    </row>
    <row r="55" spans="1:5" ht="19.5" x14ac:dyDescent="0.3">
      <c r="A55" s="343"/>
      <c r="B55" s="350" t="s">
        <v>153</v>
      </c>
      <c r="C55" s="80" t="s">
        <v>205</v>
      </c>
      <c r="D55" s="25">
        <v>699</v>
      </c>
      <c r="E55" s="301">
        <f>MNF산정!EG54</f>
        <v>3.6833333333333331</v>
      </c>
    </row>
    <row r="56" spans="1:5" ht="17.25" x14ac:dyDescent="0.3">
      <c r="A56" s="343"/>
      <c r="B56" s="350"/>
      <c r="C56" s="38" t="s">
        <v>11</v>
      </c>
      <c r="E56" s="301" t="e">
        <f>MNF산정!EG55</f>
        <v>#DIV/0!</v>
      </c>
    </row>
    <row r="57" spans="1:5" x14ac:dyDescent="0.3">
      <c r="A57" s="343"/>
      <c r="B57" s="340" t="s">
        <v>154</v>
      </c>
      <c r="C57" s="81" t="s">
        <v>224</v>
      </c>
      <c r="D57" s="25">
        <v>5450</v>
      </c>
      <c r="E57" s="301">
        <f>MNF산정!EG56</f>
        <v>176.26666666666668</v>
      </c>
    </row>
    <row r="58" spans="1:5" ht="17.25" x14ac:dyDescent="0.3">
      <c r="A58" s="343"/>
      <c r="B58" s="340"/>
      <c r="C58" s="38" t="s">
        <v>305</v>
      </c>
      <c r="D58" s="25">
        <v>5594</v>
      </c>
      <c r="E58" s="301">
        <f>MNF산정!EG57</f>
        <v>176.05192616780599</v>
      </c>
    </row>
    <row r="59" spans="1:5" ht="17.25" x14ac:dyDescent="0.3">
      <c r="A59" s="343"/>
      <c r="B59" s="350" t="s">
        <v>155</v>
      </c>
      <c r="C59" s="17" t="s">
        <v>206</v>
      </c>
      <c r="D59" s="25">
        <v>267</v>
      </c>
      <c r="E59" s="301">
        <f>MNF산정!EG58</f>
        <v>6.5966665824254358</v>
      </c>
    </row>
    <row r="60" spans="1:5" ht="17.25" x14ac:dyDescent="0.3">
      <c r="A60" s="343"/>
      <c r="B60" s="350"/>
      <c r="C60" s="38" t="s">
        <v>306</v>
      </c>
      <c r="D60" s="25">
        <v>266</v>
      </c>
      <c r="E60" s="301">
        <f>MNF산정!EG59</f>
        <v>6.654758278528849</v>
      </c>
    </row>
    <row r="61" spans="1:5" ht="19.5" x14ac:dyDescent="0.3">
      <c r="A61" s="343"/>
      <c r="B61" s="46" t="s">
        <v>156</v>
      </c>
      <c r="C61" s="99" t="s">
        <v>226</v>
      </c>
      <c r="D61" s="25">
        <v>903</v>
      </c>
      <c r="E61" s="301">
        <f>MNF산정!EG60</f>
        <v>29.366666666666667</v>
      </c>
    </row>
    <row r="62" spans="1:5" ht="17.25" x14ac:dyDescent="0.3">
      <c r="A62" s="343"/>
      <c r="B62" s="341" t="s">
        <v>157</v>
      </c>
      <c r="C62" s="82" t="s">
        <v>228</v>
      </c>
      <c r="D62" s="25">
        <v>307</v>
      </c>
      <c r="E62" s="301">
        <f>MNF산정!EG61</f>
        <v>10.050000000000001</v>
      </c>
    </row>
    <row r="63" spans="1:5" ht="17.25" x14ac:dyDescent="0.3">
      <c r="A63" s="343"/>
      <c r="B63" s="341"/>
      <c r="C63" s="83" t="s">
        <v>307</v>
      </c>
      <c r="D63" s="25">
        <v>314</v>
      </c>
      <c r="E63" s="301">
        <f>MNF산정!EG62</f>
        <v>10.96327470143636</v>
      </c>
    </row>
    <row r="64" spans="1:5" ht="17.25" x14ac:dyDescent="0.3">
      <c r="A64" s="343"/>
      <c r="B64" s="341"/>
      <c r="C64" s="8" t="s">
        <v>16</v>
      </c>
      <c r="E64" s="301" t="e">
        <f>MNF산정!EG63</f>
        <v>#DIV/0!</v>
      </c>
    </row>
    <row r="65" spans="1:5" ht="17.25" x14ac:dyDescent="0.3">
      <c r="A65" s="343"/>
      <c r="B65" s="370" t="s">
        <v>158</v>
      </c>
      <c r="C65" s="45" t="s">
        <v>702</v>
      </c>
      <c r="D65" s="25">
        <f>SUM(D66:D67)</f>
        <v>599</v>
      </c>
      <c r="E65" s="301">
        <f>MNF산정!EG64</f>
        <v>10.366666666666667</v>
      </c>
    </row>
    <row r="66" spans="1:5" ht="17.25" x14ac:dyDescent="0.3">
      <c r="A66" s="343"/>
      <c r="B66" s="370"/>
      <c r="C66" s="273" t="s">
        <v>230</v>
      </c>
      <c r="D66" s="25">
        <v>599</v>
      </c>
      <c r="E66" s="301">
        <f>MNF산정!EG65</f>
        <v>10.366666666666667</v>
      </c>
    </row>
    <row r="67" spans="1:5" ht="17.25" x14ac:dyDescent="0.3">
      <c r="A67" s="343"/>
      <c r="B67" s="370"/>
      <c r="C67" s="272" t="s">
        <v>685</v>
      </c>
      <c r="D67" s="25">
        <v>0</v>
      </c>
      <c r="E67" s="301">
        <f>MNF산정!EG66</f>
        <v>0</v>
      </c>
    </row>
    <row r="68" spans="1:5" ht="20.25" thickBot="1" x14ac:dyDescent="0.35">
      <c r="A68" s="344"/>
      <c r="B68" s="36" t="s">
        <v>159</v>
      </c>
      <c r="C68" s="100" t="s">
        <v>17</v>
      </c>
      <c r="E68" s="301" t="e">
        <f>MNF산정!EG67</f>
        <v>#DIV/0!</v>
      </c>
    </row>
    <row r="69" spans="1:5" ht="17.25" customHeight="1" x14ac:dyDescent="0.3">
      <c r="A69" s="367" t="s">
        <v>198</v>
      </c>
      <c r="B69" s="352" t="s">
        <v>689</v>
      </c>
      <c r="C69" s="45" t="s">
        <v>688</v>
      </c>
      <c r="D69" s="25">
        <f>SUM(D70:D71)</f>
        <v>2878</v>
      </c>
      <c r="E69" s="301">
        <f>MNF산정!EG68</f>
        <v>120.48000030517578</v>
      </c>
    </row>
    <row r="70" spans="1:5" ht="17.25" customHeight="1" x14ac:dyDescent="0.3">
      <c r="A70" s="368"/>
      <c r="B70" s="353"/>
      <c r="C70" s="270" t="s">
        <v>683</v>
      </c>
      <c r="D70" s="25">
        <v>1846</v>
      </c>
      <c r="E70" s="301">
        <f>MNF산정!EG69</f>
        <v>72.266666666666666</v>
      </c>
    </row>
    <row r="71" spans="1:5" ht="20.25" customHeight="1" thickBot="1" x14ac:dyDescent="0.35">
      <c r="A71" s="368"/>
      <c r="B71" s="373"/>
      <c r="C71" s="271" t="s">
        <v>684</v>
      </c>
      <c r="D71" s="25">
        <v>1032</v>
      </c>
      <c r="E71" s="301">
        <f>MNF산정!EG70</f>
        <v>48.151666959126793</v>
      </c>
    </row>
    <row r="72" spans="1:5" ht="17.25" customHeight="1" x14ac:dyDescent="0.3">
      <c r="A72" s="368"/>
      <c r="B72" s="374" t="s">
        <v>160</v>
      </c>
      <c r="C72" s="84" t="s">
        <v>214</v>
      </c>
      <c r="D72" s="25">
        <v>14676</v>
      </c>
      <c r="E72" s="301">
        <f>MNF산정!EG71</f>
        <v>262.36666666666667</v>
      </c>
    </row>
    <row r="73" spans="1:5" ht="17.25" customHeight="1" x14ac:dyDescent="0.3">
      <c r="A73" s="368"/>
      <c r="B73" s="341"/>
      <c r="C73" s="85" t="s">
        <v>72</v>
      </c>
      <c r="D73" s="25">
        <v>3732</v>
      </c>
      <c r="E73" s="301">
        <f>MNF산정!EG72</f>
        <v>66.080383427937832</v>
      </c>
    </row>
    <row r="74" spans="1:5" ht="17.25" customHeight="1" x14ac:dyDescent="0.3">
      <c r="A74" s="368"/>
      <c r="B74" s="341"/>
      <c r="C74" s="66" t="s">
        <v>101</v>
      </c>
      <c r="D74" s="25">
        <v>3095</v>
      </c>
      <c r="E74" s="301">
        <f>MNF산정!EG73</f>
        <v>24.101983483632406</v>
      </c>
    </row>
    <row r="75" spans="1:5" ht="16.5" customHeight="1" x14ac:dyDescent="0.3">
      <c r="A75" s="368"/>
      <c r="B75" s="341"/>
      <c r="C75" s="66" t="s">
        <v>102</v>
      </c>
      <c r="D75" s="25">
        <v>3926</v>
      </c>
      <c r="E75" s="301">
        <f>MNF산정!EG74</f>
        <v>40.656465339660642</v>
      </c>
    </row>
    <row r="76" spans="1:5" ht="16.5" customHeight="1" x14ac:dyDescent="0.3">
      <c r="A76" s="368"/>
      <c r="B76" s="341"/>
      <c r="C76" s="74" t="s">
        <v>103</v>
      </c>
      <c r="D76" s="25">
        <v>1579</v>
      </c>
      <c r="E76" s="301">
        <f>MNF산정!EG75</f>
        <v>33.601083374023439</v>
      </c>
    </row>
    <row r="77" spans="1:5" ht="16.5" customHeight="1" x14ac:dyDescent="0.3">
      <c r="A77" s="368"/>
      <c r="B77" s="64" t="s">
        <v>161</v>
      </c>
      <c r="C77" s="12" t="s">
        <v>208</v>
      </c>
      <c r="D77" s="25">
        <v>1715</v>
      </c>
      <c r="E77" s="301">
        <f>MNF산정!EG76</f>
        <v>68.996666590372726</v>
      </c>
    </row>
    <row r="78" spans="1:5" ht="16.5" customHeight="1" x14ac:dyDescent="0.3">
      <c r="A78" s="368"/>
      <c r="B78" s="65" t="s">
        <v>162</v>
      </c>
      <c r="C78" s="13" t="s">
        <v>207</v>
      </c>
      <c r="D78" s="25">
        <v>249</v>
      </c>
      <c r="E78" s="301">
        <f>MNF산정!EG77</f>
        <v>5.7833333889643352</v>
      </c>
    </row>
    <row r="79" spans="1:5" ht="16.5" customHeight="1" x14ac:dyDescent="0.3">
      <c r="A79" s="368"/>
      <c r="B79" s="52" t="s">
        <v>163</v>
      </c>
      <c r="C79" s="14" t="s">
        <v>209</v>
      </c>
      <c r="D79" s="25">
        <v>353</v>
      </c>
      <c r="E79" s="301">
        <f>MNF산정!EG78</f>
        <v>13.563333336512247</v>
      </c>
    </row>
    <row r="80" spans="1:5" ht="16.5" customHeight="1" x14ac:dyDescent="0.3">
      <c r="A80" s="368"/>
      <c r="B80" s="350" t="s">
        <v>164</v>
      </c>
      <c r="C80" s="45" t="s">
        <v>236</v>
      </c>
      <c r="D80" s="25">
        <v>758</v>
      </c>
      <c r="E80" s="301">
        <f>MNF산정!EG79</f>
        <v>28.283333333333335</v>
      </c>
    </row>
    <row r="81" spans="1:5" ht="16.5" customHeight="1" x14ac:dyDescent="0.3">
      <c r="A81" s="368"/>
      <c r="B81" s="350"/>
      <c r="C81" s="15" t="s">
        <v>232</v>
      </c>
      <c r="D81" s="25">
        <v>122</v>
      </c>
      <c r="E81" s="301">
        <f>MNF산정!EG80</f>
        <v>1.4105707903703054E-2</v>
      </c>
    </row>
    <row r="82" spans="1:5" ht="16.5" customHeight="1" x14ac:dyDescent="0.3">
      <c r="A82" s="368"/>
      <c r="B82" s="340" t="s">
        <v>165</v>
      </c>
      <c r="C82" s="88" t="s">
        <v>235</v>
      </c>
      <c r="D82" s="25">
        <v>126</v>
      </c>
      <c r="E82" s="301">
        <f>MNF산정!EG81</f>
        <v>0.11666666666666667</v>
      </c>
    </row>
    <row r="83" spans="1:5" ht="16.5" customHeight="1" x14ac:dyDescent="0.3">
      <c r="A83" s="368"/>
      <c r="B83" s="340"/>
      <c r="C83" s="15" t="s">
        <v>234</v>
      </c>
      <c r="D83" s="25">
        <v>756</v>
      </c>
      <c r="E83" s="301">
        <f>MNF산정!EG82</f>
        <v>29.171509997049967</v>
      </c>
    </row>
    <row r="84" spans="1:5" ht="16.5" customHeight="1" thickBot="1" x14ac:dyDescent="0.35">
      <c r="A84" s="369"/>
      <c r="B84" s="37" t="s">
        <v>166</v>
      </c>
      <c r="C84" s="87" t="s">
        <v>18</v>
      </c>
      <c r="E84" s="301" t="e">
        <f>MNF산정!EG83</f>
        <v>#DIV/0!</v>
      </c>
    </row>
    <row r="85" spans="1:5" ht="16.5" customHeight="1" x14ac:dyDescent="0.3">
      <c r="A85" s="359" t="s">
        <v>199</v>
      </c>
      <c r="B85" s="352" t="s">
        <v>167</v>
      </c>
      <c r="C85" s="90" t="s">
        <v>38</v>
      </c>
      <c r="D85" s="25">
        <v>10650</v>
      </c>
      <c r="E85" s="301">
        <f>MNF산정!EG84</f>
        <v>332.46124877929685</v>
      </c>
    </row>
    <row r="86" spans="1:5" ht="16.5" customHeight="1" x14ac:dyDescent="0.3">
      <c r="A86" s="360"/>
      <c r="B86" s="353"/>
      <c r="C86" s="89" t="s">
        <v>76</v>
      </c>
      <c r="D86" s="25">
        <v>1664</v>
      </c>
      <c r="E86" s="301">
        <f>MNF산정!EG85</f>
        <v>29.284590752919517</v>
      </c>
    </row>
    <row r="87" spans="1:5" ht="16.5" customHeight="1" x14ac:dyDescent="0.3">
      <c r="A87" s="360"/>
      <c r="B87" s="353"/>
      <c r="C87" s="89" t="s">
        <v>653</v>
      </c>
      <c r="D87" s="25">
        <v>862</v>
      </c>
      <c r="E87" s="301">
        <f>MNF산정!EG86</f>
        <v>16.682582251230876</v>
      </c>
    </row>
    <row r="88" spans="1:5" ht="16.5" customHeight="1" x14ac:dyDescent="0.3">
      <c r="A88" s="360"/>
      <c r="B88" s="353"/>
      <c r="C88" s="69" t="s">
        <v>238</v>
      </c>
      <c r="D88" s="25">
        <v>0</v>
      </c>
      <c r="E88" s="301">
        <f>MNF산정!EG87</f>
        <v>35.338191986083984</v>
      </c>
    </row>
    <row r="89" spans="1:5" ht="16.5" customHeight="1" x14ac:dyDescent="0.3">
      <c r="A89" s="360"/>
      <c r="B89" s="353"/>
      <c r="C89" s="91" t="s">
        <v>240</v>
      </c>
      <c r="D89" s="25">
        <v>7297</v>
      </c>
      <c r="E89" s="301">
        <f>MNF산정!EG88</f>
        <v>271.51519063313805</v>
      </c>
    </row>
    <row r="90" spans="1:5" ht="16.5" customHeight="1" x14ac:dyDescent="0.3">
      <c r="A90" s="360"/>
      <c r="B90" s="353"/>
      <c r="C90" s="44" t="s">
        <v>200</v>
      </c>
      <c r="D90" s="25">
        <v>3720</v>
      </c>
      <c r="E90" s="301">
        <f>MNF산정!EG89</f>
        <v>77.171879704793298</v>
      </c>
    </row>
    <row r="91" spans="1:5" ht="16.5" customHeight="1" x14ac:dyDescent="0.3">
      <c r="A91" s="360"/>
      <c r="B91" s="353"/>
      <c r="C91" s="89" t="s">
        <v>77</v>
      </c>
      <c r="D91" s="25">
        <v>1816</v>
      </c>
      <c r="E91" s="301">
        <f>MNF산정!EG90</f>
        <v>32.77827132542928</v>
      </c>
    </row>
    <row r="92" spans="1:5" ht="16.5" customHeight="1" x14ac:dyDescent="0.3">
      <c r="A92" s="360"/>
      <c r="B92" s="353"/>
      <c r="C92" s="86" t="s">
        <v>78</v>
      </c>
      <c r="D92" s="25">
        <v>2065</v>
      </c>
      <c r="E92" s="301">
        <f>MNF산정!EG91</f>
        <v>47.314433924357097</v>
      </c>
    </row>
    <row r="93" spans="1:5" ht="16.5" customHeight="1" x14ac:dyDescent="0.3">
      <c r="A93" s="360"/>
      <c r="B93" s="101" t="s">
        <v>108</v>
      </c>
      <c r="C93" s="44" t="s">
        <v>242</v>
      </c>
      <c r="D93" s="25">
        <v>1315</v>
      </c>
      <c r="E93" s="301">
        <f>MNF산정!EG92</f>
        <v>24.062316449483237</v>
      </c>
    </row>
    <row r="94" spans="1:5" ht="16.5" customHeight="1" x14ac:dyDescent="0.3">
      <c r="A94" s="360"/>
      <c r="B94" s="340" t="s">
        <v>168</v>
      </c>
      <c r="C94" s="76" t="s">
        <v>268</v>
      </c>
      <c r="D94" s="25">
        <v>7147</v>
      </c>
      <c r="E94" s="301">
        <f>MNF산정!EG93</f>
        <v>164.21879196166992</v>
      </c>
    </row>
    <row r="95" spans="1:5" ht="16.5" customHeight="1" x14ac:dyDescent="0.3">
      <c r="A95" s="360"/>
      <c r="B95" s="340"/>
      <c r="C95" s="68" t="s">
        <v>84</v>
      </c>
      <c r="D95" s="25">
        <v>2701</v>
      </c>
      <c r="E95" s="301">
        <f>MNF산정!EG94</f>
        <v>52.666149711608888</v>
      </c>
    </row>
    <row r="96" spans="1:5" ht="16.5" customHeight="1" x14ac:dyDescent="0.3">
      <c r="A96" s="360"/>
      <c r="B96" s="340"/>
      <c r="C96" s="86" t="s">
        <v>85</v>
      </c>
      <c r="D96" s="25">
        <v>1898</v>
      </c>
      <c r="E96" s="301">
        <f>MNF산정!EG95</f>
        <v>49.302287928263347</v>
      </c>
    </row>
    <row r="97" spans="1:5" ht="16.5" customHeight="1" x14ac:dyDescent="0.3">
      <c r="A97" s="360"/>
      <c r="B97" s="340"/>
      <c r="C97" s="86" t="s">
        <v>698</v>
      </c>
      <c r="D97" s="25">
        <v>2472</v>
      </c>
      <c r="E97" s="301">
        <f>MNF산정!EG96</f>
        <v>55.324314626057941</v>
      </c>
    </row>
    <row r="98" spans="1:5" ht="16.5" customHeight="1" x14ac:dyDescent="0.3">
      <c r="A98" s="360"/>
      <c r="B98" s="340"/>
      <c r="C98" s="76" t="s">
        <v>697</v>
      </c>
      <c r="D98" s="25">
        <v>0</v>
      </c>
      <c r="E98" s="301">
        <f>MNF산정!EG97</f>
        <v>0</v>
      </c>
    </row>
    <row r="99" spans="1:5" ht="16.5" customHeight="1" x14ac:dyDescent="0.3">
      <c r="A99" s="360"/>
      <c r="B99" s="340"/>
      <c r="C99" s="89" t="s">
        <v>699</v>
      </c>
      <c r="D99" s="25">
        <v>2229</v>
      </c>
      <c r="E99" s="301">
        <f>MNF산정!EG98</f>
        <v>48.088500849405925</v>
      </c>
    </row>
    <row r="100" spans="1:5" ht="16.5" customHeight="1" x14ac:dyDescent="0.3">
      <c r="A100" s="360"/>
      <c r="B100" s="340"/>
      <c r="C100" s="89" t="s">
        <v>80</v>
      </c>
      <c r="D100" s="25">
        <v>532</v>
      </c>
      <c r="E100" s="301">
        <f>MNF산정!EG99</f>
        <v>7.9165302832921345</v>
      </c>
    </row>
    <row r="101" spans="1:5" ht="16.5" customHeight="1" x14ac:dyDescent="0.3">
      <c r="A101" s="360"/>
      <c r="B101" s="340"/>
      <c r="C101" s="68" t="s">
        <v>81</v>
      </c>
      <c r="D101" s="25">
        <v>2359</v>
      </c>
      <c r="E101" s="301">
        <f>MNF산정!EG100</f>
        <v>29.929259618123371</v>
      </c>
    </row>
    <row r="102" spans="1:5" ht="16.5" customHeight="1" x14ac:dyDescent="0.3">
      <c r="A102" s="360"/>
      <c r="B102" s="340"/>
      <c r="C102" s="68" t="s">
        <v>82</v>
      </c>
      <c r="D102" s="25">
        <v>4195</v>
      </c>
      <c r="E102" s="301">
        <f>MNF산정!EG101</f>
        <v>39.337095642089842</v>
      </c>
    </row>
    <row r="103" spans="1:5" ht="16.5" customHeight="1" x14ac:dyDescent="0.3">
      <c r="A103" s="360"/>
      <c r="B103" s="340"/>
      <c r="C103" s="86" t="s">
        <v>83</v>
      </c>
      <c r="D103" s="25">
        <v>2803</v>
      </c>
      <c r="E103" s="301">
        <f>MNF산정!EG102</f>
        <v>52.239985020955402</v>
      </c>
    </row>
    <row r="104" spans="1:5" ht="16.5" customHeight="1" x14ac:dyDescent="0.3">
      <c r="A104" s="360"/>
      <c r="B104" s="103" t="s">
        <v>245</v>
      </c>
      <c r="C104" s="82" t="s">
        <v>244</v>
      </c>
      <c r="D104" s="25">
        <v>378</v>
      </c>
      <c r="E104" s="301">
        <f>MNF산정!EG103</f>
        <v>3.1333333333333333</v>
      </c>
    </row>
    <row r="105" spans="1:5" ht="16.5" customHeight="1" x14ac:dyDescent="0.3">
      <c r="A105" s="360"/>
      <c r="B105" s="102" t="s">
        <v>248</v>
      </c>
      <c r="C105" s="92" t="s">
        <v>247</v>
      </c>
      <c r="D105" s="25">
        <v>13260</v>
      </c>
      <c r="E105" s="301">
        <f>MNF산정!EG104</f>
        <v>293.14999999999998</v>
      </c>
    </row>
    <row r="106" spans="1:5" ht="16.5" customHeight="1" x14ac:dyDescent="0.3">
      <c r="A106" s="360"/>
      <c r="B106" s="354" t="s">
        <v>172</v>
      </c>
      <c r="C106" s="89" t="s">
        <v>87</v>
      </c>
      <c r="D106" s="25">
        <v>5947</v>
      </c>
      <c r="E106" s="301">
        <f>MNF산정!EG105</f>
        <v>107.92376073201497</v>
      </c>
    </row>
    <row r="107" spans="1:5" ht="16.5" customHeight="1" x14ac:dyDescent="0.3">
      <c r="A107" s="360"/>
      <c r="B107" s="354"/>
      <c r="C107" s="68" t="s">
        <v>175</v>
      </c>
      <c r="D107" s="25">
        <v>2020</v>
      </c>
      <c r="E107" s="301">
        <f>MNF산정!EG106</f>
        <v>47.088481267293297</v>
      </c>
    </row>
    <row r="108" spans="1:5" ht="16.5" customHeight="1" x14ac:dyDescent="0.3">
      <c r="A108" s="360"/>
      <c r="B108" s="354"/>
      <c r="C108" s="68" t="s">
        <v>89</v>
      </c>
      <c r="D108" s="25">
        <v>756</v>
      </c>
      <c r="E108" s="301">
        <f>MNF산정!EG107</f>
        <v>19.65365810394287</v>
      </c>
    </row>
    <row r="109" spans="1:5" ht="16.5" customHeight="1" x14ac:dyDescent="0.3">
      <c r="A109" s="360"/>
      <c r="B109" s="354"/>
      <c r="C109" s="68" t="s">
        <v>90</v>
      </c>
      <c r="D109" s="25">
        <v>1532</v>
      </c>
      <c r="E109" s="301">
        <f>MNF산정!EG108</f>
        <v>30.203117815653481</v>
      </c>
    </row>
    <row r="110" spans="1:5" ht="17.25" customHeight="1" x14ac:dyDescent="0.3">
      <c r="A110" s="360"/>
      <c r="B110" s="354"/>
      <c r="C110" s="86" t="s">
        <v>91</v>
      </c>
      <c r="D110" s="25">
        <v>2638</v>
      </c>
      <c r="E110" s="301">
        <f>MNF산정!EG109</f>
        <v>70.221483612060553</v>
      </c>
    </row>
    <row r="111" spans="1:5" ht="17.25" customHeight="1" x14ac:dyDescent="0.3">
      <c r="A111" s="360"/>
      <c r="B111" s="102" t="s">
        <v>251</v>
      </c>
      <c r="C111" s="82" t="s">
        <v>250</v>
      </c>
      <c r="D111" s="25">
        <v>6160</v>
      </c>
      <c r="E111" s="301">
        <f>MNF산정!EG110</f>
        <v>44.85</v>
      </c>
    </row>
    <row r="112" spans="1:5" ht="17.25" customHeight="1" x14ac:dyDescent="0.3">
      <c r="A112" s="360"/>
      <c r="B112" s="355" t="s">
        <v>172</v>
      </c>
      <c r="C112" s="92" t="s">
        <v>721</v>
      </c>
      <c r="D112" s="25">
        <v>4526</v>
      </c>
      <c r="E112" s="301">
        <f>MNF산정!EG111</f>
        <v>168.36666666666667</v>
      </c>
    </row>
    <row r="113" spans="1:5" ht="17.25" customHeight="1" x14ac:dyDescent="0.3">
      <c r="A113" s="360"/>
      <c r="B113" s="355"/>
      <c r="C113" s="89" t="s">
        <v>212</v>
      </c>
      <c r="D113" s="25">
        <v>4775</v>
      </c>
      <c r="E113" s="301">
        <f>MNF산정!EG112</f>
        <v>97.251313527425125</v>
      </c>
    </row>
    <row r="114" spans="1:5" ht="17.25" customHeight="1" x14ac:dyDescent="0.3">
      <c r="A114" s="360"/>
      <c r="B114" s="355"/>
      <c r="C114" s="89" t="s">
        <v>93</v>
      </c>
      <c r="D114" s="25">
        <v>3076</v>
      </c>
      <c r="E114" s="301">
        <f>MNF산정!EG113</f>
        <v>62.650705464680989</v>
      </c>
    </row>
    <row r="115" spans="1:5" ht="17.25" customHeight="1" x14ac:dyDescent="0.3">
      <c r="A115" s="360"/>
      <c r="B115" s="355"/>
      <c r="C115" s="68" t="s">
        <v>94</v>
      </c>
      <c r="D115" s="25">
        <v>1818</v>
      </c>
      <c r="E115" s="301">
        <f>MNF산정!EG114</f>
        <v>40.525480016072592</v>
      </c>
    </row>
    <row r="116" spans="1:5" ht="17.25" customHeight="1" x14ac:dyDescent="0.3">
      <c r="A116" s="360"/>
      <c r="B116" s="356"/>
      <c r="C116" s="86" t="s">
        <v>95</v>
      </c>
      <c r="D116" s="25">
        <v>1717</v>
      </c>
      <c r="E116" s="301">
        <f>MNF산정!EG115</f>
        <v>36.665082041422529</v>
      </c>
    </row>
    <row r="117" spans="1:5" ht="17.25" customHeight="1" x14ac:dyDescent="0.3">
      <c r="A117" s="360"/>
      <c r="B117" s="375" t="s">
        <v>177</v>
      </c>
      <c r="C117" s="72" t="s">
        <v>203</v>
      </c>
      <c r="D117" s="25">
        <v>7154</v>
      </c>
      <c r="E117" s="301">
        <f>MNF산정!EG116</f>
        <v>203.26666666666668</v>
      </c>
    </row>
    <row r="118" spans="1:5" ht="17.25" customHeight="1" x14ac:dyDescent="0.3">
      <c r="A118" s="360"/>
      <c r="B118" s="375"/>
      <c r="C118" s="93" t="s">
        <v>253</v>
      </c>
      <c r="D118" s="25">
        <v>4495</v>
      </c>
      <c r="E118" s="301">
        <f>MNF산정!EG117</f>
        <v>102.43179918924967</v>
      </c>
    </row>
    <row r="119" spans="1:5" ht="17.25" customHeight="1" x14ac:dyDescent="0.3">
      <c r="A119" s="360"/>
      <c r="B119" s="375"/>
      <c r="C119" s="89" t="s">
        <v>96</v>
      </c>
      <c r="D119" s="25">
        <v>1114</v>
      </c>
      <c r="E119" s="301">
        <f>MNF산정!EG118</f>
        <v>24.160816733042399</v>
      </c>
    </row>
    <row r="120" spans="1:5" ht="17.25" customHeight="1" x14ac:dyDescent="0.3">
      <c r="A120" s="360"/>
      <c r="B120" s="375"/>
      <c r="C120" s="68" t="s">
        <v>97</v>
      </c>
      <c r="D120" s="25">
        <v>1636</v>
      </c>
      <c r="E120" s="301">
        <f>MNF산정!EG119</f>
        <v>24.362550036112467</v>
      </c>
    </row>
    <row r="121" spans="1:5" ht="17.25" customHeight="1" x14ac:dyDescent="0.3">
      <c r="A121" s="360"/>
      <c r="B121" s="375"/>
      <c r="C121" s="68" t="s">
        <v>104</v>
      </c>
      <c r="D121" s="25">
        <v>1966</v>
      </c>
      <c r="E121" s="301">
        <f>MNF산정!EG120</f>
        <v>48.560600026448569</v>
      </c>
    </row>
    <row r="122" spans="1:5" ht="17.25" customHeight="1" x14ac:dyDescent="0.3">
      <c r="A122" s="360"/>
      <c r="B122" s="375"/>
      <c r="C122" s="86" t="s">
        <v>105</v>
      </c>
      <c r="D122" s="25">
        <v>3135</v>
      </c>
      <c r="E122" s="301">
        <f>MNF산정!EG121</f>
        <v>111.10856959025065</v>
      </c>
    </row>
    <row r="123" spans="1:5" ht="17.25" customHeight="1" x14ac:dyDescent="0.3">
      <c r="A123" s="360"/>
      <c r="B123" s="351" t="s">
        <v>303</v>
      </c>
      <c r="C123" s="53" t="s">
        <v>303</v>
      </c>
      <c r="D123" s="25">
        <v>464</v>
      </c>
      <c r="E123" s="301">
        <f>MNF산정!EG122</f>
        <v>15.202566719055175</v>
      </c>
    </row>
    <row r="124" spans="1:5" ht="17.25" customHeight="1" x14ac:dyDescent="0.3">
      <c r="A124" s="360"/>
      <c r="B124" s="351"/>
      <c r="C124" s="15"/>
      <c r="E124" s="301" t="e">
        <f>MNF산정!EG123</f>
        <v>#DIV/0!</v>
      </c>
    </row>
    <row r="125" spans="1:5" ht="17.25" customHeight="1" x14ac:dyDescent="0.3">
      <c r="A125" s="360"/>
      <c r="B125" s="365" t="s">
        <v>180</v>
      </c>
      <c r="C125" s="76" t="s">
        <v>109</v>
      </c>
      <c r="D125" s="25">
        <v>992</v>
      </c>
      <c r="E125" s="301">
        <f>MNF산정!EG124</f>
        <v>8.9499999999999993</v>
      </c>
    </row>
    <row r="126" spans="1:5" ht="17.25" customHeight="1" x14ac:dyDescent="0.3">
      <c r="A126" s="360"/>
      <c r="B126" s="365"/>
      <c r="C126" s="94" t="s">
        <v>183</v>
      </c>
      <c r="D126" s="25">
        <v>1584</v>
      </c>
      <c r="E126" s="301">
        <f>MNF산정!EG125</f>
        <v>28.444999853769939</v>
      </c>
    </row>
    <row r="127" spans="1:5" ht="17.25" customHeight="1" x14ac:dyDescent="0.3">
      <c r="A127" s="360"/>
      <c r="B127" s="351" t="s">
        <v>184</v>
      </c>
      <c r="C127" s="53" t="s">
        <v>110</v>
      </c>
      <c r="D127" s="25">
        <v>399</v>
      </c>
      <c r="E127" s="301">
        <f>MNF산정!EG126</f>
        <v>12.066666666666666</v>
      </c>
    </row>
    <row r="128" spans="1:5" ht="18" customHeight="1" x14ac:dyDescent="0.3">
      <c r="A128" s="360"/>
      <c r="B128" s="351"/>
      <c r="C128" s="15"/>
      <c r="E128" s="301" t="e">
        <f>MNF산정!EG127</f>
        <v>#DIV/0!</v>
      </c>
    </row>
    <row r="129" spans="1:5" ht="17.25" customHeight="1" x14ac:dyDescent="0.3">
      <c r="A129" s="360"/>
      <c r="B129" s="371" t="s">
        <v>300</v>
      </c>
      <c r="C129" s="107" t="s">
        <v>301</v>
      </c>
      <c r="D129" s="25">
        <v>6175</v>
      </c>
      <c r="E129" s="301">
        <f>MNF산정!EG128</f>
        <v>7.75</v>
      </c>
    </row>
    <row r="130" spans="1:5" ht="17.25" customHeight="1" x14ac:dyDescent="0.3">
      <c r="A130" s="360"/>
      <c r="B130" s="372"/>
      <c r="C130" s="137" t="s">
        <v>35</v>
      </c>
      <c r="D130" s="25">
        <v>1804</v>
      </c>
      <c r="E130" s="301">
        <f>MNF산정!EG129</f>
        <v>1.3532158315181733</v>
      </c>
    </row>
    <row r="131" spans="1:5" ht="17.25" customHeight="1" x14ac:dyDescent="0.3">
      <c r="A131" s="360"/>
      <c r="B131" s="365" t="s">
        <v>304</v>
      </c>
      <c r="C131" s="76" t="s">
        <v>308</v>
      </c>
      <c r="D131" s="25">
        <v>412</v>
      </c>
      <c r="E131" s="301">
        <f>MNF산정!EG130</f>
        <v>9.9833333333333325</v>
      </c>
    </row>
    <row r="132" spans="1:5" ht="18" customHeight="1" x14ac:dyDescent="0.3">
      <c r="A132" s="360"/>
      <c r="B132" s="366"/>
      <c r="C132" s="94"/>
      <c r="E132" s="301" t="e">
        <f>MNF산정!EG131</f>
        <v>#DIV/0!</v>
      </c>
    </row>
    <row r="133" spans="1:5" ht="16.5" customHeight="1" x14ac:dyDescent="0.3">
      <c r="A133" s="360"/>
      <c r="B133" s="362" t="s">
        <v>420</v>
      </c>
      <c r="C133" s="82" t="s">
        <v>643</v>
      </c>
      <c r="D133" s="25">
        <v>1394</v>
      </c>
      <c r="E133" s="301">
        <f>MNF산정!EG132</f>
        <v>44.43333333333333</v>
      </c>
    </row>
    <row r="134" spans="1:5" ht="16.5" customHeight="1" x14ac:dyDescent="0.3">
      <c r="A134" s="360"/>
      <c r="B134" s="363"/>
      <c r="C134" s="158" t="s">
        <v>644</v>
      </c>
      <c r="D134" s="25">
        <v>77</v>
      </c>
      <c r="E134" s="301">
        <f>MNF산정!EG133</f>
        <v>3</v>
      </c>
    </row>
    <row r="135" spans="1:5" ht="16.5" customHeight="1" x14ac:dyDescent="0.3">
      <c r="A135" s="360"/>
      <c r="B135" s="363"/>
      <c r="C135" s="158" t="s">
        <v>516</v>
      </c>
      <c r="D135" s="25">
        <v>234</v>
      </c>
      <c r="E135" s="301">
        <f>MNF산정!EG134</f>
        <v>0</v>
      </c>
    </row>
    <row r="136" spans="1:5" ht="16.5" customHeight="1" thickBot="1" x14ac:dyDescent="0.35">
      <c r="A136" s="361"/>
      <c r="B136" s="364"/>
      <c r="C136" s="159" t="s">
        <v>642</v>
      </c>
      <c r="D136" s="25">
        <v>637</v>
      </c>
      <c r="E136" s="301">
        <f>MNF산정!EG135</f>
        <v>1.0166666666666666</v>
      </c>
    </row>
    <row r="137" spans="1:5" ht="34.5" x14ac:dyDescent="0.3">
      <c r="C137" s="305" t="s">
        <v>717</v>
      </c>
      <c r="D137" s="25">
        <v>10688</v>
      </c>
      <c r="E137" s="301">
        <f>MNF산정!EG136</f>
        <v>228.03666687011719</v>
      </c>
    </row>
  </sheetData>
  <mergeCells count="36">
    <mergeCell ref="B125:B126"/>
    <mergeCell ref="B72:B76"/>
    <mergeCell ref="B80:B81"/>
    <mergeCell ref="B82:B83"/>
    <mergeCell ref="B94:B103"/>
    <mergeCell ref="B117:B122"/>
    <mergeCell ref="B127:B128"/>
    <mergeCell ref="B85:B92"/>
    <mergeCell ref="B106:B110"/>
    <mergeCell ref="B112:B116"/>
    <mergeCell ref="A1:A2"/>
    <mergeCell ref="B1:B2"/>
    <mergeCell ref="A85:A136"/>
    <mergeCell ref="B133:B136"/>
    <mergeCell ref="B131:B132"/>
    <mergeCell ref="A69:A84"/>
    <mergeCell ref="B59:B60"/>
    <mergeCell ref="B62:B64"/>
    <mergeCell ref="B65:B67"/>
    <mergeCell ref="B129:B130"/>
    <mergeCell ref="B123:B124"/>
    <mergeCell ref="B69:B71"/>
    <mergeCell ref="C1:C2"/>
    <mergeCell ref="B51:B52"/>
    <mergeCell ref="B53:B54"/>
    <mergeCell ref="A4:A68"/>
    <mergeCell ref="B4:B10"/>
    <mergeCell ref="B11:B17"/>
    <mergeCell ref="B18:B20"/>
    <mergeCell ref="B21:B22"/>
    <mergeCell ref="B23:B24"/>
    <mergeCell ref="B25:B42"/>
    <mergeCell ref="B43:B46"/>
    <mergeCell ref="B47:B50"/>
    <mergeCell ref="B55:B56"/>
    <mergeCell ref="B57:B58"/>
  </mergeCells>
  <phoneticPr fontId="1" type="noConversion"/>
  <pageMargins left="0.7" right="0.7" top="0.75" bottom="0.75" header="0.3" footer="0.3"/>
  <pageSetup paperSize="9" scale="58" orientation="portrait" r:id="rId1"/>
  <rowBreaks count="1" manualBreakCount="1">
    <brk id="7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081D-C605-48E0-9F55-DA5E7756E477}">
  <dimension ref="A1:EH451"/>
  <sheetViews>
    <sheetView view="pageBreakPreview" zoomScale="85" zoomScaleNormal="100" zoomScaleSheetLayoutView="85" workbookViewId="0">
      <pane xSplit="1" ySplit="3" topLeftCell="BN418" activePane="bottomRight" state="frozen"/>
      <selection pane="topRight" activeCell="B1" sqref="B1"/>
      <selection pane="bottomLeft" activeCell="A4" sqref="A4"/>
      <selection pane="bottomRight" activeCell="BV440" sqref="BV440"/>
    </sheetView>
  </sheetViews>
  <sheetFormatPr defaultColWidth="10.625" defaultRowHeight="16.5" x14ac:dyDescent="0.3"/>
  <cols>
    <col min="1" max="1" width="24.125" bestFit="1" customWidth="1"/>
    <col min="135" max="137" width="10.625" style="4"/>
    <col min="138" max="138" width="23.5" bestFit="1" customWidth="1"/>
    <col min="139" max="139" width="17.25" bestFit="1" customWidth="1"/>
  </cols>
  <sheetData>
    <row r="1" spans="1:138" ht="19.5" x14ac:dyDescent="0.3">
      <c r="A1" s="343" t="s">
        <v>4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  <c r="BD1" s="343"/>
      <c r="BE1" s="343"/>
      <c r="BF1" s="343"/>
      <c r="BG1" s="343"/>
      <c r="BH1" s="343"/>
      <c r="BI1" s="343"/>
      <c r="BJ1" s="343"/>
      <c r="BK1" s="343"/>
      <c r="BL1" s="343"/>
      <c r="BM1" s="343"/>
      <c r="BN1" s="420" t="s">
        <v>188</v>
      </c>
      <c r="BO1" s="421"/>
      <c r="BP1" s="421"/>
      <c r="BQ1" s="421"/>
      <c r="BR1" s="421"/>
      <c r="BS1" s="421"/>
      <c r="BT1" s="421"/>
      <c r="BU1" s="421"/>
      <c r="BV1" s="421"/>
      <c r="BW1" s="421"/>
      <c r="BX1" s="421"/>
      <c r="BY1" s="421"/>
      <c r="BZ1" s="421"/>
      <c r="CA1" s="421"/>
      <c r="CB1" s="421"/>
      <c r="CC1" s="422"/>
      <c r="CD1" s="379" t="s">
        <v>189</v>
      </c>
      <c r="CE1" s="379"/>
      <c r="CF1" s="379"/>
      <c r="CG1" s="379"/>
      <c r="CH1" s="379"/>
      <c r="CI1" s="379"/>
      <c r="CJ1" s="379"/>
      <c r="CK1" s="379"/>
      <c r="CL1" s="379"/>
      <c r="CM1" s="379"/>
      <c r="CN1" s="379"/>
      <c r="CO1" s="379"/>
      <c r="CP1" s="379"/>
      <c r="CQ1" s="379"/>
      <c r="CR1" s="379"/>
      <c r="CS1" s="379"/>
      <c r="CT1" s="379"/>
      <c r="CU1" s="379"/>
      <c r="CV1" s="379"/>
      <c r="CW1" s="379"/>
      <c r="CX1" s="379"/>
      <c r="CY1" s="379"/>
      <c r="CZ1" s="379"/>
      <c r="DA1" s="379"/>
      <c r="DB1" s="379"/>
      <c r="DC1" s="379"/>
      <c r="DD1" s="379"/>
      <c r="DE1" s="379"/>
      <c r="DF1" s="379"/>
      <c r="DG1" s="379"/>
      <c r="DH1" s="379"/>
      <c r="DI1" s="379"/>
      <c r="DJ1" s="379"/>
      <c r="DK1" s="379"/>
      <c r="DL1" s="379"/>
      <c r="DM1" s="379"/>
      <c r="DN1" s="379"/>
      <c r="DO1" s="379"/>
      <c r="DP1" s="379"/>
      <c r="DQ1" s="379"/>
      <c r="DR1" s="379"/>
      <c r="DS1" s="379"/>
      <c r="DT1" s="379"/>
      <c r="DU1" s="379"/>
      <c r="DV1" s="379"/>
      <c r="DW1" s="379"/>
      <c r="DX1" s="138"/>
      <c r="DY1" s="138"/>
      <c r="DZ1" s="138"/>
      <c r="EA1" s="138"/>
      <c r="EB1" s="138"/>
      <c r="EC1" s="138"/>
      <c r="ED1" s="138"/>
    </row>
    <row r="2" spans="1:138" s="51" customFormat="1" ht="39" customHeight="1" x14ac:dyDescent="0.3">
      <c r="A2" s="380" t="s">
        <v>5</v>
      </c>
      <c r="B2" s="381"/>
      <c r="C2" s="380"/>
      <c r="D2" s="380"/>
      <c r="E2" s="380"/>
      <c r="F2" s="380"/>
      <c r="G2" s="382"/>
      <c r="H2" s="383" t="s">
        <v>144</v>
      </c>
      <c r="I2" s="383"/>
      <c r="J2" s="384"/>
      <c r="K2" s="384"/>
      <c r="L2" s="384"/>
      <c r="M2" s="384"/>
      <c r="N2" s="384"/>
      <c r="O2" s="347" t="s">
        <v>145</v>
      </c>
      <c r="P2" s="413"/>
      <c r="Q2" s="383"/>
      <c r="R2" s="347" t="s">
        <v>146</v>
      </c>
      <c r="S2" s="383"/>
      <c r="T2" s="347" t="s">
        <v>147</v>
      </c>
      <c r="U2" s="414"/>
      <c r="V2" s="385" t="s">
        <v>148</v>
      </c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  <c r="AI2" s="386"/>
      <c r="AJ2" s="386"/>
      <c r="AK2" s="386"/>
      <c r="AL2" s="386"/>
      <c r="AM2" s="387"/>
      <c r="AN2" s="315" t="s">
        <v>152</v>
      </c>
      <c r="AO2" s="315"/>
      <c r="AP2" s="388"/>
      <c r="AQ2" s="388"/>
      <c r="AR2" s="408" t="s">
        <v>151</v>
      </c>
      <c r="AS2" s="415"/>
      <c r="AT2" s="415"/>
      <c r="AU2" s="318"/>
      <c r="AV2" s="391" t="s">
        <v>150</v>
      </c>
      <c r="AW2" s="308"/>
      <c r="AX2" s="392" t="s">
        <v>149</v>
      </c>
      <c r="AY2" s="321"/>
      <c r="AZ2" s="408" t="s">
        <v>153</v>
      </c>
      <c r="BA2" s="333"/>
      <c r="BB2" s="391" t="s">
        <v>154</v>
      </c>
      <c r="BC2" s="324"/>
      <c r="BD2" s="408" t="s">
        <v>155</v>
      </c>
      <c r="BE2" s="333"/>
      <c r="BF2" s="302" t="s">
        <v>156</v>
      </c>
      <c r="BG2" s="389" t="s">
        <v>157</v>
      </c>
      <c r="BH2" s="389"/>
      <c r="BI2" s="390"/>
      <c r="BJ2" s="419" t="s">
        <v>158</v>
      </c>
      <c r="BK2" s="398"/>
      <c r="BL2" s="327"/>
      <c r="BM2" s="303" t="s">
        <v>159</v>
      </c>
      <c r="BN2" s="396" t="s">
        <v>679</v>
      </c>
      <c r="BO2" s="398"/>
      <c r="BP2" s="327"/>
      <c r="BQ2" s="389" t="s">
        <v>160</v>
      </c>
      <c r="BR2" s="390"/>
      <c r="BS2" s="390"/>
      <c r="BT2" s="390"/>
      <c r="BU2" s="390"/>
      <c r="BV2" s="41" t="s">
        <v>161</v>
      </c>
      <c r="BW2" s="43" t="s">
        <v>162</v>
      </c>
      <c r="BX2" s="42" t="s">
        <v>163</v>
      </c>
      <c r="BY2" s="408" t="s">
        <v>164</v>
      </c>
      <c r="BZ2" s="333"/>
      <c r="CA2" s="391" t="s">
        <v>165</v>
      </c>
      <c r="CB2" s="324"/>
      <c r="CC2" s="20" t="s">
        <v>166</v>
      </c>
      <c r="CD2" s="396" t="s">
        <v>167</v>
      </c>
      <c r="CE2" s="397"/>
      <c r="CF2" s="398"/>
      <c r="CG2" s="398"/>
      <c r="CH2" s="398"/>
      <c r="CI2" s="398"/>
      <c r="CJ2" s="397"/>
      <c r="CK2" s="397"/>
      <c r="CL2" s="398"/>
      <c r="CM2" s="393" t="s">
        <v>168</v>
      </c>
      <c r="CN2" s="394"/>
      <c r="CO2" s="394"/>
      <c r="CP2" s="394"/>
      <c r="CQ2" s="395"/>
      <c r="CR2" s="395"/>
      <c r="CS2" s="394"/>
      <c r="CT2" s="394"/>
      <c r="CU2" s="394"/>
      <c r="CV2" s="394"/>
      <c r="CW2" s="399" t="s">
        <v>172</v>
      </c>
      <c r="CX2" s="400"/>
      <c r="CY2" s="401"/>
      <c r="CZ2" s="401"/>
      <c r="DA2" s="401"/>
      <c r="DB2" s="401"/>
      <c r="DC2" s="401"/>
      <c r="DD2" s="400"/>
      <c r="DE2" s="400"/>
      <c r="DF2" s="400"/>
      <c r="DG2" s="401"/>
      <c r="DH2" s="401"/>
      <c r="DI2" s="402"/>
      <c r="DJ2" s="403" t="s">
        <v>177</v>
      </c>
      <c r="DK2" s="403"/>
      <c r="DL2" s="404"/>
      <c r="DM2" s="404"/>
      <c r="DN2" s="404"/>
      <c r="DO2" s="404"/>
      <c r="DP2" s="409" t="s">
        <v>303</v>
      </c>
      <c r="DQ2" s="410"/>
      <c r="DR2" s="405" t="s">
        <v>180</v>
      </c>
      <c r="DS2" s="406"/>
      <c r="DT2" s="407" t="s">
        <v>184</v>
      </c>
      <c r="DU2" s="335"/>
      <c r="DV2" s="371"/>
      <c r="DW2" s="418"/>
      <c r="DX2" s="405" t="s">
        <v>304</v>
      </c>
      <c r="DY2" s="406"/>
      <c r="DZ2" s="376" t="s">
        <v>420</v>
      </c>
      <c r="EA2" s="377"/>
      <c r="EB2" s="377"/>
      <c r="EC2" s="378"/>
      <c r="ED2" s="306"/>
      <c r="EE2" s="50"/>
      <c r="EF2" s="50"/>
      <c r="EG2" s="50"/>
    </row>
    <row r="3" spans="1:138" s="16" customFormat="1" ht="52.5" customHeight="1" x14ac:dyDescent="0.3">
      <c r="A3" s="224">
        <f>IFERROR(DATEVALUE(SUBSTITUTE(SUBSTITUTE(SUBSTITUTE(SUBSTITUTE(LEFT(운영일보!D1,9),"년","-"),"월","-"),"일",""),".","-")),운영일보!D1) +1</f>
        <v>46020</v>
      </c>
      <c r="B3" s="28" t="s">
        <v>116</v>
      </c>
      <c r="C3" s="8" t="s">
        <v>114</v>
      </c>
      <c r="D3" s="8" t="s">
        <v>44</v>
      </c>
      <c r="E3" s="8" t="s">
        <v>45</v>
      </c>
      <c r="F3" s="8" t="s">
        <v>46</v>
      </c>
      <c r="G3" s="27" t="s">
        <v>115</v>
      </c>
      <c r="H3" s="31" t="s">
        <v>138</v>
      </c>
      <c r="I3" s="30" t="s">
        <v>295</v>
      </c>
      <c r="J3" s="8" t="s">
        <v>48</v>
      </c>
      <c r="K3" s="8" t="s">
        <v>49</v>
      </c>
      <c r="L3" s="8" t="s">
        <v>50</v>
      </c>
      <c r="M3" s="8" t="s">
        <v>51</v>
      </c>
      <c r="N3" s="8" t="s">
        <v>52</v>
      </c>
      <c r="O3" s="30" t="s">
        <v>118</v>
      </c>
      <c r="P3" s="30" t="s">
        <v>137</v>
      </c>
      <c r="Q3" s="8" t="s">
        <v>53</v>
      </c>
      <c r="R3" s="30" t="s">
        <v>121</v>
      </c>
      <c r="S3" s="8" t="s">
        <v>54</v>
      </c>
      <c r="T3" s="30" t="s">
        <v>119</v>
      </c>
      <c r="U3" s="18" t="s">
        <v>100</v>
      </c>
      <c r="V3" s="32" t="s">
        <v>122</v>
      </c>
      <c r="W3" s="8" t="s">
        <v>56</v>
      </c>
      <c r="X3" s="8" t="s">
        <v>57</v>
      </c>
      <c r="Y3" s="8" t="s">
        <v>58</v>
      </c>
      <c r="Z3" s="8" t="s">
        <v>59</v>
      </c>
      <c r="AA3" s="8" t="s">
        <v>60</v>
      </c>
      <c r="AB3" s="8" t="s">
        <v>61</v>
      </c>
      <c r="AC3" s="8" t="s">
        <v>62</v>
      </c>
      <c r="AD3" s="8" t="s">
        <v>63</v>
      </c>
      <c r="AE3" s="8" t="s">
        <v>64</v>
      </c>
      <c r="AF3" s="8" t="s">
        <v>65</v>
      </c>
      <c r="AG3" s="8" t="s">
        <v>66</v>
      </c>
      <c r="AH3" s="8" t="s">
        <v>67</v>
      </c>
      <c r="AI3" s="8" t="s">
        <v>68</v>
      </c>
      <c r="AJ3" s="8" t="s">
        <v>69</v>
      </c>
      <c r="AK3" s="10" t="s">
        <v>6</v>
      </c>
      <c r="AL3" s="8" t="s">
        <v>7</v>
      </c>
      <c r="AM3" s="18" t="s">
        <v>8</v>
      </c>
      <c r="AN3" s="33" t="s">
        <v>271</v>
      </c>
      <c r="AO3" s="55" t="s">
        <v>296</v>
      </c>
      <c r="AP3" s="38" t="s">
        <v>70</v>
      </c>
      <c r="AQ3" s="38" t="s">
        <v>71</v>
      </c>
      <c r="AR3" s="34" t="s">
        <v>125</v>
      </c>
      <c r="AS3" s="38" t="s">
        <v>33</v>
      </c>
      <c r="AT3" s="34" t="s">
        <v>126</v>
      </c>
      <c r="AU3" s="38" t="s">
        <v>34</v>
      </c>
      <c r="AV3" s="39" t="s">
        <v>127</v>
      </c>
      <c r="AW3" s="9" t="s">
        <v>9</v>
      </c>
      <c r="AX3" s="40" t="s">
        <v>128</v>
      </c>
      <c r="AY3" s="11" t="s">
        <v>10</v>
      </c>
      <c r="AZ3" s="2" t="s">
        <v>129</v>
      </c>
      <c r="BA3" s="8" t="s">
        <v>11</v>
      </c>
      <c r="BB3" s="49" t="s">
        <v>130</v>
      </c>
      <c r="BC3" s="8" t="s">
        <v>12</v>
      </c>
      <c r="BD3" s="48" t="s">
        <v>13</v>
      </c>
      <c r="BE3" s="8" t="s">
        <v>13</v>
      </c>
      <c r="BF3" s="9" t="s">
        <v>15</v>
      </c>
      <c r="BG3" s="14" t="s">
        <v>722</v>
      </c>
      <c r="BH3" s="35" t="s">
        <v>723</v>
      </c>
      <c r="BI3" s="8" t="s">
        <v>16</v>
      </c>
      <c r="BJ3" s="34" t="s">
        <v>701</v>
      </c>
      <c r="BK3" s="38" t="s">
        <v>700</v>
      </c>
      <c r="BL3" s="38" t="s">
        <v>678</v>
      </c>
      <c r="BM3" s="19" t="s">
        <v>17</v>
      </c>
      <c r="BN3" s="34" t="s">
        <v>682</v>
      </c>
      <c r="BO3" s="38" t="s">
        <v>680</v>
      </c>
      <c r="BP3" s="268" t="s">
        <v>681</v>
      </c>
      <c r="BQ3" s="40" t="s">
        <v>131</v>
      </c>
      <c r="BR3" s="8" t="s">
        <v>72</v>
      </c>
      <c r="BS3" s="8" t="s">
        <v>101</v>
      </c>
      <c r="BT3" s="8" t="s">
        <v>102</v>
      </c>
      <c r="BU3" s="8" t="s">
        <v>103</v>
      </c>
      <c r="BV3" s="12" t="s">
        <v>132</v>
      </c>
      <c r="BW3" s="13" t="s">
        <v>134</v>
      </c>
      <c r="BX3" s="14" t="s">
        <v>133</v>
      </c>
      <c r="BY3" s="34" t="s">
        <v>142</v>
      </c>
      <c r="BZ3" s="15" t="s">
        <v>140</v>
      </c>
      <c r="CA3" s="39" t="s">
        <v>143</v>
      </c>
      <c r="CB3" s="15" t="s">
        <v>141</v>
      </c>
      <c r="CC3" s="21" t="s">
        <v>18</v>
      </c>
      <c r="CD3" s="31" t="s">
        <v>37</v>
      </c>
      <c r="CE3" s="15" t="s">
        <v>76</v>
      </c>
      <c r="CF3" s="15" t="s">
        <v>653</v>
      </c>
      <c r="CG3" s="22" t="s">
        <v>186</v>
      </c>
      <c r="CH3" s="22" t="s">
        <v>187</v>
      </c>
      <c r="CI3" s="34" t="s">
        <v>0</v>
      </c>
      <c r="CJ3" s="15" t="s">
        <v>77</v>
      </c>
      <c r="CK3" s="15" t="s">
        <v>78</v>
      </c>
      <c r="CL3" s="54" t="s">
        <v>36</v>
      </c>
      <c r="CM3" s="32" t="s">
        <v>169</v>
      </c>
      <c r="CN3" s="15" t="s">
        <v>398</v>
      </c>
      <c r="CO3" s="15" t="s">
        <v>399</v>
      </c>
      <c r="CP3" s="15" t="s">
        <v>400</v>
      </c>
      <c r="CQ3" s="39" t="s">
        <v>170</v>
      </c>
      <c r="CR3" s="15" t="s">
        <v>79</v>
      </c>
      <c r="CS3" s="15" t="s">
        <v>136</v>
      </c>
      <c r="CT3" s="15" t="s">
        <v>81</v>
      </c>
      <c r="CU3" s="15" t="s">
        <v>82</v>
      </c>
      <c r="CV3" s="57" t="s">
        <v>83</v>
      </c>
      <c r="CW3" s="33" t="s">
        <v>173</v>
      </c>
      <c r="CX3" s="40" t="s">
        <v>174</v>
      </c>
      <c r="CY3" s="15" t="s">
        <v>87</v>
      </c>
      <c r="CZ3" s="15" t="s">
        <v>175</v>
      </c>
      <c r="DA3" s="15" t="s">
        <v>89</v>
      </c>
      <c r="DB3" s="15" t="s">
        <v>90</v>
      </c>
      <c r="DC3" s="15" t="s">
        <v>91</v>
      </c>
      <c r="DD3" s="40" t="s">
        <v>176</v>
      </c>
      <c r="DE3" s="40" t="s">
        <v>721</v>
      </c>
      <c r="DF3" s="15" t="s">
        <v>92</v>
      </c>
      <c r="DG3" s="15" t="s">
        <v>93</v>
      </c>
      <c r="DH3" s="15" t="s">
        <v>94</v>
      </c>
      <c r="DI3" s="56" t="s">
        <v>95</v>
      </c>
      <c r="DJ3" s="47" t="s">
        <v>178</v>
      </c>
      <c r="DK3" s="34" t="s">
        <v>179</v>
      </c>
      <c r="DL3" s="15" t="s">
        <v>96</v>
      </c>
      <c r="DM3" s="15" t="s">
        <v>97</v>
      </c>
      <c r="DN3" s="15" t="s">
        <v>104</v>
      </c>
      <c r="DO3" s="57" t="s">
        <v>105</v>
      </c>
      <c r="DP3" s="33" t="s">
        <v>303</v>
      </c>
      <c r="DQ3" s="56"/>
      <c r="DR3" s="58" t="s">
        <v>109</v>
      </c>
      <c r="DS3" s="56" t="s">
        <v>183</v>
      </c>
      <c r="DT3" s="55" t="s">
        <v>110</v>
      </c>
      <c r="DU3" s="15"/>
      <c r="DV3" s="54" t="s">
        <v>302</v>
      </c>
      <c r="DW3" s="15" t="s">
        <v>35</v>
      </c>
      <c r="DX3" s="32" t="s">
        <v>308</v>
      </c>
      <c r="DY3" s="56"/>
      <c r="DZ3" s="33" t="s">
        <v>665</v>
      </c>
      <c r="EA3" s="40" t="s">
        <v>424</v>
      </c>
      <c r="EB3" s="40" t="s">
        <v>428</v>
      </c>
      <c r="EC3" s="152" t="s">
        <v>426</v>
      </c>
      <c r="ED3" s="307" t="s">
        <v>715</v>
      </c>
      <c r="EE3" s="95" t="s">
        <v>210</v>
      </c>
      <c r="EF3" s="96" t="s">
        <v>211</v>
      </c>
      <c r="EG3" s="97" t="s">
        <v>112</v>
      </c>
    </row>
    <row r="4" spans="1:138" x14ac:dyDescent="0.3">
      <c r="A4" s="226">
        <f>A3 + TIME(,,)</f>
        <v>46020</v>
      </c>
      <c r="B4" s="108">
        <v>327</v>
      </c>
      <c r="C4" s="108">
        <v>55.191001892089844</v>
      </c>
      <c r="D4" s="108">
        <v>106.42400360107422</v>
      </c>
      <c r="E4" s="108">
        <v>24.429000854492188</v>
      </c>
      <c r="F4" s="108">
        <v>1.9413044452667236</v>
      </c>
      <c r="G4" s="109">
        <v>24.089000701904297</v>
      </c>
      <c r="H4" s="110">
        <v>385</v>
      </c>
      <c r="I4" s="108">
        <v>350</v>
      </c>
      <c r="J4" s="108">
        <v>82.333999633789063</v>
      </c>
      <c r="K4" s="108">
        <v>65.558990478515625</v>
      </c>
      <c r="L4" s="108">
        <v>53.013999938964844</v>
      </c>
      <c r="M4" s="108">
        <v>16.285999298095703</v>
      </c>
      <c r="N4" s="108">
        <v>17.113000869750977</v>
      </c>
      <c r="O4" s="108">
        <v>21</v>
      </c>
      <c r="P4" s="108">
        <v>0</v>
      </c>
      <c r="Q4" s="108">
        <v>21.81846809387207</v>
      </c>
      <c r="R4" s="108">
        <v>31.003124237060547</v>
      </c>
      <c r="S4" s="108">
        <v>33.283222198486328</v>
      </c>
      <c r="T4" s="108">
        <v>9</v>
      </c>
      <c r="U4" s="108">
        <v>9</v>
      </c>
      <c r="V4" s="110">
        <v>1272</v>
      </c>
      <c r="W4" s="108">
        <v>46.675468444824219</v>
      </c>
      <c r="X4" s="108">
        <v>40.601001739501953</v>
      </c>
      <c r="Y4" s="108">
        <v>10.050999641418457</v>
      </c>
      <c r="Z4" s="108">
        <v>0</v>
      </c>
      <c r="AA4" s="108">
        <v>31.892999649047852</v>
      </c>
      <c r="AB4" s="108">
        <v>0</v>
      </c>
      <c r="AC4" s="108">
        <v>70.456817626953125</v>
      </c>
      <c r="AD4" s="108">
        <v>6.3610000610351563</v>
      </c>
      <c r="AE4" s="108">
        <v>2.1411426067352295</v>
      </c>
      <c r="AF4" s="108">
        <v>99.829971313476563</v>
      </c>
      <c r="AG4" s="108">
        <v>0</v>
      </c>
      <c r="AH4" s="108">
        <v>92.861419677734375</v>
      </c>
      <c r="AI4" s="108">
        <v>22.646999359130859</v>
      </c>
      <c r="AJ4" s="108">
        <v>44.001358032226563</v>
      </c>
      <c r="AK4" s="108">
        <v>54.099868774414063</v>
      </c>
      <c r="AL4" s="108">
        <v>63.087001800537109</v>
      </c>
      <c r="AM4" s="111">
        <v>60.180999755859375</v>
      </c>
      <c r="AN4" s="110">
        <v>180.25</v>
      </c>
      <c r="AO4" s="112">
        <v>99</v>
      </c>
      <c r="AP4" s="108">
        <v>95.580604553222656</v>
      </c>
      <c r="AQ4" s="108">
        <v>64.275604248046875</v>
      </c>
      <c r="AR4" s="108">
        <v>136</v>
      </c>
      <c r="AS4" s="108"/>
      <c r="AT4" s="108">
        <v>117</v>
      </c>
      <c r="AU4" s="108"/>
      <c r="AV4" s="108">
        <v>91</v>
      </c>
      <c r="AW4" s="108"/>
      <c r="AX4" s="108">
        <v>38</v>
      </c>
      <c r="AY4" s="108">
        <v>41.200798034667969</v>
      </c>
      <c r="AZ4" s="108">
        <v>31</v>
      </c>
      <c r="BA4" s="108"/>
      <c r="BB4" s="108">
        <v>206</v>
      </c>
      <c r="BC4" s="108">
        <v>212.78680419921875</v>
      </c>
      <c r="BD4" s="108">
        <v>7.5999999046325684</v>
      </c>
      <c r="BE4" s="108">
        <v>7.6386127471923828</v>
      </c>
      <c r="BF4" s="108">
        <v>31</v>
      </c>
      <c r="BG4" s="108">
        <v>12</v>
      </c>
      <c r="BH4" s="108">
        <v>12.700912475585938</v>
      </c>
      <c r="BI4" s="108"/>
      <c r="BJ4" s="108">
        <f>SUM(BK4:BL4)</f>
        <v>20</v>
      </c>
      <c r="BK4" s="108">
        <v>20</v>
      </c>
      <c r="BL4" s="108">
        <v>0</v>
      </c>
      <c r="BM4" s="111"/>
      <c r="BN4" s="108">
        <f>SUM(BO4:BP4)</f>
        <v>124</v>
      </c>
      <c r="BO4" s="108">
        <v>75</v>
      </c>
      <c r="BP4" s="108">
        <v>49</v>
      </c>
      <c r="BQ4" s="108">
        <v>360</v>
      </c>
      <c r="BR4" s="108">
        <v>111.73999786376953</v>
      </c>
      <c r="BS4" s="108">
        <v>27.990999221801758</v>
      </c>
      <c r="BT4" s="108">
        <v>52.299999237060547</v>
      </c>
      <c r="BU4" s="108">
        <v>51.974998474121094</v>
      </c>
      <c r="BV4" s="108">
        <v>69</v>
      </c>
      <c r="BW4" s="108">
        <v>7.5</v>
      </c>
      <c r="BX4" s="108">
        <v>13.800000190734863</v>
      </c>
      <c r="BY4" s="108">
        <v>28</v>
      </c>
      <c r="BZ4" s="108">
        <v>1.3609145767986774E-2</v>
      </c>
      <c r="CA4" s="108">
        <v>0</v>
      </c>
      <c r="CB4" s="108">
        <v>30.09564208984375</v>
      </c>
      <c r="CC4" s="111"/>
      <c r="CD4" s="108">
        <v>454.37875366210938</v>
      </c>
      <c r="CE4" s="108">
        <v>90.923385620117188</v>
      </c>
      <c r="CF4" s="108">
        <v>36.917484283447266</v>
      </c>
      <c r="CG4" s="108">
        <v>35.338191986083984</v>
      </c>
      <c r="CH4" s="108">
        <v>303.9488525390625</v>
      </c>
      <c r="CI4" s="108">
        <v>124.39034271240234</v>
      </c>
      <c r="CJ4" s="108">
        <v>61.583721160888672</v>
      </c>
      <c r="CK4" s="108">
        <v>68.904426574707031</v>
      </c>
      <c r="CL4" s="109">
        <v>53.655960083007813</v>
      </c>
      <c r="CM4" s="113">
        <v>346.15985107421875</v>
      </c>
      <c r="CN4" s="108">
        <v>111.31422424316406</v>
      </c>
      <c r="CO4" s="108">
        <v>103.29364013671875</v>
      </c>
      <c r="CP4" s="108">
        <v>129.72233581542969</v>
      </c>
      <c r="CQ4" s="108">
        <v>0</v>
      </c>
      <c r="CR4" s="108">
        <v>76.439834594726563</v>
      </c>
      <c r="CS4" s="108">
        <v>17.765981674194336</v>
      </c>
      <c r="CT4" s="108">
        <v>63.238723754882813</v>
      </c>
      <c r="CU4" s="108">
        <v>289.61367797851563</v>
      </c>
      <c r="CV4" s="109">
        <v>120.16050720214844</v>
      </c>
      <c r="CW4" s="113">
        <v>7</v>
      </c>
      <c r="CX4" s="108">
        <v>515</v>
      </c>
      <c r="CY4" s="108">
        <v>241.77456665039063</v>
      </c>
      <c r="CZ4" s="108">
        <v>68.46923828125</v>
      </c>
      <c r="DA4" s="108">
        <v>30.117265701293945</v>
      </c>
      <c r="DB4" s="108">
        <v>50.320037841796875</v>
      </c>
      <c r="DC4" s="108">
        <v>100.72841644287109</v>
      </c>
      <c r="DD4" s="108">
        <v>182</v>
      </c>
      <c r="DE4" s="108">
        <v>193</v>
      </c>
      <c r="DF4" s="108">
        <v>142.72212219238281</v>
      </c>
      <c r="DG4" s="108">
        <v>120.27739715576172</v>
      </c>
      <c r="DH4" s="108">
        <v>92.627182006835938</v>
      </c>
      <c r="DI4" s="114">
        <v>50.569053649902344</v>
      </c>
      <c r="DJ4" s="112">
        <v>263</v>
      </c>
      <c r="DK4" s="108">
        <v>157.26100158691406</v>
      </c>
      <c r="DL4" s="108">
        <v>34.720001220703125</v>
      </c>
      <c r="DM4" s="108">
        <v>65.384002685546875</v>
      </c>
      <c r="DN4" s="108">
        <v>56.902000427246094</v>
      </c>
      <c r="DO4" s="109">
        <v>117.59358215332031</v>
      </c>
      <c r="DP4" s="110">
        <v>17.586000442504883</v>
      </c>
      <c r="DQ4" s="108"/>
      <c r="DR4" s="113">
        <v>67</v>
      </c>
      <c r="DS4" s="114">
        <v>53.700000762939453</v>
      </c>
      <c r="DT4" s="112">
        <v>13</v>
      </c>
      <c r="DU4" s="108"/>
      <c r="DV4" s="108">
        <v>175</v>
      </c>
      <c r="DW4" s="108">
        <v>165.26762390136719</v>
      </c>
      <c r="DX4" s="113">
        <v>12</v>
      </c>
      <c r="DY4" s="114"/>
      <c r="DZ4" s="112">
        <v>55</v>
      </c>
      <c r="EA4" s="108">
        <v>3</v>
      </c>
      <c r="EB4" s="108">
        <v>0</v>
      </c>
      <c r="EC4" s="108">
        <v>1</v>
      </c>
      <c r="ED4" s="108">
        <v>380.10000610351563</v>
      </c>
      <c r="EE4" s="121" cm="1">
        <f t="array" ref="EE4:EE136">TRANSPOSE(B364:ED364)</f>
        <v>205</v>
      </c>
      <c r="EF4" s="121" cm="1">
        <f t="array" ref="EF4:EF136">TRANSPOSE(B366:ED366)</f>
        <v>206.33333333333334</v>
      </c>
      <c r="EG4" s="121" cm="1">
        <f t="array" ref="EG4:EG136">TRANSPOSE(B440:ED440)</f>
        <v>210.76666666666668</v>
      </c>
      <c r="EH4" s="59" t="s">
        <v>201</v>
      </c>
    </row>
    <row r="5" spans="1:138" x14ac:dyDescent="0.3">
      <c r="A5" s="226">
        <f>A4 + TIME(,1,)</f>
        <v>46020.000694444447</v>
      </c>
      <c r="B5" s="115">
        <v>327</v>
      </c>
      <c r="C5" s="115">
        <v>57.566001892089844</v>
      </c>
      <c r="D5" s="115">
        <v>107.78099822998047</v>
      </c>
      <c r="E5" s="115">
        <v>24.767999649047852</v>
      </c>
      <c r="F5" s="115">
        <v>5.8796901702880859</v>
      </c>
      <c r="G5" s="116">
        <v>24.881000518798828</v>
      </c>
      <c r="H5" s="117">
        <v>382</v>
      </c>
      <c r="I5" s="115">
        <v>347</v>
      </c>
      <c r="J5" s="115">
        <v>79.507003784179688</v>
      </c>
      <c r="K5" s="115">
        <v>67.272842407226563</v>
      </c>
      <c r="L5" s="115">
        <v>52.484001159667969</v>
      </c>
      <c r="M5" s="115">
        <v>17.076999664306641</v>
      </c>
      <c r="N5" s="115">
        <v>17.558000564575195</v>
      </c>
      <c r="O5" s="115">
        <v>20</v>
      </c>
      <c r="P5" s="115">
        <v>0</v>
      </c>
      <c r="Q5" s="115">
        <v>22.921380996704102</v>
      </c>
      <c r="R5" s="115">
        <v>31.003124237060547</v>
      </c>
      <c r="S5" s="115">
        <v>33.136653900146484</v>
      </c>
      <c r="T5" s="115">
        <v>9</v>
      </c>
      <c r="U5" s="115">
        <v>9</v>
      </c>
      <c r="V5" s="117">
        <v>1260</v>
      </c>
      <c r="W5" s="115">
        <v>46.411533355712891</v>
      </c>
      <c r="X5" s="115">
        <v>40.487998962402344</v>
      </c>
      <c r="Y5" s="115">
        <v>10.114999771118164</v>
      </c>
      <c r="Z5" s="115">
        <v>0</v>
      </c>
      <c r="AA5" s="115">
        <v>33.476001739501953</v>
      </c>
      <c r="AB5" s="115">
        <v>0</v>
      </c>
      <c r="AC5" s="115">
        <v>71.009880065917969</v>
      </c>
      <c r="AD5" s="115">
        <v>6.3610000610351563</v>
      </c>
      <c r="AE5" s="115">
        <v>1.5827018022537231</v>
      </c>
      <c r="AF5" s="115">
        <v>99.760643005371094</v>
      </c>
      <c r="AG5" s="115">
        <v>0</v>
      </c>
      <c r="AH5" s="115">
        <v>90.826431274414063</v>
      </c>
      <c r="AI5" s="115">
        <v>23.538000106811523</v>
      </c>
      <c r="AJ5" s="115">
        <v>42.612644195556641</v>
      </c>
      <c r="AK5" s="115">
        <v>54.129055023193359</v>
      </c>
      <c r="AL5" s="115">
        <v>61.143001556396484</v>
      </c>
      <c r="AM5" s="118">
        <v>61.071998596191406</v>
      </c>
      <c r="AN5" s="117">
        <v>177.6875</v>
      </c>
      <c r="AO5" s="119">
        <v>99</v>
      </c>
      <c r="AP5" s="115">
        <v>95.498977661132813</v>
      </c>
      <c r="AQ5" s="115">
        <v>62.69244384765625</v>
      </c>
      <c r="AR5" s="115">
        <v>136</v>
      </c>
      <c r="AS5" s="115"/>
      <c r="AT5" s="115">
        <v>117</v>
      </c>
      <c r="AU5" s="115"/>
      <c r="AV5" s="115">
        <v>97</v>
      </c>
      <c r="AW5" s="115"/>
      <c r="AX5" s="115">
        <v>38</v>
      </c>
      <c r="AY5" s="115">
        <v>40.946186065673828</v>
      </c>
      <c r="AZ5" s="115">
        <v>30</v>
      </c>
      <c r="BA5" s="115"/>
      <c r="BB5" s="115">
        <v>204</v>
      </c>
      <c r="BC5" s="115">
        <v>209.63386535644531</v>
      </c>
      <c r="BD5" s="115">
        <v>7.5999999046325684</v>
      </c>
      <c r="BE5" s="115">
        <v>7.6342926025390625</v>
      </c>
      <c r="BF5" s="115">
        <v>31</v>
      </c>
      <c r="BG5" s="115">
        <v>12</v>
      </c>
      <c r="BH5" s="115">
        <v>13.100147247314453</v>
      </c>
      <c r="BI5" s="115"/>
      <c r="BJ5" s="108">
        <f t="shared" ref="BJ5:BJ68" si="0">SUM(BK5:BL5)</f>
        <v>20</v>
      </c>
      <c r="BK5" s="115">
        <v>20</v>
      </c>
      <c r="BL5" s="115">
        <v>0</v>
      </c>
      <c r="BM5" s="118"/>
      <c r="BN5" s="108">
        <f t="shared" ref="BN5:BN68" si="1">SUM(BO5:BP5)</f>
        <v>125</v>
      </c>
      <c r="BO5" s="108">
        <v>76</v>
      </c>
      <c r="BP5" s="108">
        <v>49</v>
      </c>
      <c r="BQ5" s="108">
        <v>374</v>
      </c>
      <c r="BR5" s="115">
        <v>119.20400238037109</v>
      </c>
      <c r="BS5" s="115">
        <v>29.009000778198242</v>
      </c>
      <c r="BT5" s="115">
        <v>60.265998840332031</v>
      </c>
      <c r="BU5" s="115">
        <v>54.391998291015625</v>
      </c>
      <c r="BV5" s="115">
        <v>69.300003051757813</v>
      </c>
      <c r="BW5" s="115">
        <v>7.5</v>
      </c>
      <c r="BX5" s="115">
        <v>13.699999809265137</v>
      </c>
      <c r="BY5" s="115">
        <v>28</v>
      </c>
      <c r="BZ5" s="115">
        <v>1.3483216054737568E-2</v>
      </c>
      <c r="CA5" s="115">
        <v>0</v>
      </c>
      <c r="CB5" s="115">
        <v>30.13615608215332</v>
      </c>
      <c r="CC5" s="118"/>
      <c r="CD5" s="115">
        <v>456.5169677734375</v>
      </c>
      <c r="CE5" s="115">
        <v>90.489730834960938</v>
      </c>
      <c r="CF5" s="115">
        <v>36.394481658935547</v>
      </c>
      <c r="CG5" s="115">
        <v>35.338191986083984</v>
      </c>
      <c r="CH5" s="115">
        <v>303.48040771484375</v>
      </c>
      <c r="CI5" s="115">
        <v>124.01705932617188</v>
      </c>
      <c r="CJ5" s="115">
        <v>59.625289916992188</v>
      </c>
      <c r="CK5" s="115">
        <v>69.292671203613281</v>
      </c>
      <c r="CL5" s="116">
        <v>53.032066345214844</v>
      </c>
      <c r="CM5" s="117">
        <v>346.19418334960938</v>
      </c>
      <c r="CN5" s="115">
        <v>113.16153717041016</v>
      </c>
      <c r="CO5" s="115">
        <v>103.29364013671875</v>
      </c>
      <c r="CP5" s="115">
        <v>126.55124664306641</v>
      </c>
      <c r="CQ5" s="115">
        <v>0</v>
      </c>
      <c r="CR5" s="115">
        <v>72.828315734863281</v>
      </c>
      <c r="CS5" s="115">
        <v>16.387630462646484</v>
      </c>
      <c r="CT5" s="115">
        <v>62.450019836425781</v>
      </c>
      <c r="CU5" s="115">
        <v>282.77090454101563</v>
      </c>
      <c r="CV5" s="116">
        <v>119.77896881103516</v>
      </c>
      <c r="CW5" s="117">
        <v>4</v>
      </c>
      <c r="CX5" s="115">
        <v>511</v>
      </c>
      <c r="CY5" s="115">
        <v>239.13156127929688</v>
      </c>
      <c r="CZ5" s="115">
        <v>69.52386474609375</v>
      </c>
      <c r="DA5" s="115">
        <v>29.711782455444336</v>
      </c>
      <c r="DB5" s="115">
        <v>49.10125732421875</v>
      </c>
      <c r="DC5" s="115">
        <v>97.936836242675781</v>
      </c>
      <c r="DD5" s="115">
        <v>170</v>
      </c>
      <c r="DE5" s="115">
        <v>193</v>
      </c>
      <c r="DF5" s="115">
        <v>140.79502868652344</v>
      </c>
      <c r="DG5" s="115">
        <v>119.96898651123047</v>
      </c>
      <c r="DH5" s="115">
        <v>94.241485595703125</v>
      </c>
      <c r="DI5" s="120">
        <v>48.154117584228516</v>
      </c>
      <c r="DJ5" s="119">
        <v>260</v>
      </c>
      <c r="DK5" s="115">
        <v>154.20799255371094</v>
      </c>
      <c r="DL5" s="115">
        <v>32.910999298095703</v>
      </c>
      <c r="DM5" s="115">
        <v>63.617000579833984</v>
      </c>
      <c r="DN5" s="115">
        <v>55.840999603271484</v>
      </c>
      <c r="DO5" s="116">
        <v>117.62467956542969</v>
      </c>
      <c r="DP5" s="117">
        <v>17.38800048828125</v>
      </c>
      <c r="DQ5" s="115"/>
      <c r="DR5" s="117">
        <v>67</v>
      </c>
      <c r="DS5" s="120">
        <v>53.799999237060547</v>
      </c>
      <c r="DT5" s="119">
        <v>14</v>
      </c>
      <c r="DU5" s="115"/>
      <c r="DV5" s="115">
        <v>172</v>
      </c>
      <c r="DW5" s="115">
        <v>165.59506225585938</v>
      </c>
      <c r="DX5" s="117">
        <v>12</v>
      </c>
      <c r="DY5" s="120"/>
      <c r="DZ5" s="119">
        <v>55</v>
      </c>
      <c r="EA5" s="115">
        <v>3</v>
      </c>
      <c r="EB5" s="115">
        <v>0</v>
      </c>
      <c r="EC5" s="115">
        <v>1</v>
      </c>
      <c r="ED5" s="115">
        <v>381</v>
      </c>
      <c r="EE5" s="121">
        <v>43.090000152587891</v>
      </c>
      <c r="EF5" s="121">
        <v>44.880332946777344</v>
      </c>
      <c r="EG5" s="121">
        <v>48.554100290934244</v>
      </c>
      <c r="EH5" t="s">
        <v>113</v>
      </c>
    </row>
    <row r="6" spans="1:138" x14ac:dyDescent="0.3">
      <c r="A6" s="226">
        <f t="shared" ref="A6:A23" si="2">A5 + TIME(,1,)</f>
        <v>46020.001388888893</v>
      </c>
      <c r="B6" s="115">
        <v>331</v>
      </c>
      <c r="C6" s="115">
        <v>57.452999114990234</v>
      </c>
      <c r="D6" s="115">
        <v>106.42400360107422</v>
      </c>
      <c r="E6" s="115">
        <v>23.863000869750977</v>
      </c>
      <c r="F6" s="115">
        <v>5.5840167999267578</v>
      </c>
      <c r="G6" s="116">
        <v>23.863000869750977</v>
      </c>
      <c r="H6" s="117">
        <v>380</v>
      </c>
      <c r="I6" s="115">
        <v>344</v>
      </c>
      <c r="J6" s="115">
        <v>77.471000671386719</v>
      </c>
      <c r="K6" s="115">
        <v>66.979110717773438</v>
      </c>
      <c r="L6" s="115">
        <v>54.958000183105469</v>
      </c>
      <c r="M6" s="115">
        <v>16.964000701904297</v>
      </c>
      <c r="N6" s="115">
        <v>17.493999481201172</v>
      </c>
      <c r="O6" s="115">
        <v>20</v>
      </c>
      <c r="P6" s="115">
        <v>0</v>
      </c>
      <c r="Q6" s="115">
        <v>21.188940048217773</v>
      </c>
      <c r="R6" s="115">
        <v>31.003124237060547</v>
      </c>
      <c r="S6" s="115">
        <v>31.832057952880859</v>
      </c>
      <c r="T6" s="115">
        <v>9</v>
      </c>
      <c r="U6" s="115">
        <v>9</v>
      </c>
      <c r="V6" s="117">
        <v>1262</v>
      </c>
      <c r="W6" s="115">
        <v>44.760005950927734</v>
      </c>
      <c r="X6" s="115">
        <v>40.941001892089844</v>
      </c>
      <c r="Y6" s="115">
        <v>11.005000114440918</v>
      </c>
      <c r="Z6" s="115">
        <v>0</v>
      </c>
      <c r="AA6" s="115">
        <v>35.737998962402344</v>
      </c>
      <c r="AB6" s="115">
        <v>0</v>
      </c>
      <c r="AC6" s="115">
        <v>70.867462158203125</v>
      </c>
      <c r="AD6" s="115">
        <v>6.1069998741149902</v>
      </c>
      <c r="AE6" s="115">
        <v>1.6193759441375732</v>
      </c>
      <c r="AF6" s="115">
        <v>102.10349273681641</v>
      </c>
      <c r="AG6" s="115">
        <v>0</v>
      </c>
      <c r="AH6" s="115">
        <v>90.595046997070313</v>
      </c>
      <c r="AI6" s="115">
        <v>24.555999755859375</v>
      </c>
      <c r="AJ6" s="115">
        <v>43.203132629394531</v>
      </c>
      <c r="AK6" s="115">
        <v>52.356296539306641</v>
      </c>
      <c r="AL6" s="115">
        <v>61.849998474121094</v>
      </c>
      <c r="AM6" s="118">
        <v>60.436000823974609</v>
      </c>
      <c r="AN6" s="117">
        <v>183.8125</v>
      </c>
      <c r="AO6" s="119">
        <v>101</v>
      </c>
      <c r="AP6" s="115">
        <v>94.795806884765625</v>
      </c>
      <c r="AQ6" s="115">
        <v>64.939125061035156</v>
      </c>
      <c r="AR6" s="115">
        <v>138</v>
      </c>
      <c r="AS6" s="115"/>
      <c r="AT6" s="115">
        <v>117</v>
      </c>
      <c r="AU6" s="115"/>
      <c r="AV6" s="115">
        <v>96</v>
      </c>
      <c r="AW6" s="115"/>
      <c r="AX6" s="115">
        <v>41</v>
      </c>
      <c r="AY6" s="115">
        <v>42.143413543701172</v>
      </c>
      <c r="AZ6" s="115">
        <v>30</v>
      </c>
      <c r="BA6" s="115"/>
      <c r="BB6" s="115">
        <v>208</v>
      </c>
      <c r="BC6" s="115">
        <v>214.97639465332031</v>
      </c>
      <c r="BD6" s="115">
        <v>7.5999999046325684</v>
      </c>
      <c r="BE6" s="115">
        <v>7.6159019470214844</v>
      </c>
      <c r="BF6" s="115">
        <v>31</v>
      </c>
      <c r="BG6" s="115">
        <v>13</v>
      </c>
      <c r="BH6" s="115">
        <v>13.322619438171387</v>
      </c>
      <c r="BI6" s="115"/>
      <c r="BJ6" s="108">
        <f t="shared" si="0"/>
        <v>21</v>
      </c>
      <c r="BK6" s="115">
        <v>21</v>
      </c>
      <c r="BL6" s="115">
        <v>0</v>
      </c>
      <c r="BM6" s="118"/>
      <c r="BN6" s="108">
        <f t="shared" si="1"/>
        <v>124.20000076293945</v>
      </c>
      <c r="BO6" s="108">
        <v>75</v>
      </c>
      <c r="BP6" s="108">
        <v>49.200000762939453</v>
      </c>
      <c r="BQ6" s="108">
        <v>365</v>
      </c>
      <c r="BR6" s="115">
        <v>118.75199890136719</v>
      </c>
      <c r="BS6" s="115">
        <v>31.808000564575195</v>
      </c>
      <c r="BT6" s="115">
        <v>60.265998840332031</v>
      </c>
      <c r="BU6" s="115">
        <v>54.838001251220703</v>
      </c>
      <c r="BV6" s="115">
        <v>68.400001525878906</v>
      </c>
      <c r="BW6" s="115">
        <v>7.5999999046325684</v>
      </c>
      <c r="BX6" s="115">
        <v>13.699999809265137</v>
      </c>
      <c r="BY6" s="115">
        <v>29</v>
      </c>
      <c r="BZ6" s="115">
        <v>1.4215665869414806E-2</v>
      </c>
      <c r="CA6" s="115">
        <v>0</v>
      </c>
      <c r="CB6" s="115">
        <v>30.114950180053711</v>
      </c>
      <c r="CC6" s="118"/>
      <c r="CD6" s="115">
        <v>425.09780883789063</v>
      </c>
      <c r="CE6" s="115">
        <v>59.075359344482422</v>
      </c>
      <c r="CF6" s="115">
        <v>37.0352783203125</v>
      </c>
      <c r="CG6" s="115">
        <v>35.338191986083984</v>
      </c>
      <c r="CH6" s="115">
        <v>303.6695556640625</v>
      </c>
      <c r="CI6" s="115">
        <v>125.56073760986328</v>
      </c>
      <c r="CJ6" s="115">
        <v>59.956424713134766</v>
      </c>
      <c r="CK6" s="115">
        <v>69.74798583984375</v>
      </c>
      <c r="CL6" s="116">
        <v>51.395816802978516</v>
      </c>
      <c r="CM6" s="117">
        <v>350.14956665039063</v>
      </c>
      <c r="CN6" s="115">
        <v>112.92940521240234</v>
      </c>
      <c r="CO6" s="115">
        <v>105.1298828125</v>
      </c>
      <c r="CP6" s="115">
        <v>129.35238647460938</v>
      </c>
      <c r="CQ6" s="115">
        <v>0</v>
      </c>
      <c r="CR6" s="115">
        <v>72.279975891113281</v>
      </c>
      <c r="CS6" s="115">
        <v>15.467537879943848</v>
      </c>
      <c r="CT6" s="115">
        <v>58.079601287841797</v>
      </c>
      <c r="CU6" s="115">
        <v>283.96847534179688</v>
      </c>
      <c r="CV6" s="116">
        <v>122.38766479492188</v>
      </c>
      <c r="CW6" s="117">
        <v>7</v>
      </c>
      <c r="CX6" s="115">
        <v>507</v>
      </c>
      <c r="CY6" s="115">
        <v>245.25677490234375</v>
      </c>
      <c r="CZ6" s="115">
        <v>68.824104309082031</v>
      </c>
      <c r="DA6" s="115">
        <v>30.789299011230469</v>
      </c>
      <c r="DB6" s="115">
        <v>50.387744903564453</v>
      </c>
      <c r="DC6" s="115">
        <v>98.462127685546875</v>
      </c>
      <c r="DD6" s="115">
        <v>181</v>
      </c>
      <c r="DE6" s="115">
        <v>195</v>
      </c>
      <c r="DF6" s="115">
        <v>141.54713439941406</v>
      </c>
      <c r="DG6" s="115">
        <v>119.8438720703125</v>
      </c>
      <c r="DH6" s="115">
        <v>93.376815795898438</v>
      </c>
      <c r="DI6" s="120">
        <v>48.076980590820313</v>
      </c>
      <c r="DJ6" s="119">
        <v>265</v>
      </c>
      <c r="DK6" s="115">
        <v>163.11399841308594</v>
      </c>
      <c r="DL6" s="115">
        <v>32.910999298095703</v>
      </c>
      <c r="DM6" s="115">
        <v>65.029998779296875</v>
      </c>
      <c r="DN6" s="115">
        <v>58.138999938964844</v>
      </c>
      <c r="DO6" s="116">
        <v>118.28615570068359</v>
      </c>
      <c r="DP6" s="117">
        <v>18.038999557495117</v>
      </c>
      <c r="DQ6" s="115"/>
      <c r="DR6" s="117">
        <v>67</v>
      </c>
      <c r="DS6" s="120">
        <v>53.099998474121094</v>
      </c>
      <c r="DT6" s="119">
        <v>13</v>
      </c>
      <c r="DU6" s="115"/>
      <c r="DV6" s="115">
        <v>176</v>
      </c>
      <c r="DW6" s="115">
        <v>165.90367126464844</v>
      </c>
      <c r="DX6" s="117">
        <v>15</v>
      </c>
      <c r="DY6" s="120"/>
      <c r="DZ6" s="119">
        <v>54</v>
      </c>
      <c r="EA6" s="115">
        <v>3</v>
      </c>
      <c r="EB6" s="115">
        <v>0</v>
      </c>
      <c r="EC6" s="115">
        <v>1</v>
      </c>
      <c r="ED6" s="115">
        <v>380.10000610351563</v>
      </c>
      <c r="EE6" s="121">
        <v>94.662002563476563</v>
      </c>
      <c r="EF6" s="121">
        <v>95.019832611083984</v>
      </c>
      <c r="EG6" s="121">
        <v>95.870250320434565</v>
      </c>
      <c r="EH6" t="s">
        <v>44</v>
      </c>
    </row>
    <row r="7" spans="1:138" x14ac:dyDescent="0.3">
      <c r="A7" s="226">
        <f t="shared" si="2"/>
        <v>46020.00208333334</v>
      </c>
      <c r="B7" s="115">
        <v>330</v>
      </c>
      <c r="C7" s="115">
        <v>57.566001892089844</v>
      </c>
      <c r="D7" s="115">
        <v>105.63200378417969</v>
      </c>
      <c r="E7" s="115">
        <v>21.714000701904297</v>
      </c>
      <c r="F7" s="115">
        <v>5.3506393432617188</v>
      </c>
      <c r="G7" s="116">
        <v>24.429000854492188</v>
      </c>
      <c r="H7" s="117">
        <v>381</v>
      </c>
      <c r="I7" s="115">
        <v>346</v>
      </c>
      <c r="J7" s="115">
        <v>77.471000671386719</v>
      </c>
      <c r="K7" s="115">
        <v>66.305259704589844</v>
      </c>
      <c r="L7" s="115">
        <v>55.133998870849609</v>
      </c>
      <c r="M7" s="115">
        <v>15.946000099182129</v>
      </c>
      <c r="N7" s="115">
        <v>17.239999771118164</v>
      </c>
      <c r="O7" s="115">
        <v>19</v>
      </c>
      <c r="P7" s="115">
        <v>0</v>
      </c>
      <c r="Q7" s="115">
        <v>19.724405288696289</v>
      </c>
      <c r="R7" s="115">
        <v>31.003124237060547</v>
      </c>
      <c r="S7" s="115">
        <v>31.832057952880859</v>
      </c>
      <c r="T7" s="115">
        <v>9</v>
      </c>
      <c r="U7" s="115">
        <v>9</v>
      </c>
      <c r="V7" s="117">
        <v>1273</v>
      </c>
      <c r="W7" s="115">
        <v>45.383815765380859</v>
      </c>
      <c r="X7" s="115">
        <v>41.054000854492188</v>
      </c>
      <c r="Y7" s="115">
        <v>12.595999717712402</v>
      </c>
      <c r="Z7" s="115">
        <v>0</v>
      </c>
      <c r="AA7" s="115">
        <v>36.756000518798828</v>
      </c>
      <c r="AB7" s="115">
        <v>0</v>
      </c>
      <c r="AC7" s="115">
        <v>70.557151794433594</v>
      </c>
      <c r="AD7" s="115">
        <v>6.1069998741149902</v>
      </c>
      <c r="AE7" s="115">
        <v>1.7606207132339478</v>
      </c>
      <c r="AF7" s="115">
        <v>101.36310577392578</v>
      </c>
      <c r="AG7" s="115">
        <v>0</v>
      </c>
      <c r="AH7" s="115">
        <v>89.295501708984375</v>
      </c>
      <c r="AI7" s="115">
        <v>24.492000579833984</v>
      </c>
      <c r="AJ7" s="115">
        <v>43.738506317138672</v>
      </c>
      <c r="AK7" s="115">
        <v>53.627822875976563</v>
      </c>
      <c r="AL7" s="115">
        <v>64.147003173828125</v>
      </c>
      <c r="AM7" s="118">
        <v>63.617000579833984</v>
      </c>
      <c r="AN7" s="117">
        <v>180.25</v>
      </c>
      <c r="AO7" s="119">
        <v>103</v>
      </c>
      <c r="AP7" s="115">
        <v>95.817039489746094</v>
      </c>
      <c r="AQ7" s="115">
        <v>64.914794921875</v>
      </c>
      <c r="AR7" s="115">
        <v>137</v>
      </c>
      <c r="AS7" s="115"/>
      <c r="AT7" s="115">
        <v>118</v>
      </c>
      <c r="AU7" s="115"/>
      <c r="AV7" s="115">
        <v>97</v>
      </c>
      <c r="AW7" s="115"/>
      <c r="AX7" s="115">
        <v>41</v>
      </c>
      <c r="AY7" s="115">
        <v>42.143413543701172</v>
      </c>
      <c r="AZ7" s="115">
        <v>30</v>
      </c>
      <c r="BA7" s="115"/>
      <c r="BB7" s="115">
        <v>208</v>
      </c>
      <c r="BC7" s="115">
        <v>214.14268493652344</v>
      </c>
      <c r="BD7" s="115">
        <v>7.5</v>
      </c>
      <c r="BE7" s="115">
        <v>7.5945038795471191</v>
      </c>
      <c r="BF7" s="115">
        <v>31</v>
      </c>
      <c r="BG7" s="115">
        <v>13</v>
      </c>
      <c r="BH7" s="115">
        <v>13.339045524597168</v>
      </c>
      <c r="BI7" s="115"/>
      <c r="BJ7" s="108">
        <f t="shared" si="0"/>
        <v>21</v>
      </c>
      <c r="BK7" s="115">
        <v>21</v>
      </c>
      <c r="BL7" s="115">
        <v>0</v>
      </c>
      <c r="BM7" s="118"/>
      <c r="BN7" s="108">
        <f t="shared" si="1"/>
        <v>126</v>
      </c>
      <c r="BO7" s="108">
        <v>77</v>
      </c>
      <c r="BP7" s="108">
        <v>49</v>
      </c>
      <c r="BQ7" s="108">
        <v>363</v>
      </c>
      <c r="BR7" s="115">
        <v>121.91799926757813</v>
      </c>
      <c r="BS7" s="115">
        <v>31.045000076293945</v>
      </c>
      <c r="BT7" s="115">
        <v>54.7239990234375</v>
      </c>
      <c r="BU7" s="115">
        <v>53.819999694824219</v>
      </c>
      <c r="BV7" s="115">
        <v>69.300003051757813</v>
      </c>
      <c r="BW7" s="115">
        <v>7.5999999046325684</v>
      </c>
      <c r="BX7" s="115">
        <v>13.699999809265137</v>
      </c>
      <c r="BY7" s="115">
        <v>29</v>
      </c>
      <c r="BZ7" s="115">
        <v>1.5724344179034233E-2</v>
      </c>
      <c r="CA7" s="115">
        <v>0</v>
      </c>
      <c r="CB7" s="115">
        <v>29.866350173950195</v>
      </c>
      <c r="CC7" s="118"/>
      <c r="CD7" s="115">
        <v>427.65228271484375</v>
      </c>
      <c r="CE7" s="115">
        <v>58.855537414550781</v>
      </c>
      <c r="CF7" s="115">
        <v>36.792671203613281</v>
      </c>
      <c r="CG7" s="115">
        <v>35.338191986083984</v>
      </c>
      <c r="CH7" s="115">
        <v>304.45730590820313</v>
      </c>
      <c r="CI7" s="115">
        <v>127.15597534179688</v>
      </c>
      <c r="CJ7" s="115">
        <v>62.42218017578125</v>
      </c>
      <c r="CK7" s="115">
        <v>70.219993591308594</v>
      </c>
      <c r="CL7" s="116">
        <v>51.577308654785156</v>
      </c>
      <c r="CM7" s="117">
        <v>356.10174560546875</v>
      </c>
      <c r="CN7" s="115">
        <v>118.33568572998047</v>
      </c>
      <c r="CO7" s="115">
        <v>103.10715484619141</v>
      </c>
      <c r="CP7" s="115">
        <v>130.55673217773438</v>
      </c>
      <c r="CQ7" s="115">
        <v>0</v>
      </c>
      <c r="CR7" s="115">
        <v>73.994834899902344</v>
      </c>
      <c r="CS7" s="115">
        <v>16.588621139526367</v>
      </c>
      <c r="CT7" s="115">
        <v>61.459346771240234</v>
      </c>
      <c r="CU7" s="115">
        <v>283.51528930664063</v>
      </c>
      <c r="CV7" s="116">
        <v>123.79505157470703</v>
      </c>
      <c r="CW7" s="117">
        <v>8</v>
      </c>
      <c r="CX7" s="115">
        <v>509</v>
      </c>
      <c r="CY7" s="115">
        <v>241.22996520996094</v>
      </c>
      <c r="CZ7" s="115">
        <v>68.814048767089844</v>
      </c>
      <c r="DA7" s="115">
        <v>30.666435241699219</v>
      </c>
      <c r="DB7" s="115">
        <v>49.085689544677734</v>
      </c>
      <c r="DC7" s="115">
        <v>99.62628173828125</v>
      </c>
      <c r="DD7" s="115">
        <v>180</v>
      </c>
      <c r="DE7" s="115">
        <v>194</v>
      </c>
      <c r="DF7" s="115">
        <v>144.58268737792969</v>
      </c>
      <c r="DG7" s="115">
        <v>116.34500122070313</v>
      </c>
      <c r="DH7" s="115">
        <v>93.005271911621094</v>
      </c>
      <c r="DI7" s="120">
        <v>48.076053619384766</v>
      </c>
      <c r="DJ7" s="119">
        <v>264</v>
      </c>
      <c r="DK7" s="115">
        <v>156.75199890136719</v>
      </c>
      <c r="DL7" s="115">
        <v>30.535999298095703</v>
      </c>
      <c r="DM7" s="115">
        <v>64.147003173828125</v>
      </c>
      <c r="DN7" s="115">
        <v>59.199001312255859</v>
      </c>
      <c r="DO7" s="116">
        <v>121.00258636474609</v>
      </c>
      <c r="DP7" s="117">
        <v>18.038999557495117</v>
      </c>
      <c r="DQ7" s="115"/>
      <c r="DR7" s="117">
        <v>67</v>
      </c>
      <c r="DS7" s="120">
        <v>53.799999237060547</v>
      </c>
      <c r="DT7" s="119">
        <v>13</v>
      </c>
      <c r="DU7" s="115"/>
      <c r="DV7" s="115">
        <v>176</v>
      </c>
      <c r="DW7" s="115">
        <v>165.62208557128906</v>
      </c>
      <c r="DX7" s="117">
        <v>12</v>
      </c>
      <c r="DY7" s="120"/>
      <c r="DZ7" s="119">
        <v>55</v>
      </c>
      <c r="EA7" s="115">
        <v>3</v>
      </c>
      <c r="EB7" s="115">
        <v>0</v>
      </c>
      <c r="EC7" s="115">
        <v>1</v>
      </c>
      <c r="ED7" s="115">
        <v>374.29998779296875</v>
      </c>
      <c r="EE7" s="121">
        <v>12.553000450134277</v>
      </c>
      <c r="EF7" s="121">
        <v>14.49483315149943</v>
      </c>
      <c r="EG7" s="121">
        <v>16.803866656621299</v>
      </c>
      <c r="EH7" t="s">
        <v>45</v>
      </c>
    </row>
    <row r="8" spans="1:138" x14ac:dyDescent="0.3">
      <c r="A8" s="226">
        <f t="shared" si="2"/>
        <v>46020.002777777787</v>
      </c>
      <c r="B8" s="115">
        <v>330</v>
      </c>
      <c r="C8" s="115">
        <v>58.244998931884766</v>
      </c>
      <c r="D8" s="115">
        <v>107.55500030517578</v>
      </c>
      <c r="E8" s="115">
        <v>22.052999496459961</v>
      </c>
      <c r="F8" s="115">
        <v>12.263925552368164</v>
      </c>
      <c r="G8" s="116">
        <v>23.410999298095703</v>
      </c>
      <c r="H8" s="117">
        <v>382</v>
      </c>
      <c r="I8" s="115">
        <v>337</v>
      </c>
      <c r="J8" s="115">
        <v>79.733001708984375</v>
      </c>
      <c r="K8" s="115">
        <v>63.789478302001953</v>
      </c>
      <c r="L8" s="115">
        <v>53.543998718261719</v>
      </c>
      <c r="M8" s="115">
        <v>17.076999664306641</v>
      </c>
      <c r="N8" s="115">
        <v>16.731000900268555</v>
      </c>
      <c r="O8" s="115">
        <v>21</v>
      </c>
      <c r="P8" s="115">
        <v>0</v>
      </c>
      <c r="Q8" s="115">
        <v>21.860464096069336</v>
      </c>
      <c r="R8" s="115">
        <v>31.003124237060547</v>
      </c>
      <c r="S8" s="115">
        <v>32.121559143066406</v>
      </c>
      <c r="T8" s="115">
        <v>9</v>
      </c>
      <c r="U8" s="115">
        <v>9</v>
      </c>
      <c r="V8" s="117">
        <v>1260</v>
      </c>
      <c r="W8" s="115">
        <v>42.25079345703125</v>
      </c>
      <c r="X8" s="115">
        <v>42.298000335693359</v>
      </c>
      <c r="Y8" s="115">
        <v>12.02299976348877</v>
      </c>
      <c r="Z8" s="115">
        <v>0</v>
      </c>
      <c r="AA8" s="115">
        <v>34.493999481201172</v>
      </c>
      <c r="AB8" s="115">
        <v>0</v>
      </c>
      <c r="AC8" s="115">
        <v>69.046646118164063</v>
      </c>
      <c r="AD8" s="115">
        <v>5.8520002365112305</v>
      </c>
      <c r="AE8" s="115">
        <v>1.8334568738937378</v>
      </c>
      <c r="AF8" s="115">
        <v>101.61528778076172</v>
      </c>
      <c r="AG8" s="115">
        <v>0</v>
      </c>
      <c r="AH8" s="115">
        <v>90.828826904296875</v>
      </c>
      <c r="AI8" s="115">
        <v>19.975000381469727</v>
      </c>
      <c r="AJ8" s="115">
        <v>42.064010620117188</v>
      </c>
      <c r="AK8" s="115">
        <v>55.658428192138672</v>
      </c>
      <c r="AL8" s="115">
        <v>64.323997497558594</v>
      </c>
      <c r="AM8" s="118">
        <v>62.408000946044922</v>
      </c>
      <c r="AN8" s="117">
        <v>177.0625</v>
      </c>
      <c r="AO8" s="119">
        <v>96</v>
      </c>
      <c r="AP8" s="115">
        <v>94.63348388671875</v>
      </c>
      <c r="AQ8" s="115">
        <v>60.956287384033203</v>
      </c>
      <c r="AR8" s="115">
        <v>137</v>
      </c>
      <c r="AS8" s="115"/>
      <c r="AT8" s="115">
        <v>117</v>
      </c>
      <c r="AU8" s="115"/>
      <c r="AV8" s="115">
        <v>88</v>
      </c>
      <c r="AW8" s="115"/>
      <c r="AX8" s="115">
        <v>38</v>
      </c>
      <c r="AY8" s="115">
        <v>40.492412567138672</v>
      </c>
      <c r="AZ8" s="115">
        <v>30</v>
      </c>
      <c r="BA8" s="115"/>
      <c r="BB8" s="115">
        <v>206</v>
      </c>
      <c r="BC8" s="115">
        <v>213.4537353515625</v>
      </c>
      <c r="BD8" s="115">
        <v>7.5</v>
      </c>
      <c r="BE8" s="115">
        <v>7.5856075286865234</v>
      </c>
      <c r="BF8" s="115">
        <v>31</v>
      </c>
      <c r="BG8" s="115">
        <v>13</v>
      </c>
      <c r="BH8" s="115">
        <v>13.48687744140625</v>
      </c>
      <c r="BI8" s="115"/>
      <c r="BJ8" s="108">
        <f t="shared" si="0"/>
        <v>21</v>
      </c>
      <c r="BK8" s="115">
        <v>21</v>
      </c>
      <c r="BL8" s="115">
        <v>0</v>
      </c>
      <c r="BM8" s="118"/>
      <c r="BN8" s="108">
        <f t="shared" si="1"/>
        <v>125</v>
      </c>
      <c r="BO8" s="108">
        <v>76</v>
      </c>
      <c r="BP8" s="108">
        <v>49</v>
      </c>
      <c r="BQ8" s="108">
        <v>362</v>
      </c>
      <c r="BR8" s="115">
        <v>119.65599822998047</v>
      </c>
      <c r="BS8" s="115">
        <v>29.009000778198242</v>
      </c>
      <c r="BT8" s="115">
        <v>57.494998931884766</v>
      </c>
      <c r="BU8" s="115">
        <v>52.547000885009766</v>
      </c>
      <c r="BV8" s="115">
        <v>69.900001525878906</v>
      </c>
      <c r="BW8" s="115">
        <v>7.6999998092651367</v>
      </c>
      <c r="BX8" s="115">
        <v>13.699999809265137</v>
      </c>
      <c r="BY8" s="115">
        <v>29</v>
      </c>
      <c r="BZ8" s="115">
        <v>1.3812803663313389E-2</v>
      </c>
      <c r="CA8" s="115">
        <v>1</v>
      </c>
      <c r="CB8" s="115">
        <v>29.513769149780273</v>
      </c>
      <c r="CC8" s="118"/>
      <c r="CD8" s="115">
        <v>424.52276611328125</v>
      </c>
      <c r="CE8" s="115">
        <v>59.408321380615234</v>
      </c>
      <c r="CF8" s="115">
        <v>37.09051513671875</v>
      </c>
      <c r="CG8" s="115">
        <v>35.338191986083984</v>
      </c>
      <c r="CH8" s="115">
        <v>304.831298828125</v>
      </c>
      <c r="CI8" s="115">
        <v>128.06587219238281</v>
      </c>
      <c r="CJ8" s="115">
        <v>63.491489410400391</v>
      </c>
      <c r="CK8" s="115">
        <v>67.892013549804688</v>
      </c>
      <c r="CL8" s="116">
        <v>52.020774841308594</v>
      </c>
      <c r="CM8" s="117">
        <v>358.2562255859375</v>
      </c>
      <c r="CN8" s="115">
        <v>120.27320098876953</v>
      </c>
      <c r="CO8" s="115">
        <v>103.76763153076172</v>
      </c>
      <c r="CP8" s="115">
        <v>125.39113616943359</v>
      </c>
      <c r="CQ8" s="115">
        <v>0</v>
      </c>
      <c r="CR8" s="115">
        <v>73.429664611816406</v>
      </c>
      <c r="CS8" s="115">
        <v>14.822356224060059</v>
      </c>
      <c r="CT8" s="115">
        <v>60.383861541748047</v>
      </c>
      <c r="CU8" s="115">
        <v>282.55191040039063</v>
      </c>
      <c r="CV8" s="116">
        <v>122.87728881835938</v>
      </c>
      <c r="CW8" s="117">
        <v>3</v>
      </c>
      <c r="CX8" s="115">
        <v>510</v>
      </c>
      <c r="CY8" s="115">
        <v>243.32040405273438</v>
      </c>
      <c r="CZ8" s="115">
        <v>71.414878845214844</v>
      </c>
      <c r="DA8" s="115">
        <v>31.445829391479492</v>
      </c>
      <c r="DB8" s="115">
        <v>53.661598205566406</v>
      </c>
      <c r="DC8" s="115">
        <v>96.888046264648438</v>
      </c>
      <c r="DD8" s="115">
        <v>162</v>
      </c>
      <c r="DE8" s="115">
        <v>193</v>
      </c>
      <c r="DF8" s="115">
        <v>143.0308837890625</v>
      </c>
      <c r="DG8" s="115">
        <v>116.73394012451172</v>
      </c>
      <c r="DH8" s="115">
        <v>93.120033264160156</v>
      </c>
      <c r="DI8" s="120">
        <v>48.347522735595703</v>
      </c>
      <c r="DJ8" s="119">
        <v>266</v>
      </c>
      <c r="DK8" s="115">
        <v>158.27900695800781</v>
      </c>
      <c r="DL8" s="115">
        <v>31.780000686645508</v>
      </c>
      <c r="DM8" s="115">
        <v>65.91400146484375</v>
      </c>
      <c r="DN8" s="115">
        <v>58.668998718261719</v>
      </c>
      <c r="DO8" s="116">
        <v>121.75240325927734</v>
      </c>
      <c r="DP8" s="117">
        <v>17.728000640869141</v>
      </c>
      <c r="DQ8" s="115"/>
      <c r="DR8" s="117">
        <v>67</v>
      </c>
      <c r="DS8" s="120">
        <v>53.5</v>
      </c>
      <c r="DT8" s="119">
        <v>13</v>
      </c>
      <c r="DU8" s="115"/>
      <c r="DV8" s="115">
        <v>174</v>
      </c>
      <c r="DW8" s="115">
        <v>166.20468139648438</v>
      </c>
      <c r="DX8" s="117">
        <v>13</v>
      </c>
      <c r="DY8" s="120"/>
      <c r="DZ8" s="119">
        <v>55</v>
      </c>
      <c r="EA8" s="115">
        <v>3</v>
      </c>
      <c r="EB8" s="115">
        <v>0</v>
      </c>
      <c r="EC8" s="115">
        <v>1</v>
      </c>
      <c r="ED8" s="115">
        <v>373.39999389648438</v>
      </c>
      <c r="EE8" s="121">
        <v>0</v>
      </c>
      <c r="EF8" s="121">
        <v>0</v>
      </c>
      <c r="EG8" s="121">
        <v>1.997491216659546</v>
      </c>
      <c r="EH8" t="s">
        <v>46</v>
      </c>
    </row>
    <row r="9" spans="1:138" x14ac:dyDescent="0.3">
      <c r="A9" s="226">
        <f t="shared" si="2"/>
        <v>46020.003472222234</v>
      </c>
      <c r="B9" s="115">
        <v>321</v>
      </c>
      <c r="C9" s="115">
        <v>59.827999114990234</v>
      </c>
      <c r="D9" s="115">
        <v>103.822998046875</v>
      </c>
      <c r="E9" s="115">
        <v>21.826999664306641</v>
      </c>
      <c r="F9" s="115">
        <v>11.437412261962891</v>
      </c>
      <c r="G9" s="116">
        <v>22.958000183105469</v>
      </c>
      <c r="H9" s="117">
        <v>379</v>
      </c>
      <c r="I9" s="115">
        <v>346</v>
      </c>
      <c r="J9" s="115">
        <v>79.280998229980469</v>
      </c>
      <c r="K9" s="115">
        <v>63.734745025634766</v>
      </c>
      <c r="L9" s="115">
        <v>50.540000915527344</v>
      </c>
      <c r="M9" s="115">
        <v>16.39900016784668</v>
      </c>
      <c r="N9" s="115">
        <v>17.621000289916992</v>
      </c>
      <c r="O9" s="115">
        <v>21</v>
      </c>
      <c r="P9" s="115">
        <v>0</v>
      </c>
      <c r="Q9" s="115">
        <v>21.810487747192383</v>
      </c>
      <c r="R9" s="115">
        <v>30</v>
      </c>
      <c r="S9" s="115">
        <v>31.40123176574707</v>
      </c>
      <c r="T9" s="115">
        <v>9</v>
      </c>
      <c r="U9" s="115">
        <v>9</v>
      </c>
      <c r="V9" s="117">
        <v>1280</v>
      </c>
      <c r="W9" s="115">
        <v>40.179851531982422</v>
      </c>
      <c r="X9" s="115">
        <v>42.976001739501953</v>
      </c>
      <c r="Y9" s="115">
        <v>11.578000068664551</v>
      </c>
      <c r="Z9" s="115">
        <v>0</v>
      </c>
      <c r="AA9" s="115">
        <v>37.435001373291016</v>
      </c>
      <c r="AB9" s="115">
        <v>0</v>
      </c>
      <c r="AC9" s="115">
        <v>69.292037963867188</v>
      </c>
      <c r="AD9" s="115">
        <v>5.8520002365112305</v>
      </c>
      <c r="AE9" s="115">
        <v>1.6132297515869141</v>
      </c>
      <c r="AF9" s="115">
        <v>101.16129302978516</v>
      </c>
      <c r="AG9" s="115">
        <v>0</v>
      </c>
      <c r="AH9" s="115">
        <v>97.176322937011719</v>
      </c>
      <c r="AI9" s="115">
        <v>21.311000823974609</v>
      </c>
      <c r="AJ9" s="115">
        <v>47.502250671386719</v>
      </c>
      <c r="AK9" s="115">
        <v>57.153980255126953</v>
      </c>
      <c r="AL9" s="115">
        <v>61.673000335693359</v>
      </c>
      <c r="AM9" s="118">
        <v>62.661998748779297</v>
      </c>
      <c r="AN9" s="117">
        <v>170.875</v>
      </c>
      <c r="AO9" s="119">
        <v>95</v>
      </c>
      <c r="AP9" s="115">
        <v>91.879913330078125</v>
      </c>
      <c r="AQ9" s="115">
        <v>58.817733764648438</v>
      </c>
      <c r="AR9" s="115">
        <v>137</v>
      </c>
      <c r="AS9" s="115"/>
      <c r="AT9" s="115">
        <v>118</v>
      </c>
      <c r="AU9" s="115"/>
      <c r="AV9" s="115">
        <v>90</v>
      </c>
      <c r="AW9" s="115"/>
      <c r="AX9" s="115">
        <v>38</v>
      </c>
      <c r="AY9" s="115">
        <v>40.148674011230469</v>
      </c>
      <c r="AZ9" s="115">
        <v>30</v>
      </c>
      <c r="BA9" s="115"/>
      <c r="BB9" s="115">
        <v>208</v>
      </c>
      <c r="BC9" s="115">
        <v>213.10621643066406</v>
      </c>
      <c r="BD9" s="115">
        <v>7.5</v>
      </c>
      <c r="BE9" s="115">
        <v>7.5745577812194824</v>
      </c>
      <c r="BF9" s="115">
        <v>31</v>
      </c>
      <c r="BG9" s="115">
        <v>13</v>
      </c>
      <c r="BH9" s="115">
        <v>13.339967727661133</v>
      </c>
      <c r="BI9" s="115"/>
      <c r="BJ9" s="108">
        <f t="shared" si="0"/>
        <v>20</v>
      </c>
      <c r="BK9" s="115">
        <v>20</v>
      </c>
      <c r="BL9" s="115">
        <v>0</v>
      </c>
      <c r="BM9" s="118"/>
      <c r="BN9" s="108">
        <f t="shared" si="1"/>
        <v>124</v>
      </c>
      <c r="BO9" s="108">
        <v>75</v>
      </c>
      <c r="BP9" s="108">
        <v>49</v>
      </c>
      <c r="BQ9" s="108">
        <v>361</v>
      </c>
      <c r="BR9" s="115">
        <v>112.87100219726563</v>
      </c>
      <c r="BS9" s="115">
        <v>28.246000289916992</v>
      </c>
      <c r="BT9" s="115">
        <v>56.803001403808594</v>
      </c>
      <c r="BU9" s="115">
        <v>53.055999755859375</v>
      </c>
      <c r="BV9" s="115">
        <v>69.099998474121094</v>
      </c>
      <c r="BW9" s="115">
        <v>7.5</v>
      </c>
      <c r="BX9" s="115">
        <v>13.699999809265137</v>
      </c>
      <c r="BY9" s="115">
        <v>29</v>
      </c>
      <c r="BZ9" s="115">
        <v>1.3431900180876255E-2</v>
      </c>
      <c r="CA9" s="115">
        <v>0</v>
      </c>
      <c r="CB9" s="115">
        <v>29.513769149780273</v>
      </c>
      <c r="CC9" s="118"/>
      <c r="CD9" s="115">
        <v>424.62515258789063</v>
      </c>
      <c r="CE9" s="115">
        <v>60.631877899169922</v>
      </c>
      <c r="CF9" s="115">
        <v>36.109542846679688</v>
      </c>
      <c r="CG9" s="115">
        <v>35.338191986083984</v>
      </c>
      <c r="CH9" s="115">
        <v>304.02203369140625</v>
      </c>
      <c r="CI9" s="115">
        <v>127.34635925292969</v>
      </c>
      <c r="CJ9" s="115">
        <v>62.95037841796875</v>
      </c>
      <c r="CK9" s="115">
        <v>67.673614501953125</v>
      </c>
      <c r="CL9" s="116">
        <v>52.6767578125</v>
      </c>
      <c r="CM9" s="117">
        <v>393.02740478515625</v>
      </c>
      <c r="CN9" s="115">
        <v>161.84086608886719</v>
      </c>
      <c r="CO9" s="115">
        <v>103.21259307861328</v>
      </c>
      <c r="CP9" s="115">
        <v>126.18707275390625</v>
      </c>
      <c r="CQ9" s="115">
        <v>0</v>
      </c>
      <c r="CR9" s="115">
        <v>72.493850708007813</v>
      </c>
      <c r="CS9" s="115">
        <v>15.524585723876953</v>
      </c>
      <c r="CT9" s="115">
        <v>57.203693389892578</v>
      </c>
      <c r="CU9" s="115">
        <v>288.45196533203125</v>
      </c>
      <c r="CV9" s="116">
        <v>120.71945190429688</v>
      </c>
      <c r="CW9" s="117">
        <v>3</v>
      </c>
      <c r="CX9" s="115">
        <v>507</v>
      </c>
      <c r="CY9" s="115">
        <v>240.05615234375</v>
      </c>
      <c r="CZ9" s="115">
        <v>71.187126159667969</v>
      </c>
      <c r="DA9" s="115">
        <v>29.707170486450195</v>
      </c>
      <c r="DB9" s="115">
        <v>51.245479583740234</v>
      </c>
      <c r="DC9" s="115">
        <v>96.888046264648438</v>
      </c>
      <c r="DD9" s="115">
        <v>161</v>
      </c>
      <c r="DE9" s="115">
        <v>194</v>
      </c>
      <c r="DF9" s="115">
        <v>137.04554748535156</v>
      </c>
      <c r="DG9" s="115">
        <v>114.96453094482422</v>
      </c>
      <c r="DH9" s="115">
        <v>92.9112548828125</v>
      </c>
      <c r="DI9" s="120">
        <v>48.785743713378906</v>
      </c>
      <c r="DJ9" s="119">
        <v>263</v>
      </c>
      <c r="DK9" s="115">
        <v>154.97099304199219</v>
      </c>
      <c r="DL9" s="115">
        <v>31.780000686645508</v>
      </c>
      <c r="DM9" s="115">
        <v>63.617000579833984</v>
      </c>
      <c r="DN9" s="115">
        <v>57.431999206542969</v>
      </c>
      <c r="DO9" s="116">
        <v>121.62638854980469</v>
      </c>
      <c r="DP9" s="117">
        <v>17.896999359130859</v>
      </c>
      <c r="DQ9" s="115"/>
      <c r="DR9" s="117">
        <v>67</v>
      </c>
      <c r="DS9" s="120">
        <v>52.700000762939453</v>
      </c>
      <c r="DT9" s="119">
        <v>13</v>
      </c>
      <c r="DU9" s="115"/>
      <c r="DV9" s="115">
        <v>174</v>
      </c>
      <c r="DW9" s="115">
        <v>164.75746154785156</v>
      </c>
      <c r="DX9" s="117">
        <v>13</v>
      </c>
      <c r="DY9" s="120"/>
      <c r="DZ9" s="119">
        <v>56</v>
      </c>
      <c r="EA9" s="115">
        <v>3</v>
      </c>
      <c r="EB9" s="115">
        <v>0</v>
      </c>
      <c r="EC9" s="115">
        <v>1</v>
      </c>
      <c r="ED9" s="115">
        <v>368</v>
      </c>
      <c r="EE9" s="121">
        <v>15.607000350952148</v>
      </c>
      <c r="EF9" s="121">
        <v>15.814166863759359</v>
      </c>
      <c r="EG9" s="121">
        <v>16.758616654078164</v>
      </c>
      <c r="EH9" t="s">
        <v>47</v>
      </c>
    </row>
    <row r="10" spans="1:138" x14ac:dyDescent="0.3">
      <c r="A10" s="226">
        <f t="shared" si="2"/>
        <v>46020.00416666668</v>
      </c>
      <c r="B10" s="115">
        <v>321</v>
      </c>
      <c r="C10" s="115">
        <v>60.733001708984375</v>
      </c>
      <c r="D10" s="115">
        <v>103.37000274658203</v>
      </c>
      <c r="E10" s="115">
        <v>24.881000518798828</v>
      </c>
      <c r="F10" s="115">
        <v>5.7513155937194824</v>
      </c>
      <c r="G10" s="116">
        <v>24.089000701904297</v>
      </c>
      <c r="H10" s="117">
        <v>368</v>
      </c>
      <c r="I10" s="115">
        <v>331</v>
      </c>
      <c r="J10" s="115">
        <v>76.905998229980469</v>
      </c>
      <c r="K10" s="115">
        <v>64.9503173828125</v>
      </c>
      <c r="L10" s="115">
        <v>52.837001800537109</v>
      </c>
      <c r="M10" s="115">
        <v>15.494000434875488</v>
      </c>
      <c r="N10" s="115">
        <v>16.031000137329102</v>
      </c>
      <c r="O10" s="115">
        <v>24</v>
      </c>
      <c r="P10" s="115">
        <v>0</v>
      </c>
      <c r="Q10" s="115">
        <v>24.7894287109375</v>
      </c>
      <c r="R10" s="115">
        <v>30</v>
      </c>
      <c r="S10" s="115">
        <v>30.683126449584961</v>
      </c>
      <c r="T10" s="115">
        <v>9</v>
      </c>
      <c r="U10" s="115">
        <v>9</v>
      </c>
      <c r="V10" s="117">
        <v>1270</v>
      </c>
      <c r="W10" s="115">
        <v>41.168247222900391</v>
      </c>
      <c r="X10" s="115">
        <v>41.279998779296875</v>
      </c>
      <c r="Y10" s="115">
        <v>11.133000373840332</v>
      </c>
      <c r="Z10" s="115">
        <v>0</v>
      </c>
      <c r="AA10" s="115">
        <v>32.458000183105469</v>
      </c>
      <c r="AB10" s="115">
        <v>0</v>
      </c>
      <c r="AC10" s="115">
        <v>70.701866149902344</v>
      </c>
      <c r="AD10" s="115">
        <v>5.8520002365112305</v>
      </c>
      <c r="AE10" s="115">
        <v>1.3725765943527222</v>
      </c>
      <c r="AF10" s="115">
        <v>98.423660278320313</v>
      </c>
      <c r="AG10" s="115">
        <v>0</v>
      </c>
      <c r="AH10" s="115">
        <v>99.786109924316406</v>
      </c>
      <c r="AI10" s="115">
        <v>23.920000076293945</v>
      </c>
      <c r="AJ10" s="115">
        <v>44.108493804931641</v>
      </c>
      <c r="AK10" s="115">
        <v>55.607810974121094</v>
      </c>
      <c r="AL10" s="115">
        <v>63.792999267578125</v>
      </c>
      <c r="AM10" s="118">
        <v>61.453998565673828</v>
      </c>
      <c r="AN10" s="117">
        <v>170.875</v>
      </c>
      <c r="AO10" s="119">
        <v>96</v>
      </c>
      <c r="AP10" s="115">
        <v>92.685462951660156</v>
      </c>
      <c r="AQ10" s="115">
        <v>62.3070068359375</v>
      </c>
      <c r="AR10" s="115">
        <v>137</v>
      </c>
      <c r="AS10" s="115"/>
      <c r="AT10" s="115">
        <v>119</v>
      </c>
      <c r="AU10" s="115"/>
      <c r="AV10" s="115">
        <v>90</v>
      </c>
      <c r="AW10" s="115"/>
      <c r="AX10" s="115">
        <v>38</v>
      </c>
      <c r="AY10" s="115">
        <v>40.148674011230469</v>
      </c>
      <c r="AZ10" s="115">
        <v>29</v>
      </c>
      <c r="BA10" s="115"/>
      <c r="BB10" s="115">
        <v>211</v>
      </c>
      <c r="BC10" s="115">
        <v>216.78099060058594</v>
      </c>
      <c r="BD10" s="115">
        <v>7.5</v>
      </c>
      <c r="BE10" s="115">
        <v>7.5768985748291016</v>
      </c>
      <c r="BF10" s="115">
        <v>31</v>
      </c>
      <c r="BG10" s="115">
        <v>13</v>
      </c>
      <c r="BH10" s="115">
        <v>13.347231864929199</v>
      </c>
      <c r="BI10" s="115"/>
      <c r="BJ10" s="108">
        <f t="shared" si="0"/>
        <v>20</v>
      </c>
      <c r="BK10" s="115">
        <v>20</v>
      </c>
      <c r="BL10" s="115">
        <v>0</v>
      </c>
      <c r="BM10" s="118"/>
      <c r="BN10" s="108">
        <f t="shared" si="1"/>
        <v>125</v>
      </c>
      <c r="BO10" s="108">
        <v>76</v>
      </c>
      <c r="BP10" s="108">
        <v>49</v>
      </c>
      <c r="BQ10" s="108">
        <v>351</v>
      </c>
      <c r="BR10" s="115">
        <v>111.85299682617188</v>
      </c>
      <c r="BS10" s="115">
        <v>29.517999649047852</v>
      </c>
      <c r="BT10" s="115">
        <v>53.685001373291016</v>
      </c>
      <c r="BU10" s="115">
        <v>52.419998168945313</v>
      </c>
      <c r="BV10" s="115">
        <v>68.400001525878906</v>
      </c>
      <c r="BW10" s="115">
        <v>7.5</v>
      </c>
      <c r="BX10" s="115">
        <v>13.899999618530273</v>
      </c>
      <c r="BY10" s="115">
        <v>28</v>
      </c>
      <c r="BZ10" s="115">
        <v>1.3431900180876255E-2</v>
      </c>
      <c r="CA10" s="115">
        <v>1</v>
      </c>
      <c r="CB10" s="115">
        <v>29.329826354980469</v>
      </c>
      <c r="CC10" s="118"/>
      <c r="CD10" s="115">
        <v>420.99807739257813</v>
      </c>
      <c r="CE10" s="115">
        <v>59.721843719482422</v>
      </c>
      <c r="CF10" s="115">
        <v>34.574623107910156</v>
      </c>
      <c r="CG10" s="115">
        <v>35.338191986083984</v>
      </c>
      <c r="CH10" s="115">
        <v>304.04153442382813</v>
      </c>
      <c r="CI10" s="115">
        <v>127.39327239990234</v>
      </c>
      <c r="CJ10" s="115">
        <v>65.427932739257813</v>
      </c>
      <c r="CK10" s="115">
        <v>67.892745971679688</v>
      </c>
      <c r="CL10" s="116">
        <v>52.228549957275391</v>
      </c>
      <c r="CM10" s="117">
        <v>406.91769409179688</v>
      </c>
      <c r="CN10" s="115">
        <v>169.10246276855469</v>
      </c>
      <c r="CO10" s="115">
        <v>104.16584777832031</v>
      </c>
      <c r="CP10" s="115">
        <v>129.98942565917969</v>
      </c>
      <c r="CQ10" s="115">
        <v>0</v>
      </c>
      <c r="CR10" s="115">
        <v>74.385391235351563</v>
      </c>
      <c r="CS10" s="115">
        <v>14.609811782836914</v>
      </c>
      <c r="CT10" s="115">
        <v>64.102630615234375</v>
      </c>
      <c r="CU10" s="115">
        <v>288.98605346679688</v>
      </c>
      <c r="CV10" s="116">
        <v>122.48940277099609</v>
      </c>
      <c r="CW10" s="117">
        <v>3</v>
      </c>
      <c r="CX10" s="115">
        <v>507</v>
      </c>
      <c r="CY10" s="115">
        <v>239.44364929199219</v>
      </c>
      <c r="CZ10" s="115">
        <v>70.504898071289063</v>
      </c>
      <c r="DA10" s="115">
        <v>32.220268249511719</v>
      </c>
      <c r="DB10" s="115">
        <v>51.900852203369141</v>
      </c>
      <c r="DC10" s="115">
        <v>99.340919494628906</v>
      </c>
      <c r="DD10" s="115">
        <v>171</v>
      </c>
      <c r="DE10" s="115">
        <v>192</v>
      </c>
      <c r="DF10" s="115">
        <v>138.92027282714844</v>
      </c>
      <c r="DG10" s="115">
        <v>114.64311218261719</v>
      </c>
      <c r="DH10" s="115">
        <v>92.662635803222656</v>
      </c>
      <c r="DI10" s="120">
        <v>51.410160064697266</v>
      </c>
      <c r="DJ10" s="119">
        <v>270</v>
      </c>
      <c r="DK10" s="115">
        <v>163.11399841308594</v>
      </c>
      <c r="DL10" s="115">
        <v>34.154998779296875</v>
      </c>
      <c r="DM10" s="115">
        <v>70.154998779296875</v>
      </c>
      <c r="DN10" s="115">
        <v>56.370998382568359</v>
      </c>
      <c r="DO10" s="116">
        <v>118.00307464599609</v>
      </c>
      <c r="DP10" s="117">
        <v>17.38800048828125</v>
      </c>
      <c r="DQ10" s="115"/>
      <c r="DR10" s="117">
        <v>67</v>
      </c>
      <c r="DS10" s="120">
        <v>52.799999237060547</v>
      </c>
      <c r="DT10" s="119">
        <v>14</v>
      </c>
      <c r="DU10" s="115"/>
      <c r="DV10" s="115">
        <v>174</v>
      </c>
      <c r="DW10" s="115">
        <v>164.47967529296875</v>
      </c>
      <c r="DX10" s="117">
        <v>13</v>
      </c>
      <c r="DY10" s="120"/>
      <c r="DZ10" s="119">
        <v>54</v>
      </c>
      <c r="EA10" s="115">
        <v>3</v>
      </c>
      <c r="EB10" s="115">
        <v>0</v>
      </c>
      <c r="EC10" s="115">
        <v>1</v>
      </c>
      <c r="ED10" s="115">
        <v>373.89999389648438</v>
      </c>
      <c r="EE10" s="121">
        <v>297</v>
      </c>
      <c r="EF10" s="121">
        <v>299.5</v>
      </c>
      <c r="EG10" s="121">
        <v>304.58333333333331</v>
      </c>
      <c r="EH10" t="s">
        <v>256</v>
      </c>
    </row>
    <row r="11" spans="1:138" x14ac:dyDescent="0.3">
      <c r="A11" s="226">
        <f t="shared" si="2"/>
        <v>46020.004861111127</v>
      </c>
      <c r="B11" s="115">
        <v>332</v>
      </c>
      <c r="C11" s="115">
        <v>58.923000335693359</v>
      </c>
      <c r="D11" s="115">
        <v>104.04900360107422</v>
      </c>
      <c r="E11" s="115">
        <v>24.655000686645508</v>
      </c>
      <c r="F11" s="115">
        <v>14.96330451965332</v>
      </c>
      <c r="G11" s="116">
        <v>25.333000183105469</v>
      </c>
      <c r="H11" s="117">
        <v>360</v>
      </c>
      <c r="I11" s="115">
        <v>325</v>
      </c>
      <c r="J11" s="115">
        <v>78.037002563476563</v>
      </c>
      <c r="K11" s="115">
        <v>65.589866638183594</v>
      </c>
      <c r="L11" s="115">
        <v>51.599998474121094</v>
      </c>
      <c r="M11" s="115">
        <v>15.267999649047852</v>
      </c>
      <c r="N11" s="115">
        <v>17.113000869750977</v>
      </c>
      <c r="O11" s="115">
        <v>23</v>
      </c>
      <c r="P11" s="115">
        <v>0</v>
      </c>
      <c r="Q11" s="115">
        <v>23.958627700805664</v>
      </c>
      <c r="R11" s="115">
        <v>28.003124237060547</v>
      </c>
      <c r="S11" s="115">
        <v>30.683126449584961</v>
      </c>
      <c r="T11" s="115">
        <v>9</v>
      </c>
      <c r="U11" s="115">
        <v>9</v>
      </c>
      <c r="V11" s="117">
        <v>1248</v>
      </c>
      <c r="W11" s="115">
        <v>41.847122192382813</v>
      </c>
      <c r="X11" s="115">
        <v>41.618999481201172</v>
      </c>
      <c r="Y11" s="115">
        <v>10.496000289916992</v>
      </c>
      <c r="Z11" s="115">
        <v>0</v>
      </c>
      <c r="AA11" s="115">
        <v>32.571998596191406</v>
      </c>
      <c r="AB11" s="115">
        <v>0</v>
      </c>
      <c r="AC11" s="115">
        <v>66.565399169921875</v>
      </c>
      <c r="AD11" s="115">
        <v>6.1069998741149902</v>
      </c>
      <c r="AE11" s="115">
        <v>1.327226996421814</v>
      </c>
      <c r="AF11" s="115">
        <v>95.642074584960938</v>
      </c>
      <c r="AG11" s="115">
        <v>0</v>
      </c>
      <c r="AH11" s="115">
        <v>95.377983093261719</v>
      </c>
      <c r="AI11" s="115">
        <v>24.047000885009766</v>
      </c>
      <c r="AJ11" s="115">
        <v>44.159408569335938</v>
      </c>
      <c r="AK11" s="115">
        <v>55.267871856689453</v>
      </c>
      <c r="AL11" s="115">
        <v>62.733001708984375</v>
      </c>
      <c r="AM11" s="118">
        <v>59.926998138427734</v>
      </c>
      <c r="AN11" s="117">
        <v>172.3125</v>
      </c>
      <c r="AO11" s="119">
        <v>95</v>
      </c>
      <c r="AP11" s="115">
        <v>91.843727111816406</v>
      </c>
      <c r="AQ11" s="115">
        <v>60.080677032470703</v>
      </c>
      <c r="AR11" s="115">
        <v>135</v>
      </c>
      <c r="AS11" s="115"/>
      <c r="AT11" s="115">
        <v>119</v>
      </c>
      <c r="AU11" s="115"/>
      <c r="AV11" s="115">
        <v>89</v>
      </c>
      <c r="AW11" s="115"/>
      <c r="AX11" s="115">
        <v>37</v>
      </c>
      <c r="AY11" s="115">
        <v>39.941162109375</v>
      </c>
      <c r="AZ11" s="115">
        <v>29</v>
      </c>
      <c r="BA11" s="115"/>
      <c r="BB11" s="115">
        <v>209</v>
      </c>
      <c r="BC11" s="115">
        <v>216.11952209472656</v>
      </c>
      <c r="BD11" s="115">
        <v>7.6999998092651367</v>
      </c>
      <c r="BE11" s="115">
        <v>7.8914074897766113</v>
      </c>
      <c r="BF11" s="115">
        <v>31</v>
      </c>
      <c r="BG11" s="115">
        <v>13</v>
      </c>
      <c r="BH11" s="115">
        <v>13.598320960998535</v>
      </c>
      <c r="BI11" s="115"/>
      <c r="BJ11" s="108">
        <f t="shared" si="0"/>
        <v>21</v>
      </c>
      <c r="BK11" s="115">
        <v>21</v>
      </c>
      <c r="BL11" s="115">
        <v>0</v>
      </c>
      <c r="BM11" s="118"/>
      <c r="BN11" s="108">
        <f t="shared" si="1"/>
        <v>125</v>
      </c>
      <c r="BO11" s="108">
        <v>76</v>
      </c>
      <c r="BP11" s="108">
        <v>49</v>
      </c>
      <c r="BQ11" s="108">
        <v>357</v>
      </c>
      <c r="BR11" s="115">
        <v>114.00199890136719</v>
      </c>
      <c r="BS11" s="115">
        <v>28.5</v>
      </c>
      <c r="BT11" s="115">
        <v>57.148998260498047</v>
      </c>
      <c r="BU11" s="115">
        <v>51.720001220703125</v>
      </c>
      <c r="BV11" s="115">
        <v>69.300003051757813</v>
      </c>
      <c r="BW11" s="115">
        <v>7.5</v>
      </c>
      <c r="BX11" s="115">
        <v>14.100000381469727</v>
      </c>
      <c r="BY11" s="115">
        <v>27</v>
      </c>
      <c r="BZ11" s="115">
        <v>1.4128821901977062E-2</v>
      </c>
      <c r="CA11" s="115">
        <v>0</v>
      </c>
      <c r="CB11" s="115">
        <v>29.375888824462891</v>
      </c>
      <c r="CC11" s="118"/>
      <c r="CD11" s="115">
        <v>425.34970092773438</v>
      </c>
      <c r="CE11" s="115">
        <v>60.641777038574219</v>
      </c>
      <c r="CF11" s="115">
        <v>34.574623107910156</v>
      </c>
      <c r="CG11" s="115">
        <v>35.338191986083984</v>
      </c>
      <c r="CH11" s="115">
        <v>303.6593017578125</v>
      </c>
      <c r="CI11" s="115">
        <v>128.29708862304688</v>
      </c>
      <c r="CJ11" s="115">
        <v>64.12554931640625</v>
      </c>
      <c r="CK11" s="115">
        <v>69.380180358886719</v>
      </c>
      <c r="CL11" s="116">
        <v>52.624301910400391</v>
      </c>
      <c r="CM11" s="117">
        <v>407.0474853515625</v>
      </c>
      <c r="CN11" s="115">
        <v>167.797607421875</v>
      </c>
      <c r="CO11" s="115">
        <v>104.11351776123047</v>
      </c>
      <c r="CP11" s="115">
        <v>131.11404418945313</v>
      </c>
      <c r="CQ11" s="115">
        <v>0</v>
      </c>
      <c r="CR11" s="115">
        <v>74.686454772949219</v>
      </c>
      <c r="CS11" s="115">
        <v>14.369218826293945</v>
      </c>
      <c r="CT11" s="115">
        <v>62.098323822021484</v>
      </c>
      <c r="CU11" s="115">
        <v>292.17120361328125</v>
      </c>
      <c r="CV11" s="116">
        <v>120.69580078125</v>
      </c>
      <c r="CW11" s="117">
        <v>4</v>
      </c>
      <c r="CX11" s="115">
        <v>512</v>
      </c>
      <c r="CY11" s="115">
        <v>235.48887634277344</v>
      </c>
      <c r="CZ11" s="115">
        <v>66.723640441894531</v>
      </c>
      <c r="DA11" s="115">
        <v>33.645782470703125</v>
      </c>
      <c r="DB11" s="115">
        <v>52.439579010009766</v>
      </c>
      <c r="DC11" s="115">
        <v>101.14480590820313</v>
      </c>
      <c r="DD11" s="115">
        <v>157</v>
      </c>
      <c r="DE11" s="115">
        <v>193</v>
      </c>
      <c r="DF11" s="115">
        <v>140.59552001953125</v>
      </c>
      <c r="DG11" s="115">
        <v>116.87065887451172</v>
      </c>
      <c r="DH11" s="115">
        <v>92.992584228515625</v>
      </c>
      <c r="DI11" s="120">
        <v>49.803176879882813</v>
      </c>
      <c r="DJ11" s="119">
        <v>265</v>
      </c>
      <c r="DK11" s="115">
        <v>157.51600646972656</v>
      </c>
      <c r="DL11" s="115">
        <v>35.060001373291016</v>
      </c>
      <c r="DM11" s="115">
        <v>68.21099853515625</v>
      </c>
      <c r="DN11" s="115">
        <v>56.902000427246094</v>
      </c>
      <c r="DO11" s="116">
        <v>117.64662170410156</v>
      </c>
      <c r="DP11" s="117">
        <v>18.010000228881836</v>
      </c>
      <c r="DQ11" s="115"/>
      <c r="DR11" s="117">
        <v>67</v>
      </c>
      <c r="DS11" s="120">
        <v>53.400001525878906</v>
      </c>
      <c r="DT11" s="119">
        <v>14</v>
      </c>
      <c r="DU11" s="115"/>
      <c r="DV11" s="115">
        <v>174</v>
      </c>
      <c r="DW11" s="115">
        <v>164.69023132324219</v>
      </c>
      <c r="DX11" s="117">
        <v>13</v>
      </c>
      <c r="DY11" s="120"/>
      <c r="DZ11" s="119">
        <v>54</v>
      </c>
      <c r="EA11" s="115">
        <v>3</v>
      </c>
      <c r="EB11" s="115">
        <v>0</v>
      </c>
      <c r="EC11" s="115">
        <v>1</v>
      </c>
      <c r="ED11" s="115">
        <v>374.60000610351563</v>
      </c>
      <c r="EE11" s="121">
        <v>267</v>
      </c>
      <c r="EF11" s="121">
        <v>268</v>
      </c>
      <c r="EG11" s="121">
        <v>271.93333333333334</v>
      </c>
      <c r="EH11" t="s">
        <v>297</v>
      </c>
    </row>
    <row r="12" spans="1:138" x14ac:dyDescent="0.3">
      <c r="A12" s="226">
        <f t="shared" si="2"/>
        <v>46020.005555555574</v>
      </c>
      <c r="B12" s="115">
        <v>326</v>
      </c>
      <c r="C12" s="115">
        <v>61.185001373291016</v>
      </c>
      <c r="D12" s="115">
        <v>103.93599700927734</v>
      </c>
      <c r="E12" s="115">
        <v>24.881000518798828</v>
      </c>
      <c r="F12" s="115">
        <v>10.350935935974121</v>
      </c>
      <c r="G12" s="116">
        <v>24.315000534057617</v>
      </c>
      <c r="H12" s="117">
        <v>362</v>
      </c>
      <c r="I12" s="115">
        <v>330</v>
      </c>
      <c r="J12" s="115">
        <v>79.958999633789063</v>
      </c>
      <c r="K12" s="115">
        <v>64.741935729980469</v>
      </c>
      <c r="L12" s="115">
        <v>51.423000335693359</v>
      </c>
      <c r="M12" s="115">
        <v>16.059000015258789</v>
      </c>
      <c r="N12" s="115">
        <v>16.604000091552734</v>
      </c>
      <c r="O12" s="115">
        <v>22</v>
      </c>
      <c r="P12" s="115">
        <v>0</v>
      </c>
      <c r="Q12" s="115">
        <v>22.34712028503418</v>
      </c>
      <c r="R12" s="115">
        <v>28.996875762939453</v>
      </c>
      <c r="S12" s="115">
        <v>31.612785339355469</v>
      </c>
      <c r="T12" s="115">
        <v>9</v>
      </c>
      <c r="U12" s="115">
        <v>9</v>
      </c>
      <c r="V12" s="117">
        <v>1249</v>
      </c>
      <c r="W12" s="115">
        <v>40.427906036376953</v>
      </c>
      <c r="X12" s="115">
        <v>41.618999481201172</v>
      </c>
      <c r="Y12" s="115">
        <v>11.133000373840332</v>
      </c>
      <c r="Z12" s="115">
        <v>0</v>
      </c>
      <c r="AA12" s="115">
        <v>37.548000335693359</v>
      </c>
      <c r="AB12" s="115">
        <v>0</v>
      </c>
      <c r="AC12" s="115">
        <v>68.5535888671875</v>
      </c>
      <c r="AD12" s="115">
        <v>5.8520002365112305</v>
      </c>
      <c r="AE12" s="115">
        <v>0</v>
      </c>
      <c r="AF12" s="115">
        <v>97.076309204101563</v>
      </c>
      <c r="AG12" s="115">
        <v>0</v>
      </c>
      <c r="AH12" s="115">
        <v>89.95086669921875</v>
      </c>
      <c r="AI12" s="115">
        <v>26.209999084472656</v>
      </c>
      <c r="AJ12" s="115">
        <v>44.573734283447266</v>
      </c>
      <c r="AK12" s="115">
        <v>54.406333923339844</v>
      </c>
      <c r="AL12" s="115">
        <v>63.087001800537109</v>
      </c>
      <c r="AM12" s="118">
        <v>61.326999664306641</v>
      </c>
      <c r="AN12" s="117">
        <v>169.4375</v>
      </c>
      <c r="AO12" s="119">
        <v>94</v>
      </c>
      <c r="AP12" s="115">
        <v>91.389816284179688</v>
      </c>
      <c r="AQ12" s="115">
        <v>58.544582366943359</v>
      </c>
      <c r="AR12" s="115">
        <v>135</v>
      </c>
      <c r="AS12" s="115"/>
      <c r="AT12" s="115">
        <v>119</v>
      </c>
      <c r="AU12" s="115"/>
      <c r="AV12" s="115">
        <v>90</v>
      </c>
      <c r="AW12" s="115"/>
      <c r="AX12" s="115">
        <v>38</v>
      </c>
      <c r="AY12" s="115">
        <v>40.272960662841797</v>
      </c>
      <c r="AZ12" s="115">
        <v>29</v>
      </c>
      <c r="BA12" s="115"/>
      <c r="BB12" s="115">
        <v>210</v>
      </c>
      <c r="BC12" s="115">
        <v>216.11952209472656</v>
      </c>
      <c r="BD12" s="115">
        <v>7.5</v>
      </c>
      <c r="BE12" s="115">
        <v>7.556861400604248</v>
      </c>
      <c r="BF12" s="115">
        <v>31</v>
      </c>
      <c r="BG12" s="115">
        <v>13</v>
      </c>
      <c r="BH12" s="115">
        <v>13.298993110656738</v>
      </c>
      <c r="BI12" s="115"/>
      <c r="BJ12" s="108">
        <f t="shared" si="0"/>
        <v>21</v>
      </c>
      <c r="BK12" s="115">
        <v>21</v>
      </c>
      <c r="BL12" s="115">
        <v>0</v>
      </c>
      <c r="BM12" s="118"/>
      <c r="BN12" s="108">
        <f t="shared" si="1"/>
        <v>125</v>
      </c>
      <c r="BO12" s="108">
        <v>76</v>
      </c>
      <c r="BP12" s="108">
        <v>49</v>
      </c>
      <c r="BQ12" s="108">
        <v>357</v>
      </c>
      <c r="BR12" s="115">
        <v>116.03700256347656</v>
      </c>
      <c r="BS12" s="115">
        <v>29.009000778198242</v>
      </c>
      <c r="BT12" s="115">
        <v>55.763999938964844</v>
      </c>
      <c r="BU12" s="115">
        <v>52.674999237060547</v>
      </c>
      <c r="BV12" s="115">
        <v>69.5</v>
      </c>
      <c r="BW12" s="115">
        <v>7.3000001907348633</v>
      </c>
      <c r="BX12" s="115">
        <v>13.600000381469727</v>
      </c>
      <c r="BY12" s="115">
        <v>29</v>
      </c>
      <c r="BZ12" s="115">
        <v>1.5137713402509689E-2</v>
      </c>
      <c r="CA12" s="115">
        <v>0</v>
      </c>
      <c r="CB12" s="115">
        <v>29.66288948059082</v>
      </c>
      <c r="CC12" s="118"/>
      <c r="CD12" s="115">
        <v>419.99453735351563</v>
      </c>
      <c r="CE12" s="115">
        <v>61.044837951660156</v>
      </c>
      <c r="CF12" s="115">
        <v>34.260356903076172</v>
      </c>
      <c r="CG12" s="115">
        <v>35.338191986083984</v>
      </c>
      <c r="CH12" s="115">
        <v>303.54769897460938</v>
      </c>
      <c r="CI12" s="115">
        <v>121.41271209716797</v>
      </c>
      <c r="CJ12" s="115">
        <v>61.891429901123047</v>
      </c>
      <c r="CK12" s="115">
        <v>65.515106201171875</v>
      </c>
      <c r="CL12" s="116">
        <v>52.657737731933594</v>
      </c>
      <c r="CM12" s="117">
        <v>398.90045166015625</v>
      </c>
      <c r="CN12" s="115">
        <v>162.12226867675781</v>
      </c>
      <c r="CO12" s="115">
        <v>106.60110473632813</v>
      </c>
      <c r="CP12" s="115">
        <v>126.80576324462891</v>
      </c>
      <c r="CQ12" s="115">
        <v>0</v>
      </c>
      <c r="CR12" s="115">
        <v>78.407691955566406</v>
      </c>
      <c r="CS12" s="115">
        <v>13.810763359069824</v>
      </c>
      <c r="CT12" s="115">
        <v>60.948204040527344</v>
      </c>
      <c r="CU12" s="115">
        <v>288.45599365234375</v>
      </c>
      <c r="CV12" s="116">
        <v>121.03717803955078</v>
      </c>
      <c r="CW12" s="117">
        <v>5</v>
      </c>
      <c r="CX12" s="115">
        <v>513</v>
      </c>
      <c r="CY12" s="115">
        <v>234.9637451171875</v>
      </c>
      <c r="CZ12" s="115">
        <v>69.156593322753906</v>
      </c>
      <c r="DA12" s="115">
        <v>33.180957794189453</v>
      </c>
      <c r="DB12" s="115">
        <v>51.972724914550781</v>
      </c>
      <c r="DC12" s="115">
        <v>100.68466949462891</v>
      </c>
      <c r="DD12" s="115">
        <v>173</v>
      </c>
      <c r="DE12" s="115">
        <v>192</v>
      </c>
      <c r="DF12" s="115">
        <v>138.71047973632813</v>
      </c>
      <c r="DG12" s="115">
        <v>116.08126831054688</v>
      </c>
      <c r="DH12" s="115">
        <v>93.543075561523438</v>
      </c>
      <c r="DI12" s="120">
        <v>49.843372344970703</v>
      </c>
      <c r="DJ12" s="119">
        <v>259</v>
      </c>
      <c r="DK12" s="115">
        <v>153.19000244140625</v>
      </c>
      <c r="DL12" s="115">
        <v>34.946998596191406</v>
      </c>
      <c r="DM12" s="115">
        <v>63.26300048828125</v>
      </c>
      <c r="DN12" s="115">
        <v>57.431999206542969</v>
      </c>
      <c r="DO12" s="116">
        <v>120.76660919189453</v>
      </c>
      <c r="DP12" s="117">
        <v>18.320999145507813</v>
      </c>
      <c r="DQ12" s="115"/>
      <c r="DR12" s="117">
        <v>67</v>
      </c>
      <c r="DS12" s="120">
        <v>55.900001525878906</v>
      </c>
      <c r="DT12" s="119">
        <v>14</v>
      </c>
      <c r="DU12" s="115"/>
      <c r="DV12" s="115">
        <v>178</v>
      </c>
      <c r="DW12" s="115">
        <v>165.3046875</v>
      </c>
      <c r="DX12" s="117">
        <v>14</v>
      </c>
      <c r="DY12" s="120"/>
      <c r="DZ12" s="119">
        <v>53</v>
      </c>
      <c r="EA12" s="115">
        <v>3</v>
      </c>
      <c r="EB12" s="115">
        <v>0</v>
      </c>
      <c r="EC12" s="115">
        <v>1</v>
      </c>
      <c r="ED12" s="115">
        <v>375.89999389648438</v>
      </c>
      <c r="EE12" s="121">
        <v>56.208999633789063</v>
      </c>
      <c r="EF12" s="121">
        <v>57.980667114257813</v>
      </c>
      <c r="EG12" s="121">
        <v>60.446250216166177</v>
      </c>
      <c r="EH12" t="s">
        <v>190</v>
      </c>
    </row>
    <row r="13" spans="1:138" x14ac:dyDescent="0.3">
      <c r="A13" s="226">
        <f t="shared" si="2"/>
        <v>46020.00625000002</v>
      </c>
      <c r="B13" s="115">
        <v>326</v>
      </c>
      <c r="C13" s="115">
        <v>57.904998779296875</v>
      </c>
      <c r="D13" s="115">
        <v>105.85900115966797</v>
      </c>
      <c r="E13" s="115">
        <v>22.280000686645508</v>
      </c>
      <c r="F13" s="115">
        <v>2.2414822578430176</v>
      </c>
      <c r="G13" s="116">
        <v>23.184000015258789</v>
      </c>
      <c r="H13" s="117">
        <v>363</v>
      </c>
      <c r="I13" s="115">
        <v>328</v>
      </c>
      <c r="J13" s="115">
        <v>77.696998596191406</v>
      </c>
      <c r="K13" s="115">
        <v>64.214134216308594</v>
      </c>
      <c r="L13" s="115">
        <v>52.130001068115234</v>
      </c>
      <c r="M13" s="115">
        <v>16.625</v>
      </c>
      <c r="N13" s="115">
        <v>18.066999435424805</v>
      </c>
      <c r="O13" s="115">
        <v>20</v>
      </c>
      <c r="P13" s="115">
        <v>0</v>
      </c>
      <c r="Q13" s="115">
        <v>21.416755676269531</v>
      </c>
      <c r="R13" s="115">
        <v>30</v>
      </c>
      <c r="S13" s="115">
        <v>31.624061584472656</v>
      </c>
      <c r="T13" s="115">
        <v>9</v>
      </c>
      <c r="U13" s="115">
        <v>9</v>
      </c>
      <c r="V13" s="117">
        <v>1256</v>
      </c>
      <c r="W13" s="115">
        <v>39.085224151611328</v>
      </c>
      <c r="X13" s="115">
        <v>42.298000335693359</v>
      </c>
      <c r="Y13" s="115">
        <v>10.62399959564209</v>
      </c>
      <c r="Z13" s="115">
        <v>0</v>
      </c>
      <c r="AA13" s="115">
        <v>36.416999816894531</v>
      </c>
      <c r="AB13" s="115">
        <v>0</v>
      </c>
      <c r="AC13" s="115">
        <v>69.75213623046875</v>
      </c>
      <c r="AD13" s="115">
        <v>5.8520002365112305</v>
      </c>
      <c r="AE13" s="115">
        <v>1.3705730438232422</v>
      </c>
      <c r="AF13" s="115">
        <v>98.762847900390625</v>
      </c>
      <c r="AG13" s="115">
        <v>0</v>
      </c>
      <c r="AH13" s="115">
        <v>88.62225341796875</v>
      </c>
      <c r="AI13" s="115">
        <v>26.846000671386719</v>
      </c>
      <c r="AJ13" s="115">
        <v>41.056041717529297</v>
      </c>
      <c r="AK13" s="115">
        <v>54.113975524902344</v>
      </c>
      <c r="AL13" s="115">
        <v>60.436000823974609</v>
      </c>
      <c r="AM13" s="118">
        <v>58.654998779296875</v>
      </c>
      <c r="AN13" s="117">
        <v>174.4375</v>
      </c>
      <c r="AO13" s="119">
        <v>96</v>
      </c>
      <c r="AP13" s="115">
        <v>91.580162048339844</v>
      </c>
      <c r="AQ13" s="115">
        <v>60.80230712890625</v>
      </c>
      <c r="AR13" s="115">
        <v>99</v>
      </c>
      <c r="AS13" s="115"/>
      <c r="AT13" s="115">
        <v>115</v>
      </c>
      <c r="AU13" s="115"/>
      <c r="AV13" s="115">
        <v>96</v>
      </c>
      <c r="AW13" s="115"/>
      <c r="AX13" s="115">
        <v>36</v>
      </c>
      <c r="AY13" s="115">
        <v>38.364234924316406</v>
      </c>
      <c r="AZ13" s="115">
        <v>30</v>
      </c>
      <c r="BA13" s="115"/>
      <c r="BB13" s="115">
        <v>207</v>
      </c>
      <c r="BC13" s="115">
        <v>212.291748046875</v>
      </c>
      <c r="BD13" s="115">
        <v>7.5</v>
      </c>
      <c r="BE13" s="115">
        <v>7.556861400604248</v>
      </c>
      <c r="BF13" s="115">
        <v>31</v>
      </c>
      <c r="BG13" s="115">
        <v>13</v>
      </c>
      <c r="BH13" s="115">
        <v>13.246702194213867</v>
      </c>
      <c r="BI13" s="115"/>
      <c r="BJ13" s="108">
        <f t="shared" si="0"/>
        <v>21</v>
      </c>
      <c r="BK13" s="115">
        <v>21</v>
      </c>
      <c r="BL13" s="115">
        <v>0</v>
      </c>
      <c r="BM13" s="118"/>
      <c r="BN13" s="108">
        <f t="shared" si="1"/>
        <v>125.20000076293945</v>
      </c>
      <c r="BO13" s="108">
        <v>76</v>
      </c>
      <c r="BP13" s="108">
        <v>49.200000762939453</v>
      </c>
      <c r="BQ13" s="108">
        <v>357</v>
      </c>
      <c r="BR13" s="115">
        <v>114.34100341796875</v>
      </c>
      <c r="BS13" s="115">
        <v>30.535999298095703</v>
      </c>
      <c r="BT13" s="115">
        <v>56.110000610351563</v>
      </c>
      <c r="BU13" s="115">
        <v>50.893001556396484</v>
      </c>
      <c r="BV13" s="115">
        <v>68.699996948242188</v>
      </c>
      <c r="BW13" s="115">
        <v>7.5</v>
      </c>
      <c r="BX13" s="115">
        <v>13.899999618530273</v>
      </c>
      <c r="BY13" s="115">
        <v>30</v>
      </c>
      <c r="BZ13" s="115">
        <v>1.5071139670908451E-2</v>
      </c>
      <c r="CA13" s="115">
        <v>0</v>
      </c>
      <c r="CB13" s="115">
        <v>30.236522674560547</v>
      </c>
      <c r="CC13" s="118"/>
      <c r="CD13" s="115">
        <v>420.48928833007813</v>
      </c>
      <c r="CE13" s="115">
        <v>61.994293212890625</v>
      </c>
      <c r="CF13" s="115">
        <v>34.188934326171875</v>
      </c>
      <c r="CG13" s="115">
        <v>35.338191986083984</v>
      </c>
      <c r="CH13" s="115">
        <v>304.26901245117188</v>
      </c>
      <c r="CI13" s="115">
        <v>121.33687591552734</v>
      </c>
      <c r="CJ13" s="115">
        <v>64.033737182617188</v>
      </c>
      <c r="CK13" s="115">
        <v>63.880279541015625</v>
      </c>
      <c r="CL13" s="116">
        <v>52.718994140625</v>
      </c>
      <c r="CM13" s="117">
        <v>392.1431884765625</v>
      </c>
      <c r="CN13" s="115">
        <v>160.30718994140625</v>
      </c>
      <c r="CO13" s="115">
        <v>105.31650543212891</v>
      </c>
      <c r="CP13" s="115">
        <v>123.95659637451172</v>
      </c>
      <c r="CQ13" s="115">
        <v>0</v>
      </c>
      <c r="CR13" s="115">
        <v>77.632911682128906</v>
      </c>
      <c r="CS13" s="115">
        <v>14.198801040649414</v>
      </c>
      <c r="CT13" s="115">
        <v>57.481742858886719</v>
      </c>
      <c r="CU13" s="115">
        <v>290.159423828125</v>
      </c>
      <c r="CV13" s="116">
        <v>123.14512634277344</v>
      </c>
      <c r="CW13" s="117">
        <v>3</v>
      </c>
      <c r="CX13" s="115">
        <v>511</v>
      </c>
      <c r="CY13" s="115">
        <v>235.64225769042969</v>
      </c>
      <c r="CZ13" s="115">
        <v>69.46734619140625</v>
      </c>
      <c r="DA13" s="115">
        <v>33.007183074951172</v>
      </c>
      <c r="DB13" s="115">
        <v>51.136791229248047</v>
      </c>
      <c r="DC13" s="115">
        <v>100.94879150390625</v>
      </c>
      <c r="DD13" s="115">
        <v>171</v>
      </c>
      <c r="DE13" s="115">
        <v>193</v>
      </c>
      <c r="DF13" s="115">
        <v>136.67501831054688</v>
      </c>
      <c r="DG13" s="115">
        <v>114.46614074707031</v>
      </c>
      <c r="DH13" s="115">
        <v>94.153488159179688</v>
      </c>
      <c r="DI13" s="120">
        <v>50.985858917236328</v>
      </c>
      <c r="DJ13" s="119">
        <v>264</v>
      </c>
      <c r="DK13" s="115">
        <v>153.19000244140625</v>
      </c>
      <c r="DL13" s="115">
        <v>34.946998596191406</v>
      </c>
      <c r="DM13" s="115">
        <v>62.202999114990234</v>
      </c>
      <c r="DN13" s="115">
        <v>57.431999206542969</v>
      </c>
      <c r="DO13" s="116">
        <v>119.83234405517578</v>
      </c>
      <c r="DP13" s="117">
        <v>18.236000061035156</v>
      </c>
      <c r="DQ13" s="115"/>
      <c r="DR13" s="117">
        <v>67</v>
      </c>
      <c r="DS13" s="120">
        <v>54.299999237060547</v>
      </c>
      <c r="DT13" s="119">
        <v>14</v>
      </c>
      <c r="DU13" s="115"/>
      <c r="DV13" s="115">
        <v>182</v>
      </c>
      <c r="DW13" s="115">
        <v>164.88484191894531</v>
      </c>
      <c r="DX13" s="117">
        <v>12</v>
      </c>
      <c r="DY13" s="120"/>
      <c r="DZ13" s="119">
        <v>54</v>
      </c>
      <c r="EA13" s="115">
        <v>3</v>
      </c>
      <c r="EB13" s="115">
        <v>0</v>
      </c>
      <c r="EC13" s="115">
        <v>1</v>
      </c>
      <c r="ED13" s="115">
        <v>373</v>
      </c>
      <c r="EE13" s="121">
        <v>59.093944549560547</v>
      </c>
      <c r="EF13" s="121">
        <v>59.487239201863609</v>
      </c>
      <c r="EG13" s="121">
        <v>60.400438117980954</v>
      </c>
      <c r="EH13" t="s">
        <v>49</v>
      </c>
    </row>
    <row r="14" spans="1:138" x14ac:dyDescent="0.3">
      <c r="A14" s="226">
        <f t="shared" si="2"/>
        <v>46020.006944444467</v>
      </c>
      <c r="B14" s="115">
        <v>318</v>
      </c>
      <c r="C14" s="115">
        <v>56.435001373291016</v>
      </c>
      <c r="D14" s="115">
        <v>104.50099945068359</v>
      </c>
      <c r="E14" s="115">
        <v>20.469999313354492</v>
      </c>
      <c r="F14" s="115">
        <v>8.2730140686035156</v>
      </c>
      <c r="G14" s="116">
        <v>23.636999130249023</v>
      </c>
      <c r="H14" s="117">
        <v>358</v>
      </c>
      <c r="I14" s="115">
        <v>328</v>
      </c>
      <c r="J14" s="115">
        <v>78.26300048828125</v>
      </c>
      <c r="K14" s="115">
        <v>64.172523498535156</v>
      </c>
      <c r="L14" s="115">
        <v>51.423000335693359</v>
      </c>
      <c r="M14" s="115">
        <v>16.172000885009766</v>
      </c>
      <c r="N14" s="115">
        <v>16.349000930786133</v>
      </c>
      <c r="O14" s="115">
        <v>21</v>
      </c>
      <c r="P14" s="115">
        <v>0</v>
      </c>
      <c r="Q14" s="115">
        <v>21.416755676269531</v>
      </c>
      <c r="R14" s="115">
        <v>28.996875762939453</v>
      </c>
      <c r="S14" s="115">
        <v>30.912723541259766</v>
      </c>
      <c r="T14" s="115">
        <v>9</v>
      </c>
      <c r="U14" s="115">
        <v>9</v>
      </c>
      <c r="V14" s="117">
        <v>1255</v>
      </c>
      <c r="W14" s="115">
        <v>39.664909362792969</v>
      </c>
      <c r="X14" s="115">
        <v>41.506000518798828</v>
      </c>
      <c r="Y14" s="115">
        <v>11.513999938964844</v>
      </c>
      <c r="Z14" s="115">
        <v>0</v>
      </c>
      <c r="AA14" s="115">
        <v>34.833000183105469</v>
      </c>
      <c r="AB14" s="115">
        <v>0</v>
      </c>
      <c r="AC14" s="115">
        <v>70.133132934570313</v>
      </c>
      <c r="AD14" s="115">
        <v>6.1069998741149902</v>
      </c>
      <c r="AE14" s="115">
        <v>0</v>
      </c>
      <c r="AF14" s="115">
        <v>98.762847900390625</v>
      </c>
      <c r="AG14" s="115">
        <v>0</v>
      </c>
      <c r="AH14" s="115">
        <v>90.46820068359375</v>
      </c>
      <c r="AI14" s="115">
        <v>22.266000747680664</v>
      </c>
      <c r="AJ14" s="115">
        <v>46.131698608398438</v>
      </c>
      <c r="AK14" s="115">
        <v>56.0731201171875</v>
      </c>
      <c r="AL14" s="115">
        <v>65.029998779296875</v>
      </c>
      <c r="AM14" s="118">
        <v>58.654998779296875</v>
      </c>
      <c r="AN14" s="117">
        <v>173.625</v>
      </c>
      <c r="AO14" s="119">
        <v>97</v>
      </c>
      <c r="AP14" s="115">
        <v>91.001228332519531</v>
      </c>
      <c r="AQ14" s="115">
        <v>62.588943481445313</v>
      </c>
      <c r="AR14" s="115">
        <v>93</v>
      </c>
      <c r="AS14" s="115"/>
      <c r="AT14" s="115">
        <v>115</v>
      </c>
      <c r="AU14" s="115"/>
      <c r="AV14" s="115">
        <v>97</v>
      </c>
      <c r="AW14" s="115"/>
      <c r="AX14" s="115">
        <v>36</v>
      </c>
      <c r="AY14" s="115">
        <v>39.806320190429688</v>
      </c>
      <c r="AZ14" s="115">
        <v>30</v>
      </c>
      <c r="BA14" s="115"/>
      <c r="BB14" s="115">
        <v>206</v>
      </c>
      <c r="BC14" s="115">
        <v>212.0841064453125</v>
      </c>
      <c r="BD14" s="115">
        <v>7.5</v>
      </c>
      <c r="BE14" s="115">
        <v>7.5499668121337891</v>
      </c>
      <c r="BF14" s="115">
        <v>31</v>
      </c>
      <c r="BG14" s="115">
        <v>13</v>
      </c>
      <c r="BH14" s="115">
        <v>13.268638610839844</v>
      </c>
      <c r="BI14" s="115"/>
      <c r="BJ14" s="108">
        <f t="shared" si="0"/>
        <v>20</v>
      </c>
      <c r="BK14" s="115">
        <v>20</v>
      </c>
      <c r="BL14" s="115">
        <v>0</v>
      </c>
      <c r="BM14" s="118"/>
      <c r="BN14" s="108">
        <f t="shared" si="1"/>
        <v>124</v>
      </c>
      <c r="BO14" s="108">
        <v>75</v>
      </c>
      <c r="BP14" s="108">
        <v>49</v>
      </c>
      <c r="BQ14" s="108">
        <v>355</v>
      </c>
      <c r="BR14" s="115">
        <v>110.38300323486328</v>
      </c>
      <c r="BS14" s="115">
        <v>30.790000915527344</v>
      </c>
      <c r="BT14" s="115">
        <v>56.110000610351563</v>
      </c>
      <c r="BU14" s="115">
        <v>51.21099853515625</v>
      </c>
      <c r="BV14" s="115">
        <v>69.400001525878906</v>
      </c>
      <c r="BW14" s="115">
        <v>7.5999999046325684</v>
      </c>
      <c r="BX14" s="115">
        <v>13.600000381469727</v>
      </c>
      <c r="BY14" s="115">
        <v>29</v>
      </c>
      <c r="BZ14" s="115">
        <v>1.4636578038334846E-2</v>
      </c>
      <c r="CA14" s="115">
        <v>0</v>
      </c>
      <c r="CB14" s="115">
        <v>30.371623992919922</v>
      </c>
      <c r="CC14" s="118"/>
      <c r="CD14" s="115">
        <v>425.01095581054688</v>
      </c>
      <c r="CE14" s="115">
        <v>59.860862731933594</v>
      </c>
      <c r="CF14" s="115">
        <v>34.865379333496094</v>
      </c>
      <c r="CG14" s="115">
        <v>35.338191986083984</v>
      </c>
      <c r="CH14" s="115">
        <v>303.96896362304688</v>
      </c>
      <c r="CI14" s="115">
        <v>124.399658203125</v>
      </c>
      <c r="CJ14" s="115">
        <v>62.438312530517578</v>
      </c>
      <c r="CK14" s="115">
        <v>67.224822998046875</v>
      </c>
      <c r="CL14" s="116">
        <v>52.718994140625</v>
      </c>
      <c r="CM14" s="117">
        <v>392.1431884765625</v>
      </c>
      <c r="CN14" s="115">
        <v>160.30718994140625</v>
      </c>
      <c r="CO14" s="115">
        <v>106.18342590332031</v>
      </c>
      <c r="CP14" s="115">
        <v>126.38774108886719</v>
      </c>
      <c r="CQ14" s="115">
        <v>0</v>
      </c>
      <c r="CR14" s="115">
        <v>75.743690490722656</v>
      </c>
      <c r="CS14" s="115">
        <v>14.779314041137695</v>
      </c>
      <c r="CT14" s="115">
        <v>55.766014099121094</v>
      </c>
      <c r="CU14" s="115">
        <v>290.11138916015625</v>
      </c>
      <c r="CV14" s="116">
        <v>123.42736053466797</v>
      </c>
      <c r="CW14" s="117">
        <v>3</v>
      </c>
      <c r="CX14" s="115">
        <v>509</v>
      </c>
      <c r="CY14" s="115">
        <v>238.31346130371094</v>
      </c>
      <c r="CZ14" s="115">
        <v>70.232460021972656</v>
      </c>
      <c r="DA14" s="115">
        <v>35.188873291015625</v>
      </c>
      <c r="DB14" s="115">
        <v>49.186840057373047</v>
      </c>
      <c r="DC14" s="115">
        <v>100.90750885009766</v>
      </c>
      <c r="DD14" s="115">
        <v>159</v>
      </c>
      <c r="DE14" s="115">
        <v>191</v>
      </c>
      <c r="DF14" s="115">
        <v>137.28388977050781</v>
      </c>
      <c r="DG14" s="115">
        <v>115.16728973388672</v>
      </c>
      <c r="DH14" s="115">
        <v>92.059623718261719</v>
      </c>
      <c r="DI14" s="120">
        <v>48.39984130859375</v>
      </c>
      <c r="DJ14" s="119">
        <v>261</v>
      </c>
      <c r="DK14" s="115">
        <v>152.1719970703125</v>
      </c>
      <c r="DL14" s="115">
        <v>32.685001373291016</v>
      </c>
      <c r="DM14" s="115">
        <v>62.202999114990234</v>
      </c>
      <c r="DN14" s="115">
        <v>56.902000427246094</v>
      </c>
      <c r="DO14" s="116">
        <v>122.20478057861328</v>
      </c>
      <c r="DP14" s="117">
        <v>17.670999526977539</v>
      </c>
      <c r="DQ14" s="115"/>
      <c r="DR14" s="117">
        <v>67</v>
      </c>
      <c r="DS14" s="120">
        <v>55.200000762939453</v>
      </c>
      <c r="DT14" s="119">
        <v>13</v>
      </c>
      <c r="DU14" s="115"/>
      <c r="DV14" s="115">
        <v>179</v>
      </c>
      <c r="DW14" s="115">
        <v>164.99092102050781</v>
      </c>
      <c r="DX14" s="117">
        <v>12</v>
      </c>
      <c r="DY14" s="120"/>
      <c r="DZ14" s="119">
        <v>55</v>
      </c>
      <c r="EA14" s="115">
        <v>3</v>
      </c>
      <c r="EB14" s="115">
        <v>0</v>
      </c>
      <c r="EC14" s="115">
        <v>1</v>
      </c>
      <c r="ED14" s="115">
        <v>371</v>
      </c>
      <c r="EE14" s="121">
        <v>40.820999145507813</v>
      </c>
      <c r="EF14" s="121">
        <v>41.910498936971031</v>
      </c>
      <c r="EG14" s="121">
        <v>43.447733561197914</v>
      </c>
      <c r="EH14" t="s">
        <v>50</v>
      </c>
    </row>
    <row r="15" spans="1:138" x14ac:dyDescent="0.3">
      <c r="A15" s="226">
        <f t="shared" si="2"/>
        <v>46020.007638888914</v>
      </c>
      <c r="B15" s="115">
        <v>319</v>
      </c>
      <c r="C15" s="115">
        <v>54.398998260498047</v>
      </c>
      <c r="D15" s="115">
        <v>104.50099945068359</v>
      </c>
      <c r="E15" s="115">
        <v>21.375</v>
      </c>
      <c r="F15" s="115">
        <v>5.0308637619018555</v>
      </c>
      <c r="G15" s="116">
        <v>23.070999145507813</v>
      </c>
      <c r="H15" s="117">
        <v>362</v>
      </c>
      <c r="I15" s="115">
        <v>327</v>
      </c>
      <c r="J15" s="115">
        <v>77.471000671386719</v>
      </c>
      <c r="K15" s="115">
        <v>64.046379089355469</v>
      </c>
      <c r="L15" s="115">
        <v>52.659999847412109</v>
      </c>
      <c r="M15" s="115">
        <v>16.511999130249023</v>
      </c>
      <c r="N15" s="115">
        <v>17.367000579833984</v>
      </c>
      <c r="O15" s="115">
        <v>21</v>
      </c>
      <c r="P15" s="115">
        <v>0</v>
      </c>
      <c r="Q15" s="115">
        <v>20.870187759399414</v>
      </c>
      <c r="R15" s="115">
        <v>28.996875762939453</v>
      </c>
      <c r="S15" s="115">
        <v>30.317102432250977</v>
      </c>
      <c r="T15" s="115">
        <v>9</v>
      </c>
      <c r="U15" s="115">
        <v>9</v>
      </c>
      <c r="V15" s="117">
        <v>1244</v>
      </c>
      <c r="W15" s="115">
        <v>39.067279815673828</v>
      </c>
      <c r="X15" s="115">
        <v>41.618999481201172</v>
      </c>
      <c r="Y15" s="115">
        <v>11.069000244140625</v>
      </c>
      <c r="Z15" s="115">
        <v>0</v>
      </c>
      <c r="AA15" s="115">
        <v>35.964000701904297</v>
      </c>
      <c r="AB15" s="115">
        <v>0</v>
      </c>
      <c r="AC15" s="115">
        <v>69.891815185546875</v>
      </c>
      <c r="AD15" s="115">
        <v>6.1069998741149902</v>
      </c>
      <c r="AE15" s="115">
        <v>0</v>
      </c>
      <c r="AF15" s="115">
        <v>98.77728271484375</v>
      </c>
      <c r="AG15" s="115">
        <v>0</v>
      </c>
      <c r="AH15" s="115">
        <v>92.532989501953125</v>
      </c>
      <c r="AI15" s="115">
        <v>24.047000885009766</v>
      </c>
      <c r="AJ15" s="115">
        <v>44.611923217773438</v>
      </c>
      <c r="AK15" s="115">
        <v>55.517444610595703</v>
      </c>
      <c r="AL15" s="115">
        <v>62.733001708984375</v>
      </c>
      <c r="AM15" s="118">
        <v>58.145999908447266</v>
      </c>
      <c r="AN15" s="117">
        <v>171.5625</v>
      </c>
      <c r="AO15" s="119">
        <v>95</v>
      </c>
      <c r="AP15" s="115">
        <v>91.638710021972656</v>
      </c>
      <c r="AQ15" s="115">
        <v>59.732322692871094</v>
      </c>
      <c r="AR15" s="115">
        <v>92</v>
      </c>
      <c r="AS15" s="115"/>
      <c r="AT15" s="115">
        <v>115</v>
      </c>
      <c r="AU15" s="115"/>
      <c r="AV15" s="115">
        <v>97</v>
      </c>
      <c r="AW15" s="115"/>
      <c r="AX15" s="115">
        <v>39</v>
      </c>
      <c r="AY15" s="115">
        <v>39.806320190429688</v>
      </c>
      <c r="AZ15" s="115">
        <v>30</v>
      </c>
      <c r="BA15" s="115"/>
      <c r="BB15" s="115">
        <v>208</v>
      </c>
      <c r="BC15" s="115">
        <v>213.396240234375</v>
      </c>
      <c r="BD15" s="115">
        <v>7.5</v>
      </c>
      <c r="BE15" s="115">
        <v>7.5386099815368652</v>
      </c>
      <c r="BF15" s="115">
        <v>30</v>
      </c>
      <c r="BG15" s="115">
        <v>13</v>
      </c>
      <c r="BH15" s="115">
        <v>13.232292175292969</v>
      </c>
      <c r="BI15" s="115"/>
      <c r="BJ15" s="108">
        <f t="shared" si="0"/>
        <v>20</v>
      </c>
      <c r="BK15" s="115">
        <v>20</v>
      </c>
      <c r="BL15" s="115">
        <v>0</v>
      </c>
      <c r="BM15" s="118"/>
      <c r="BN15" s="108">
        <f t="shared" si="1"/>
        <v>124</v>
      </c>
      <c r="BO15" s="108">
        <v>75</v>
      </c>
      <c r="BP15" s="108">
        <v>49</v>
      </c>
      <c r="BQ15" s="108">
        <v>352</v>
      </c>
      <c r="BR15" s="115">
        <v>110.72200012207031</v>
      </c>
      <c r="BS15" s="115">
        <v>32.317001342773438</v>
      </c>
      <c r="BT15" s="115">
        <v>54.377998352050781</v>
      </c>
      <c r="BU15" s="115">
        <v>52.419998168945313</v>
      </c>
      <c r="BV15" s="115">
        <v>69.599998474121094</v>
      </c>
      <c r="BW15" s="115">
        <v>7.5</v>
      </c>
      <c r="BX15" s="115">
        <v>13.800000190734863</v>
      </c>
      <c r="BY15" s="115">
        <v>30</v>
      </c>
      <c r="BZ15" s="115">
        <v>1.4893938787281513E-2</v>
      </c>
      <c r="CA15" s="115">
        <v>1</v>
      </c>
      <c r="CB15" s="115">
        <v>30.535364151000977</v>
      </c>
      <c r="CC15" s="118"/>
      <c r="CD15" s="115">
        <v>425.03387451171875</v>
      </c>
      <c r="CE15" s="115">
        <v>60.518856048583984</v>
      </c>
      <c r="CF15" s="115">
        <v>34.899822235107422</v>
      </c>
      <c r="CG15" s="115">
        <v>35.338191986083984</v>
      </c>
      <c r="CH15" s="115">
        <v>303.708251953125</v>
      </c>
      <c r="CI15" s="115">
        <v>119.69818878173828</v>
      </c>
      <c r="CJ15" s="115">
        <v>60.174320220947266</v>
      </c>
      <c r="CK15" s="115">
        <v>66.060836791992188</v>
      </c>
      <c r="CL15" s="116">
        <v>54.005825042724609</v>
      </c>
      <c r="CM15" s="117">
        <v>386.3519287109375</v>
      </c>
      <c r="CN15" s="115">
        <v>155.06874084472656</v>
      </c>
      <c r="CO15" s="115">
        <v>104.17142486572266</v>
      </c>
      <c r="CP15" s="115">
        <v>126.20231628417969</v>
      </c>
      <c r="CQ15" s="115">
        <v>0</v>
      </c>
      <c r="CR15" s="115">
        <v>74.715087890625</v>
      </c>
      <c r="CS15" s="115">
        <v>13.938736915588379</v>
      </c>
      <c r="CT15" s="115">
        <v>58.511089324951172</v>
      </c>
      <c r="CU15" s="115">
        <v>291.08663940429688</v>
      </c>
      <c r="CV15" s="116">
        <v>121.84751129150391</v>
      </c>
      <c r="CW15" s="117">
        <v>4</v>
      </c>
      <c r="CX15" s="115">
        <v>505</v>
      </c>
      <c r="CY15" s="115">
        <v>236.67189025878906</v>
      </c>
      <c r="CZ15" s="115">
        <v>67.669151306152344</v>
      </c>
      <c r="DA15" s="115">
        <v>34.984073638916016</v>
      </c>
      <c r="DB15" s="115">
        <v>46.571823120117188</v>
      </c>
      <c r="DC15" s="115">
        <v>102.00807952880859</v>
      </c>
      <c r="DD15" s="115">
        <v>166</v>
      </c>
      <c r="DE15" s="115">
        <v>191</v>
      </c>
      <c r="DF15" s="115">
        <v>138.82064819335938</v>
      </c>
      <c r="DG15" s="115">
        <v>116.83267974853516</v>
      </c>
      <c r="DH15" s="115">
        <v>91.247222900390625</v>
      </c>
      <c r="DI15" s="120">
        <v>48.488288879394531</v>
      </c>
      <c r="DJ15" s="119">
        <v>264</v>
      </c>
      <c r="DK15" s="115">
        <v>153.9530029296875</v>
      </c>
      <c r="DL15" s="115">
        <v>29.405000686645508</v>
      </c>
      <c r="DM15" s="115">
        <v>62.733001708984375</v>
      </c>
      <c r="DN15" s="115">
        <v>57.431999206542969</v>
      </c>
      <c r="DO15" s="116">
        <v>123.86528778076172</v>
      </c>
      <c r="DP15" s="117">
        <v>16.454999923706055</v>
      </c>
      <c r="DQ15" s="115"/>
      <c r="DR15" s="117">
        <v>67</v>
      </c>
      <c r="DS15" s="120">
        <v>53.700000762939453</v>
      </c>
      <c r="DT15" s="119">
        <v>13</v>
      </c>
      <c r="DU15" s="115"/>
      <c r="DV15" s="115">
        <v>179</v>
      </c>
      <c r="DW15" s="115">
        <v>165.541015625</v>
      </c>
      <c r="DX15" s="117">
        <v>14</v>
      </c>
      <c r="DY15" s="120"/>
      <c r="DZ15" s="119">
        <v>55</v>
      </c>
      <c r="EA15" s="115">
        <v>3</v>
      </c>
      <c r="EB15" s="115">
        <v>0</v>
      </c>
      <c r="EC15" s="115">
        <v>1</v>
      </c>
      <c r="ED15" s="115">
        <v>369.5</v>
      </c>
      <c r="EE15" s="121">
        <v>10.970000267028809</v>
      </c>
      <c r="EF15" s="121">
        <v>11.309000015258789</v>
      </c>
      <c r="EG15" s="121">
        <v>11.833283297220866</v>
      </c>
      <c r="EH15" t="s">
        <v>51</v>
      </c>
    </row>
    <row r="16" spans="1:138" x14ac:dyDescent="0.3">
      <c r="A16" s="226">
        <f t="shared" si="2"/>
        <v>46020.00833333336</v>
      </c>
      <c r="B16" s="115">
        <v>319</v>
      </c>
      <c r="C16" s="115">
        <v>58.696998596191406</v>
      </c>
      <c r="D16" s="115">
        <v>104.38800048828125</v>
      </c>
      <c r="E16" s="115">
        <v>19.565000534057617</v>
      </c>
      <c r="F16" s="115">
        <v>5.0308637619018555</v>
      </c>
      <c r="G16" s="116">
        <v>23.52400016784668</v>
      </c>
      <c r="H16" s="117">
        <v>364</v>
      </c>
      <c r="I16" s="115">
        <v>324</v>
      </c>
      <c r="J16" s="115">
        <v>77.583999633789063</v>
      </c>
      <c r="K16" s="115">
        <v>63.217765808105469</v>
      </c>
      <c r="L16" s="115">
        <v>52.484001159667969</v>
      </c>
      <c r="M16" s="115">
        <v>17.416000366210938</v>
      </c>
      <c r="N16" s="115">
        <v>16.666999816894531</v>
      </c>
      <c r="O16" s="115">
        <v>22</v>
      </c>
      <c r="P16" s="115">
        <v>0</v>
      </c>
      <c r="Q16" s="115">
        <v>21.427013397216797</v>
      </c>
      <c r="R16" s="115">
        <v>30</v>
      </c>
      <c r="S16" s="115">
        <v>31.246419906616211</v>
      </c>
      <c r="T16" s="115">
        <v>9</v>
      </c>
      <c r="U16" s="115">
        <v>9</v>
      </c>
      <c r="V16" s="117">
        <v>1246</v>
      </c>
      <c r="W16" s="115">
        <v>39.744819641113281</v>
      </c>
      <c r="X16" s="115">
        <v>41.846000671386719</v>
      </c>
      <c r="Y16" s="115">
        <v>10.687000274658203</v>
      </c>
      <c r="Z16" s="115">
        <v>0</v>
      </c>
      <c r="AA16" s="115">
        <v>35.512001037597656</v>
      </c>
      <c r="AB16" s="115">
        <v>0</v>
      </c>
      <c r="AC16" s="115">
        <v>68.912254333496094</v>
      </c>
      <c r="AD16" s="115">
        <v>6.1069998741149902</v>
      </c>
      <c r="AE16" s="115">
        <v>0</v>
      </c>
      <c r="AF16" s="115">
        <v>100.48976898193359</v>
      </c>
      <c r="AG16" s="115">
        <v>0</v>
      </c>
      <c r="AH16" s="115">
        <v>90.499008178710938</v>
      </c>
      <c r="AI16" s="115">
        <v>24.809999465942383</v>
      </c>
      <c r="AJ16" s="115">
        <v>40.388862609863281</v>
      </c>
      <c r="AK16" s="115">
        <v>53.384731292724609</v>
      </c>
      <c r="AL16" s="115">
        <v>60.436000823974609</v>
      </c>
      <c r="AM16" s="118">
        <v>62.5989990234375</v>
      </c>
      <c r="AN16" s="117">
        <v>173</v>
      </c>
      <c r="AO16" s="119">
        <v>95</v>
      </c>
      <c r="AP16" s="115">
        <v>90.188430786132813</v>
      </c>
      <c r="AQ16" s="115">
        <v>60.227149963378906</v>
      </c>
      <c r="AR16" s="115">
        <v>93</v>
      </c>
      <c r="AS16" s="115"/>
      <c r="AT16" s="115">
        <v>115</v>
      </c>
      <c r="AU16" s="115"/>
      <c r="AV16" s="115">
        <v>94</v>
      </c>
      <c r="AW16" s="115"/>
      <c r="AX16" s="115">
        <v>37</v>
      </c>
      <c r="AY16" s="115">
        <v>39.042644500732422</v>
      </c>
      <c r="AZ16" s="115">
        <v>30</v>
      </c>
      <c r="BA16" s="115"/>
      <c r="BB16" s="115">
        <v>207</v>
      </c>
      <c r="BC16" s="115">
        <v>212.7904052734375</v>
      </c>
      <c r="BD16" s="115">
        <v>7.5</v>
      </c>
      <c r="BE16" s="115">
        <v>7.5353889465332031</v>
      </c>
      <c r="BF16" s="115">
        <v>30</v>
      </c>
      <c r="BG16" s="115">
        <v>13</v>
      </c>
      <c r="BH16" s="115">
        <v>13.139481544494629</v>
      </c>
      <c r="BI16" s="115"/>
      <c r="BJ16" s="108">
        <f t="shared" si="0"/>
        <v>20</v>
      </c>
      <c r="BK16" s="115">
        <v>20</v>
      </c>
      <c r="BL16" s="115">
        <v>0</v>
      </c>
      <c r="BM16" s="118"/>
      <c r="BN16" s="108">
        <f t="shared" si="1"/>
        <v>125</v>
      </c>
      <c r="BO16" s="108">
        <v>76</v>
      </c>
      <c r="BP16" s="108">
        <v>49</v>
      </c>
      <c r="BQ16" s="108">
        <v>352</v>
      </c>
      <c r="BR16" s="115">
        <v>106.98999786376953</v>
      </c>
      <c r="BS16" s="115">
        <v>29.517999649047852</v>
      </c>
      <c r="BT16" s="115">
        <v>56.456001281738281</v>
      </c>
      <c r="BU16" s="115">
        <v>50.893001556396484</v>
      </c>
      <c r="BV16" s="115">
        <v>69.400001525878906</v>
      </c>
      <c r="BW16" s="115">
        <v>7.3000001907348633</v>
      </c>
      <c r="BX16" s="115">
        <v>13.899999618530273</v>
      </c>
      <c r="BY16" s="115">
        <v>30</v>
      </c>
      <c r="BZ16" s="115">
        <v>1.383042149245739E-2</v>
      </c>
      <c r="CA16" s="115">
        <v>0</v>
      </c>
      <c r="CB16" s="115">
        <v>30.459751129150391</v>
      </c>
      <c r="CC16" s="118"/>
      <c r="CD16" s="115">
        <v>422.64224243164063</v>
      </c>
      <c r="CE16" s="115">
        <v>58.876827239990234</v>
      </c>
      <c r="CF16" s="115">
        <v>34.787712097167969</v>
      </c>
      <c r="CG16" s="115">
        <v>35.338191986083984</v>
      </c>
      <c r="CH16" s="115">
        <v>303.10162353515625</v>
      </c>
      <c r="CI16" s="115">
        <v>117.22688293457031</v>
      </c>
      <c r="CJ16" s="115">
        <v>56.053199768066406</v>
      </c>
      <c r="CK16" s="115">
        <v>66.672088623046875</v>
      </c>
      <c r="CL16" s="116">
        <v>51.418678283691406</v>
      </c>
      <c r="CM16" s="117">
        <v>387.02423095703125</v>
      </c>
      <c r="CN16" s="115">
        <v>155.06874084472656</v>
      </c>
      <c r="CO16" s="115">
        <v>103.42791748046875</v>
      </c>
      <c r="CP16" s="115">
        <v>125.13323211669922</v>
      </c>
      <c r="CQ16" s="115">
        <v>0</v>
      </c>
      <c r="CR16" s="115">
        <v>71.760665893554688</v>
      </c>
      <c r="CS16" s="115">
        <v>16.834255218505859</v>
      </c>
      <c r="CT16" s="115">
        <v>58.269657135009766</v>
      </c>
      <c r="CU16" s="115">
        <v>292.13681030273438</v>
      </c>
      <c r="CV16" s="116">
        <v>125.74981689453125</v>
      </c>
      <c r="CW16" s="117">
        <v>5</v>
      </c>
      <c r="CX16" s="115">
        <v>505</v>
      </c>
      <c r="CY16" s="115">
        <v>234.54832458496094</v>
      </c>
      <c r="CZ16" s="115">
        <v>67.710289001464844</v>
      </c>
      <c r="DA16" s="115">
        <v>31.673511505126953</v>
      </c>
      <c r="DB16" s="115">
        <v>49.846649169921875</v>
      </c>
      <c r="DC16" s="115">
        <v>103.45866394042969</v>
      </c>
      <c r="DD16" s="115">
        <v>165</v>
      </c>
      <c r="DE16" s="115">
        <v>191</v>
      </c>
      <c r="DF16" s="115">
        <v>138.51878356933594</v>
      </c>
      <c r="DG16" s="115">
        <v>116.83267974853516</v>
      </c>
      <c r="DH16" s="115">
        <v>76.351631164550781</v>
      </c>
      <c r="DI16" s="120">
        <v>49.513900756835938</v>
      </c>
      <c r="DJ16" s="119">
        <v>267</v>
      </c>
      <c r="DK16" s="115">
        <v>154.71699523925781</v>
      </c>
      <c r="DL16" s="115">
        <v>32.118999481201172</v>
      </c>
      <c r="DM16" s="115">
        <v>66.444000244140625</v>
      </c>
      <c r="DN16" s="115">
        <v>57.784999847412109</v>
      </c>
      <c r="DO16" s="116">
        <v>119.97416687011719</v>
      </c>
      <c r="DP16" s="117">
        <v>16.936000823974609</v>
      </c>
      <c r="DQ16" s="115"/>
      <c r="DR16" s="117">
        <v>67</v>
      </c>
      <c r="DS16" s="120">
        <v>53.099998474121094</v>
      </c>
      <c r="DT16" s="119">
        <v>14</v>
      </c>
      <c r="DU16" s="115"/>
      <c r="DV16" s="115">
        <v>179</v>
      </c>
      <c r="DW16" s="115">
        <v>164.75247192382813</v>
      </c>
      <c r="DX16" s="117">
        <v>13</v>
      </c>
      <c r="DY16" s="120"/>
      <c r="DZ16" s="119">
        <v>56</v>
      </c>
      <c r="EA16" s="115">
        <v>3</v>
      </c>
      <c r="EB16" s="115">
        <v>0</v>
      </c>
      <c r="EC16" s="115">
        <v>1</v>
      </c>
      <c r="ED16" s="115">
        <v>358.5</v>
      </c>
      <c r="EE16" s="121">
        <v>15.713000297546387</v>
      </c>
      <c r="EF16" s="121">
        <v>16.030999978383381</v>
      </c>
      <c r="EG16" s="121">
        <v>17.025583600997926</v>
      </c>
      <c r="EH16" t="s">
        <v>52</v>
      </c>
    </row>
    <row r="17" spans="1:138" x14ac:dyDescent="0.3">
      <c r="A17" s="226">
        <f t="shared" si="2"/>
        <v>46020.009027777807</v>
      </c>
      <c r="B17" s="115">
        <v>316</v>
      </c>
      <c r="C17" s="115">
        <v>60.733001708984375</v>
      </c>
      <c r="D17" s="115">
        <v>105.29299926757813</v>
      </c>
      <c r="E17" s="115">
        <v>20.809000015258789</v>
      </c>
      <c r="F17" s="115">
        <v>3.4127516746520996</v>
      </c>
      <c r="G17" s="116">
        <v>24.201999664306641</v>
      </c>
      <c r="H17" s="117">
        <v>362</v>
      </c>
      <c r="I17" s="115">
        <v>324</v>
      </c>
      <c r="J17" s="115">
        <v>79.055000305175781</v>
      </c>
      <c r="K17" s="115">
        <v>62.698696136474609</v>
      </c>
      <c r="L17" s="115">
        <v>52.659999847412109</v>
      </c>
      <c r="M17" s="115">
        <v>16.738000869750977</v>
      </c>
      <c r="N17" s="115">
        <v>16.47599983215332</v>
      </c>
      <c r="O17" s="115">
        <v>22</v>
      </c>
      <c r="P17" s="115">
        <v>0</v>
      </c>
      <c r="Q17" s="115">
        <v>21.451869964599609</v>
      </c>
      <c r="R17" s="115">
        <v>31.003124237060547</v>
      </c>
      <c r="S17" s="115">
        <v>33.103042602539063</v>
      </c>
      <c r="T17" s="115">
        <v>0</v>
      </c>
      <c r="U17" s="115">
        <v>0</v>
      </c>
      <c r="V17" s="117">
        <v>1246</v>
      </c>
      <c r="W17" s="115">
        <v>39.753376007080078</v>
      </c>
      <c r="X17" s="115">
        <v>39.243999481201172</v>
      </c>
      <c r="Y17" s="115">
        <v>10.878000259399414</v>
      </c>
      <c r="Z17" s="115">
        <v>0</v>
      </c>
      <c r="AA17" s="115">
        <v>33.023998260498047</v>
      </c>
      <c r="AB17" s="115">
        <v>0</v>
      </c>
      <c r="AC17" s="115">
        <v>68.591941833496094</v>
      </c>
      <c r="AD17" s="115">
        <v>5.8520002365112305</v>
      </c>
      <c r="AE17" s="115">
        <v>0</v>
      </c>
      <c r="AF17" s="115">
        <v>98.976516723632813</v>
      </c>
      <c r="AG17" s="115">
        <v>0</v>
      </c>
      <c r="AH17" s="115">
        <v>87.706123352050781</v>
      </c>
      <c r="AI17" s="115">
        <v>23.410999298095703</v>
      </c>
      <c r="AJ17" s="115">
        <v>38.856853485107422</v>
      </c>
      <c r="AK17" s="115">
        <v>53.380294799804688</v>
      </c>
      <c r="AL17" s="115">
        <v>61.495998382568359</v>
      </c>
      <c r="AM17" s="118">
        <v>62.5989990234375</v>
      </c>
      <c r="AN17" s="117">
        <v>172.375</v>
      </c>
      <c r="AO17" s="119">
        <v>95</v>
      </c>
      <c r="AP17" s="115">
        <v>89.776168823242188</v>
      </c>
      <c r="AQ17" s="115">
        <v>60.227149963378906</v>
      </c>
      <c r="AR17" s="115">
        <v>92</v>
      </c>
      <c r="AS17" s="115"/>
      <c r="AT17" s="115">
        <v>116</v>
      </c>
      <c r="AU17" s="115"/>
      <c r="AV17" s="115">
        <v>89</v>
      </c>
      <c r="AW17" s="115"/>
      <c r="AX17" s="115">
        <v>37</v>
      </c>
      <c r="AY17" s="115">
        <v>39.304241180419922</v>
      </c>
      <c r="AZ17" s="115">
        <v>30</v>
      </c>
      <c r="BA17" s="115"/>
      <c r="BB17" s="115">
        <v>207</v>
      </c>
      <c r="BC17" s="115">
        <v>213.50621032714844</v>
      </c>
      <c r="BD17" s="115">
        <v>7.5</v>
      </c>
      <c r="BE17" s="115">
        <v>7.5300016403198242</v>
      </c>
      <c r="BF17" s="115">
        <v>30</v>
      </c>
      <c r="BG17" s="115">
        <v>12</v>
      </c>
      <c r="BH17" s="115">
        <v>12.78926944732666</v>
      </c>
      <c r="BI17" s="115"/>
      <c r="BJ17" s="108">
        <f t="shared" si="0"/>
        <v>21</v>
      </c>
      <c r="BK17" s="115">
        <v>21</v>
      </c>
      <c r="BL17" s="115">
        <v>0</v>
      </c>
      <c r="BM17" s="118"/>
      <c r="BN17" s="108">
        <f t="shared" si="1"/>
        <v>125</v>
      </c>
      <c r="BO17" s="108">
        <v>76</v>
      </c>
      <c r="BP17" s="108">
        <v>49</v>
      </c>
      <c r="BQ17" s="108">
        <v>354</v>
      </c>
      <c r="BR17" s="115">
        <v>109.25199890136719</v>
      </c>
      <c r="BS17" s="115">
        <v>29.771999359130859</v>
      </c>
      <c r="BT17" s="115">
        <v>52.993000030517578</v>
      </c>
      <c r="BU17" s="115">
        <v>51.020999908447266</v>
      </c>
      <c r="BV17" s="115">
        <v>70.300003051757813</v>
      </c>
      <c r="BW17" s="115">
        <v>7.0999999046325684</v>
      </c>
      <c r="BX17" s="115">
        <v>14</v>
      </c>
      <c r="BY17" s="115">
        <v>30</v>
      </c>
      <c r="BZ17" s="115">
        <v>1.3385215774178505E-2</v>
      </c>
      <c r="CA17" s="115">
        <v>0</v>
      </c>
      <c r="CB17" s="115">
        <v>30.39985466003418</v>
      </c>
      <c r="CC17" s="118"/>
      <c r="CD17" s="115">
        <v>423.81997680664063</v>
      </c>
      <c r="CE17" s="115">
        <v>58.924831390380859</v>
      </c>
      <c r="CF17" s="115">
        <v>34.864913940429688</v>
      </c>
      <c r="CG17" s="115">
        <v>35.338191986083984</v>
      </c>
      <c r="CH17" s="115">
        <v>303.83517456054688</v>
      </c>
      <c r="CI17" s="115">
        <v>125.23896026611328</v>
      </c>
      <c r="CJ17" s="115">
        <v>61.067241668701172</v>
      </c>
      <c r="CK17" s="115">
        <v>66.479377746582031</v>
      </c>
      <c r="CL17" s="116">
        <v>51.298820495605469</v>
      </c>
      <c r="CM17" s="117">
        <v>389.76846313476563</v>
      </c>
      <c r="CN17" s="115">
        <v>158.15036010742188</v>
      </c>
      <c r="CO17" s="115">
        <v>103.09105682373047</v>
      </c>
      <c r="CP17" s="115">
        <v>123.28346252441406</v>
      </c>
      <c r="CQ17" s="115">
        <v>0</v>
      </c>
      <c r="CR17" s="115">
        <v>71.895545959472656</v>
      </c>
      <c r="CS17" s="115">
        <v>15.662043571472168</v>
      </c>
      <c r="CT17" s="115">
        <v>61.526634216308594</v>
      </c>
      <c r="CU17" s="115">
        <v>294.34353637695313</v>
      </c>
      <c r="CV17" s="116">
        <v>120.79226684570313</v>
      </c>
      <c r="CW17" s="117">
        <v>2</v>
      </c>
      <c r="CX17" s="115">
        <v>511</v>
      </c>
      <c r="CY17" s="115">
        <v>234.32916259765625</v>
      </c>
      <c r="CZ17" s="115">
        <v>70.167633056640625</v>
      </c>
      <c r="DA17" s="115">
        <v>30.523799896240234</v>
      </c>
      <c r="DB17" s="115">
        <v>49.383708953857422</v>
      </c>
      <c r="DC17" s="115">
        <v>101.11966705322266</v>
      </c>
      <c r="DD17" s="115">
        <v>139</v>
      </c>
      <c r="DE17" s="115">
        <v>191</v>
      </c>
      <c r="DF17" s="115">
        <v>135.15948486328125</v>
      </c>
      <c r="DG17" s="115">
        <v>117.08351898193359</v>
      </c>
      <c r="DH17" s="115">
        <v>75.113189697265625</v>
      </c>
      <c r="DI17" s="120">
        <v>45.813488006591797</v>
      </c>
      <c r="DJ17" s="119">
        <v>267</v>
      </c>
      <c r="DK17" s="115">
        <v>162.09599304199219</v>
      </c>
      <c r="DL17" s="115">
        <v>34.381000518798828</v>
      </c>
      <c r="DM17" s="115">
        <v>66.09100341796875</v>
      </c>
      <c r="DN17" s="115">
        <v>57.784999847412109</v>
      </c>
      <c r="DO17" s="116">
        <v>121.20496368408203</v>
      </c>
      <c r="DP17" s="117">
        <v>16.936000823974609</v>
      </c>
      <c r="DQ17" s="115"/>
      <c r="DR17" s="117">
        <v>67</v>
      </c>
      <c r="DS17" s="120">
        <v>53</v>
      </c>
      <c r="DT17" s="119">
        <v>14</v>
      </c>
      <c r="DU17" s="115"/>
      <c r="DV17" s="115">
        <v>179</v>
      </c>
      <c r="DW17" s="115">
        <v>164.96307373046875</v>
      </c>
      <c r="DX17" s="117">
        <v>13</v>
      </c>
      <c r="DY17" s="120"/>
      <c r="DZ17" s="119">
        <v>56</v>
      </c>
      <c r="EA17" s="115">
        <v>3</v>
      </c>
      <c r="EB17" s="115">
        <v>0</v>
      </c>
      <c r="EC17" s="115">
        <v>1</v>
      </c>
      <c r="ED17" s="115">
        <v>353.5</v>
      </c>
      <c r="EE17" s="121">
        <v>14</v>
      </c>
      <c r="EF17" s="121">
        <v>14.833333333333334</v>
      </c>
      <c r="EG17" s="121">
        <v>16.433333333333334</v>
      </c>
      <c r="EH17" t="s">
        <v>254</v>
      </c>
    </row>
    <row r="18" spans="1:138" x14ac:dyDescent="0.3">
      <c r="A18" s="226">
        <f t="shared" si="2"/>
        <v>46020.009722222254</v>
      </c>
      <c r="B18" s="115">
        <v>319</v>
      </c>
      <c r="C18" s="115">
        <v>58.696998596191406</v>
      </c>
      <c r="D18" s="115">
        <v>105.06700134277344</v>
      </c>
      <c r="E18" s="115">
        <v>23.410999298095703</v>
      </c>
      <c r="F18" s="115">
        <v>8.2200231552124023</v>
      </c>
      <c r="G18" s="116">
        <v>23.070999145507813</v>
      </c>
      <c r="H18" s="117">
        <v>360</v>
      </c>
      <c r="I18" s="115">
        <v>326</v>
      </c>
      <c r="J18" s="115">
        <v>74.530998229980469</v>
      </c>
      <c r="K18" s="115">
        <v>63.897697448730469</v>
      </c>
      <c r="L18" s="115">
        <v>50.716999053955078</v>
      </c>
      <c r="M18" s="115">
        <v>15.833000183105469</v>
      </c>
      <c r="N18" s="115">
        <v>17.812000274658203</v>
      </c>
      <c r="O18" s="115">
        <v>21</v>
      </c>
      <c r="P18" s="115">
        <v>0</v>
      </c>
      <c r="Q18" s="115">
        <v>21.451869964599609</v>
      </c>
      <c r="R18" s="115">
        <v>31.003124237060547</v>
      </c>
      <c r="S18" s="115">
        <v>32.206275939941406</v>
      </c>
      <c r="T18" s="115">
        <v>0</v>
      </c>
      <c r="U18" s="115">
        <v>0</v>
      </c>
      <c r="V18" s="117">
        <v>1231</v>
      </c>
      <c r="W18" s="115">
        <v>37.807994842529297</v>
      </c>
      <c r="X18" s="115">
        <v>39.810001373291016</v>
      </c>
      <c r="Y18" s="115">
        <v>10.687000274658203</v>
      </c>
      <c r="Z18" s="115">
        <v>0</v>
      </c>
      <c r="AA18" s="115">
        <v>32.231998443603516</v>
      </c>
      <c r="AB18" s="115">
        <v>0</v>
      </c>
      <c r="AC18" s="115">
        <v>70.210411071777344</v>
      </c>
      <c r="AD18" s="115">
        <v>6.1069998741149902</v>
      </c>
      <c r="AE18" s="115">
        <v>0</v>
      </c>
      <c r="AF18" s="115">
        <v>99.656509399414063</v>
      </c>
      <c r="AG18" s="115">
        <v>0</v>
      </c>
      <c r="AH18" s="115">
        <v>88.025230407714844</v>
      </c>
      <c r="AI18" s="115">
        <v>22.77400016784668</v>
      </c>
      <c r="AJ18" s="115">
        <v>39.330718994140625</v>
      </c>
      <c r="AK18" s="115">
        <v>53.648200988769531</v>
      </c>
      <c r="AL18" s="115">
        <v>60.965999603271484</v>
      </c>
      <c r="AM18" s="118">
        <v>60.754001617431641</v>
      </c>
      <c r="AN18" s="117">
        <v>171.6875</v>
      </c>
      <c r="AO18" s="119">
        <v>95</v>
      </c>
      <c r="AP18" s="115">
        <v>89.588348388671875</v>
      </c>
      <c r="AQ18" s="115">
        <v>60.826118469238281</v>
      </c>
      <c r="AR18" s="115">
        <v>92</v>
      </c>
      <c r="AS18" s="115"/>
      <c r="AT18" s="115">
        <v>116</v>
      </c>
      <c r="AU18" s="115"/>
      <c r="AV18" s="115">
        <v>88</v>
      </c>
      <c r="AW18" s="115"/>
      <c r="AX18" s="115">
        <v>37</v>
      </c>
      <c r="AY18" s="115">
        <v>39.477275848388672</v>
      </c>
      <c r="AZ18" s="115">
        <v>31</v>
      </c>
      <c r="BA18" s="115"/>
      <c r="BB18" s="115">
        <v>208</v>
      </c>
      <c r="BC18" s="115">
        <v>213.32028198242188</v>
      </c>
      <c r="BD18" s="115">
        <v>7.5</v>
      </c>
      <c r="BE18" s="115">
        <v>7.5303306579589844</v>
      </c>
      <c r="BF18" s="115">
        <v>30</v>
      </c>
      <c r="BG18" s="115">
        <v>12</v>
      </c>
      <c r="BH18" s="115">
        <v>12.683381080627441</v>
      </c>
      <c r="BI18" s="115"/>
      <c r="BJ18" s="108">
        <f t="shared" si="0"/>
        <v>22</v>
      </c>
      <c r="BK18" s="115">
        <v>22</v>
      </c>
      <c r="BL18" s="115">
        <v>0</v>
      </c>
      <c r="BM18" s="118"/>
      <c r="BN18" s="108">
        <f t="shared" si="1"/>
        <v>125</v>
      </c>
      <c r="BO18" s="108">
        <v>76</v>
      </c>
      <c r="BP18" s="108">
        <v>49</v>
      </c>
      <c r="BQ18" s="108">
        <v>354</v>
      </c>
      <c r="BR18" s="115">
        <v>111.40000152587891</v>
      </c>
      <c r="BS18" s="115">
        <v>30.281000137329102</v>
      </c>
      <c r="BT18" s="115">
        <v>52.993000030517578</v>
      </c>
      <c r="BU18" s="115">
        <v>52.419998168945313</v>
      </c>
      <c r="BV18" s="115">
        <v>69.699996948242188</v>
      </c>
      <c r="BW18" s="115">
        <v>7.0999999046325684</v>
      </c>
      <c r="BX18" s="115">
        <v>13.800000190734863</v>
      </c>
      <c r="BY18" s="115">
        <v>29</v>
      </c>
      <c r="BZ18" s="115">
        <v>1.3385215774178505E-2</v>
      </c>
      <c r="CA18" s="115">
        <v>0</v>
      </c>
      <c r="CB18" s="115">
        <v>30.277229309082031</v>
      </c>
      <c r="CC18" s="118"/>
      <c r="CD18" s="115">
        <v>468.69900512695313</v>
      </c>
      <c r="CE18" s="115">
        <v>94.372344970703125</v>
      </c>
      <c r="CF18" s="115">
        <v>34.751266479492188</v>
      </c>
      <c r="CG18" s="115">
        <v>35.338191986083984</v>
      </c>
      <c r="CH18" s="115">
        <v>304.47412109375</v>
      </c>
      <c r="CI18" s="115">
        <v>125.38848114013672</v>
      </c>
      <c r="CJ18" s="115">
        <v>59.881851196289063</v>
      </c>
      <c r="CK18" s="115">
        <v>68.669013977050781</v>
      </c>
      <c r="CL18" s="116">
        <v>53.304454803466797</v>
      </c>
      <c r="CM18" s="117">
        <v>383.688720703125</v>
      </c>
      <c r="CN18" s="115">
        <v>153.45108032226563</v>
      </c>
      <c r="CO18" s="115">
        <v>105.39163208007813</v>
      </c>
      <c r="CP18" s="115">
        <v>121.65714263916016</v>
      </c>
      <c r="CQ18" s="115">
        <v>0</v>
      </c>
      <c r="CR18" s="115">
        <v>74.850997924804688</v>
      </c>
      <c r="CS18" s="115">
        <v>14.858695030212402</v>
      </c>
      <c r="CT18" s="115">
        <v>59.801418304443359</v>
      </c>
      <c r="CU18" s="115">
        <v>297.87985229492188</v>
      </c>
      <c r="CV18" s="116">
        <v>121.70777130126953</v>
      </c>
      <c r="CW18" s="117">
        <v>6</v>
      </c>
      <c r="CX18" s="115">
        <v>498</v>
      </c>
      <c r="CY18" s="115">
        <v>230.95829772949219</v>
      </c>
      <c r="CZ18" s="115">
        <v>69.119842529296875</v>
      </c>
      <c r="DA18" s="115">
        <v>29.741586685180664</v>
      </c>
      <c r="DB18" s="115">
        <v>47.766395568847656</v>
      </c>
      <c r="DC18" s="115">
        <v>99.141258239746094</v>
      </c>
      <c r="DD18" s="115">
        <v>142</v>
      </c>
      <c r="DE18" s="115">
        <v>192</v>
      </c>
      <c r="DF18" s="115">
        <v>137.39529418945313</v>
      </c>
      <c r="DG18" s="115">
        <v>115.21677398681641</v>
      </c>
      <c r="DH18" s="115">
        <v>73.727432250976563</v>
      </c>
      <c r="DI18" s="120">
        <v>46.409313201904297</v>
      </c>
      <c r="DJ18" s="119">
        <v>267</v>
      </c>
      <c r="DK18" s="115">
        <v>164.89500427246094</v>
      </c>
      <c r="DL18" s="115">
        <v>32.458000183105469</v>
      </c>
      <c r="DM18" s="115">
        <v>71.9219970703125</v>
      </c>
      <c r="DN18" s="115">
        <v>56.018001556396484</v>
      </c>
      <c r="DO18" s="116">
        <v>119.9364013671875</v>
      </c>
      <c r="DP18" s="117">
        <v>17.530000686645508</v>
      </c>
      <c r="DQ18" s="115"/>
      <c r="DR18" s="117">
        <v>67</v>
      </c>
      <c r="DS18" s="120">
        <v>52.700000762939453</v>
      </c>
      <c r="DT18" s="119">
        <v>15</v>
      </c>
      <c r="DU18" s="115"/>
      <c r="DV18" s="115">
        <v>176</v>
      </c>
      <c r="DW18" s="115">
        <v>165.16629028320313</v>
      </c>
      <c r="DX18" s="117">
        <v>13</v>
      </c>
      <c r="DY18" s="120"/>
      <c r="DZ18" s="119">
        <v>56</v>
      </c>
      <c r="EA18" s="115">
        <v>3</v>
      </c>
      <c r="EB18" s="115">
        <v>0</v>
      </c>
      <c r="EC18" s="115">
        <v>1</v>
      </c>
      <c r="ED18" s="115">
        <v>351</v>
      </c>
      <c r="EE18" s="121">
        <v>0</v>
      </c>
      <c r="EF18" s="121">
        <v>0</v>
      </c>
      <c r="EG18" s="121">
        <v>0</v>
      </c>
      <c r="EH18" t="s">
        <v>255</v>
      </c>
    </row>
    <row r="19" spans="1:138" x14ac:dyDescent="0.3">
      <c r="A19" s="226">
        <f t="shared" si="2"/>
        <v>46020.010416666701</v>
      </c>
      <c r="B19" s="115">
        <v>321</v>
      </c>
      <c r="C19" s="115">
        <v>60.958999633789063</v>
      </c>
      <c r="D19" s="115">
        <v>105.74600219726563</v>
      </c>
      <c r="E19" s="115">
        <v>23.070999145507813</v>
      </c>
      <c r="F19" s="115">
        <v>3.0056920051574707</v>
      </c>
      <c r="G19" s="116">
        <v>23.52400016784668</v>
      </c>
      <c r="H19" s="117">
        <v>353</v>
      </c>
      <c r="I19" s="115">
        <v>323</v>
      </c>
      <c r="J19" s="115">
        <v>76.792999267578125</v>
      </c>
      <c r="K19" s="115">
        <v>65.091148376464844</v>
      </c>
      <c r="L19" s="115">
        <v>51.953998565673828</v>
      </c>
      <c r="M19" s="115">
        <v>15.720000267028809</v>
      </c>
      <c r="N19" s="115">
        <v>15.967000007629395</v>
      </c>
      <c r="O19" s="115">
        <v>22</v>
      </c>
      <c r="P19" s="115">
        <v>0</v>
      </c>
      <c r="Q19" s="115">
        <v>22.247152328491211</v>
      </c>
      <c r="R19" s="115">
        <v>31.003124237060547</v>
      </c>
      <c r="S19" s="115">
        <v>30.148853302001953</v>
      </c>
      <c r="T19" s="115">
        <v>0</v>
      </c>
      <c r="U19" s="115">
        <v>0</v>
      </c>
      <c r="V19" s="117">
        <v>1237</v>
      </c>
      <c r="W19" s="115">
        <v>38.512653350830078</v>
      </c>
      <c r="X19" s="115">
        <v>39.696998596191406</v>
      </c>
      <c r="Y19" s="115">
        <v>10.496000289916992</v>
      </c>
      <c r="Z19" s="115">
        <v>0</v>
      </c>
      <c r="AA19" s="115">
        <v>29.517999649047852</v>
      </c>
      <c r="AB19" s="115">
        <v>0</v>
      </c>
      <c r="AC19" s="115">
        <v>70.321296691894531</v>
      </c>
      <c r="AD19" s="115">
        <v>5.8520002365112305</v>
      </c>
      <c r="AE19" s="115">
        <v>0</v>
      </c>
      <c r="AF19" s="115">
        <v>99.856529235839844</v>
      </c>
      <c r="AG19" s="115">
        <v>0</v>
      </c>
      <c r="AH19" s="115">
        <v>92.200210571289063</v>
      </c>
      <c r="AI19" s="115">
        <v>24.238000869750977</v>
      </c>
      <c r="AJ19" s="115">
        <v>39.781944274902344</v>
      </c>
      <c r="AK19" s="115">
        <v>53.03887939453125</v>
      </c>
      <c r="AL19" s="115">
        <v>62.733001708984375</v>
      </c>
      <c r="AM19" s="118">
        <v>60.244998931884766</v>
      </c>
      <c r="AN19" s="117">
        <v>174.4375</v>
      </c>
      <c r="AO19" s="119">
        <v>95</v>
      </c>
      <c r="AP19" s="115">
        <v>88.876235961914063</v>
      </c>
      <c r="AQ19" s="115">
        <v>60.616004943847656</v>
      </c>
      <c r="AR19" s="115">
        <v>92</v>
      </c>
      <c r="AS19" s="115"/>
      <c r="AT19" s="115">
        <v>117</v>
      </c>
      <c r="AU19" s="115"/>
      <c r="AV19" s="115">
        <v>89</v>
      </c>
      <c r="AW19" s="115"/>
      <c r="AX19" s="115">
        <v>36</v>
      </c>
      <c r="AY19" s="115">
        <v>38.042705535888672</v>
      </c>
      <c r="AZ19" s="115">
        <v>30</v>
      </c>
      <c r="BA19" s="115"/>
      <c r="BB19" s="115">
        <v>209</v>
      </c>
      <c r="BC19" s="115">
        <v>215.86721801757813</v>
      </c>
      <c r="BD19" s="115">
        <v>7.4000000953674316</v>
      </c>
      <c r="BE19" s="115">
        <v>7.5353622436523438</v>
      </c>
      <c r="BF19" s="115">
        <v>30</v>
      </c>
      <c r="BG19" s="115">
        <v>12</v>
      </c>
      <c r="BH19" s="115">
        <v>12.740324974060059</v>
      </c>
      <c r="BI19" s="115"/>
      <c r="BJ19" s="108">
        <f t="shared" si="0"/>
        <v>22</v>
      </c>
      <c r="BK19" s="115">
        <v>22</v>
      </c>
      <c r="BL19" s="115">
        <v>0</v>
      </c>
      <c r="BM19" s="118"/>
      <c r="BN19" s="108">
        <f t="shared" si="1"/>
        <v>125.20000076293945</v>
      </c>
      <c r="BO19" s="108">
        <v>76</v>
      </c>
      <c r="BP19" s="108">
        <v>49.200000762939453</v>
      </c>
      <c r="BQ19" s="108">
        <v>354</v>
      </c>
      <c r="BR19" s="115">
        <v>112.87100219726563</v>
      </c>
      <c r="BS19" s="115">
        <v>27.482000350952148</v>
      </c>
      <c r="BT19" s="115">
        <v>56.803001403808594</v>
      </c>
      <c r="BU19" s="115">
        <v>50.765998840332031</v>
      </c>
      <c r="BV19" s="115">
        <v>68.900001525878906</v>
      </c>
      <c r="BW19" s="115">
        <v>7.1999998092651367</v>
      </c>
      <c r="BX19" s="115">
        <v>13.699999809265137</v>
      </c>
      <c r="BY19" s="115">
        <v>30</v>
      </c>
      <c r="BZ19" s="115">
        <v>1.4208449050784111E-2</v>
      </c>
      <c r="CA19" s="115">
        <v>0</v>
      </c>
      <c r="CB19" s="115">
        <v>30.003261566162109</v>
      </c>
      <c r="CC19" s="118"/>
      <c r="CD19" s="115">
        <v>456.15933227539063</v>
      </c>
      <c r="CE19" s="115">
        <v>94.881393432617188</v>
      </c>
      <c r="CF19" s="115">
        <v>33.854434967041016</v>
      </c>
      <c r="CG19" s="115">
        <v>35.338191986083984</v>
      </c>
      <c r="CH19" s="115">
        <v>304.79742431640625</v>
      </c>
      <c r="CI19" s="115">
        <v>121.69662475585938</v>
      </c>
      <c r="CJ19" s="115">
        <v>59.990406036376953</v>
      </c>
      <c r="CK19" s="115">
        <v>65.978179931640625</v>
      </c>
      <c r="CL19" s="116">
        <v>54.441436767578125</v>
      </c>
      <c r="CM19" s="117">
        <v>386.48782348632813</v>
      </c>
      <c r="CN19" s="115">
        <v>156.32032775878906</v>
      </c>
      <c r="CO19" s="115">
        <v>105.43720245361328</v>
      </c>
      <c r="CP19" s="115">
        <v>122.00188446044922</v>
      </c>
      <c r="CQ19" s="115">
        <v>0</v>
      </c>
      <c r="CR19" s="115">
        <v>67.289146423339844</v>
      </c>
      <c r="CS19" s="115">
        <v>15.209392547607422</v>
      </c>
      <c r="CT19" s="115">
        <v>59.951515197753906</v>
      </c>
      <c r="CU19" s="115">
        <v>290.48703002929688</v>
      </c>
      <c r="CV19" s="116">
        <v>121.74710083007813</v>
      </c>
      <c r="CW19" s="117">
        <v>5</v>
      </c>
      <c r="CX19" s="115">
        <v>491</v>
      </c>
      <c r="CY19" s="115">
        <v>229.23330688476563</v>
      </c>
      <c r="CZ19" s="115">
        <v>69.552947998046875</v>
      </c>
      <c r="DA19" s="115">
        <v>31.335592269897461</v>
      </c>
      <c r="DB19" s="115">
        <v>48.086570739746094</v>
      </c>
      <c r="DC19" s="115">
        <v>98.715507507324219</v>
      </c>
      <c r="DD19" s="115">
        <v>151</v>
      </c>
      <c r="DE19" s="115">
        <v>190</v>
      </c>
      <c r="DF19" s="115">
        <v>135.57328796386719</v>
      </c>
      <c r="DG19" s="115">
        <v>111.24530792236328</v>
      </c>
      <c r="DH19" s="115">
        <v>73.70233154296875</v>
      </c>
      <c r="DI19" s="120">
        <v>46.255947113037109</v>
      </c>
      <c r="DJ19" s="119">
        <v>263</v>
      </c>
      <c r="DK19" s="115">
        <v>163.87800598144531</v>
      </c>
      <c r="DL19" s="115">
        <v>37.321998596191406</v>
      </c>
      <c r="DM19" s="115">
        <v>67.858001708984375</v>
      </c>
      <c r="DN19" s="115">
        <v>56.902000427246094</v>
      </c>
      <c r="DO19" s="116">
        <v>118.59268951416016</v>
      </c>
      <c r="DP19" s="117">
        <v>17.38800048828125</v>
      </c>
      <c r="DQ19" s="115"/>
      <c r="DR19" s="117">
        <v>67</v>
      </c>
      <c r="DS19" s="120">
        <v>54.299999237060547</v>
      </c>
      <c r="DT19" s="119">
        <v>14</v>
      </c>
      <c r="DU19" s="115"/>
      <c r="DV19" s="115">
        <v>177</v>
      </c>
      <c r="DW19" s="115">
        <v>164.60009765625</v>
      </c>
      <c r="DX19" s="117">
        <v>13</v>
      </c>
      <c r="DY19" s="120"/>
      <c r="DZ19" s="119">
        <v>55</v>
      </c>
      <c r="EA19" s="115">
        <v>3</v>
      </c>
      <c r="EB19" s="115">
        <v>0</v>
      </c>
      <c r="EC19" s="115">
        <v>1</v>
      </c>
      <c r="ED19" s="115">
        <v>342.89999389648438</v>
      </c>
      <c r="EE19" s="121">
        <v>14.668213844299316</v>
      </c>
      <c r="EF19" s="121">
        <v>15.306634585062662</v>
      </c>
      <c r="EG19" s="121">
        <v>16.788743877410887</v>
      </c>
      <c r="EH19" t="s">
        <v>53</v>
      </c>
    </row>
    <row r="20" spans="1:138" x14ac:dyDescent="0.3">
      <c r="A20" s="226">
        <f t="shared" si="2"/>
        <v>46020.011111111147</v>
      </c>
      <c r="B20" s="115">
        <v>310</v>
      </c>
      <c r="C20" s="115">
        <v>55.983001708984375</v>
      </c>
      <c r="D20" s="115">
        <v>103.70999908447266</v>
      </c>
      <c r="E20" s="115">
        <v>22.052999496459961</v>
      </c>
      <c r="F20" s="115">
        <v>18.754905700683594</v>
      </c>
      <c r="G20" s="116">
        <v>23.410999298095703</v>
      </c>
      <c r="H20" s="117">
        <v>361</v>
      </c>
      <c r="I20" s="115">
        <v>326</v>
      </c>
      <c r="J20" s="115">
        <v>78.488998413085938</v>
      </c>
      <c r="K20" s="115">
        <v>66.186241149902344</v>
      </c>
      <c r="L20" s="115">
        <v>53.367000579833984</v>
      </c>
      <c r="M20" s="115">
        <v>15.494000434875488</v>
      </c>
      <c r="N20" s="115">
        <v>17.430999755859375</v>
      </c>
      <c r="O20" s="115">
        <v>21</v>
      </c>
      <c r="P20" s="115">
        <v>0</v>
      </c>
      <c r="Q20" s="115">
        <v>21.15077018737793</v>
      </c>
      <c r="R20" s="115">
        <v>28.996875762939453</v>
      </c>
      <c r="S20" s="115">
        <v>29.59410285949707</v>
      </c>
      <c r="T20" s="115">
        <v>0</v>
      </c>
      <c r="U20" s="115">
        <v>0</v>
      </c>
      <c r="V20" s="117">
        <v>1237</v>
      </c>
      <c r="W20" s="115">
        <v>40.355857849121094</v>
      </c>
      <c r="X20" s="115">
        <v>39.923000335693359</v>
      </c>
      <c r="Y20" s="115">
        <v>9.6689996719360352</v>
      </c>
      <c r="Z20" s="115">
        <v>0</v>
      </c>
      <c r="AA20" s="115">
        <v>32.345001220703125</v>
      </c>
      <c r="AB20" s="115">
        <v>0</v>
      </c>
      <c r="AC20" s="115">
        <v>69.122817993164063</v>
      </c>
      <c r="AD20" s="115">
        <v>5.8520002365112305</v>
      </c>
      <c r="AE20" s="115">
        <v>0</v>
      </c>
      <c r="AF20" s="115">
        <v>97.638153076171875</v>
      </c>
      <c r="AG20" s="115">
        <v>0</v>
      </c>
      <c r="AH20" s="115">
        <v>89.043418884277344</v>
      </c>
      <c r="AI20" s="115">
        <v>26.018999099731445</v>
      </c>
      <c r="AJ20" s="115">
        <v>36.028732299804688</v>
      </c>
      <c r="AK20" s="115">
        <v>52.746971130371094</v>
      </c>
      <c r="AL20" s="115">
        <v>61.849998474121094</v>
      </c>
      <c r="AM20" s="118">
        <v>60.562999725341797</v>
      </c>
      <c r="AN20" s="117">
        <v>169.25</v>
      </c>
      <c r="AO20" s="119">
        <v>93</v>
      </c>
      <c r="AP20" s="115">
        <v>90.734901428222656</v>
      </c>
      <c r="AQ20" s="115">
        <v>58.685691833496094</v>
      </c>
      <c r="AR20" s="115">
        <v>93</v>
      </c>
      <c r="AS20" s="115"/>
      <c r="AT20" s="115">
        <v>117</v>
      </c>
      <c r="AU20" s="115"/>
      <c r="AV20" s="115">
        <v>88</v>
      </c>
      <c r="AW20" s="115"/>
      <c r="AX20" s="115">
        <v>36</v>
      </c>
      <c r="AY20" s="115">
        <v>38.042705535888672</v>
      </c>
      <c r="AZ20" s="115">
        <v>30</v>
      </c>
      <c r="BA20" s="115"/>
      <c r="BB20" s="115">
        <v>208</v>
      </c>
      <c r="BC20" s="115">
        <v>215.78498840332031</v>
      </c>
      <c r="BD20" s="115">
        <v>7.4000000953674316</v>
      </c>
      <c r="BE20" s="115">
        <v>7.5157198905944824</v>
      </c>
      <c r="BF20" s="115">
        <v>30</v>
      </c>
      <c r="BG20" s="115">
        <v>12</v>
      </c>
      <c r="BH20" s="115">
        <v>12.756902694702148</v>
      </c>
      <c r="BI20" s="115"/>
      <c r="BJ20" s="108">
        <f t="shared" si="0"/>
        <v>21</v>
      </c>
      <c r="BK20" s="115">
        <v>21</v>
      </c>
      <c r="BL20" s="115">
        <v>0</v>
      </c>
      <c r="BM20" s="118"/>
      <c r="BN20" s="108">
        <f t="shared" si="1"/>
        <v>124</v>
      </c>
      <c r="BO20" s="108">
        <v>75</v>
      </c>
      <c r="BP20" s="108">
        <v>49</v>
      </c>
      <c r="BQ20" s="108">
        <v>348</v>
      </c>
      <c r="BR20" s="115">
        <v>110.72200012207031</v>
      </c>
      <c r="BS20" s="115">
        <v>27.482000350952148</v>
      </c>
      <c r="BT20" s="115">
        <v>54.7239990234375</v>
      </c>
      <c r="BU20" s="115">
        <v>51.974998474121094</v>
      </c>
      <c r="BV20" s="115">
        <v>69.5</v>
      </c>
      <c r="BW20" s="115">
        <v>7.0999999046325684</v>
      </c>
      <c r="BX20" s="115">
        <v>13.899999618530273</v>
      </c>
      <c r="BY20" s="115">
        <v>29</v>
      </c>
      <c r="BZ20" s="115">
        <v>1.4142497442662716E-2</v>
      </c>
      <c r="CA20" s="115">
        <v>0</v>
      </c>
      <c r="CB20" s="115">
        <v>30.003261566162109</v>
      </c>
      <c r="CC20" s="118"/>
      <c r="CD20" s="115">
        <v>456.51083374023438</v>
      </c>
      <c r="CE20" s="115">
        <v>91.230316162109375</v>
      </c>
      <c r="CF20" s="115">
        <v>33.975532531738281</v>
      </c>
      <c r="CG20" s="115">
        <v>35.338191986083984</v>
      </c>
      <c r="CH20" s="115">
        <v>304.63247680664063</v>
      </c>
      <c r="CI20" s="115">
        <v>117.53546142578125</v>
      </c>
      <c r="CJ20" s="115">
        <v>55.561866760253906</v>
      </c>
      <c r="CK20" s="115">
        <v>66.0477294921875</v>
      </c>
      <c r="CL20" s="116">
        <v>54.729507446289063</v>
      </c>
      <c r="CM20" s="117">
        <v>385.39212036132813</v>
      </c>
      <c r="CN20" s="115">
        <v>151.37416076660156</v>
      </c>
      <c r="CO20" s="115">
        <v>104.35607147216797</v>
      </c>
      <c r="CP20" s="115">
        <v>123.93677520751953</v>
      </c>
      <c r="CQ20" s="115">
        <v>0</v>
      </c>
      <c r="CR20" s="115">
        <v>69.350944519042969</v>
      </c>
      <c r="CS20" s="115">
        <v>14.663602828979492</v>
      </c>
      <c r="CT20" s="115">
        <v>53.52117919921875</v>
      </c>
      <c r="CU20" s="115">
        <v>291.993408203125</v>
      </c>
      <c r="CV20" s="116">
        <v>121.74653625488281</v>
      </c>
      <c r="CW20" s="117">
        <v>5</v>
      </c>
      <c r="CX20" s="115">
        <v>491</v>
      </c>
      <c r="CY20" s="115">
        <v>231.92059326171875</v>
      </c>
      <c r="CZ20" s="115">
        <v>71.688362121582031</v>
      </c>
      <c r="DA20" s="115">
        <v>31.926488876342773</v>
      </c>
      <c r="DB20" s="115">
        <v>45.664794921875</v>
      </c>
      <c r="DC20" s="115">
        <v>96.65179443359375</v>
      </c>
      <c r="DD20" s="115">
        <v>131</v>
      </c>
      <c r="DE20" s="115">
        <v>193</v>
      </c>
      <c r="DF20" s="115">
        <v>134.83973693847656</v>
      </c>
      <c r="DG20" s="115">
        <v>111.24530792236328</v>
      </c>
      <c r="DH20" s="115">
        <v>71.000946044921875</v>
      </c>
      <c r="DI20" s="120">
        <v>47.327846527099609</v>
      </c>
      <c r="DJ20" s="119">
        <v>261</v>
      </c>
      <c r="DK20" s="115">
        <v>159.04299926757813</v>
      </c>
      <c r="DL20" s="115">
        <v>34.041999816894531</v>
      </c>
      <c r="DM20" s="115">
        <v>63.087001800537109</v>
      </c>
      <c r="DN20" s="115">
        <v>56.902000427246094</v>
      </c>
      <c r="DO20" s="116">
        <v>117.21856689453125</v>
      </c>
      <c r="DP20" s="117">
        <v>17.38800048828125</v>
      </c>
      <c r="DQ20" s="115"/>
      <c r="DR20" s="117">
        <v>67</v>
      </c>
      <c r="DS20" s="120">
        <v>50.5</v>
      </c>
      <c r="DT20" s="119">
        <v>14</v>
      </c>
      <c r="DU20" s="115"/>
      <c r="DV20" s="115">
        <v>175</v>
      </c>
      <c r="DW20" s="115">
        <v>164.99322509765625</v>
      </c>
      <c r="DX20" s="117">
        <v>13</v>
      </c>
      <c r="DY20" s="120"/>
      <c r="DZ20" s="119">
        <v>55</v>
      </c>
      <c r="EA20" s="115">
        <v>3</v>
      </c>
      <c r="EB20" s="115">
        <v>0</v>
      </c>
      <c r="EC20" s="115">
        <v>1</v>
      </c>
      <c r="ED20" s="115">
        <v>342.89999389648438</v>
      </c>
      <c r="EE20" s="121">
        <v>0</v>
      </c>
      <c r="EF20" s="121">
        <v>0</v>
      </c>
      <c r="EG20" s="121">
        <v>4.1324999491373697</v>
      </c>
      <c r="EH20" t="s">
        <v>120</v>
      </c>
    </row>
    <row r="21" spans="1:138" x14ac:dyDescent="0.3">
      <c r="A21" s="226">
        <f t="shared" si="2"/>
        <v>46020.011805555594</v>
      </c>
      <c r="B21" s="115">
        <v>309</v>
      </c>
      <c r="C21" s="115">
        <v>55.983001708984375</v>
      </c>
      <c r="D21" s="115">
        <v>105.18000030517578</v>
      </c>
      <c r="E21" s="115">
        <v>22.280000686645508</v>
      </c>
      <c r="F21" s="115">
        <v>10.342338562011719</v>
      </c>
      <c r="G21" s="116">
        <v>23.070999145507813</v>
      </c>
      <c r="H21" s="117">
        <v>363</v>
      </c>
      <c r="I21" s="115">
        <v>331</v>
      </c>
      <c r="J21" s="115">
        <v>77.018997192382813</v>
      </c>
      <c r="K21" s="115">
        <v>64.633193969726563</v>
      </c>
      <c r="L21" s="115">
        <v>51.069999694824219</v>
      </c>
      <c r="M21" s="115">
        <v>16.964000701904297</v>
      </c>
      <c r="N21" s="115">
        <v>17.684999465942383</v>
      </c>
      <c r="O21" s="115">
        <v>22</v>
      </c>
      <c r="P21" s="115">
        <v>0</v>
      </c>
      <c r="Q21" s="115">
        <v>21.777572631835938</v>
      </c>
      <c r="R21" s="115">
        <v>28.996875762939453</v>
      </c>
      <c r="S21" s="115">
        <v>29.59410285949707</v>
      </c>
      <c r="T21" s="115">
        <v>0</v>
      </c>
      <c r="U21" s="115">
        <v>0</v>
      </c>
      <c r="V21" s="117">
        <v>1234</v>
      </c>
      <c r="W21" s="115">
        <v>40.714469909667969</v>
      </c>
      <c r="X21" s="115">
        <v>39.810001373291016</v>
      </c>
      <c r="Y21" s="115">
        <v>10.942000389099121</v>
      </c>
      <c r="Z21" s="115">
        <v>0</v>
      </c>
      <c r="AA21" s="115">
        <v>33.137001037597656</v>
      </c>
      <c r="AB21" s="115">
        <v>0</v>
      </c>
      <c r="AC21" s="115">
        <v>67.782829284667969</v>
      </c>
      <c r="AD21" s="115">
        <v>6.3610000610351563</v>
      </c>
      <c r="AE21" s="115">
        <v>0</v>
      </c>
      <c r="AF21" s="115">
        <v>98.486671447753906</v>
      </c>
      <c r="AG21" s="115">
        <v>0</v>
      </c>
      <c r="AH21" s="115">
        <v>89.043418884277344</v>
      </c>
      <c r="AI21" s="115">
        <v>28.181999206542969</v>
      </c>
      <c r="AJ21" s="115">
        <v>35.623210906982422</v>
      </c>
      <c r="AK21" s="115">
        <v>52.591762542724609</v>
      </c>
      <c r="AL21" s="115">
        <v>61.143001556396484</v>
      </c>
      <c r="AM21" s="118">
        <v>61.136001586914063</v>
      </c>
      <c r="AN21" s="117">
        <v>168.25</v>
      </c>
      <c r="AO21" s="119">
        <v>93</v>
      </c>
      <c r="AP21" s="115">
        <v>89.912353515625</v>
      </c>
      <c r="AQ21" s="115">
        <v>61.994972229003906</v>
      </c>
      <c r="AR21" s="115">
        <v>93</v>
      </c>
      <c r="AS21" s="115"/>
      <c r="AT21" s="115">
        <v>116</v>
      </c>
      <c r="AU21" s="115"/>
      <c r="AV21" s="115">
        <v>88</v>
      </c>
      <c r="AW21" s="115"/>
      <c r="AX21" s="115">
        <v>38</v>
      </c>
      <c r="AY21" s="115">
        <v>40.513950347900391</v>
      </c>
      <c r="AZ21" s="115">
        <v>30</v>
      </c>
      <c r="BA21" s="115"/>
      <c r="BB21" s="115">
        <v>205</v>
      </c>
      <c r="BC21" s="115">
        <v>213.05198669433594</v>
      </c>
      <c r="BD21" s="115">
        <v>7.4000000953674316</v>
      </c>
      <c r="BE21" s="115">
        <v>7.5161581039428711</v>
      </c>
      <c r="BF21" s="115">
        <v>30</v>
      </c>
      <c r="BG21" s="115">
        <v>12</v>
      </c>
      <c r="BH21" s="115">
        <v>12.707880973815918</v>
      </c>
      <c r="BI21" s="115"/>
      <c r="BJ21" s="108">
        <f t="shared" si="0"/>
        <v>21</v>
      </c>
      <c r="BK21" s="115">
        <v>21</v>
      </c>
      <c r="BL21" s="115">
        <v>0</v>
      </c>
      <c r="BM21" s="118"/>
      <c r="BN21" s="108">
        <f t="shared" si="1"/>
        <v>124</v>
      </c>
      <c r="BO21" s="108">
        <v>75</v>
      </c>
      <c r="BP21" s="108">
        <v>49</v>
      </c>
      <c r="BQ21" s="108">
        <v>348</v>
      </c>
      <c r="BR21" s="115">
        <v>112.98400115966797</v>
      </c>
      <c r="BS21" s="115">
        <v>34.606998443603516</v>
      </c>
      <c r="BT21" s="115">
        <v>52.993000030517578</v>
      </c>
      <c r="BU21" s="115">
        <v>51.275001525878906</v>
      </c>
      <c r="BV21" s="115">
        <v>68.5</v>
      </c>
      <c r="BW21" s="115">
        <v>7.3000001907348633</v>
      </c>
      <c r="BX21" s="115">
        <v>13.800000190734863</v>
      </c>
      <c r="BY21" s="115">
        <v>29</v>
      </c>
      <c r="BZ21" s="115">
        <v>1.5508991666138172E-2</v>
      </c>
      <c r="CA21" s="115">
        <v>0</v>
      </c>
      <c r="CB21" s="115">
        <v>30.266860961914063</v>
      </c>
      <c r="CC21" s="118"/>
      <c r="CD21" s="115">
        <v>456.0362548828125</v>
      </c>
      <c r="CE21" s="115">
        <v>93.78948974609375</v>
      </c>
      <c r="CF21" s="115">
        <v>34.430946350097656</v>
      </c>
      <c r="CG21" s="115">
        <v>35.338191986083984</v>
      </c>
      <c r="CH21" s="115">
        <v>303.60568237304688</v>
      </c>
      <c r="CI21" s="115">
        <v>118.97308349609375</v>
      </c>
      <c r="CJ21" s="115">
        <v>55.610210418701172</v>
      </c>
      <c r="CK21" s="115">
        <v>64.915191650390625</v>
      </c>
      <c r="CL21" s="116">
        <v>55.346836090087891</v>
      </c>
      <c r="CM21" s="117">
        <v>385.35061645507813</v>
      </c>
      <c r="CN21" s="115">
        <v>152.76449584960938</v>
      </c>
      <c r="CO21" s="115">
        <v>103.80802917480469</v>
      </c>
      <c r="CP21" s="115">
        <v>122.68550109863281</v>
      </c>
      <c r="CQ21" s="115">
        <v>0</v>
      </c>
      <c r="CR21" s="115">
        <v>70.848968505859375</v>
      </c>
      <c r="CS21" s="115">
        <v>15.536562919616699</v>
      </c>
      <c r="CT21" s="115">
        <v>52.242191314697266</v>
      </c>
      <c r="CU21" s="115">
        <v>291.87625122070313</v>
      </c>
      <c r="CV21" s="116">
        <v>118.53950500488281</v>
      </c>
      <c r="CW21" s="117">
        <v>1</v>
      </c>
      <c r="CX21" s="115">
        <v>501</v>
      </c>
      <c r="CY21" s="115">
        <v>236.32797241210938</v>
      </c>
      <c r="CZ21" s="115">
        <v>71.719085693359375</v>
      </c>
      <c r="DA21" s="115">
        <v>30.503105163574219</v>
      </c>
      <c r="DB21" s="115">
        <v>46.716197967529297</v>
      </c>
      <c r="DC21" s="115">
        <v>96.611167907714844</v>
      </c>
      <c r="DD21" s="115">
        <v>146</v>
      </c>
      <c r="DE21" s="115">
        <v>192</v>
      </c>
      <c r="DF21" s="115">
        <v>139.64605712890625</v>
      </c>
      <c r="DG21" s="115">
        <v>112.52505493164063</v>
      </c>
      <c r="DH21" s="115">
        <v>71.999053955078125</v>
      </c>
      <c r="DI21" s="120">
        <v>48.878036499023438</v>
      </c>
      <c r="DJ21" s="119">
        <v>259</v>
      </c>
      <c r="DK21" s="115">
        <v>153.9530029296875</v>
      </c>
      <c r="DL21" s="115">
        <v>33.25</v>
      </c>
      <c r="DM21" s="115">
        <v>65.560997009277344</v>
      </c>
      <c r="DN21" s="115">
        <v>56.370998382568359</v>
      </c>
      <c r="DO21" s="116">
        <v>116.48912811279297</v>
      </c>
      <c r="DP21" s="117">
        <v>16.964000701904297</v>
      </c>
      <c r="DQ21" s="115"/>
      <c r="DR21" s="117">
        <v>67</v>
      </c>
      <c r="DS21" s="120">
        <v>51.400001525878906</v>
      </c>
      <c r="DT21" s="119">
        <v>14</v>
      </c>
      <c r="DU21" s="115"/>
      <c r="DV21" s="115">
        <v>175</v>
      </c>
      <c r="DW21" s="115">
        <v>165.01142883300781</v>
      </c>
      <c r="DX21" s="117">
        <v>12</v>
      </c>
      <c r="DY21" s="120"/>
      <c r="DZ21" s="119">
        <v>55</v>
      </c>
      <c r="EA21" s="115">
        <v>3</v>
      </c>
      <c r="EB21" s="115">
        <v>0</v>
      </c>
      <c r="EC21" s="115">
        <v>1</v>
      </c>
      <c r="ED21" s="115">
        <v>350.39999389648438</v>
      </c>
      <c r="EE21" s="121">
        <v>2.58742356300354</v>
      </c>
      <c r="EF21" s="121">
        <v>3.1215479771296182</v>
      </c>
      <c r="EG21" s="121">
        <v>4.9219543019930523</v>
      </c>
      <c r="EH21" t="s">
        <v>54</v>
      </c>
    </row>
    <row r="22" spans="1:138" x14ac:dyDescent="0.3">
      <c r="A22" s="226">
        <f t="shared" si="2"/>
        <v>46020.012500000041</v>
      </c>
      <c r="B22" s="115">
        <v>318</v>
      </c>
      <c r="C22" s="115">
        <v>56.548000335693359</v>
      </c>
      <c r="D22" s="115">
        <v>104.72799682617188</v>
      </c>
      <c r="E22" s="115">
        <v>23.97599983215332</v>
      </c>
      <c r="F22" s="115">
        <v>1.4870699644088745</v>
      </c>
      <c r="G22" s="116">
        <v>22.958000183105469</v>
      </c>
      <c r="H22" s="117">
        <v>366</v>
      </c>
      <c r="I22" s="115">
        <v>331</v>
      </c>
      <c r="J22" s="115">
        <v>80.412002563476563</v>
      </c>
      <c r="K22" s="115">
        <v>65.69158935546875</v>
      </c>
      <c r="L22" s="115">
        <v>51.423000335693359</v>
      </c>
      <c r="M22" s="115">
        <v>15.720000267028809</v>
      </c>
      <c r="N22" s="115">
        <v>17.558000564575195</v>
      </c>
      <c r="O22" s="115">
        <v>19</v>
      </c>
      <c r="P22" s="115">
        <v>0</v>
      </c>
      <c r="Q22" s="115">
        <v>19.05424690246582</v>
      </c>
      <c r="R22" s="115">
        <v>30</v>
      </c>
      <c r="S22" s="115">
        <v>29.736915588378906</v>
      </c>
      <c r="T22" s="115">
        <v>0</v>
      </c>
      <c r="U22" s="115">
        <v>0</v>
      </c>
      <c r="V22" s="117">
        <v>1228</v>
      </c>
      <c r="W22" s="115">
        <v>40.382362365722656</v>
      </c>
      <c r="X22" s="115">
        <v>40.262001037597656</v>
      </c>
      <c r="Y22" s="115">
        <v>9.7329998016357422</v>
      </c>
      <c r="Z22" s="115">
        <v>0</v>
      </c>
      <c r="AA22" s="115">
        <v>36.643001556396484</v>
      </c>
      <c r="AB22" s="115">
        <v>0</v>
      </c>
      <c r="AC22" s="115">
        <v>66.870803833007813</v>
      </c>
      <c r="AD22" s="115">
        <v>6.1069998741149902</v>
      </c>
      <c r="AE22" s="115">
        <v>0</v>
      </c>
      <c r="AF22" s="115">
        <v>94.890670776367188</v>
      </c>
      <c r="AG22" s="115">
        <v>0</v>
      </c>
      <c r="AH22" s="115">
        <v>87.990936279296875</v>
      </c>
      <c r="AI22" s="115">
        <v>30.790000915527344</v>
      </c>
      <c r="AJ22" s="115">
        <v>38.221473693847656</v>
      </c>
      <c r="AK22" s="115">
        <v>53.043418884277344</v>
      </c>
      <c r="AL22" s="115">
        <v>57.784999847412109</v>
      </c>
      <c r="AM22" s="118">
        <v>58.845001220703125</v>
      </c>
      <c r="AN22" s="117">
        <v>168.25</v>
      </c>
      <c r="AO22" s="119">
        <v>95</v>
      </c>
      <c r="AP22" s="115">
        <v>91.346160888671875</v>
      </c>
      <c r="AQ22" s="115">
        <v>62.400489807128906</v>
      </c>
      <c r="AR22" s="115">
        <v>94</v>
      </c>
      <c r="AS22" s="115"/>
      <c r="AT22" s="115">
        <v>116</v>
      </c>
      <c r="AU22" s="115"/>
      <c r="AV22" s="115">
        <v>96</v>
      </c>
      <c r="AW22" s="115"/>
      <c r="AX22" s="115">
        <v>35</v>
      </c>
      <c r="AY22" s="115">
        <v>37.141139984130859</v>
      </c>
      <c r="AZ22" s="115">
        <v>31</v>
      </c>
      <c r="BA22" s="115"/>
      <c r="BB22" s="115">
        <v>204</v>
      </c>
      <c r="BC22" s="115">
        <v>211.2998046875</v>
      </c>
      <c r="BD22" s="115">
        <v>7.4000000953674316</v>
      </c>
      <c r="BE22" s="115">
        <v>7.5094847679138184</v>
      </c>
      <c r="BF22" s="115">
        <v>31</v>
      </c>
      <c r="BG22" s="115">
        <v>12</v>
      </c>
      <c r="BH22" s="115">
        <v>12.707880973815918</v>
      </c>
      <c r="BI22" s="115"/>
      <c r="BJ22" s="108">
        <f t="shared" si="0"/>
        <v>20</v>
      </c>
      <c r="BK22" s="115">
        <v>20</v>
      </c>
      <c r="BL22" s="115">
        <v>0</v>
      </c>
      <c r="BM22" s="118"/>
      <c r="BN22" s="108">
        <f t="shared" si="1"/>
        <v>123</v>
      </c>
      <c r="BO22" s="108">
        <v>75</v>
      </c>
      <c r="BP22" s="108">
        <v>48</v>
      </c>
      <c r="BQ22" s="108">
        <v>354</v>
      </c>
      <c r="BR22" s="115">
        <v>112.30500030517578</v>
      </c>
      <c r="BS22" s="115">
        <v>29.26300048828125</v>
      </c>
      <c r="BT22" s="115">
        <v>57.148998260498047</v>
      </c>
      <c r="BU22" s="115">
        <v>50.957000732421875</v>
      </c>
      <c r="BV22" s="115">
        <v>69.800003051757813</v>
      </c>
      <c r="BW22" s="115">
        <v>7.1999998092651367</v>
      </c>
      <c r="BX22" s="115">
        <v>13.899999618530273</v>
      </c>
      <c r="BY22" s="115">
        <v>29</v>
      </c>
      <c r="BZ22" s="115">
        <v>1.4853891916573048E-2</v>
      </c>
      <c r="CA22" s="115">
        <v>1</v>
      </c>
      <c r="CB22" s="115">
        <v>30.052206039428711</v>
      </c>
      <c r="CC22" s="118"/>
      <c r="CD22" s="115">
        <v>457.38241577148438</v>
      </c>
      <c r="CE22" s="115">
        <v>93.473907470703125</v>
      </c>
      <c r="CF22" s="115">
        <v>35.347934722900391</v>
      </c>
      <c r="CG22" s="115">
        <v>35.338191986083984</v>
      </c>
      <c r="CH22" s="115">
        <v>302.5755615234375</v>
      </c>
      <c r="CI22" s="115">
        <v>118.12598419189453</v>
      </c>
      <c r="CJ22" s="115">
        <v>54.360019683837891</v>
      </c>
      <c r="CK22" s="115">
        <v>65.551872253417969</v>
      </c>
      <c r="CL22" s="116">
        <v>55.814327239990234</v>
      </c>
      <c r="CM22" s="117">
        <v>385.92202758789063</v>
      </c>
      <c r="CN22" s="115">
        <v>156.00619506835938</v>
      </c>
      <c r="CO22" s="115">
        <v>103.78617095947266</v>
      </c>
      <c r="CP22" s="115">
        <v>122.52227783203125</v>
      </c>
      <c r="CQ22" s="115">
        <v>0</v>
      </c>
      <c r="CR22" s="115">
        <v>68.38555908203125</v>
      </c>
      <c r="CS22" s="115">
        <v>15.495107650756836</v>
      </c>
      <c r="CT22" s="115">
        <v>54.84722900390625</v>
      </c>
      <c r="CU22" s="115">
        <v>235.66725158691406</v>
      </c>
      <c r="CV22" s="116">
        <v>118.98904418945313</v>
      </c>
      <c r="CW22" s="117">
        <v>1</v>
      </c>
      <c r="CX22" s="115">
        <v>490</v>
      </c>
      <c r="CY22" s="115">
        <v>229.58387756347656</v>
      </c>
      <c r="CZ22" s="115">
        <v>71.732917785644531</v>
      </c>
      <c r="DA22" s="115">
        <v>24.495208740234375</v>
      </c>
      <c r="DB22" s="115">
        <v>49.988021850585938</v>
      </c>
      <c r="DC22" s="115">
        <v>97.522499084472656</v>
      </c>
      <c r="DD22" s="115">
        <v>154</v>
      </c>
      <c r="DE22" s="115">
        <v>192</v>
      </c>
      <c r="DF22" s="115">
        <v>142.05242919921875</v>
      </c>
      <c r="DG22" s="115">
        <v>112.28159332275391</v>
      </c>
      <c r="DH22" s="115">
        <v>73.389663696289063</v>
      </c>
      <c r="DI22" s="120">
        <v>50.102401733398438</v>
      </c>
      <c r="DJ22" s="119">
        <v>265</v>
      </c>
      <c r="DK22" s="115">
        <v>159.04299926757813</v>
      </c>
      <c r="DL22" s="115">
        <v>33.25</v>
      </c>
      <c r="DM22" s="115">
        <v>65.560997009277344</v>
      </c>
      <c r="DN22" s="115">
        <v>57.784999847412109</v>
      </c>
      <c r="DO22" s="116">
        <v>118.32432556152344</v>
      </c>
      <c r="DP22" s="117">
        <v>16.964000701904297</v>
      </c>
      <c r="DQ22" s="115"/>
      <c r="DR22" s="117">
        <v>67</v>
      </c>
      <c r="DS22" s="120">
        <v>51.5</v>
      </c>
      <c r="DT22" s="119">
        <v>15</v>
      </c>
      <c r="DU22" s="115"/>
      <c r="DV22" s="115">
        <v>176</v>
      </c>
      <c r="DW22" s="115">
        <v>164.69662475585938</v>
      </c>
      <c r="DX22" s="117">
        <v>12</v>
      </c>
      <c r="DY22" s="120"/>
      <c r="DZ22" s="119">
        <v>56</v>
      </c>
      <c r="EA22" s="115">
        <v>3</v>
      </c>
      <c r="EB22" s="115">
        <v>0</v>
      </c>
      <c r="EC22" s="115">
        <v>1</v>
      </c>
      <c r="ED22" s="115">
        <v>359.39999389648438</v>
      </c>
      <c r="EE22" s="121">
        <v>0</v>
      </c>
      <c r="EF22" s="121">
        <v>0</v>
      </c>
      <c r="EG22" s="121">
        <v>4.45</v>
      </c>
      <c r="EH22" t="s">
        <v>257</v>
      </c>
    </row>
    <row r="23" spans="1:138" x14ac:dyDescent="0.3">
      <c r="A23" s="226">
        <f t="shared" si="2"/>
        <v>46020.013194444487</v>
      </c>
      <c r="B23" s="115">
        <v>314</v>
      </c>
      <c r="C23" s="115">
        <v>57.452999114990234</v>
      </c>
      <c r="D23" s="115">
        <v>103.822998046875</v>
      </c>
      <c r="E23" s="115">
        <v>22.392999649047852</v>
      </c>
      <c r="F23" s="115">
        <v>2.7908523082733154</v>
      </c>
      <c r="G23" s="116">
        <v>22.280000686645508</v>
      </c>
      <c r="H23" s="117">
        <v>365</v>
      </c>
      <c r="I23" s="115">
        <v>328</v>
      </c>
      <c r="J23" s="115">
        <v>80.863998413085938</v>
      </c>
      <c r="K23" s="115">
        <v>67.001235961914063</v>
      </c>
      <c r="L23" s="115">
        <v>50.893001556396484</v>
      </c>
      <c r="M23" s="115">
        <v>15.946000099182129</v>
      </c>
      <c r="N23" s="115">
        <v>16.922000885009766</v>
      </c>
      <c r="O23" s="115">
        <v>21</v>
      </c>
      <c r="P23" s="115">
        <v>0</v>
      </c>
      <c r="Q23" s="115">
        <v>21.731473922729492</v>
      </c>
      <c r="R23" s="115">
        <v>27</v>
      </c>
      <c r="S23" s="115">
        <v>28.727542877197266</v>
      </c>
      <c r="T23" s="115">
        <v>0</v>
      </c>
      <c r="U23" s="115">
        <v>0</v>
      </c>
      <c r="V23" s="117">
        <v>1210</v>
      </c>
      <c r="W23" s="115">
        <v>38.758167266845703</v>
      </c>
      <c r="X23" s="115">
        <v>40.827999114990234</v>
      </c>
      <c r="Y23" s="115">
        <v>9.6689996719360352</v>
      </c>
      <c r="Z23" s="115">
        <v>0</v>
      </c>
      <c r="AA23" s="115">
        <v>35.964000701904297</v>
      </c>
      <c r="AB23" s="115">
        <v>0</v>
      </c>
      <c r="AC23" s="115">
        <v>66.489181518554688</v>
      </c>
      <c r="AD23" s="115">
        <v>6.1069998741149902</v>
      </c>
      <c r="AE23" s="115">
        <v>0</v>
      </c>
      <c r="AF23" s="115">
        <v>95.130584716796875</v>
      </c>
      <c r="AG23" s="115">
        <v>0</v>
      </c>
      <c r="AH23" s="115">
        <v>84.669075012207031</v>
      </c>
      <c r="AI23" s="115">
        <v>25.892000198364258</v>
      </c>
      <c r="AJ23" s="115">
        <v>37.089637756347656</v>
      </c>
      <c r="AK23" s="115">
        <v>52.481109619140625</v>
      </c>
      <c r="AL23" s="115">
        <v>58.668998718261719</v>
      </c>
      <c r="AM23" s="118">
        <v>60.881000518798828</v>
      </c>
      <c r="AN23" s="117">
        <v>176.625</v>
      </c>
      <c r="AO23" s="119">
        <v>97</v>
      </c>
      <c r="AP23" s="115">
        <v>91.462554931640625</v>
      </c>
      <c r="AQ23" s="115">
        <v>64.230567932128906</v>
      </c>
      <c r="AR23" s="115">
        <v>96</v>
      </c>
      <c r="AS23" s="115"/>
      <c r="AT23" s="115">
        <v>116</v>
      </c>
      <c r="AU23" s="115"/>
      <c r="AV23" s="115">
        <v>97</v>
      </c>
      <c r="AW23" s="115"/>
      <c r="AX23" s="115">
        <v>35</v>
      </c>
      <c r="AY23" s="115">
        <v>37.141139984130859</v>
      </c>
      <c r="AZ23" s="115">
        <v>30</v>
      </c>
      <c r="BA23" s="115"/>
      <c r="BB23" s="115">
        <v>204</v>
      </c>
      <c r="BC23" s="115">
        <v>211.02763366699219</v>
      </c>
      <c r="BD23" s="115">
        <v>7.5</v>
      </c>
      <c r="BE23" s="115">
        <v>7.4961261749267578</v>
      </c>
      <c r="BF23" s="115">
        <v>32</v>
      </c>
      <c r="BG23" s="115">
        <v>12</v>
      </c>
      <c r="BH23" s="115">
        <v>12.730681419372559</v>
      </c>
      <c r="BI23" s="115"/>
      <c r="BJ23" s="108">
        <f t="shared" si="0"/>
        <v>19</v>
      </c>
      <c r="BK23" s="115">
        <v>19</v>
      </c>
      <c r="BL23" s="115">
        <v>0</v>
      </c>
      <c r="BM23" s="118"/>
      <c r="BN23" s="108">
        <f t="shared" si="1"/>
        <v>125</v>
      </c>
      <c r="BO23" s="108">
        <v>76</v>
      </c>
      <c r="BP23" s="108">
        <v>49</v>
      </c>
      <c r="BQ23" s="108">
        <v>347</v>
      </c>
      <c r="BR23" s="115">
        <v>111.73999786376953</v>
      </c>
      <c r="BS23" s="115">
        <v>27.73699951171875</v>
      </c>
      <c r="BT23" s="115">
        <v>50.222000122070313</v>
      </c>
      <c r="BU23" s="115">
        <v>51.847999572753906</v>
      </c>
      <c r="BV23" s="115">
        <v>68.199996948242188</v>
      </c>
      <c r="BW23" s="115">
        <v>7.1999998092651367</v>
      </c>
      <c r="BX23" s="115">
        <v>14.399999618530273</v>
      </c>
      <c r="BY23" s="115">
        <v>30</v>
      </c>
      <c r="BZ23" s="115">
        <v>1.5616131015121937E-2</v>
      </c>
      <c r="CA23" s="115">
        <v>0</v>
      </c>
      <c r="CB23" s="115">
        <v>30.052206039428711</v>
      </c>
      <c r="CC23" s="118"/>
      <c r="CD23" s="115">
        <v>455.94973754882813</v>
      </c>
      <c r="CE23" s="115">
        <v>91.5447998046875</v>
      </c>
      <c r="CF23" s="115">
        <v>35.122219085693359</v>
      </c>
      <c r="CG23" s="115">
        <v>35.338191986083984</v>
      </c>
      <c r="CH23" s="115">
        <v>302.35540771484375</v>
      </c>
      <c r="CI23" s="115">
        <v>111.35476684570313</v>
      </c>
      <c r="CJ23" s="115">
        <v>51.317100524902344</v>
      </c>
      <c r="CK23" s="115">
        <v>64.909568786621094</v>
      </c>
      <c r="CL23" s="116">
        <v>53.280998229980469</v>
      </c>
      <c r="CM23" s="117">
        <v>387.45889282226563</v>
      </c>
      <c r="CN23" s="115">
        <v>157.64071655273438</v>
      </c>
      <c r="CO23" s="115">
        <v>104.23683166503906</v>
      </c>
      <c r="CP23" s="115">
        <v>118.79270172119141</v>
      </c>
      <c r="CQ23" s="115">
        <v>0</v>
      </c>
      <c r="CR23" s="115">
        <v>69.0264892578125</v>
      </c>
      <c r="CS23" s="115">
        <v>15.961809158325195</v>
      </c>
      <c r="CT23" s="115">
        <v>54.356071472167969</v>
      </c>
      <c r="CU23" s="115">
        <v>191.63752746582031</v>
      </c>
      <c r="CV23" s="116">
        <v>113.5721435546875</v>
      </c>
      <c r="CW23" s="117">
        <v>3</v>
      </c>
      <c r="CX23" s="115">
        <v>490</v>
      </c>
      <c r="CY23" s="115">
        <v>231.25550842285156</v>
      </c>
      <c r="CZ23" s="115">
        <v>71.164955139160156</v>
      </c>
      <c r="DA23" s="115">
        <v>25.8255615234375</v>
      </c>
      <c r="DB23" s="115">
        <v>49.988021850585938</v>
      </c>
      <c r="DC23" s="115">
        <v>97.659111022949219</v>
      </c>
      <c r="DD23" s="115">
        <v>210</v>
      </c>
      <c r="DE23" s="115">
        <v>193</v>
      </c>
      <c r="DF23" s="115">
        <v>236.78781127929688</v>
      </c>
      <c r="DG23" s="115">
        <v>116.31681823730469</v>
      </c>
      <c r="DH23" s="115">
        <v>72.428680419921875</v>
      </c>
      <c r="DI23" s="120">
        <v>50.071296691894531</v>
      </c>
      <c r="DJ23" s="119">
        <v>262</v>
      </c>
      <c r="DK23" s="115">
        <v>150.64500427246094</v>
      </c>
      <c r="DL23" s="115">
        <v>35.851001739501953</v>
      </c>
      <c r="DM23" s="115">
        <v>63.617000579833984</v>
      </c>
      <c r="DN23" s="115">
        <v>56.370998382568359</v>
      </c>
      <c r="DO23" s="116">
        <v>119.20144653320313</v>
      </c>
      <c r="DP23" s="117">
        <v>17.784000396728516</v>
      </c>
      <c r="DQ23" s="115"/>
      <c r="DR23" s="117">
        <v>67</v>
      </c>
      <c r="DS23" s="120">
        <v>52.099998474121094</v>
      </c>
      <c r="DT23" s="119">
        <v>15</v>
      </c>
      <c r="DU23" s="115"/>
      <c r="DV23" s="115">
        <v>178</v>
      </c>
      <c r="DW23" s="115">
        <v>164.41238403320313</v>
      </c>
      <c r="DX23" s="117">
        <v>12</v>
      </c>
      <c r="DY23" s="120"/>
      <c r="DZ23" s="119">
        <v>55</v>
      </c>
      <c r="EA23" s="115">
        <v>3</v>
      </c>
      <c r="EB23" s="115">
        <v>0</v>
      </c>
      <c r="EC23" s="115">
        <v>1</v>
      </c>
      <c r="ED23" s="115">
        <v>449</v>
      </c>
      <c r="EE23" s="121">
        <v>0</v>
      </c>
      <c r="EF23" s="121">
        <v>0</v>
      </c>
      <c r="EG23" s="121">
        <v>4.45</v>
      </c>
      <c r="EH23" t="s">
        <v>55</v>
      </c>
    </row>
    <row r="24" spans="1:138" x14ac:dyDescent="0.3">
      <c r="A24" s="226">
        <f>A23 + TIME(,1,)</f>
        <v>46020.013888888934</v>
      </c>
      <c r="B24" s="115">
        <v>313</v>
      </c>
      <c r="C24" s="115">
        <v>58.244998931884766</v>
      </c>
      <c r="D24" s="115">
        <v>104.50099945068359</v>
      </c>
      <c r="E24" s="115">
        <v>25.333000183105469</v>
      </c>
      <c r="F24" s="115">
        <v>0</v>
      </c>
      <c r="G24" s="116">
        <v>22.052999496459961</v>
      </c>
      <c r="H24" s="117">
        <v>362</v>
      </c>
      <c r="I24" s="115">
        <v>329</v>
      </c>
      <c r="J24" s="115">
        <v>80.976997375488281</v>
      </c>
      <c r="K24" s="115">
        <v>66.45306396484375</v>
      </c>
      <c r="L24" s="115">
        <v>51.599998474121094</v>
      </c>
      <c r="M24" s="115">
        <v>15.154999732971191</v>
      </c>
      <c r="N24" s="115">
        <v>17.176000595092773</v>
      </c>
      <c r="O24" s="115">
        <v>22</v>
      </c>
      <c r="P24" s="115">
        <v>0</v>
      </c>
      <c r="Q24" s="115">
        <v>21.731473922729492</v>
      </c>
      <c r="R24" s="115">
        <v>28.003124237060547</v>
      </c>
      <c r="S24" s="115">
        <v>28.727542877197266</v>
      </c>
      <c r="T24" s="115">
        <v>0</v>
      </c>
      <c r="U24" s="115">
        <v>0</v>
      </c>
      <c r="V24" s="117">
        <v>1206</v>
      </c>
      <c r="W24" s="115">
        <v>39.141002655029297</v>
      </c>
      <c r="X24" s="115">
        <v>40.715000152587891</v>
      </c>
      <c r="Y24" s="115">
        <v>10.432999610900879</v>
      </c>
      <c r="Z24" s="115">
        <v>0</v>
      </c>
      <c r="AA24" s="115">
        <v>36.756000518798828</v>
      </c>
      <c r="AB24" s="115">
        <v>0</v>
      </c>
      <c r="AC24" s="115">
        <v>68.747222900390625</v>
      </c>
      <c r="AD24" s="115">
        <v>5.8520002365112305</v>
      </c>
      <c r="AE24" s="115">
        <v>0</v>
      </c>
      <c r="AF24" s="115">
        <v>98.19189453125</v>
      </c>
      <c r="AG24" s="115">
        <v>0</v>
      </c>
      <c r="AH24" s="115">
        <v>84.074874877929688</v>
      </c>
      <c r="AI24" s="115">
        <v>26.909999847412109</v>
      </c>
      <c r="AJ24" s="115">
        <v>37.651779174804688</v>
      </c>
      <c r="AK24" s="115">
        <v>52.758453369140625</v>
      </c>
      <c r="AL24" s="115">
        <v>59.021999359130859</v>
      </c>
      <c r="AM24" s="118">
        <v>60.562999725341797</v>
      </c>
      <c r="AN24" s="117">
        <v>177.125</v>
      </c>
      <c r="AO24" s="119">
        <v>99</v>
      </c>
      <c r="AP24" s="115">
        <v>90.308395385742188</v>
      </c>
      <c r="AQ24" s="115">
        <v>64.3935546875</v>
      </c>
      <c r="AR24" s="115">
        <v>93</v>
      </c>
      <c r="AS24" s="115"/>
      <c r="AT24" s="115">
        <v>116</v>
      </c>
      <c r="AU24" s="115"/>
      <c r="AV24" s="115">
        <v>96</v>
      </c>
      <c r="AW24" s="115"/>
      <c r="AX24" s="115">
        <v>36</v>
      </c>
      <c r="AY24" s="115">
        <v>38.114780426025391</v>
      </c>
      <c r="AZ24" s="115">
        <v>29</v>
      </c>
      <c r="BA24" s="115"/>
      <c r="BB24" s="115">
        <v>205</v>
      </c>
      <c r="BC24" s="115">
        <v>212.297119140625</v>
      </c>
      <c r="BD24" s="115">
        <v>7.5</v>
      </c>
      <c r="BE24" s="115">
        <v>7.5680584907531738</v>
      </c>
      <c r="BF24" s="115">
        <v>32</v>
      </c>
      <c r="BG24" s="115">
        <v>12</v>
      </c>
      <c r="BH24" s="115">
        <v>12.982873916625977</v>
      </c>
      <c r="BI24" s="115"/>
      <c r="BJ24" s="108">
        <f t="shared" si="0"/>
        <v>20</v>
      </c>
      <c r="BK24" s="115">
        <v>20</v>
      </c>
      <c r="BL24" s="115">
        <v>0</v>
      </c>
      <c r="BM24" s="118"/>
      <c r="BN24" s="108">
        <f t="shared" si="1"/>
        <v>125</v>
      </c>
      <c r="BO24" s="108">
        <v>76</v>
      </c>
      <c r="BP24" s="108">
        <v>49</v>
      </c>
      <c r="BQ24" s="108">
        <v>345</v>
      </c>
      <c r="BR24" s="115">
        <v>115.47200012207031</v>
      </c>
      <c r="BS24" s="115">
        <v>28.5</v>
      </c>
      <c r="BT24" s="115">
        <v>50.915000915527344</v>
      </c>
      <c r="BU24" s="115">
        <v>51.847999572753906</v>
      </c>
      <c r="BV24" s="115">
        <v>67.900001525878906</v>
      </c>
      <c r="BW24" s="115">
        <v>7.3000001907348633</v>
      </c>
      <c r="BX24" s="115">
        <v>14.199999809265137</v>
      </c>
      <c r="BY24" s="115">
        <v>28</v>
      </c>
      <c r="BZ24" s="115">
        <v>1.2225629761815071E-2</v>
      </c>
      <c r="CA24" s="115">
        <v>0</v>
      </c>
      <c r="CB24" s="115">
        <v>30.205345153808594</v>
      </c>
      <c r="CC24" s="118"/>
      <c r="CD24" s="115">
        <v>450.2435302734375</v>
      </c>
      <c r="CE24" s="115">
        <v>93.306526184082031</v>
      </c>
      <c r="CF24" s="115">
        <v>34.943035125732422</v>
      </c>
      <c r="CG24" s="115">
        <v>35.338191986083984</v>
      </c>
      <c r="CH24" s="115">
        <v>303.11404418945313</v>
      </c>
      <c r="CI24" s="115">
        <v>109.25472259521484</v>
      </c>
      <c r="CJ24" s="115">
        <v>48.937152862548828</v>
      </c>
      <c r="CK24" s="115">
        <v>66.350868225097656</v>
      </c>
      <c r="CL24" s="116">
        <v>53.088966369628906</v>
      </c>
      <c r="CM24" s="117">
        <v>384.577392578125</v>
      </c>
      <c r="CN24" s="115">
        <v>155.713134765625</v>
      </c>
      <c r="CO24" s="115">
        <v>104.73337554931641</v>
      </c>
      <c r="CP24" s="115">
        <v>119.70243072509766</v>
      </c>
      <c r="CQ24" s="115">
        <v>0</v>
      </c>
      <c r="CR24" s="115">
        <v>71.144889831542969</v>
      </c>
      <c r="CS24" s="115">
        <v>16.861597061157227</v>
      </c>
      <c r="CT24" s="115">
        <v>56.081714630126953</v>
      </c>
      <c r="CU24" s="115">
        <v>196.84719848632813</v>
      </c>
      <c r="CV24" s="116">
        <v>114.51776123046875</v>
      </c>
      <c r="CW24" s="117">
        <v>5</v>
      </c>
      <c r="CX24" s="115">
        <v>505</v>
      </c>
      <c r="CY24" s="115">
        <v>235.95480346679688</v>
      </c>
      <c r="CZ24" s="115">
        <v>72.324127197265625</v>
      </c>
      <c r="DA24" s="115">
        <v>25.351551055908203</v>
      </c>
      <c r="DB24" s="115">
        <v>49.533500671386719</v>
      </c>
      <c r="DC24" s="115">
        <v>98.130752563476563</v>
      </c>
      <c r="DD24" s="115">
        <v>250</v>
      </c>
      <c r="DE24" s="115">
        <v>194</v>
      </c>
      <c r="DF24" s="115">
        <v>242.90411376953125</v>
      </c>
      <c r="DG24" s="115">
        <v>110.17379760742188</v>
      </c>
      <c r="DH24" s="115">
        <v>72.447036743164063</v>
      </c>
      <c r="DI24" s="120">
        <v>47.997833251953125</v>
      </c>
      <c r="DJ24" s="119">
        <v>262</v>
      </c>
      <c r="DK24" s="115">
        <v>150.64500427246094</v>
      </c>
      <c r="DL24" s="115">
        <v>30.64900016784668</v>
      </c>
      <c r="DM24" s="115">
        <v>61.495998382568359</v>
      </c>
      <c r="DN24" s="115">
        <v>56.370998382568359</v>
      </c>
      <c r="DO24" s="116">
        <v>119.25333404541016</v>
      </c>
      <c r="DP24" s="117">
        <v>17.360000610351563</v>
      </c>
      <c r="DQ24" s="115"/>
      <c r="DR24" s="117">
        <v>67</v>
      </c>
      <c r="DS24" s="120">
        <v>51.299999237060547</v>
      </c>
      <c r="DT24" s="119">
        <v>15</v>
      </c>
      <c r="DU24" s="115"/>
      <c r="DV24" s="115">
        <v>180</v>
      </c>
      <c r="DW24" s="115">
        <v>165.64848327636719</v>
      </c>
      <c r="DX24" s="117">
        <v>12</v>
      </c>
      <c r="DY24" s="120"/>
      <c r="DZ24" s="119">
        <v>54</v>
      </c>
      <c r="EA24" s="115">
        <v>3</v>
      </c>
      <c r="EB24" s="115">
        <v>0</v>
      </c>
      <c r="EC24" s="115">
        <v>2</v>
      </c>
      <c r="ED24" s="115">
        <v>442.39999389648438</v>
      </c>
      <c r="EE24" s="121">
        <v>836</v>
      </c>
      <c r="EF24" s="121">
        <v>838</v>
      </c>
      <c r="EG24" s="121">
        <v>843.75</v>
      </c>
      <c r="EH24" t="s">
        <v>202</v>
      </c>
    </row>
    <row r="25" spans="1:138" x14ac:dyDescent="0.3">
      <c r="A25" s="226">
        <f t="shared" ref="A25:A88" si="3">A24 + TIME(,1,)</f>
        <v>46020.014583333381</v>
      </c>
      <c r="B25" s="115">
        <v>313</v>
      </c>
      <c r="C25" s="115">
        <v>57.113998413085938</v>
      </c>
      <c r="D25" s="115">
        <v>102.80500030517578</v>
      </c>
      <c r="E25" s="115">
        <v>23.636999130249023</v>
      </c>
      <c r="F25" s="115">
        <v>12.699704170227051</v>
      </c>
      <c r="G25" s="116">
        <v>23.410999298095703</v>
      </c>
      <c r="H25" s="117">
        <v>364</v>
      </c>
      <c r="I25" s="115">
        <v>329</v>
      </c>
      <c r="J25" s="115">
        <v>80.63800048828125</v>
      </c>
      <c r="K25" s="115">
        <v>66.699203491210938</v>
      </c>
      <c r="L25" s="115">
        <v>51.777000427246094</v>
      </c>
      <c r="M25" s="115">
        <v>15.607000350952148</v>
      </c>
      <c r="N25" s="115">
        <v>16.158000946044922</v>
      </c>
      <c r="O25" s="115">
        <v>21</v>
      </c>
      <c r="P25" s="115">
        <v>0</v>
      </c>
      <c r="Q25" s="115">
        <v>21.020223617553711</v>
      </c>
      <c r="R25" s="115">
        <v>28.996875762939453</v>
      </c>
      <c r="S25" s="115">
        <v>29.694950103759766</v>
      </c>
      <c r="T25" s="115">
        <v>0</v>
      </c>
      <c r="U25" s="115">
        <v>0</v>
      </c>
      <c r="V25" s="117">
        <v>1208</v>
      </c>
      <c r="W25" s="115">
        <v>42.278751373291016</v>
      </c>
      <c r="X25" s="115">
        <v>41.958999633789063</v>
      </c>
      <c r="Y25" s="115">
        <v>9.7329998016357422</v>
      </c>
      <c r="Z25" s="115">
        <v>0</v>
      </c>
      <c r="AA25" s="115">
        <v>37.208999633789063</v>
      </c>
      <c r="AB25" s="115">
        <v>0</v>
      </c>
      <c r="AC25" s="115">
        <v>68.029502868652344</v>
      </c>
      <c r="AD25" s="115">
        <v>6.3610000610351563</v>
      </c>
      <c r="AE25" s="115">
        <v>0</v>
      </c>
      <c r="AF25" s="115">
        <v>96.520736694335938</v>
      </c>
      <c r="AG25" s="115">
        <v>0</v>
      </c>
      <c r="AH25" s="115">
        <v>80.824363708496094</v>
      </c>
      <c r="AI25" s="115">
        <v>25.573999404907227</v>
      </c>
      <c r="AJ25" s="115">
        <v>38.961238861083984</v>
      </c>
      <c r="AK25" s="115">
        <v>52.97540283203125</v>
      </c>
      <c r="AL25" s="115">
        <v>60.082000732421875</v>
      </c>
      <c r="AM25" s="118">
        <v>60.244998931884766</v>
      </c>
      <c r="AN25" s="117">
        <v>173.6875</v>
      </c>
      <c r="AO25" s="119">
        <v>94</v>
      </c>
      <c r="AP25" s="115">
        <v>91.855209350585938</v>
      </c>
      <c r="AQ25" s="115">
        <v>59.282932281494141</v>
      </c>
      <c r="AR25" s="115">
        <v>93</v>
      </c>
      <c r="AS25" s="115"/>
      <c r="AT25" s="115">
        <v>115</v>
      </c>
      <c r="AU25" s="115"/>
      <c r="AV25" s="115">
        <v>89</v>
      </c>
      <c r="AW25" s="115"/>
      <c r="AX25" s="115">
        <v>36</v>
      </c>
      <c r="AY25" s="115">
        <v>38.543899536132813</v>
      </c>
      <c r="AZ25" s="115">
        <v>30</v>
      </c>
      <c r="BA25" s="115"/>
      <c r="BB25" s="115">
        <v>205</v>
      </c>
      <c r="BC25" s="115">
        <v>212.99656677246094</v>
      </c>
      <c r="BD25" s="115">
        <v>7.5</v>
      </c>
      <c r="BE25" s="115">
        <v>7.5680584907531738</v>
      </c>
      <c r="BF25" s="115">
        <v>31</v>
      </c>
      <c r="BG25" s="115">
        <v>13</v>
      </c>
      <c r="BH25" s="115">
        <v>13.457381248474121</v>
      </c>
      <c r="BI25" s="115"/>
      <c r="BJ25" s="108">
        <f t="shared" si="0"/>
        <v>19</v>
      </c>
      <c r="BK25" s="115">
        <v>19</v>
      </c>
      <c r="BL25" s="115">
        <v>0</v>
      </c>
      <c r="BM25" s="118"/>
      <c r="BN25" s="108">
        <f t="shared" si="1"/>
        <v>124.20000076293945</v>
      </c>
      <c r="BO25" s="108">
        <v>75</v>
      </c>
      <c r="BP25" s="108">
        <v>49.200000762939453</v>
      </c>
      <c r="BQ25" s="108">
        <v>347</v>
      </c>
      <c r="BR25" s="115">
        <v>111.17400360107422</v>
      </c>
      <c r="BS25" s="115">
        <v>27.73699951171875</v>
      </c>
      <c r="BT25" s="115">
        <v>50.568000793457031</v>
      </c>
      <c r="BU25" s="115">
        <v>52.484001159667969</v>
      </c>
      <c r="BV25" s="115">
        <v>67.900001525878906</v>
      </c>
      <c r="BW25" s="115">
        <v>7.3000001907348633</v>
      </c>
      <c r="BX25" s="115">
        <v>14.199999809265137</v>
      </c>
      <c r="BY25" s="115">
        <v>30</v>
      </c>
      <c r="BZ25" s="115">
        <v>1.2225629761815071E-2</v>
      </c>
      <c r="CA25" s="115">
        <v>0</v>
      </c>
      <c r="CB25" s="115">
        <v>30.060068130493164</v>
      </c>
      <c r="CC25" s="118"/>
      <c r="CD25" s="115">
        <v>446.27703857421875</v>
      </c>
      <c r="CE25" s="115">
        <v>92.990425109863281</v>
      </c>
      <c r="CF25" s="115">
        <v>35.144641876220703</v>
      </c>
      <c r="CG25" s="115">
        <v>35.338191986083984</v>
      </c>
      <c r="CH25" s="115">
        <v>303.89810180664063</v>
      </c>
      <c r="CI25" s="115">
        <v>113.84262084960938</v>
      </c>
      <c r="CJ25" s="115">
        <v>51.654388427734375</v>
      </c>
      <c r="CK25" s="115">
        <v>65.815742492675781</v>
      </c>
      <c r="CL25" s="116">
        <v>52.626365661621094</v>
      </c>
      <c r="CM25" s="117">
        <v>385.4161376953125</v>
      </c>
      <c r="CN25" s="115">
        <v>156.29960632324219</v>
      </c>
      <c r="CO25" s="115">
        <v>104.19320678710938</v>
      </c>
      <c r="CP25" s="115">
        <v>121.90619659423828</v>
      </c>
      <c r="CQ25" s="115">
        <v>0</v>
      </c>
      <c r="CR25" s="115">
        <v>74.441246032714844</v>
      </c>
      <c r="CS25" s="115">
        <v>16.139404296875</v>
      </c>
      <c r="CT25" s="115">
        <v>55.978862762451172</v>
      </c>
      <c r="CU25" s="115">
        <v>194.25294494628906</v>
      </c>
      <c r="CV25" s="116">
        <v>117.02649688720703</v>
      </c>
      <c r="CW25" s="117">
        <v>6</v>
      </c>
      <c r="CX25" s="115">
        <v>502</v>
      </c>
      <c r="CY25" s="115">
        <v>233.95124816894531</v>
      </c>
      <c r="CZ25" s="115">
        <v>70.599235534667969</v>
      </c>
      <c r="DA25" s="115">
        <v>25.568817138671875</v>
      </c>
      <c r="DB25" s="115">
        <v>49.327686309814453</v>
      </c>
      <c r="DC25" s="115">
        <v>98.48663330078125</v>
      </c>
      <c r="DD25" s="115">
        <v>231</v>
      </c>
      <c r="DE25" s="115">
        <v>191</v>
      </c>
      <c r="DF25" s="115">
        <v>243.22232055664063</v>
      </c>
      <c r="DG25" s="115">
        <v>105.68228912353516</v>
      </c>
      <c r="DH25" s="115">
        <v>72.884239196777344</v>
      </c>
      <c r="DI25" s="120">
        <v>47.490531921386719</v>
      </c>
      <c r="DJ25" s="119">
        <v>264</v>
      </c>
      <c r="DK25" s="115">
        <v>153.44400024414063</v>
      </c>
      <c r="DL25" s="115">
        <v>30.309999465942383</v>
      </c>
      <c r="DM25" s="115">
        <v>66.444000244140625</v>
      </c>
      <c r="DN25" s="115">
        <v>56.548000335693359</v>
      </c>
      <c r="DO25" s="116">
        <v>120.12392425537109</v>
      </c>
      <c r="DP25" s="117">
        <v>17.586000442504883</v>
      </c>
      <c r="DQ25" s="115"/>
      <c r="DR25" s="117">
        <v>67</v>
      </c>
      <c r="DS25" s="120">
        <v>50.599998474121094</v>
      </c>
      <c r="DT25" s="119">
        <v>15</v>
      </c>
      <c r="DU25" s="115"/>
      <c r="DV25" s="115">
        <v>173</v>
      </c>
      <c r="DW25" s="115">
        <v>164.98760986328125</v>
      </c>
      <c r="DX25" s="117">
        <v>12</v>
      </c>
      <c r="DY25" s="120"/>
      <c r="DZ25" s="119">
        <v>54</v>
      </c>
      <c r="EA25" s="115">
        <v>3</v>
      </c>
      <c r="EB25" s="115">
        <v>0</v>
      </c>
      <c r="EC25" s="115">
        <v>2</v>
      </c>
      <c r="ED25" s="115">
        <v>443.79998779296875</v>
      </c>
      <c r="EE25" s="121">
        <v>23.152980804443359</v>
      </c>
      <c r="EF25" s="121">
        <v>23.954084078470867</v>
      </c>
      <c r="EG25" s="121">
        <v>25.568621921539307</v>
      </c>
      <c r="EH25" t="s">
        <v>191</v>
      </c>
    </row>
    <row r="26" spans="1:138" x14ac:dyDescent="0.3">
      <c r="A26" s="226">
        <f t="shared" si="3"/>
        <v>46020.015277777828</v>
      </c>
      <c r="B26" s="115">
        <v>315</v>
      </c>
      <c r="C26" s="115">
        <v>54.285999298095703</v>
      </c>
      <c r="D26" s="115">
        <v>106.53700256347656</v>
      </c>
      <c r="E26" s="115">
        <v>22.618999481201172</v>
      </c>
      <c r="F26" s="115">
        <v>6.2601127624511719</v>
      </c>
      <c r="G26" s="116">
        <v>22.732000350952148</v>
      </c>
      <c r="H26" s="117">
        <v>364</v>
      </c>
      <c r="I26" s="115">
        <v>334</v>
      </c>
      <c r="J26" s="115">
        <v>77.924003601074219</v>
      </c>
      <c r="K26" s="115">
        <v>67.797142028808594</v>
      </c>
      <c r="L26" s="115">
        <v>52.837001800537109</v>
      </c>
      <c r="M26" s="115">
        <v>15.154999732971191</v>
      </c>
      <c r="N26" s="115">
        <v>16.794000625610352</v>
      </c>
      <c r="O26" s="115">
        <v>22</v>
      </c>
      <c r="P26" s="115">
        <v>0</v>
      </c>
      <c r="Q26" s="115">
        <v>22.680669784545898</v>
      </c>
      <c r="R26" s="115">
        <v>28.996875762939453</v>
      </c>
      <c r="S26" s="115">
        <v>29.31135368347168</v>
      </c>
      <c r="T26" s="115">
        <v>1</v>
      </c>
      <c r="U26" s="115">
        <v>1</v>
      </c>
      <c r="V26" s="117">
        <v>1227</v>
      </c>
      <c r="W26" s="115">
        <v>37.947811126708984</v>
      </c>
      <c r="X26" s="115">
        <v>41.731998443603516</v>
      </c>
      <c r="Y26" s="115">
        <v>10.62399959564209</v>
      </c>
      <c r="Z26" s="115">
        <v>0</v>
      </c>
      <c r="AA26" s="115">
        <v>28.839000701904297</v>
      </c>
      <c r="AB26" s="115">
        <v>0</v>
      </c>
      <c r="AC26" s="115">
        <v>68.553367614746094</v>
      </c>
      <c r="AD26" s="115">
        <v>6.1069998741149902</v>
      </c>
      <c r="AE26" s="115">
        <v>0</v>
      </c>
      <c r="AF26" s="115">
        <v>95.993255615234375</v>
      </c>
      <c r="AG26" s="115">
        <v>0</v>
      </c>
      <c r="AH26" s="115">
        <v>82.569709777832031</v>
      </c>
      <c r="AI26" s="115">
        <v>26.781999588012695</v>
      </c>
      <c r="AJ26" s="115">
        <v>41.043746948242188</v>
      </c>
      <c r="AK26" s="115">
        <v>52.318862915039063</v>
      </c>
      <c r="AL26" s="115">
        <v>59.375999450683594</v>
      </c>
      <c r="AM26" s="118">
        <v>58.972999572753906</v>
      </c>
      <c r="AN26" s="117">
        <v>171.5625</v>
      </c>
      <c r="AO26" s="119">
        <v>94</v>
      </c>
      <c r="AP26" s="115">
        <v>91.173118591308594</v>
      </c>
      <c r="AQ26" s="115">
        <v>59.282932281494141</v>
      </c>
      <c r="AR26" s="115">
        <v>92</v>
      </c>
      <c r="AS26" s="115"/>
      <c r="AT26" s="115">
        <v>117</v>
      </c>
      <c r="AU26" s="115"/>
      <c r="AV26" s="115">
        <v>89</v>
      </c>
      <c r="AW26" s="115"/>
      <c r="AX26" s="115">
        <v>38</v>
      </c>
      <c r="AY26" s="115">
        <v>39.820785522460938</v>
      </c>
      <c r="AZ26" s="115">
        <v>30</v>
      </c>
      <c r="BA26" s="115"/>
      <c r="BB26" s="115">
        <v>204</v>
      </c>
      <c r="BC26" s="115">
        <v>210.2188720703125</v>
      </c>
      <c r="BD26" s="115">
        <v>7.6999998092651367</v>
      </c>
      <c r="BE26" s="115">
        <v>7.6522426605224609</v>
      </c>
      <c r="BF26" s="115">
        <v>31</v>
      </c>
      <c r="BG26" s="115">
        <v>12</v>
      </c>
      <c r="BH26" s="115">
        <v>13.019587516784668</v>
      </c>
      <c r="BI26" s="115"/>
      <c r="BJ26" s="108">
        <f t="shared" si="0"/>
        <v>19</v>
      </c>
      <c r="BK26" s="115">
        <v>19</v>
      </c>
      <c r="BL26" s="115">
        <v>0</v>
      </c>
      <c r="BM26" s="118"/>
      <c r="BN26" s="108">
        <f t="shared" si="1"/>
        <v>123</v>
      </c>
      <c r="BO26" s="108">
        <v>74</v>
      </c>
      <c r="BP26" s="108">
        <v>49</v>
      </c>
      <c r="BQ26" s="108">
        <v>342</v>
      </c>
      <c r="BR26" s="115">
        <v>112.19200134277344</v>
      </c>
      <c r="BS26" s="115">
        <v>26.464000701904297</v>
      </c>
      <c r="BT26" s="115">
        <v>50.222000122070313</v>
      </c>
      <c r="BU26" s="115">
        <v>51.847999572753906</v>
      </c>
      <c r="BV26" s="115">
        <v>70.199996948242188</v>
      </c>
      <c r="BW26" s="115">
        <v>7.4000000953674316</v>
      </c>
      <c r="BX26" s="115">
        <v>14</v>
      </c>
      <c r="BY26" s="115">
        <v>30</v>
      </c>
      <c r="BZ26" s="115">
        <v>1.3380222953855991E-2</v>
      </c>
      <c r="CA26" s="115">
        <v>1</v>
      </c>
      <c r="CB26" s="115">
        <v>30.26600456237793</v>
      </c>
      <c r="CC26" s="118"/>
      <c r="CD26" s="115">
        <v>461.47329711914063</v>
      </c>
      <c r="CE26" s="115">
        <v>92.649627685546875</v>
      </c>
      <c r="CF26" s="115">
        <v>35.312400817871094</v>
      </c>
      <c r="CG26" s="115">
        <v>35.338191986083984</v>
      </c>
      <c r="CH26" s="115">
        <v>303.3641357421875</v>
      </c>
      <c r="CI26" s="115">
        <v>115.38185882568359</v>
      </c>
      <c r="CJ26" s="115">
        <v>53.314723968505859</v>
      </c>
      <c r="CK26" s="115">
        <v>65.420783996582031</v>
      </c>
      <c r="CL26" s="116">
        <v>52.324459075927734</v>
      </c>
      <c r="CM26" s="117">
        <v>385.43490600585938</v>
      </c>
      <c r="CN26" s="115">
        <v>153.91629028320313</v>
      </c>
      <c r="CO26" s="115">
        <v>103.78731536865234</v>
      </c>
      <c r="CP26" s="115">
        <v>121.64799499511719</v>
      </c>
      <c r="CQ26" s="115">
        <v>0</v>
      </c>
      <c r="CR26" s="115">
        <v>72.862464904785156</v>
      </c>
      <c r="CS26" s="115">
        <v>15.215854644775391</v>
      </c>
      <c r="CT26" s="115">
        <v>55.334609985351563</v>
      </c>
      <c r="CU26" s="115">
        <v>187.06388854980469</v>
      </c>
      <c r="CV26" s="116">
        <v>117.41209411621094</v>
      </c>
      <c r="CW26" s="117">
        <v>3</v>
      </c>
      <c r="CX26" s="115">
        <v>488</v>
      </c>
      <c r="CY26" s="115">
        <v>233.31422424316406</v>
      </c>
      <c r="CZ26" s="115">
        <v>68.028701782226563</v>
      </c>
      <c r="DA26" s="115">
        <v>25.331731796264648</v>
      </c>
      <c r="DB26" s="115">
        <v>49.295467376708984</v>
      </c>
      <c r="DC26" s="115">
        <v>97.789558410644531</v>
      </c>
      <c r="DD26" s="115">
        <v>237</v>
      </c>
      <c r="DE26" s="115">
        <v>191</v>
      </c>
      <c r="DF26" s="115">
        <v>243.46675109863281</v>
      </c>
      <c r="DG26" s="115">
        <v>105.19161987304688</v>
      </c>
      <c r="DH26" s="115">
        <v>71.876388549804688</v>
      </c>
      <c r="DI26" s="120">
        <v>48.40625</v>
      </c>
      <c r="DJ26" s="119">
        <v>260</v>
      </c>
      <c r="DK26" s="115">
        <v>148.35499572753906</v>
      </c>
      <c r="DL26" s="115">
        <v>30.761999130249023</v>
      </c>
      <c r="DM26" s="115">
        <v>62.733001708984375</v>
      </c>
      <c r="DN26" s="115">
        <v>51.069999694824219</v>
      </c>
      <c r="DO26" s="116">
        <v>121.84574127197266</v>
      </c>
      <c r="DP26" s="117">
        <v>18.010000228881836</v>
      </c>
      <c r="DQ26" s="115"/>
      <c r="DR26" s="117">
        <v>67</v>
      </c>
      <c r="DS26" s="120">
        <v>49.599998474121094</v>
      </c>
      <c r="DT26" s="119">
        <v>15</v>
      </c>
      <c r="DU26" s="115"/>
      <c r="DV26" s="115">
        <v>176</v>
      </c>
      <c r="DW26" s="115">
        <v>165.25321960449219</v>
      </c>
      <c r="DX26" s="117">
        <v>14</v>
      </c>
      <c r="DY26" s="120"/>
      <c r="DZ26" s="119">
        <v>55</v>
      </c>
      <c r="EA26" s="115">
        <v>3</v>
      </c>
      <c r="EB26" s="115">
        <v>0</v>
      </c>
      <c r="EC26" s="115">
        <v>1</v>
      </c>
      <c r="ED26" s="115">
        <v>438.39999389648438</v>
      </c>
      <c r="EE26" s="121">
        <v>22.844999313354492</v>
      </c>
      <c r="EF26" s="121">
        <v>23.278666496276855</v>
      </c>
      <c r="EG26" s="121">
        <v>24.439800230662026</v>
      </c>
      <c r="EH26" t="s">
        <v>57</v>
      </c>
    </row>
    <row r="27" spans="1:138" x14ac:dyDescent="0.3">
      <c r="A27" s="226">
        <f t="shared" si="3"/>
        <v>46020.015972222274</v>
      </c>
      <c r="B27" s="115">
        <v>311</v>
      </c>
      <c r="C27" s="115">
        <v>51.233001708984375</v>
      </c>
      <c r="D27" s="115">
        <v>103.70999908447266</v>
      </c>
      <c r="E27" s="115">
        <v>22.166999816894531</v>
      </c>
      <c r="F27" s="115">
        <v>0</v>
      </c>
      <c r="G27" s="116">
        <v>23.636999130249023</v>
      </c>
      <c r="H27" s="117">
        <v>367</v>
      </c>
      <c r="I27" s="115">
        <v>329</v>
      </c>
      <c r="J27" s="115">
        <v>78.941001892089844</v>
      </c>
      <c r="K27" s="115">
        <v>66.026161193847656</v>
      </c>
      <c r="L27" s="115">
        <v>51.953998565673828</v>
      </c>
      <c r="M27" s="115">
        <v>14.814999580383301</v>
      </c>
      <c r="N27" s="115">
        <v>17.558000564575195</v>
      </c>
      <c r="O27" s="115">
        <v>21</v>
      </c>
      <c r="P27" s="115">
        <v>0</v>
      </c>
      <c r="Q27" s="115">
        <v>21.403785705566406</v>
      </c>
      <c r="R27" s="115">
        <v>27</v>
      </c>
      <c r="S27" s="115">
        <v>29.927175521850586</v>
      </c>
      <c r="T27" s="115">
        <v>9</v>
      </c>
      <c r="U27" s="115">
        <v>9</v>
      </c>
      <c r="V27" s="117">
        <v>1218</v>
      </c>
      <c r="W27" s="115">
        <v>39.231201171875</v>
      </c>
      <c r="X27" s="115">
        <v>40.715000152587891</v>
      </c>
      <c r="Y27" s="115">
        <v>10.75100040435791</v>
      </c>
      <c r="Z27" s="115">
        <v>0</v>
      </c>
      <c r="AA27" s="115">
        <v>29.857000350952148</v>
      </c>
      <c r="AB27" s="115">
        <v>0</v>
      </c>
      <c r="AC27" s="115">
        <v>67.051261901855469</v>
      </c>
      <c r="AD27" s="115">
        <v>6.1069998741149902</v>
      </c>
      <c r="AE27" s="115">
        <v>0</v>
      </c>
      <c r="AF27" s="115">
        <v>98.348793029785156</v>
      </c>
      <c r="AG27" s="115">
        <v>0</v>
      </c>
      <c r="AH27" s="115">
        <v>85.877265930175781</v>
      </c>
      <c r="AI27" s="115">
        <v>27.673000335693359</v>
      </c>
      <c r="AJ27" s="115">
        <v>39.013378143310547</v>
      </c>
      <c r="AK27" s="115">
        <v>53.056430816650391</v>
      </c>
      <c r="AL27" s="115">
        <v>57.608001708984375</v>
      </c>
      <c r="AM27" s="118">
        <v>56.110000610351563</v>
      </c>
      <c r="AN27" s="117">
        <v>171.75</v>
      </c>
      <c r="AO27" s="119">
        <v>93</v>
      </c>
      <c r="AP27" s="115">
        <v>88.804672241210938</v>
      </c>
      <c r="AQ27" s="115">
        <v>58.263645172119141</v>
      </c>
      <c r="AR27" s="115">
        <v>92</v>
      </c>
      <c r="AS27" s="115"/>
      <c r="AT27" s="115">
        <v>117</v>
      </c>
      <c r="AU27" s="115"/>
      <c r="AV27" s="115">
        <v>89</v>
      </c>
      <c r="AW27" s="115"/>
      <c r="AX27" s="115">
        <v>38</v>
      </c>
      <c r="AY27" s="115">
        <v>39.644561767578125</v>
      </c>
      <c r="AZ27" s="115">
        <v>29</v>
      </c>
      <c r="BA27" s="115"/>
      <c r="BB27" s="115">
        <v>203</v>
      </c>
      <c r="BC27" s="115">
        <v>209.2183837890625</v>
      </c>
      <c r="BD27" s="115">
        <v>8.1000003814697266</v>
      </c>
      <c r="BE27" s="115">
        <v>8.0282688140869141</v>
      </c>
      <c r="BF27" s="115">
        <v>32</v>
      </c>
      <c r="BG27" s="115">
        <v>12</v>
      </c>
      <c r="BH27" s="115">
        <v>12.92105770111084</v>
      </c>
      <c r="BI27" s="115"/>
      <c r="BJ27" s="108">
        <f t="shared" si="0"/>
        <v>18</v>
      </c>
      <c r="BK27" s="115">
        <v>18</v>
      </c>
      <c r="BL27" s="115">
        <v>0</v>
      </c>
      <c r="BM27" s="118"/>
      <c r="BN27" s="108">
        <f t="shared" si="1"/>
        <v>122.20000076293945</v>
      </c>
      <c r="BO27" s="108">
        <v>74</v>
      </c>
      <c r="BP27" s="108">
        <v>48.200000762939453</v>
      </c>
      <c r="BQ27" s="108">
        <v>337</v>
      </c>
      <c r="BR27" s="115">
        <v>106.87599945068359</v>
      </c>
      <c r="BS27" s="115">
        <v>26.209999084472656</v>
      </c>
      <c r="BT27" s="115">
        <v>50.568000793457031</v>
      </c>
      <c r="BU27" s="115">
        <v>51.339000701904297</v>
      </c>
      <c r="BV27" s="115">
        <v>68.699996948242188</v>
      </c>
      <c r="BW27" s="115">
        <v>7.1999998092651367</v>
      </c>
      <c r="BX27" s="115">
        <v>13.800000190734863</v>
      </c>
      <c r="BY27" s="115">
        <v>28</v>
      </c>
      <c r="BZ27" s="115">
        <v>1.4209490269422531E-2</v>
      </c>
      <c r="CA27" s="115">
        <v>1</v>
      </c>
      <c r="CB27" s="115">
        <v>29.762060165405273</v>
      </c>
      <c r="CC27" s="118"/>
      <c r="CD27" s="115">
        <v>451.97152709960938</v>
      </c>
      <c r="CE27" s="115">
        <v>90.658889770507813</v>
      </c>
      <c r="CF27" s="115">
        <v>35.312400817871094</v>
      </c>
      <c r="CG27" s="115">
        <v>35.338191986083984</v>
      </c>
      <c r="CH27" s="115">
        <v>303.05935668945313</v>
      </c>
      <c r="CI27" s="115">
        <v>116.34629058837891</v>
      </c>
      <c r="CJ27" s="115">
        <v>52.942508697509766</v>
      </c>
      <c r="CK27" s="115">
        <v>65.634140014648438</v>
      </c>
      <c r="CL27" s="116">
        <v>51.854698181152344</v>
      </c>
      <c r="CM27" s="117">
        <v>380.788330078125</v>
      </c>
      <c r="CN27" s="115">
        <v>149.33680725097656</v>
      </c>
      <c r="CO27" s="115">
        <v>105.04689788818359</v>
      </c>
      <c r="CP27" s="115">
        <v>123.37740325927734</v>
      </c>
      <c r="CQ27" s="115">
        <v>0</v>
      </c>
      <c r="CR27" s="115">
        <v>70.057296752929688</v>
      </c>
      <c r="CS27" s="115">
        <v>13.829760551452637</v>
      </c>
      <c r="CT27" s="115">
        <v>55.590358734130859</v>
      </c>
      <c r="CU27" s="115">
        <v>186.72482299804688</v>
      </c>
      <c r="CV27" s="116">
        <v>117.53159332275391</v>
      </c>
      <c r="CW27" s="117">
        <v>3</v>
      </c>
      <c r="CX27" s="115">
        <v>489</v>
      </c>
      <c r="CY27" s="115">
        <v>231.92471313476563</v>
      </c>
      <c r="CZ27" s="115">
        <v>69.382598876953125</v>
      </c>
      <c r="DA27" s="115">
        <v>23.264074325561523</v>
      </c>
      <c r="DB27" s="115">
        <v>49.091815948486328</v>
      </c>
      <c r="DC27" s="115">
        <v>95.250778198242188</v>
      </c>
      <c r="DD27" s="115">
        <v>237</v>
      </c>
      <c r="DE27" s="115">
        <v>191</v>
      </c>
      <c r="DF27" s="115">
        <v>242.11032104492188</v>
      </c>
      <c r="DG27" s="115">
        <v>105.57886505126953</v>
      </c>
      <c r="DH27" s="115">
        <v>72.661659240722656</v>
      </c>
      <c r="DI27" s="120">
        <v>45.773109436035156</v>
      </c>
      <c r="DJ27" s="119">
        <v>260</v>
      </c>
      <c r="DK27" s="115">
        <v>148.10000610351563</v>
      </c>
      <c r="DL27" s="115">
        <v>30.761999130249023</v>
      </c>
      <c r="DM27" s="115">
        <v>62.733001708984375</v>
      </c>
      <c r="DN27" s="115">
        <v>55.840999603271484</v>
      </c>
      <c r="DO27" s="116">
        <v>119.15135192871094</v>
      </c>
      <c r="DP27" s="117">
        <v>17.756000518798828</v>
      </c>
      <c r="DQ27" s="115"/>
      <c r="DR27" s="117">
        <v>67</v>
      </c>
      <c r="DS27" s="120">
        <v>48.099998474121094</v>
      </c>
      <c r="DT27" s="119">
        <v>15</v>
      </c>
      <c r="DU27" s="115"/>
      <c r="DV27" s="115">
        <v>175</v>
      </c>
      <c r="DW27" s="115">
        <v>164.97679138183594</v>
      </c>
      <c r="DX27" s="117">
        <v>12</v>
      </c>
      <c r="DY27" s="120"/>
      <c r="DZ27" s="119">
        <v>55</v>
      </c>
      <c r="EA27" s="115">
        <v>3</v>
      </c>
      <c r="EB27" s="115">
        <v>0</v>
      </c>
      <c r="EC27" s="115">
        <v>1</v>
      </c>
      <c r="ED27" s="115">
        <v>443.10000610351563</v>
      </c>
      <c r="EE27" s="121">
        <v>0</v>
      </c>
      <c r="EF27" s="121">
        <v>4.8980000019073486</v>
      </c>
      <c r="EG27" s="121">
        <v>6.0548500378926597</v>
      </c>
      <c r="EH27" t="s">
        <v>58</v>
      </c>
    </row>
    <row r="28" spans="1:138" x14ac:dyDescent="0.3">
      <c r="A28" s="226">
        <f t="shared" si="3"/>
        <v>46020.016666666721</v>
      </c>
      <c r="B28" s="115">
        <v>316</v>
      </c>
      <c r="C28" s="115">
        <v>54.060001373291016</v>
      </c>
      <c r="D28" s="115">
        <v>103.37000274658203</v>
      </c>
      <c r="E28" s="115">
        <v>25.219999313354492</v>
      </c>
      <c r="F28" s="115">
        <v>19.342781066894531</v>
      </c>
      <c r="G28" s="116">
        <v>23.636999130249023</v>
      </c>
      <c r="H28" s="117">
        <v>359</v>
      </c>
      <c r="I28" s="115">
        <v>327</v>
      </c>
      <c r="J28" s="115">
        <v>77.245002746582031</v>
      </c>
      <c r="K28" s="115">
        <v>64.415290832519531</v>
      </c>
      <c r="L28" s="115">
        <v>51.599998474121094</v>
      </c>
      <c r="M28" s="115">
        <v>15.494000434875488</v>
      </c>
      <c r="N28" s="115">
        <v>17.812000274658203</v>
      </c>
      <c r="O28" s="115">
        <v>20</v>
      </c>
      <c r="P28" s="115">
        <v>0</v>
      </c>
      <c r="Q28" s="115">
        <v>20.56629753112793</v>
      </c>
      <c r="R28" s="115">
        <v>27</v>
      </c>
      <c r="S28" s="115">
        <v>28.606403350830078</v>
      </c>
      <c r="T28" s="115">
        <v>9</v>
      </c>
      <c r="U28" s="115">
        <v>9</v>
      </c>
      <c r="V28" s="117">
        <v>1232</v>
      </c>
      <c r="W28" s="115">
        <v>39.331768035888672</v>
      </c>
      <c r="X28" s="115">
        <v>41.166999816894531</v>
      </c>
      <c r="Y28" s="115">
        <v>11.895999908447266</v>
      </c>
      <c r="Z28" s="115">
        <v>0</v>
      </c>
      <c r="AA28" s="115">
        <v>28.160999298095703</v>
      </c>
      <c r="AB28" s="115">
        <v>0</v>
      </c>
      <c r="AC28" s="115">
        <v>67.926345825195313</v>
      </c>
      <c r="AD28" s="115">
        <v>6.1069998741149902</v>
      </c>
      <c r="AE28" s="115">
        <v>0</v>
      </c>
      <c r="AF28" s="115">
        <v>99.881507873535156</v>
      </c>
      <c r="AG28" s="115">
        <v>0</v>
      </c>
      <c r="AH28" s="115">
        <v>80.453781127929688</v>
      </c>
      <c r="AI28" s="115">
        <v>26.781999588012695</v>
      </c>
      <c r="AJ28" s="115">
        <v>42.520755767822266</v>
      </c>
      <c r="AK28" s="115">
        <v>52.351016998291016</v>
      </c>
      <c r="AL28" s="115">
        <v>58.138999938964844</v>
      </c>
      <c r="AM28" s="118">
        <v>57.508998870849609</v>
      </c>
      <c r="AN28" s="117">
        <v>173.875</v>
      </c>
      <c r="AO28" s="119">
        <v>95</v>
      </c>
      <c r="AP28" s="115">
        <v>88.955070495605469</v>
      </c>
      <c r="AQ28" s="115">
        <v>61.688030242919922</v>
      </c>
      <c r="AR28" s="115">
        <v>92</v>
      </c>
      <c r="AS28" s="115"/>
      <c r="AT28" s="115">
        <v>117</v>
      </c>
      <c r="AU28" s="115"/>
      <c r="AV28" s="115">
        <v>89</v>
      </c>
      <c r="AW28" s="115"/>
      <c r="AX28" s="115">
        <v>38</v>
      </c>
      <c r="AY28" s="115">
        <v>39.997249603271484</v>
      </c>
      <c r="AZ28" s="115">
        <v>27</v>
      </c>
      <c r="BA28" s="115"/>
      <c r="BB28" s="115">
        <v>201</v>
      </c>
      <c r="BC28" s="115">
        <v>207.57318115234375</v>
      </c>
      <c r="BD28" s="115">
        <v>7.6999998092651367</v>
      </c>
      <c r="BE28" s="115">
        <v>7.7064738273620605</v>
      </c>
      <c r="BF28" s="115">
        <v>32</v>
      </c>
      <c r="BG28" s="115">
        <v>12</v>
      </c>
      <c r="BH28" s="115">
        <v>12.92105770111084</v>
      </c>
      <c r="BI28" s="115"/>
      <c r="BJ28" s="108">
        <f t="shared" si="0"/>
        <v>19</v>
      </c>
      <c r="BK28" s="115">
        <v>19</v>
      </c>
      <c r="BL28" s="115">
        <v>0</v>
      </c>
      <c r="BM28" s="118"/>
      <c r="BN28" s="108">
        <f t="shared" si="1"/>
        <v>123.20000076293945</v>
      </c>
      <c r="BO28" s="108">
        <v>75</v>
      </c>
      <c r="BP28" s="108">
        <v>48.200000762939453</v>
      </c>
      <c r="BQ28" s="108">
        <v>341</v>
      </c>
      <c r="BR28" s="115">
        <v>106.65000152587891</v>
      </c>
      <c r="BS28" s="115">
        <v>26.718999862670898</v>
      </c>
      <c r="BT28" s="115">
        <v>53.339000701904297</v>
      </c>
      <c r="BU28" s="115">
        <v>52.037998199462891</v>
      </c>
      <c r="BV28" s="115">
        <v>69.300003051757813</v>
      </c>
      <c r="BW28" s="115">
        <v>7.3000001907348633</v>
      </c>
      <c r="BX28" s="115">
        <v>13.800000190734863</v>
      </c>
      <c r="BY28" s="115">
        <v>28</v>
      </c>
      <c r="BZ28" s="115">
        <v>1.4022736810147762E-2</v>
      </c>
      <c r="CA28" s="115">
        <v>0</v>
      </c>
      <c r="CB28" s="115">
        <v>29.74296760559082</v>
      </c>
      <c r="CC28" s="118"/>
      <c r="CD28" s="115">
        <v>453.09976196289063</v>
      </c>
      <c r="CE28" s="115">
        <v>92.730819702148438</v>
      </c>
      <c r="CF28" s="115">
        <v>35.638088226318359</v>
      </c>
      <c r="CG28" s="115">
        <v>35.338191986083984</v>
      </c>
      <c r="CH28" s="115">
        <v>302.93353271484375</v>
      </c>
      <c r="CI28" s="115">
        <v>116.45946502685547</v>
      </c>
      <c r="CJ28" s="115">
        <v>56.048343658447266</v>
      </c>
      <c r="CK28" s="115">
        <v>64.488967895507813</v>
      </c>
      <c r="CL28" s="116">
        <v>51.192356109619141</v>
      </c>
      <c r="CM28" s="117">
        <v>382.18942260742188</v>
      </c>
      <c r="CN28" s="115">
        <v>152.27012634277344</v>
      </c>
      <c r="CO28" s="115">
        <v>104.560791015625</v>
      </c>
      <c r="CP28" s="115">
        <v>122.49750518798828</v>
      </c>
      <c r="CQ28" s="115">
        <v>0</v>
      </c>
      <c r="CR28" s="115">
        <v>70.289543151855469</v>
      </c>
      <c r="CS28" s="115">
        <v>14.241503715515137</v>
      </c>
      <c r="CT28" s="115">
        <v>54.505043029785156</v>
      </c>
      <c r="CU28" s="115">
        <v>190.38774108886719</v>
      </c>
      <c r="CV28" s="116">
        <v>119.37532043457031</v>
      </c>
      <c r="CW28" s="117">
        <v>4</v>
      </c>
      <c r="CX28" s="115">
        <v>491</v>
      </c>
      <c r="CY28" s="115">
        <v>235.57566833496094</v>
      </c>
      <c r="CZ28" s="115">
        <v>65.410469055175781</v>
      </c>
      <c r="DA28" s="115">
        <v>25.375459671020508</v>
      </c>
      <c r="DB28" s="115">
        <v>48.859554290771484</v>
      </c>
      <c r="DC28" s="115">
        <v>94.345207214355469</v>
      </c>
      <c r="DD28" s="115">
        <v>253</v>
      </c>
      <c r="DE28" s="115">
        <v>192</v>
      </c>
      <c r="DF28" s="115">
        <v>243.88687133789063</v>
      </c>
      <c r="DG28" s="115">
        <v>106.20010375976563</v>
      </c>
      <c r="DH28" s="115">
        <v>72.043228149414063</v>
      </c>
      <c r="DI28" s="120">
        <v>47.683628082275391</v>
      </c>
      <c r="DJ28" s="119">
        <v>255</v>
      </c>
      <c r="DK28" s="115">
        <v>151.66299438476563</v>
      </c>
      <c r="DL28" s="115">
        <v>30.988000869750977</v>
      </c>
      <c r="DM28" s="115">
        <v>65.384002685546875</v>
      </c>
      <c r="DN28" s="115">
        <v>56.370998382568359</v>
      </c>
      <c r="DO28" s="116">
        <v>116.20680999755859</v>
      </c>
      <c r="DP28" s="117">
        <v>18.350000381469727</v>
      </c>
      <c r="DQ28" s="115"/>
      <c r="DR28" s="117">
        <v>67</v>
      </c>
      <c r="DS28" s="120">
        <v>49.400001525878906</v>
      </c>
      <c r="DT28" s="119">
        <v>14</v>
      </c>
      <c r="DU28" s="115"/>
      <c r="DV28" s="115">
        <v>176</v>
      </c>
      <c r="DW28" s="115">
        <v>164.72854614257813</v>
      </c>
      <c r="DX28" s="117">
        <v>12</v>
      </c>
      <c r="DY28" s="120"/>
      <c r="DZ28" s="119">
        <v>56</v>
      </c>
      <c r="EA28" s="115">
        <v>3</v>
      </c>
      <c r="EB28" s="115">
        <v>0</v>
      </c>
      <c r="EC28" s="115">
        <v>1</v>
      </c>
      <c r="ED28" s="115">
        <v>440.29998779296875</v>
      </c>
      <c r="EE28" s="121">
        <v>0</v>
      </c>
      <c r="EF28" s="121">
        <v>0</v>
      </c>
      <c r="EG28" s="121">
        <v>0</v>
      </c>
      <c r="EH28" t="s">
        <v>59</v>
      </c>
    </row>
    <row r="29" spans="1:138" x14ac:dyDescent="0.3">
      <c r="A29" s="226">
        <f t="shared" si="3"/>
        <v>46020.017361111168</v>
      </c>
      <c r="B29" s="115">
        <v>316</v>
      </c>
      <c r="C29" s="115">
        <v>55.869998931884766</v>
      </c>
      <c r="D29" s="115">
        <v>104.61499786376953</v>
      </c>
      <c r="E29" s="115">
        <v>26.576999664306641</v>
      </c>
      <c r="F29" s="115">
        <v>14.545852661132813</v>
      </c>
      <c r="G29" s="116">
        <v>22.280000686645508</v>
      </c>
      <c r="H29" s="117">
        <v>358</v>
      </c>
      <c r="I29" s="115">
        <v>327</v>
      </c>
      <c r="J29" s="115">
        <v>78.26300048828125</v>
      </c>
      <c r="K29" s="115">
        <v>65.348472595214844</v>
      </c>
      <c r="L29" s="115">
        <v>52.306999206542969</v>
      </c>
      <c r="M29" s="115">
        <v>14.814999580383301</v>
      </c>
      <c r="N29" s="115">
        <v>16.731000900268555</v>
      </c>
      <c r="O29" s="115">
        <v>18</v>
      </c>
      <c r="P29" s="115">
        <v>0</v>
      </c>
      <c r="Q29" s="115">
        <v>18.814838409423828</v>
      </c>
      <c r="R29" s="115">
        <v>27</v>
      </c>
      <c r="S29" s="115">
        <v>29.910533905029297</v>
      </c>
      <c r="T29" s="115">
        <v>9</v>
      </c>
      <c r="U29" s="115">
        <v>9</v>
      </c>
      <c r="V29" s="117">
        <v>1222</v>
      </c>
      <c r="W29" s="115">
        <v>39.947360992431641</v>
      </c>
      <c r="X29" s="115">
        <v>41.618999481201172</v>
      </c>
      <c r="Y29" s="115">
        <v>10.178000450134277</v>
      </c>
      <c r="Z29" s="115">
        <v>0</v>
      </c>
      <c r="AA29" s="115">
        <v>27.368999481201172</v>
      </c>
      <c r="AB29" s="115">
        <v>0</v>
      </c>
      <c r="AC29" s="115">
        <v>68.118927001953125</v>
      </c>
      <c r="AD29" s="115">
        <v>6.1069998741149902</v>
      </c>
      <c r="AE29" s="115">
        <v>0</v>
      </c>
      <c r="AF29" s="115">
        <v>99.216331481933594</v>
      </c>
      <c r="AG29" s="115">
        <v>0</v>
      </c>
      <c r="AH29" s="115">
        <v>82.301223754882813</v>
      </c>
      <c r="AI29" s="115">
        <v>27.673000335693359</v>
      </c>
      <c r="AJ29" s="115">
        <v>41.227222442626953</v>
      </c>
      <c r="AK29" s="115">
        <v>50.602245330810547</v>
      </c>
      <c r="AL29" s="115">
        <v>61.849998474121094</v>
      </c>
      <c r="AM29" s="118">
        <v>58.909000396728516</v>
      </c>
      <c r="AN29" s="117">
        <v>170.5</v>
      </c>
      <c r="AO29" s="119">
        <v>96</v>
      </c>
      <c r="AP29" s="115">
        <v>90.436935424804688</v>
      </c>
      <c r="AQ29" s="115">
        <v>61.708110809326172</v>
      </c>
      <c r="AR29" s="115">
        <v>129</v>
      </c>
      <c r="AS29" s="115"/>
      <c r="AT29" s="115">
        <v>120</v>
      </c>
      <c r="AU29" s="115"/>
      <c r="AV29" s="115">
        <v>88</v>
      </c>
      <c r="AW29" s="115"/>
      <c r="AX29" s="115">
        <v>37</v>
      </c>
      <c r="AY29" s="115">
        <v>39.04254150390625</v>
      </c>
      <c r="AZ29" s="115">
        <v>26</v>
      </c>
      <c r="BA29" s="115"/>
      <c r="BB29" s="115">
        <v>203</v>
      </c>
      <c r="BC29" s="115">
        <v>208.95101928710938</v>
      </c>
      <c r="BD29" s="115">
        <v>7.5999999046325684</v>
      </c>
      <c r="BE29" s="115">
        <v>7.6282367706298828</v>
      </c>
      <c r="BF29" s="115">
        <v>30</v>
      </c>
      <c r="BG29" s="115">
        <v>12</v>
      </c>
      <c r="BH29" s="115">
        <v>12.926674842834473</v>
      </c>
      <c r="BI29" s="115"/>
      <c r="BJ29" s="108">
        <f t="shared" si="0"/>
        <v>18</v>
      </c>
      <c r="BK29" s="115">
        <v>18</v>
      </c>
      <c r="BL29" s="115">
        <v>0</v>
      </c>
      <c r="BM29" s="118"/>
      <c r="BN29" s="108">
        <f t="shared" si="1"/>
        <v>123.20000076293945</v>
      </c>
      <c r="BO29" s="108">
        <v>75</v>
      </c>
      <c r="BP29" s="108">
        <v>48.200000762939453</v>
      </c>
      <c r="BQ29" s="108">
        <v>343</v>
      </c>
      <c r="BR29" s="115">
        <v>104.95400238037109</v>
      </c>
      <c r="BS29" s="115">
        <v>26.209999084472656</v>
      </c>
      <c r="BT29" s="115">
        <v>52.993000030517578</v>
      </c>
      <c r="BU29" s="115">
        <v>49.430000305175781</v>
      </c>
      <c r="BV29" s="115">
        <v>68.5</v>
      </c>
      <c r="BW29" s="115">
        <v>7.4000000953674316</v>
      </c>
      <c r="BX29" s="115">
        <v>13.699999809265137</v>
      </c>
      <c r="BY29" s="115">
        <v>29</v>
      </c>
      <c r="BZ29" s="115">
        <v>1.3578800484538078E-2</v>
      </c>
      <c r="CA29" s="115">
        <v>0</v>
      </c>
      <c r="CB29" s="115">
        <v>29.469520568847656</v>
      </c>
      <c r="CC29" s="118"/>
      <c r="CD29" s="115">
        <v>456.44073486328125</v>
      </c>
      <c r="CE29" s="115">
        <v>93.796287536621094</v>
      </c>
      <c r="CF29" s="115">
        <v>34.013938903808594</v>
      </c>
      <c r="CG29" s="115">
        <v>35.338191986083984</v>
      </c>
      <c r="CH29" s="115">
        <v>303.68215942382813</v>
      </c>
      <c r="CI29" s="115">
        <v>120.82093811035156</v>
      </c>
      <c r="CJ29" s="115">
        <v>57.698528289794922</v>
      </c>
      <c r="CK29" s="115">
        <v>65.834449768066406</v>
      </c>
      <c r="CL29" s="116">
        <v>50.915061950683594</v>
      </c>
      <c r="CM29" s="117">
        <v>384.68743896484375</v>
      </c>
      <c r="CN29" s="115">
        <v>152.29347229003906</v>
      </c>
      <c r="CO29" s="115">
        <v>104.92086791992188</v>
      </c>
      <c r="CP29" s="115">
        <v>121.34557342529297</v>
      </c>
      <c r="CQ29" s="115">
        <v>0</v>
      </c>
      <c r="CR29" s="115">
        <v>69.759742736816406</v>
      </c>
      <c r="CS29" s="115">
        <v>14.405064582824707</v>
      </c>
      <c r="CT29" s="115">
        <v>54.190036773681641</v>
      </c>
      <c r="CU29" s="115">
        <v>189.16246032714844</v>
      </c>
      <c r="CV29" s="116">
        <v>119.56068420410156</v>
      </c>
      <c r="CW29" s="117">
        <v>4</v>
      </c>
      <c r="CX29" s="115">
        <v>486</v>
      </c>
      <c r="CY29" s="115">
        <v>233.91018676757813</v>
      </c>
      <c r="CZ29" s="115">
        <v>67.541305541992188</v>
      </c>
      <c r="DA29" s="115">
        <v>24.046285629272461</v>
      </c>
      <c r="DB29" s="115">
        <v>49.597507476806641</v>
      </c>
      <c r="DC29" s="115">
        <v>94.345207214355469</v>
      </c>
      <c r="DD29" s="115">
        <v>244</v>
      </c>
      <c r="DE29" s="115">
        <v>192</v>
      </c>
      <c r="DF29" s="115">
        <v>239.37400817871094</v>
      </c>
      <c r="DG29" s="115">
        <v>106.52072143554688</v>
      </c>
      <c r="DH29" s="115">
        <v>72.216751098632813</v>
      </c>
      <c r="DI29" s="120">
        <v>48.587139129638672</v>
      </c>
      <c r="DJ29" s="119">
        <v>257</v>
      </c>
      <c r="DK29" s="115">
        <v>150.89999389648438</v>
      </c>
      <c r="DL29" s="115">
        <v>29.743999481201172</v>
      </c>
      <c r="DM29" s="115">
        <v>64.853996276855469</v>
      </c>
      <c r="DN29" s="115">
        <v>57.077999114990234</v>
      </c>
      <c r="DO29" s="116">
        <v>116.53574371337891</v>
      </c>
      <c r="DP29" s="117">
        <v>17.530000686645508</v>
      </c>
      <c r="DQ29" s="115"/>
      <c r="DR29" s="117">
        <v>67</v>
      </c>
      <c r="DS29" s="120">
        <v>49.099998474121094</v>
      </c>
      <c r="DT29" s="119">
        <v>14</v>
      </c>
      <c r="DU29" s="115"/>
      <c r="DV29" s="115">
        <v>176</v>
      </c>
      <c r="DW29" s="115">
        <v>165.28913879394531</v>
      </c>
      <c r="DX29" s="117">
        <v>11</v>
      </c>
      <c r="DY29" s="120"/>
      <c r="DZ29" s="119">
        <v>54</v>
      </c>
      <c r="EA29" s="115">
        <v>3</v>
      </c>
      <c r="EB29" s="115">
        <v>0</v>
      </c>
      <c r="EC29" s="115">
        <v>1</v>
      </c>
      <c r="ED29" s="115">
        <v>439.10000610351563</v>
      </c>
      <c r="EE29" s="121">
        <v>16.625</v>
      </c>
      <c r="EF29" s="121">
        <v>16.98283354441325</v>
      </c>
      <c r="EG29" s="121">
        <v>18.383516693115233</v>
      </c>
      <c r="EH29" t="s">
        <v>60</v>
      </c>
    </row>
    <row r="30" spans="1:138" x14ac:dyDescent="0.3">
      <c r="A30" s="226">
        <f t="shared" si="3"/>
        <v>46020.018055555614</v>
      </c>
      <c r="B30" s="115">
        <v>314</v>
      </c>
      <c r="C30" s="115">
        <v>55.191001892089844</v>
      </c>
      <c r="D30" s="115">
        <v>104.72799682617188</v>
      </c>
      <c r="E30" s="115">
        <v>20.583000183105469</v>
      </c>
      <c r="F30" s="115">
        <v>3.0496995449066162</v>
      </c>
      <c r="G30" s="116">
        <v>22.166999816894531</v>
      </c>
      <c r="H30" s="117">
        <v>358</v>
      </c>
      <c r="I30" s="115">
        <v>331</v>
      </c>
      <c r="J30" s="115">
        <v>77.924003601074219</v>
      </c>
      <c r="K30" s="115">
        <v>65.964576721191406</v>
      </c>
      <c r="L30" s="115">
        <v>53.191001892089844</v>
      </c>
      <c r="M30" s="115">
        <v>14.928000450134277</v>
      </c>
      <c r="N30" s="115">
        <v>17.430999755859375</v>
      </c>
      <c r="O30" s="115">
        <v>18</v>
      </c>
      <c r="P30" s="115">
        <v>0</v>
      </c>
      <c r="Q30" s="115">
        <v>18.82227897644043</v>
      </c>
      <c r="R30" s="115">
        <v>31.003124237060547</v>
      </c>
      <c r="S30" s="115">
        <v>32.319046020507813</v>
      </c>
      <c r="T30" s="115">
        <v>9</v>
      </c>
      <c r="U30" s="115">
        <v>9</v>
      </c>
      <c r="V30" s="117">
        <v>1222</v>
      </c>
      <c r="W30" s="115">
        <v>39.28448486328125</v>
      </c>
      <c r="X30" s="115">
        <v>40.487998962402344</v>
      </c>
      <c r="Y30" s="115">
        <v>10.050999641418457</v>
      </c>
      <c r="Z30" s="115">
        <v>0</v>
      </c>
      <c r="AA30" s="115">
        <v>31.10099983215332</v>
      </c>
      <c r="AB30" s="115">
        <v>0</v>
      </c>
      <c r="AC30" s="115">
        <v>67.853782653808594</v>
      </c>
      <c r="AD30" s="115">
        <v>6.1069998741149902</v>
      </c>
      <c r="AE30" s="115">
        <v>0</v>
      </c>
      <c r="AF30" s="115">
        <v>98.822044372558594</v>
      </c>
      <c r="AG30" s="115">
        <v>0</v>
      </c>
      <c r="AH30" s="115">
        <v>83.844345092773438</v>
      </c>
      <c r="AI30" s="115">
        <v>24.429000854492188</v>
      </c>
      <c r="AJ30" s="115">
        <v>37.380035400390625</v>
      </c>
      <c r="AK30" s="115">
        <v>50.922466278076172</v>
      </c>
      <c r="AL30" s="115">
        <v>61.495998382568359</v>
      </c>
      <c r="AM30" s="118">
        <v>57.955001831054688</v>
      </c>
      <c r="AN30" s="117">
        <v>170.5</v>
      </c>
      <c r="AO30" s="119">
        <v>96</v>
      </c>
      <c r="AP30" s="115">
        <v>89.472312927246094</v>
      </c>
      <c r="AQ30" s="115">
        <v>62.369651794433594</v>
      </c>
      <c r="AR30" s="115">
        <v>134</v>
      </c>
      <c r="AS30" s="115"/>
      <c r="AT30" s="115">
        <v>119</v>
      </c>
      <c r="AU30" s="115"/>
      <c r="AV30" s="115">
        <v>96</v>
      </c>
      <c r="AW30" s="115"/>
      <c r="AX30" s="115">
        <v>37</v>
      </c>
      <c r="AY30" s="115">
        <v>39.5067138671875</v>
      </c>
      <c r="AZ30" s="115">
        <v>27</v>
      </c>
      <c r="BA30" s="115"/>
      <c r="BB30" s="115">
        <v>202</v>
      </c>
      <c r="BC30" s="115">
        <v>209.26268005371094</v>
      </c>
      <c r="BD30" s="115">
        <v>7.5999999046325684</v>
      </c>
      <c r="BE30" s="115">
        <v>7.6282367706298828</v>
      </c>
      <c r="BF30" s="115">
        <v>31</v>
      </c>
      <c r="BG30" s="115">
        <v>12</v>
      </c>
      <c r="BH30" s="115">
        <v>12.999477386474609</v>
      </c>
      <c r="BI30" s="115"/>
      <c r="BJ30" s="108">
        <f t="shared" si="0"/>
        <v>19</v>
      </c>
      <c r="BK30" s="115">
        <v>19</v>
      </c>
      <c r="BL30" s="115">
        <v>0</v>
      </c>
      <c r="BM30" s="118"/>
      <c r="BN30" s="108">
        <f t="shared" si="1"/>
        <v>123.20000076293945</v>
      </c>
      <c r="BO30" s="108">
        <v>75</v>
      </c>
      <c r="BP30" s="108">
        <v>48.200000762939453</v>
      </c>
      <c r="BQ30" s="108">
        <v>343</v>
      </c>
      <c r="BR30" s="115">
        <v>107.89399719238281</v>
      </c>
      <c r="BS30" s="115">
        <v>25.701000213623047</v>
      </c>
      <c r="BT30" s="115">
        <v>54.032001495361328</v>
      </c>
      <c r="BU30" s="115">
        <v>48.666999816894531</v>
      </c>
      <c r="BV30" s="115">
        <v>68</v>
      </c>
      <c r="BW30" s="115">
        <v>7.1999998092651367</v>
      </c>
      <c r="BX30" s="115">
        <v>13.600000381469727</v>
      </c>
      <c r="BY30" s="115">
        <v>29</v>
      </c>
      <c r="BZ30" s="115">
        <v>1.3530198484659195E-2</v>
      </c>
      <c r="CA30" s="115">
        <v>0</v>
      </c>
      <c r="CB30" s="115">
        <v>29.310878753662109</v>
      </c>
      <c r="CC30" s="118"/>
      <c r="CD30" s="115">
        <v>445.66226196289063</v>
      </c>
      <c r="CE30" s="115">
        <v>91.055557250976563</v>
      </c>
      <c r="CF30" s="115">
        <v>34.000576019287109</v>
      </c>
      <c r="CG30" s="115">
        <v>35.338191986083984</v>
      </c>
      <c r="CH30" s="115">
        <v>303.16748046875</v>
      </c>
      <c r="CI30" s="115">
        <v>108.30988311767578</v>
      </c>
      <c r="CJ30" s="115">
        <v>52.054836273193359</v>
      </c>
      <c r="CK30" s="115">
        <v>61.662014007568359</v>
      </c>
      <c r="CL30" s="116">
        <v>50.785182952880859</v>
      </c>
      <c r="CM30" s="117">
        <v>379.37567138671875</v>
      </c>
      <c r="CN30" s="115">
        <v>152.29347229003906</v>
      </c>
      <c r="CO30" s="115">
        <v>104.26332092285156</v>
      </c>
      <c r="CP30" s="115">
        <v>118.40766143798828</v>
      </c>
      <c r="CQ30" s="115">
        <v>0</v>
      </c>
      <c r="CR30" s="115">
        <v>69.304275512695313</v>
      </c>
      <c r="CS30" s="115">
        <v>13.748832702636719</v>
      </c>
      <c r="CT30" s="115">
        <v>57.948322296142578</v>
      </c>
      <c r="CU30" s="115">
        <v>189.99589538574219</v>
      </c>
      <c r="CV30" s="116">
        <v>114.23490905761719</v>
      </c>
      <c r="CW30" s="117">
        <v>8</v>
      </c>
      <c r="CX30" s="115">
        <v>484</v>
      </c>
      <c r="CY30" s="115">
        <v>230.67306518554688</v>
      </c>
      <c r="CZ30" s="115">
        <v>69.7447509765625</v>
      </c>
      <c r="DA30" s="115">
        <v>23.782133102416992</v>
      </c>
      <c r="DB30" s="115">
        <v>49.793529510498047</v>
      </c>
      <c r="DC30" s="115">
        <v>96.563705444335938</v>
      </c>
      <c r="DD30" s="115">
        <v>244</v>
      </c>
      <c r="DE30" s="115">
        <v>193</v>
      </c>
      <c r="DF30" s="115">
        <v>239.74908447265625</v>
      </c>
      <c r="DG30" s="115">
        <v>106.45650482177734</v>
      </c>
      <c r="DH30" s="115">
        <v>70.524208068847656</v>
      </c>
      <c r="DI30" s="120">
        <v>50.710010528564453</v>
      </c>
      <c r="DJ30" s="119">
        <v>257</v>
      </c>
      <c r="DK30" s="115">
        <v>151.40899658203125</v>
      </c>
      <c r="DL30" s="115">
        <v>29.743999481201172</v>
      </c>
      <c r="DM30" s="115">
        <v>62.202999114990234</v>
      </c>
      <c r="DN30" s="115">
        <v>54.780998229980469</v>
      </c>
      <c r="DO30" s="116">
        <v>118.11371612548828</v>
      </c>
      <c r="DP30" s="117">
        <v>16.992000579833984</v>
      </c>
      <c r="DQ30" s="115"/>
      <c r="DR30" s="117">
        <v>67</v>
      </c>
      <c r="DS30" s="120">
        <v>49.700000762939453</v>
      </c>
      <c r="DT30" s="119">
        <v>15</v>
      </c>
      <c r="DU30" s="115"/>
      <c r="DV30" s="115">
        <v>178</v>
      </c>
      <c r="DW30" s="115">
        <v>165.06002807617188</v>
      </c>
      <c r="DX30" s="117">
        <v>13</v>
      </c>
      <c r="DY30" s="120"/>
      <c r="DZ30" s="119">
        <v>53</v>
      </c>
      <c r="EA30" s="115">
        <v>3</v>
      </c>
      <c r="EB30" s="115">
        <v>0</v>
      </c>
      <c r="EC30" s="115">
        <v>1</v>
      </c>
      <c r="ED30" s="115">
        <v>438</v>
      </c>
      <c r="EE30" s="121">
        <v>0</v>
      </c>
      <c r="EF30" s="121">
        <v>0</v>
      </c>
      <c r="EG30" s="121">
        <v>0</v>
      </c>
      <c r="EH30" t="s">
        <v>61</v>
      </c>
    </row>
    <row r="31" spans="1:138" x14ac:dyDescent="0.3">
      <c r="A31" s="226">
        <f t="shared" si="3"/>
        <v>46020.018750000061</v>
      </c>
      <c r="B31" s="115">
        <v>314</v>
      </c>
      <c r="C31" s="115">
        <v>53.381000518798828</v>
      </c>
      <c r="D31" s="115">
        <v>105.63200378417969</v>
      </c>
      <c r="E31" s="115">
        <v>21.14900016784668</v>
      </c>
      <c r="F31" s="115">
        <v>1.6891251802444458</v>
      </c>
      <c r="G31" s="116">
        <v>22.392999649047852</v>
      </c>
      <c r="H31" s="117">
        <v>358</v>
      </c>
      <c r="I31" s="115">
        <v>323</v>
      </c>
      <c r="J31" s="115">
        <v>76.226997375488281</v>
      </c>
      <c r="K31" s="115">
        <v>65.429489135742188</v>
      </c>
      <c r="L31" s="115">
        <v>52.837001800537109</v>
      </c>
      <c r="M31" s="115">
        <v>14.928000450134277</v>
      </c>
      <c r="N31" s="115">
        <v>17.113000869750977</v>
      </c>
      <c r="O31" s="115">
        <v>19</v>
      </c>
      <c r="P31" s="115">
        <v>0</v>
      </c>
      <c r="Q31" s="115">
        <v>19.565776824951172</v>
      </c>
      <c r="R31" s="115">
        <v>28.996875762939453</v>
      </c>
      <c r="S31" s="115">
        <v>32.231647491455078</v>
      </c>
      <c r="T31" s="115">
        <v>9</v>
      </c>
      <c r="U31" s="115">
        <v>9</v>
      </c>
      <c r="V31" s="117">
        <v>1210</v>
      </c>
      <c r="W31" s="115">
        <v>37.279201507568359</v>
      </c>
      <c r="X31" s="115">
        <v>41.054000854492188</v>
      </c>
      <c r="Y31" s="115">
        <v>11.069000244140625</v>
      </c>
      <c r="Z31" s="115">
        <v>0</v>
      </c>
      <c r="AA31" s="115">
        <v>31.554000854492188</v>
      </c>
      <c r="AB31" s="115">
        <v>0</v>
      </c>
      <c r="AC31" s="115">
        <v>66.989006042480469</v>
      </c>
      <c r="AD31" s="115">
        <v>6.1069998741149902</v>
      </c>
      <c r="AE31" s="115">
        <v>0</v>
      </c>
      <c r="AF31" s="115">
        <v>98.461662292480469</v>
      </c>
      <c r="AG31" s="115">
        <v>0</v>
      </c>
      <c r="AH31" s="115">
        <v>83.43695068359375</v>
      </c>
      <c r="AI31" s="115">
        <v>25.000999450683594</v>
      </c>
      <c r="AJ31" s="115">
        <v>34.659492492675781</v>
      </c>
      <c r="AK31" s="115">
        <v>52.962612152099609</v>
      </c>
      <c r="AL31" s="115">
        <v>60.258998870849609</v>
      </c>
      <c r="AM31" s="118">
        <v>59.16400146484375</v>
      </c>
      <c r="AN31" s="117">
        <v>173.1875</v>
      </c>
      <c r="AO31" s="119">
        <v>95</v>
      </c>
      <c r="AP31" s="115">
        <v>87.398033142089844</v>
      </c>
      <c r="AQ31" s="115">
        <v>63.000171661376953</v>
      </c>
      <c r="AR31" s="115">
        <v>134</v>
      </c>
      <c r="AS31" s="115"/>
      <c r="AT31" s="115">
        <v>119</v>
      </c>
      <c r="AU31" s="115"/>
      <c r="AV31" s="115">
        <v>96</v>
      </c>
      <c r="AW31" s="115"/>
      <c r="AX31" s="115">
        <v>36</v>
      </c>
      <c r="AY31" s="115">
        <v>38.349617004394531</v>
      </c>
      <c r="AZ31" s="115">
        <v>27</v>
      </c>
      <c r="BA31" s="115"/>
      <c r="BB31" s="115">
        <v>200</v>
      </c>
      <c r="BC31" s="115">
        <v>207.7598876953125</v>
      </c>
      <c r="BD31" s="115">
        <v>7.4000000953674316</v>
      </c>
      <c r="BE31" s="115">
        <v>7.5268983840942383</v>
      </c>
      <c r="BF31" s="115">
        <v>32</v>
      </c>
      <c r="BG31" s="115">
        <v>13</v>
      </c>
      <c r="BH31" s="115">
        <v>13.399777412414551</v>
      </c>
      <c r="BI31" s="115"/>
      <c r="BJ31" s="108">
        <f t="shared" si="0"/>
        <v>18</v>
      </c>
      <c r="BK31" s="115">
        <v>18</v>
      </c>
      <c r="BL31" s="115">
        <v>0</v>
      </c>
      <c r="BM31" s="118"/>
      <c r="BN31" s="108">
        <f t="shared" si="1"/>
        <v>124</v>
      </c>
      <c r="BO31" s="108">
        <v>76</v>
      </c>
      <c r="BP31" s="108">
        <v>48</v>
      </c>
      <c r="BQ31" s="108">
        <v>342</v>
      </c>
      <c r="BR31" s="115">
        <v>107.66799926757813</v>
      </c>
      <c r="BS31" s="115">
        <v>27.482000350952148</v>
      </c>
      <c r="BT31" s="115">
        <v>56.456001281738281</v>
      </c>
      <c r="BU31" s="115">
        <v>48.603000640869141</v>
      </c>
      <c r="BV31" s="115">
        <v>67.900001525878906</v>
      </c>
      <c r="BW31" s="115">
        <v>7.1999998092651367</v>
      </c>
      <c r="BX31" s="115">
        <v>13.699999809265137</v>
      </c>
      <c r="BY31" s="115">
        <v>29</v>
      </c>
      <c r="BZ31" s="115">
        <v>1.5563297085464001E-2</v>
      </c>
      <c r="CA31" s="115">
        <v>0</v>
      </c>
      <c r="CB31" s="115">
        <v>29.393060684204102</v>
      </c>
      <c r="CC31" s="118"/>
      <c r="CD31" s="115">
        <v>451.92083740234375</v>
      </c>
      <c r="CE31" s="115">
        <v>94.838218688964844</v>
      </c>
      <c r="CF31" s="115">
        <v>34.276199340820313</v>
      </c>
      <c r="CG31" s="115">
        <v>35.338191986083984</v>
      </c>
      <c r="CH31" s="115">
        <v>304.31832885742188</v>
      </c>
      <c r="CI31" s="115">
        <v>107.47166442871094</v>
      </c>
      <c r="CJ31" s="115">
        <v>50.306468963623047</v>
      </c>
      <c r="CK31" s="115">
        <v>62.170059204101563</v>
      </c>
      <c r="CL31" s="116">
        <v>49.463279724121094</v>
      </c>
      <c r="CM31" s="117">
        <v>380.98834228515625</v>
      </c>
      <c r="CN31" s="115">
        <v>151.9781494140625</v>
      </c>
      <c r="CO31" s="115">
        <v>104.69251251220703</v>
      </c>
      <c r="CP31" s="115">
        <v>121.30015563964844</v>
      </c>
      <c r="CQ31" s="115">
        <v>0</v>
      </c>
      <c r="CR31" s="115">
        <v>72.498542785644531</v>
      </c>
      <c r="CS31" s="115">
        <v>13.48038387298584</v>
      </c>
      <c r="CT31" s="115">
        <v>52.985153198242188</v>
      </c>
      <c r="CU31" s="115">
        <v>188.244384765625</v>
      </c>
      <c r="CV31" s="116">
        <v>113.26911163330078</v>
      </c>
      <c r="CW31" s="117">
        <v>3</v>
      </c>
      <c r="CX31" s="115">
        <v>488</v>
      </c>
      <c r="CY31" s="115">
        <v>231.49848937988281</v>
      </c>
      <c r="CZ31" s="115">
        <v>68.140655517578125</v>
      </c>
      <c r="DA31" s="115">
        <v>25.079593658447266</v>
      </c>
      <c r="DB31" s="115">
        <v>46.789817810058594</v>
      </c>
      <c r="DC31" s="115">
        <v>95.708847045898438</v>
      </c>
      <c r="DD31" s="115">
        <v>255</v>
      </c>
      <c r="DE31" s="115">
        <v>191</v>
      </c>
      <c r="DF31" s="115">
        <v>240.04466247558594</v>
      </c>
      <c r="DG31" s="115">
        <v>109.22809600830078</v>
      </c>
      <c r="DH31" s="115">
        <v>71.298759460449219</v>
      </c>
      <c r="DI31" s="120">
        <v>51.013095855712891</v>
      </c>
      <c r="DJ31" s="119">
        <v>259</v>
      </c>
      <c r="DK31" s="115">
        <v>151.15400695800781</v>
      </c>
      <c r="DL31" s="115">
        <v>29.179000854492188</v>
      </c>
      <c r="DM31" s="115">
        <v>61.495998382568359</v>
      </c>
      <c r="DN31" s="115">
        <v>57.077999114990234</v>
      </c>
      <c r="DO31" s="116">
        <v>115.12464904785156</v>
      </c>
      <c r="DP31" s="117">
        <v>17.246999740600586</v>
      </c>
      <c r="DQ31" s="115"/>
      <c r="DR31" s="117">
        <v>67</v>
      </c>
      <c r="DS31" s="120">
        <v>49.299999237060547</v>
      </c>
      <c r="DT31" s="119">
        <v>14</v>
      </c>
      <c r="DU31" s="115"/>
      <c r="DV31" s="115">
        <v>173</v>
      </c>
      <c r="DW31" s="115">
        <v>165.1357421875</v>
      </c>
      <c r="DX31" s="117">
        <v>12</v>
      </c>
      <c r="DY31" s="120"/>
      <c r="DZ31" s="119">
        <v>54</v>
      </c>
      <c r="EA31" s="115">
        <v>3</v>
      </c>
      <c r="EB31" s="115">
        <v>0</v>
      </c>
      <c r="EC31" s="115">
        <v>1</v>
      </c>
      <c r="ED31" s="115">
        <v>442.5</v>
      </c>
      <c r="EE31" s="121">
        <v>49.57342529296875</v>
      </c>
      <c r="EF31" s="121">
        <v>50.124147415161133</v>
      </c>
      <c r="EG31" s="121">
        <v>51.320355796813963</v>
      </c>
      <c r="EH31" t="s">
        <v>62</v>
      </c>
    </row>
    <row r="32" spans="1:138" x14ac:dyDescent="0.3">
      <c r="A32" s="226">
        <f t="shared" si="3"/>
        <v>46020.019444444508</v>
      </c>
      <c r="B32" s="115">
        <v>307</v>
      </c>
      <c r="C32" s="115">
        <v>53.154998779296875</v>
      </c>
      <c r="D32" s="115">
        <v>103.25700378417969</v>
      </c>
      <c r="E32" s="115">
        <v>22.506000518798828</v>
      </c>
      <c r="F32" s="115">
        <v>21.109491348266602</v>
      </c>
      <c r="G32" s="116">
        <v>23.410999298095703</v>
      </c>
      <c r="H32" s="117">
        <v>358</v>
      </c>
      <c r="I32" s="115">
        <v>324</v>
      </c>
      <c r="J32" s="115">
        <v>76.226997375488281</v>
      </c>
      <c r="K32" s="115">
        <v>65.429489135742188</v>
      </c>
      <c r="L32" s="115">
        <v>52.484001159667969</v>
      </c>
      <c r="M32" s="115">
        <v>15.494000434875488</v>
      </c>
      <c r="N32" s="115">
        <v>16.731000900268555</v>
      </c>
      <c r="O32" s="115">
        <v>20</v>
      </c>
      <c r="P32" s="115">
        <v>0</v>
      </c>
      <c r="Q32" s="115">
        <v>19.565776824951172</v>
      </c>
      <c r="R32" s="115">
        <v>31.003124237060547</v>
      </c>
      <c r="S32" s="115">
        <v>31.873678207397461</v>
      </c>
      <c r="T32" s="115">
        <v>9</v>
      </c>
      <c r="U32" s="115">
        <v>9</v>
      </c>
      <c r="V32" s="117">
        <v>1215</v>
      </c>
      <c r="W32" s="115">
        <v>37.647945404052734</v>
      </c>
      <c r="X32" s="115">
        <v>39.356998443603516</v>
      </c>
      <c r="Y32" s="115">
        <v>10.62399959564209</v>
      </c>
      <c r="Z32" s="115">
        <v>0</v>
      </c>
      <c r="AA32" s="115">
        <v>32.685001373291016</v>
      </c>
      <c r="AB32" s="115">
        <v>0</v>
      </c>
      <c r="AC32" s="115">
        <v>66.897705078125</v>
      </c>
      <c r="AD32" s="115">
        <v>6.1069998741149902</v>
      </c>
      <c r="AE32" s="115">
        <v>0</v>
      </c>
      <c r="AF32" s="115">
        <v>98.619834899902344</v>
      </c>
      <c r="AG32" s="115">
        <v>0</v>
      </c>
      <c r="AH32" s="115">
        <v>83.274375915527344</v>
      </c>
      <c r="AI32" s="115">
        <v>22.711000442504883</v>
      </c>
      <c r="AJ32" s="115">
        <v>35.393253326416016</v>
      </c>
      <c r="AK32" s="115">
        <v>52.123367309570313</v>
      </c>
      <c r="AL32" s="115">
        <v>60.258998870849609</v>
      </c>
      <c r="AM32" s="118">
        <v>59.035999298095703</v>
      </c>
      <c r="AN32" s="117">
        <v>165.9375</v>
      </c>
      <c r="AO32" s="119">
        <v>93</v>
      </c>
      <c r="AP32" s="115">
        <v>87.183944702148438</v>
      </c>
      <c r="AQ32" s="115">
        <v>59.330314636230469</v>
      </c>
      <c r="AR32" s="115">
        <v>134</v>
      </c>
      <c r="AS32" s="115"/>
      <c r="AT32" s="115">
        <v>119</v>
      </c>
      <c r="AU32" s="115"/>
      <c r="AV32" s="115">
        <v>96</v>
      </c>
      <c r="AW32" s="115"/>
      <c r="AX32" s="115">
        <v>36</v>
      </c>
      <c r="AY32" s="115">
        <v>39.434818267822266</v>
      </c>
      <c r="AZ32" s="115">
        <v>28</v>
      </c>
      <c r="BA32" s="115"/>
      <c r="BB32" s="115">
        <v>200</v>
      </c>
      <c r="BC32" s="115">
        <v>206.32901000976563</v>
      </c>
      <c r="BD32" s="115">
        <v>7.5</v>
      </c>
      <c r="BE32" s="115">
        <v>7.5334887504577637</v>
      </c>
      <c r="BF32" s="115">
        <v>32</v>
      </c>
      <c r="BG32" s="115">
        <v>12</v>
      </c>
      <c r="BH32" s="115">
        <v>13.101260185241699</v>
      </c>
      <c r="BI32" s="115"/>
      <c r="BJ32" s="108">
        <f t="shared" si="0"/>
        <v>18</v>
      </c>
      <c r="BK32" s="115">
        <v>18</v>
      </c>
      <c r="BL32" s="115">
        <v>0</v>
      </c>
      <c r="BM32" s="118"/>
      <c r="BN32" s="108">
        <f t="shared" si="1"/>
        <v>124</v>
      </c>
      <c r="BO32" s="108">
        <v>75</v>
      </c>
      <c r="BP32" s="108">
        <v>49</v>
      </c>
      <c r="BQ32" s="108">
        <v>342</v>
      </c>
      <c r="BR32" s="115">
        <v>106.197998046875</v>
      </c>
      <c r="BS32" s="115">
        <v>27.990999221801758</v>
      </c>
      <c r="BT32" s="115">
        <v>50.915000915527344</v>
      </c>
      <c r="BU32" s="115">
        <v>48.666999816894531</v>
      </c>
      <c r="BV32" s="115">
        <v>69.099998474121094</v>
      </c>
      <c r="BW32" s="115">
        <v>7.3000001907348633</v>
      </c>
      <c r="BX32" s="115">
        <v>13.600000381469727</v>
      </c>
      <c r="BY32" s="115">
        <v>30</v>
      </c>
      <c r="BZ32" s="115">
        <v>1.5196072869002819E-2</v>
      </c>
      <c r="CA32" s="115">
        <v>0</v>
      </c>
      <c r="CB32" s="115">
        <v>29.566162109375</v>
      </c>
      <c r="CC32" s="118"/>
      <c r="CD32" s="115">
        <v>454.19052124023438</v>
      </c>
      <c r="CE32" s="115">
        <v>92.416664123535156</v>
      </c>
      <c r="CF32" s="115">
        <v>33.767074584960938</v>
      </c>
      <c r="CG32" s="115">
        <v>35.338191986083984</v>
      </c>
      <c r="CH32" s="115">
        <v>304.81854248046875</v>
      </c>
      <c r="CI32" s="115">
        <v>112.19694519042969</v>
      </c>
      <c r="CJ32" s="115">
        <v>52.290767669677734</v>
      </c>
      <c r="CK32" s="115">
        <v>65.2005615234375</v>
      </c>
      <c r="CL32" s="116">
        <v>47.223503112792969</v>
      </c>
      <c r="CM32" s="117">
        <v>378.67355346679688</v>
      </c>
      <c r="CN32" s="115">
        <v>148.73402404785156</v>
      </c>
      <c r="CO32" s="115">
        <v>103.16169738769531</v>
      </c>
      <c r="CP32" s="115">
        <v>121.65750122070313</v>
      </c>
      <c r="CQ32" s="115">
        <v>0</v>
      </c>
      <c r="CR32" s="115">
        <v>69.705841064453125</v>
      </c>
      <c r="CS32" s="115">
        <v>12.907002449035645</v>
      </c>
      <c r="CT32" s="115">
        <v>55.540370941162109</v>
      </c>
      <c r="CU32" s="115">
        <v>180.4906005859375</v>
      </c>
      <c r="CV32" s="116">
        <v>107.86725616455078</v>
      </c>
      <c r="CW32" s="117">
        <v>3</v>
      </c>
      <c r="CX32" s="115">
        <v>490</v>
      </c>
      <c r="CY32" s="115">
        <v>228.91563415527344</v>
      </c>
      <c r="CZ32" s="115">
        <v>67.029220581054688</v>
      </c>
      <c r="DA32" s="115">
        <v>26.632415771484375</v>
      </c>
      <c r="DB32" s="115">
        <v>45.365428924560547</v>
      </c>
      <c r="DC32" s="115">
        <v>96.507247924804688</v>
      </c>
      <c r="DD32" s="115">
        <v>256</v>
      </c>
      <c r="DE32" s="115">
        <v>192</v>
      </c>
      <c r="DF32" s="115">
        <v>281.12210083007813</v>
      </c>
      <c r="DG32" s="115">
        <v>104.97071838378906</v>
      </c>
      <c r="DH32" s="115">
        <v>72.064109802246094</v>
      </c>
      <c r="DI32" s="120">
        <v>44.26849365234375</v>
      </c>
      <c r="DJ32" s="119">
        <v>257</v>
      </c>
      <c r="DK32" s="115">
        <v>152.42599487304688</v>
      </c>
      <c r="DL32" s="115">
        <v>30.875</v>
      </c>
      <c r="DM32" s="115">
        <v>66.444000244140625</v>
      </c>
      <c r="DN32" s="115">
        <v>55.487998962402344</v>
      </c>
      <c r="DO32" s="116">
        <v>114.03279876708984</v>
      </c>
      <c r="DP32" s="117">
        <v>17.246999740600586</v>
      </c>
      <c r="DQ32" s="115"/>
      <c r="DR32" s="117">
        <v>67</v>
      </c>
      <c r="DS32" s="120">
        <v>49.900001525878906</v>
      </c>
      <c r="DT32" s="119">
        <v>14</v>
      </c>
      <c r="DU32" s="115"/>
      <c r="DV32" s="115">
        <v>177</v>
      </c>
      <c r="DW32" s="115">
        <v>165.34202575683594</v>
      </c>
      <c r="DX32" s="117">
        <v>13</v>
      </c>
      <c r="DY32" s="120"/>
      <c r="DZ32" s="119">
        <v>52</v>
      </c>
      <c r="EA32" s="115">
        <v>3</v>
      </c>
      <c r="EB32" s="115">
        <v>0</v>
      </c>
      <c r="EC32" s="115">
        <v>1</v>
      </c>
      <c r="ED32" s="115">
        <v>494</v>
      </c>
      <c r="EE32" s="121">
        <v>5.5980000495910645</v>
      </c>
      <c r="EF32" s="121">
        <v>5.5980000495910645</v>
      </c>
      <c r="EG32" s="121">
        <v>5.9031001091003414</v>
      </c>
      <c r="EH32" t="s">
        <v>63</v>
      </c>
    </row>
    <row r="33" spans="1:138" x14ac:dyDescent="0.3">
      <c r="A33" s="226">
        <f t="shared" si="3"/>
        <v>46020.020138888955</v>
      </c>
      <c r="B33" s="115">
        <v>311</v>
      </c>
      <c r="C33" s="115">
        <v>60.506999969482422</v>
      </c>
      <c r="D33" s="115">
        <v>103.59700012207031</v>
      </c>
      <c r="E33" s="115">
        <v>22.958000183105469</v>
      </c>
      <c r="F33" s="115">
        <v>12.508105278015137</v>
      </c>
      <c r="G33" s="116">
        <v>23.410999298095703</v>
      </c>
      <c r="H33" s="117">
        <v>361</v>
      </c>
      <c r="I33" s="115">
        <v>325</v>
      </c>
      <c r="J33" s="115">
        <v>77.245002746582031</v>
      </c>
      <c r="K33" s="115">
        <v>66.948440551757813</v>
      </c>
      <c r="L33" s="115">
        <v>54.074001312255859</v>
      </c>
      <c r="M33" s="115">
        <v>15.267999649047852</v>
      </c>
      <c r="N33" s="115">
        <v>17.875999450683594</v>
      </c>
      <c r="O33" s="115">
        <v>19</v>
      </c>
      <c r="P33" s="115">
        <v>0</v>
      </c>
      <c r="Q33" s="115">
        <v>19.859752655029297</v>
      </c>
      <c r="R33" s="115">
        <v>25.996875762939453</v>
      </c>
      <c r="S33" s="115">
        <v>26.917263031005859</v>
      </c>
      <c r="T33" s="115">
        <v>9</v>
      </c>
      <c r="U33" s="115">
        <v>9</v>
      </c>
      <c r="V33" s="117">
        <v>1221</v>
      </c>
      <c r="W33" s="115">
        <v>37.593162536621094</v>
      </c>
      <c r="X33" s="115">
        <v>39.923000335693359</v>
      </c>
      <c r="Y33" s="115">
        <v>10.75100040435791</v>
      </c>
      <c r="Z33" s="115">
        <v>0</v>
      </c>
      <c r="AA33" s="115">
        <v>34.154998779296875</v>
      </c>
      <c r="AB33" s="115">
        <v>0</v>
      </c>
      <c r="AC33" s="115">
        <v>66.523017883300781</v>
      </c>
      <c r="AD33" s="115">
        <v>6.1069998741149902</v>
      </c>
      <c r="AE33" s="115">
        <v>0</v>
      </c>
      <c r="AF33" s="115">
        <v>97.420524597167969</v>
      </c>
      <c r="AG33" s="115">
        <v>0</v>
      </c>
      <c r="AH33" s="115">
        <v>85.14013671875</v>
      </c>
      <c r="AI33" s="115">
        <v>33.270999908447266</v>
      </c>
      <c r="AJ33" s="115">
        <v>36.017745971679688</v>
      </c>
      <c r="AK33" s="115">
        <v>52.621944427490234</v>
      </c>
      <c r="AL33" s="115">
        <v>60.436000823974609</v>
      </c>
      <c r="AM33" s="118">
        <v>56.428001403808594</v>
      </c>
      <c r="AN33" s="117">
        <v>166.625</v>
      </c>
      <c r="AO33" s="119">
        <v>91</v>
      </c>
      <c r="AP33" s="115">
        <v>87.925384521484375</v>
      </c>
      <c r="AQ33" s="115">
        <v>57.925010681152344</v>
      </c>
      <c r="AR33" s="115">
        <v>135</v>
      </c>
      <c r="AS33" s="115"/>
      <c r="AT33" s="115">
        <v>119</v>
      </c>
      <c r="AU33" s="115"/>
      <c r="AV33" s="115">
        <v>96</v>
      </c>
      <c r="AW33" s="115"/>
      <c r="AX33" s="115">
        <v>37</v>
      </c>
      <c r="AY33" s="115">
        <v>37.952835083007813</v>
      </c>
      <c r="AZ33" s="115">
        <v>28</v>
      </c>
      <c r="BA33" s="115"/>
      <c r="BB33" s="115">
        <v>198</v>
      </c>
      <c r="BC33" s="115">
        <v>203.89958190917969</v>
      </c>
      <c r="BD33" s="115">
        <v>7.4000000953674316</v>
      </c>
      <c r="BE33" s="115">
        <v>7.5011868476867676</v>
      </c>
      <c r="BF33" s="115">
        <v>31</v>
      </c>
      <c r="BG33" s="115">
        <v>12</v>
      </c>
      <c r="BH33" s="115">
        <v>12.884648323059082</v>
      </c>
      <c r="BI33" s="115"/>
      <c r="BJ33" s="108">
        <f t="shared" si="0"/>
        <v>19</v>
      </c>
      <c r="BK33" s="115">
        <v>19</v>
      </c>
      <c r="BL33" s="115">
        <v>0</v>
      </c>
      <c r="BM33" s="118"/>
      <c r="BN33" s="108">
        <f t="shared" si="1"/>
        <v>122.20000076293945</v>
      </c>
      <c r="BO33" s="108">
        <v>74</v>
      </c>
      <c r="BP33" s="108">
        <v>48.200000762939453</v>
      </c>
      <c r="BQ33" s="108">
        <v>336</v>
      </c>
      <c r="BR33" s="115">
        <v>105.51899719238281</v>
      </c>
      <c r="BS33" s="115">
        <v>27.73699951171875</v>
      </c>
      <c r="BT33" s="115">
        <v>51.261001586914063</v>
      </c>
      <c r="BU33" s="115">
        <v>48.411998748779297</v>
      </c>
      <c r="BV33" s="115">
        <v>68.800003051757813</v>
      </c>
      <c r="BW33" s="115">
        <v>7.3000001907348633</v>
      </c>
      <c r="BX33" s="115">
        <v>13.600000381469727</v>
      </c>
      <c r="BY33" s="115">
        <v>28</v>
      </c>
      <c r="BZ33" s="115">
        <v>1.524438988417387E-2</v>
      </c>
      <c r="CA33" s="115">
        <v>0</v>
      </c>
      <c r="CB33" s="115">
        <v>29.403436660766602</v>
      </c>
      <c r="CC33" s="118"/>
      <c r="CD33" s="115">
        <v>448.36334228515625</v>
      </c>
      <c r="CE33" s="115">
        <v>91.3951416015625</v>
      </c>
      <c r="CF33" s="115">
        <v>33.951431274414063</v>
      </c>
      <c r="CG33" s="115">
        <v>35.338191986083984</v>
      </c>
      <c r="CH33" s="115">
        <v>303.61276245117188</v>
      </c>
      <c r="CI33" s="115">
        <v>114.85308837890625</v>
      </c>
      <c r="CJ33" s="115">
        <v>53.509437561035156</v>
      </c>
      <c r="CK33" s="115">
        <v>65.257102966308594</v>
      </c>
      <c r="CL33" s="116">
        <v>46.679706573486328</v>
      </c>
      <c r="CM33" s="117">
        <v>353.85507202148438</v>
      </c>
      <c r="CN33" s="115">
        <v>154.85580444335938</v>
      </c>
      <c r="CO33" s="115">
        <v>103.04104614257813</v>
      </c>
      <c r="CP33" s="115">
        <v>88.81402587890625</v>
      </c>
      <c r="CQ33" s="115">
        <v>0</v>
      </c>
      <c r="CR33" s="115">
        <v>72.397171020507813</v>
      </c>
      <c r="CS33" s="115">
        <v>12.715404510498047</v>
      </c>
      <c r="CT33" s="115">
        <v>56.670429229736328</v>
      </c>
      <c r="CU33" s="115">
        <v>183.90621948242188</v>
      </c>
      <c r="CV33" s="116">
        <v>110.83152008056641</v>
      </c>
      <c r="CW33" s="117">
        <v>2</v>
      </c>
      <c r="CX33" s="115">
        <v>484</v>
      </c>
      <c r="CY33" s="115">
        <v>227.16415405273438</v>
      </c>
      <c r="CZ33" s="115">
        <v>66.678947448730469</v>
      </c>
      <c r="DA33" s="115">
        <v>25.284902572631836</v>
      </c>
      <c r="DB33" s="115">
        <v>46.388179779052734</v>
      </c>
      <c r="DC33" s="115">
        <v>96.390266418457031</v>
      </c>
      <c r="DD33" s="115">
        <v>706</v>
      </c>
      <c r="DE33" s="115">
        <v>205</v>
      </c>
      <c r="DF33" s="115">
        <v>720.54296875</v>
      </c>
      <c r="DG33" s="115">
        <v>108.19949340820313</v>
      </c>
      <c r="DH33" s="115">
        <v>70.552955627441406</v>
      </c>
      <c r="DI33" s="120">
        <v>42.698860168457031</v>
      </c>
      <c r="DJ33" s="119">
        <v>254</v>
      </c>
      <c r="DK33" s="115">
        <v>150.13600158691406</v>
      </c>
      <c r="DL33" s="115">
        <v>32.231998443603516</v>
      </c>
      <c r="DM33" s="115">
        <v>64.5</v>
      </c>
      <c r="DN33" s="115">
        <v>52.484001159667969</v>
      </c>
      <c r="DO33" s="116">
        <v>115.84138488769531</v>
      </c>
      <c r="DP33" s="117">
        <v>17.756000518798828</v>
      </c>
      <c r="DQ33" s="115"/>
      <c r="DR33" s="117">
        <v>67</v>
      </c>
      <c r="DS33" s="120">
        <v>50.200000762939453</v>
      </c>
      <c r="DT33" s="119">
        <v>15</v>
      </c>
      <c r="DU33" s="115"/>
      <c r="DV33" s="115">
        <v>176</v>
      </c>
      <c r="DW33" s="115">
        <v>165.16551208496094</v>
      </c>
      <c r="DX33" s="117">
        <v>12</v>
      </c>
      <c r="DY33" s="120"/>
      <c r="DZ33" s="119">
        <v>51</v>
      </c>
      <c r="EA33" s="115">
        <v>3</v>
      </c>
      <c r="EB33" s="115">
        <v>0</v>
      </c>
      <c r="EC33" s="115">
        <v>1</v>
      </c>
      <c r="ED33" s="115">
        <v>879</v>
      </c>
      <c r="EE33" s="121">
        <v>0</v>
      </c>
      <c r="EF33" s="121">
        <v>0</v>
      </c>
      <c r="EG33" s="121">
        <v>0</v>
      </c>
      <c r="EH33" t="s">
        <v>64</v>
      </c>
    </row>
    <row r="34" spans="1:138" x14ac:dyDescent="0.3">
      <c r="A34" s="226">
        <f t="shared" si="3"/>
        <v>46020.020833333401</v>
      </c>
      <c r="B34" s="115">
        <v>300</v>
      </c>
      <c r="C34" s="115">
        <v>56.321998596191406</v>
      </c>
      <c r="D34" s="115">
        <v>102.91799926757813</v>
      </c>
      <c r="E34" s="115">
        <v>21.714000701904297</v>
      </c>
      <c r="F34" s="115">
        <v>11.496277809143066</v>
      </c>
      <c r="G34" s="116">
        <v>22.166999816894531</v>
      </c>
      <c r="H34" s="117">
        <v>357</v>
      </c>
      <c r="I34" s="115">
        <v>325</v>
      </c>
      <c r="J34" s="115">
        <v>75.096000671386719</v>
      </c>
      <c r="K34" s="115">
        <v>64.814949035644531</v>
      </c>
      <c r="L34" s="115">
        <v>53.721000671386719</v>
      </c>
      <c r="M34" s="115">
        <v>14.58899974822998</v>
      </c>
      <c r="N34" s="115">
        <v>16.922000885009766</v>
      </c>
      <c r="O34" s="115">
        <v>19</v>
      </c>
      <c r="P34" s="115">
        <v>0</v>
      </c>
      <c r="Q34" s="115">
        <v>19.985397338867188</v>
      </c>
      <c r="R34" s="115">
        <v>25.996875762939453</v>
      </c>
      <c r="S34" s="115">
        <v>26.917263031005859</v>
      </c>
      <c r="T34" s="115">
        <v>9</v>
      </c>
      <c r="U34" s="115">
        <v>9</v>
      </c>
      <c r="V34" s="117">
        <v>1224</v>
      </c>
      <c r="W34" s="115">
        <v>37.875484466552734</v>
      </c>
      <c r="X34" s="115">
        <v>39.696998596191406</v>
      </c>
      <c r="Y34" s="115">
        <v>10.241999626159668</v>
      </c>
      <c r="Z34" s="115">
        <v>0</v>
      </c>
      <c r="AA34" s="115">
        <v>38.226001739501953</v>
      </c>
      <c r="AB34" s="115">
        <v>0</v>
      </c>
      <c r="AC34" s="115">
        <v>67.858596801757813</v>
      </c>
      <c r="AD34" s="115">
        <v>6.1069998741149902</v>
      </c>
      <c r="AE34" s="115">
        <v>1.51688551902771</v>
      </c>
      <c r="AF34" s="115">
        <v>99.315948486328125</v>
      </c>
      <c r="AG34" s="115">
        <v>0</v>
      </c>
      <c r="AH34" s="115">
        <v>85.517288208007813</v>
      </c>
      <c r="AI34" s="115">
        <v>24.809999465942383</v>
      </c>
      <c r="AJ34" s="115">
        <v>33.605312347412109</v>
      </c>
      <c r="AK34" s="115">
        <v>51.943607330322266</v>
      </c>
      <c r="AL34" s="115">
        <v>60.082000732421875</v>
      </c>
      <c r="AM34" s="118">
        <v>58.909000396728516</v>
      </c>
      <c r="AN34" s="117">
        <v>161.875</v>
      </c>
      <c r="AO34" s="119">
        <v>87</v>
      </c>
      <c r="AP34" s="115">
        <v>87.603401184082031</v>
      </c>
      <c r="AQ34" s="115">
        <v>55.523445129394531</v>
      </c>
      <c r="AR34" s="115">
        <v>134</v>
      </c>
      <c r="AS34" s="115"/>
      <c r="AT34" s="115">
        <v>120</v>
      </c>
      <c r="AU34" s="115"/>
      <c r="AV34" s="115">
        <v>87</v>
      </c>
      <c r="AW34" s="115"/>
      <c r="AX34" s="115">
        <v>36</v>
      </c>
      <c r="AY34" s="115">
        <v>37.952835083007813</v>
      </c>
      <c r="AZ34" s="115">
        <v>27</v>
      </c>
      <c r="BA34" s="115"/>
      <c r="BB34" s="115">
        <v>197</v>
      </c>
      <c r="BC34" s="115">
        <v>203.89958190917969</v>
      </c>
      <c r="BD34" s="115">
        <v>7.4000000953674316</v>
      </c>
      <c r="BE34" s="115">
        <v>7.4884076118469238</v>
      </c>
      <c r="BF34" s="115">
        <v>31</v>
      </c>
      <c r="BG34" s="115">
        <v>12</v>
      </c>
      <c r="BH34" s="115">
        <v>12.736899375915527</v>
      </c>
      <c r="BI34" s="115"/>
      <c r="BJ34" s="108">
        <f t="shared" si="0"/>
        <v>18</v>
      </c>
      <c r="BK34" s="115">
        <v>18</v>
      </c>
      <c r="BL34" s="115">
        <v>0</v>
      </c>
      <c r="BM34" s="118"/>
      <c r="BN34" s="108">
        <f t="shared" si="1"/>
        <v>124</v>
      </c>
      <c r="BO34" s="108">
        <v>75</v>
      </c>
      <c r="BP34" s="108">
        <v>49</v>
      </c>
      <c r="BQ34" s="108">
        <v>338</v>
      </c>
      <c r="BR34" s="115">
        <v>105.97200012207031</v>
      </c>
      <c r="BS34" s="115">
        <v>25.954999923706055</v>
      </c>
      <c r="BT34" s="115">
        <v>51.261001586914063</v>
      </c>
      <c r="BU34" s="115">
        <v>47.966999053955078</v>
      </c>
      <c r="BV34" s="115">
        <v>69.199996948242188</v>
      </c>
      <c r="BW34" s="115">
        <v>7.3000001907348633</v>
      </c>
      <c r="BX34" s="115">
        <v>13.699999809265137</v>
      </c>
      <c r="BY34" s="115">
        <v>28</v>
      </c>
      <c r="BZ34" s="115">
        <v>1.518603228032589E-2</v>
      </c>
      <c r="CA34" s="115">
        <v>0</v>
      </c>
      <c r="CB34" s="115">
        <v>29.441547393798828</v>
      </c>
      <c r="CC34" s="118"/>
      <c r="CD34" s="115">
        <v>449.22463989257813</v>
      </c>
      <c r="CE34" s="115">
        <v>91.123985290527344</v>
      </c>
      <c r="CF34" s="115">
        <v>33.421497344970703</v>
      </c>
      <c r="CG34" s="115">
        <v>35.338191986083984</v>
      </c>
      <c r="CH34" s="115">
        <v>304.11749267578125</v>
      </c>
      <c r="CI34" s="115">
        <v>115.70514678955078</v>
      </c>
      <c r="CJ34" s="115">
        <v>55.755146026611328</v>
      </c>
      <c r="CK34" s="115">
        <v>65.23626708984375</v>
      </c>
      <c r="CL34" s="116">
        <v>47.942848205566406</v>
      </c>
      <c r="CM34" s="117">
        <v>352.967529296875</v>
      </c>
      <c r="CN34" s="115">
        <v>153.19221496582031</v>
      </c>
      <c r="CO34" s="115">
        <v>103.90605163574219</v>
      </c>
      <c r="CP34" s="115">
        <v>87.979263305664063</v>
      </c>
      <c r="CQ34" s="115">
        <v>0</v>
      </c>
      <c r="CR34" s="115">
        <v>71.4114990234375</v>
      </c>
      <c r="CS34" s="115">
        <v>13.934059143066406</v>
      </c>
      <c r="CT34" s="115">
        <v>58.030853271484375</v>
      </c>
      <c r="CU34" s="115">
        <v>183.67056274414063</v>
      </c>
      <c r="CV34" s="116">
        <v>111.33823394775391</v>
      </c>
      <c r="CW34" s="117">
        <v>2</v>
      </c>
      <c r="CX34" s="115">
        <v>484</v>
      </c>
      <c r="CY34" s="115">
        <v>226.22235107421875</v>
      </c>
      <c r="CZ34" s="115">
        <v>66.810562133789063</v>
      </c>
      <c r="DA34" s="115">
        <v>25.002681732177734</v>
      </c>
      <c r="DB34" s="115">
        <v>47.599327087402344</v>
      </c>
      <c r="DC34" s="115">
        <v>96.906730651855469</v>
      </c>
      <c r="DD34" s="115">
        <v>695</v>
      </c>
      <c r="DE34" s="115">
        <v>203</v>
      </c>
      <c r="DF34" s="115">
        <v>706.2532958984375</v>
      </c>
      <c r="DG34" s="115">
        <v>108.39479827880859</v>
      </c>
      <c r="DH34" s="115">
        <v>70.252128601074219</v>
      </c>
      <c r="DI34" s="120">
        <v>44.76837158203125</v>
      </c>
      <c r="DJ34" s="119">
        <v>259</v>
      </c>
      <c r="DK34" s="115">
        <v>149.37300109863281</v>
      </c>
      <c r="DL34" s="115">
        <v>32.798000335693359</v>
      </c>
      <c r="DM34" s="115">
        <v>65.029998779296875</v>
      </c>
      <c r="DN34" s="115">
        <v>54.428001403808594</v>
      </c>
      <c r="DO34" s="116">
        <v>117.51763153076172</v>
      </c>
      <c r="DP34" s="117">
        <v>18.066999435424805</v>
      </c>
      <c r="DQ34" s="115"/>
      <c r="DR34" s="117">
        <v>67</v>
      </c>
      <c r="DS34" s="120">
        <v>49.200000762939453</v>
      </c>
      <c r="DT34" s="119">
        <v>15</v>
      </c>
      <c r="DU34" s="115"/>
      <c r="DV34" s="115">
        <v>176</v>
      </c>
      <c r="DW34" s="115">
        <v>165.19602966308594</v>
      </c>
      <c r="DX34" s="117">
        <v>14</v>
      </c>
      <c r="DY34" s="120"/>
      <c r="DZ34" s="119">
        <v>53</v>
      </c>
      <c r="EA34" s="115">
        <v>3</v>
      </c>
      <c r="EB34" s="115">
        <v>0</v>
      </c>
      <c r="EC34" s="115">
        <v>1</v>
      </c>
      <c r="ED34" s="115">
        <v>866.5999755859375</v>
      </c>
      <c r="EE34" s="121">
        <v>77.609565734863281</v>
      </c>
      <c r="EF34" s="121">
        <v>78.546864827473954</v>
      </c>
      <c r="EG34" s="121">
        <v>79.630315399169916</v>
      </c>
      <c r="EH34" t="s">
        <v>65</v>
      </c>
    </row>
    <row r="35" spans="1:138" x14ac:dyDescent="0.3">
      <c r="A35" s="226">
        <f t="shared" si="3"/>
        <v>46020.021527777848</v>
      </c>
      <c r="B35" s="115">
        <v>300</v>
      </c>
      <c r="C35" s="115">
        <v>51.346000671386719</v>
      </c>
      <c r="D35" s="115">
        <v>104.50099945068359</v>
      </c>
      <c r="E35" s="115">
        <v>20.583000183105469</v>
      </c>
      <c r="F35" s="115">
        <v>16.382869720458984</v>
      </c>
      <c r="G35" s="116">
        <v>22.618999481201172</v>
      </c>
      <c r="H35" s="117">
        <v>361</v>
      </c>
      <c r="I35" s="115">
        <v>325</v>
      </c>
      <c r="J35" s="115">
        <v>74.757003784179688</v>
      </c>
      <c r="K35" s="115">
        <v>66.66571044921875</v>
      </c>
      <c r="L35" s="115">
        <v>53.013999938964844</v>
      </c>
      <c r="M35" s="115">
        <v>16.172000885009766</v>
      </c>
      <c r="N35" s="115">
        <v>15.713000297546387</v>
      </c>
      <c r="O35" s="115">
        <v>19</v>
      </c>
      <c r="P35" s="115">
        <v>0</v>
      </c>
      <c r="Q35" s="115">
        <v>19.460361480712891</v>
      </c>
      <c r="R35" s="115">
        <v>25.996875762939453</v>
      </c>
      <c r="S35" s="115">
        <v>27.404880523681641</v>
      </c>
      <c r="T35" s="115">
        <v>9</v>
      </c>
      <c r="U35" s="115">
        <v>9</v>
      </c>
      <c r="V35" s="117">
        <v>1221</v>
      </c>
      <c r="W35" s="115">
        <v>36.513088226318359</v>
      </c>
      <c r="X35" s="115">
        <v>39.018001556396484</v>
      </c>
      <c r="Y35" s="115">
        <v>10.178000450134277</v>
      </c>
      <c r="Z35" s="115">
        <v>0</v>
      </c>
      <c r="AA35" s="115">
        <v>35.737998962402344</v>
      </c>
      <c r="AB35" s="115">
        <v>0</v>
      </c>
      <c r="AC35" s="115">
        <v>68.852996826171875</v>
      </c>
      <c r="AD35" s="115">
        <v>6.1069998741149902</v>
      </c>
      <c r="AE35" s="115">
        <v>0</v>
      </c>
      <c r="AF35" s="115">
        <v>98.093887329101563</v>
      </c>
      <c r="AG35" s="115">
        <v>0</v>
      </c>
      <c r="AH35" s="115">
        <v>82.241012573242188</v>
      </c>
      <c r="AI35" s="115">
        <v>26.209999084472656</v>
      </c>
      <c r="AJ35" s="115">
        <v>35.578948974609375</v>
      </c>
      <c r="AK35" s="115">
        <v>51.534564971923828</v>
      </c>
      <c r="AL35" s="115">
        <v>61.143001556396484</v>
      </c>
      <c r="AM35" s="118">
        <v>59.354000091552734</v>
      </c>
      <c r="AN35" s="117">
        <v>160.5625</v>
      </c>
      <c r="AO35" s="119">
        <v>87</v>
      </c>
      <c r="AP35" s="115">
        <v>86.189094543457031</v>
      </c>
      <c r="AQ35" s="115">
        <v>55.137180328369141</v>
      </c>
      <c r="AR35" s="115">
        <v>134</v>
      </c>
      <c r="AS35" s="115"/>
      <c r="AT35" s="115">
        <v>120</v>
      </c>
      <c r="AU35" s="115"/>
      <c r="AV35" s="115">
        <v>89</v>
      </c>
      <c r="AW35" s="115"/>
      <c r="AX35" s="115">
        <v>38</v>
      </c>
      <c r="AY35" s="115">
        <v>39.435577392578125</v>
      </c>
      <c r="AZ35" s="115">
        <v>27</v>
      </c>
      <c r="BA35" s="115"/>
      <c r="BB35" s="115">
        <v>199</v>
      </c>
      <c r="BC35" s="115">
        <v>205.96635437011719</v>
      </c>
      <c r="BD35" s="115">
        <v>7.4000000953674316</v>
      </c>
      <c r="BE35" s="115">
        <v>7.438788890838623</v>
      </c>
      <c r="BF35" s="115">
        <v>31</v>
      </c>
      <c r="BG35" s="115">
        <v>12</v>
      </c>
      <c r="BH35" s="115">
        <v>12.736899375915527</v>
      </c>
      <c r="BI35" s="115"/>
      <c r="BJ35" s="108">
        <f t="shared" si="0"/>
        <v>18</v>
      </c>
      <c r="BK35" s="115">
        <v>18</v>
      </c>
      <c r="BL35" s="115">
        <v>0</v>
      </c>
      <c r="BM35" s="118"/>
      <c r="BN35" s="108">
        <f t="shared" si="1"/>
        <v>122.20000076293945</v>
      </c>
      <c r="BO35" s="108">
        <v>74</v>
      </c>
      <c r="BP35" s="108">
        <v>48.200000762939453</v>
      </c>
      <c r="BQ35" s="108">
        <v>340</v>
      </c>
      <c r="BR35" s="115">
        <v>109.02500152587891</v>
      </c>
      <c r="BS35" s="115">
        <v>27.73699951171875</v>
      </c>
      <c r="BT35" s="115">
        <v>50.568000793457031</v>
      </c>
      <c r="BU35" s="115">
        <v>48.030998229980469</v>
      </c>
      <c r="BV35" s="115">
        <v>68.800003051757813</v>
      </c>
      <c r="BW35" s="115">
        <v>7.0999999046325684</v>
      </c>
      <c r="BX35" s="115">
        <v>13.899999618530273</v>
      </c>
      <c r="BY35" s="115">
        <v>29</v>
      </c>
      <c r="BZ35" s="115">
        <v>1.353880949318409E-2</v>
      </c>
      <c r="CA35" s="115">
        <v>0</v>
      </c>
      <c r="CB35" s="115">
        <v>29.456134796142578</v>
      </c>
      <c r="CC35" s="118"/>
      <c r="CD35" s="115">
        <v>443.37493896484375</v>
      </c>
      <c r="CE35" s="115">
        <v>90.849197387695313</v>
      </c>
      <c r="CF35" s="115">
        <v>32.488876342773438</v>
      </c>
      <c r="CG35" s="115">
        <v>35.338191986083984</v>
      </c>
      <c r="CH35" s="115">
        <v>303.817626953125</v>
      </c>
      <c r="CI35" s="115">
        <v>116.16645812988281</v>
      </c>
      <c r="CJ35" s="115">
        <v>55.191837310791016</v>
      </c>
      <c r="CK35" s="115">
        <v>63.390079498291016</v>
      </c>
      <c r="CL35" s="116">
        <v>47.734031677246094</v>
      </c>
      <c r="CM35" s="117">
        <v>358.16970825195313</v>
      </c>
      <c r="CN35" s="115">
        <v>153.72352600097656</v>
      </c>
      <c r="CO35" s="115">
        <v>102.48661804199219</v>
      </c>
      <c r="CP35" s="115">
        <v>95.572738647460938</v>
      </c>
      <c r="CQ35" s="115">
        <v>0</v>
      </c>
      <c r="CR35" s="115">
        <v>70.492561340332031</v>
      </c>
      <c r="CS35" s="115">
        <v>14.292440414428711</v>
      </c>
      <c r="CT35" s="115">
        <v>53.887680053710938</v>
      </c>
      <c r="CU35" s="115">
        <v>185.74880981445313</v>
      </c>
      <c r="CV35" s="116">
        <v>109.43332672119141</v>
      </c>
      <c r="CW35" s="117">
        <v>3</v>
      </c>
      <c r="CX35" s="115">
        <v>485</v>
      </c>
      <c r="CY35" s="115">
        <v>229.88992309570313</v>
      </c>
      <c r="CZ35" s="115">
        <v>67.017730712890625</v>
      </c>
      <c r="DA35" s="115">
        <v>24.109830856323242</v>
      </c>
      <c r="DB35" s="115">
        <v>45.736240386962891</v>
      </c>
      <c r="DC35" s="115">
        <v>97.351936340332031</v>
      </c>
      <c r="DD35" s="115">
        <v>695</v>
      </c>
      <c r="DE35" s="115">
        <v>202</v>
      </c>
      <c r="DF35" s="115">
        <v>708.998291015625</v>
      </c>
      <c r="DG35" s="115">
        <v>108.67527008056641</v>
      </c>
      <c r="DH35" s="115">
        <v>70.351272583007813</v>
      </c>
      <c r="DI35" s="120">
        <v>44.143699645996094</v>
      </c>
      <c r="DJ35" s="119">
        <v>261</v>
      </c>
      <c r="DK35" s="115">
        <v>153.44400024414063</v>
      </c>
      <c r="DL35" s="115">
        <v>30.988000869750977</v>
      </c>
      <c r="DM35" s="115">
        <v>70.154998779296875</v>
      </c>
      <c r="DN35" s="115">
        <v>55.840999603271484</v>
      </c>
      <c r="DO35" s="116">
        <v>120.01480102539063</v>
      </c>
      <c r="DP35" s="117">
        <v>17.416000366210938</v>
      </c>
      <c r="DQ35" s="115"/>
      <c r="DR35" s="117">
        <v>67</v>
      </c>
      <c r="DS35" s="120">
        <v>47.900001525878906</v>
      </c>
      <c r="DT35" s="119">
        <v>15</v>
      </c>
      <c r="DU35" s="115"/>
      <c r="DV35" s="115">
        <v>175</v>
      </c>
      <c r="DW35" s="115">
        <v>164.87008666992188</v>
      </c>
      <c r="DX35" s="117">
        <v>13</v>
      </c>
      <c r="DY35" s="120"/>
      <c r="DZ35" s="119">
        <v>52</v>
      </c>
      <c r="EA35" s="115">
        <v>3</v>
      </c>
      <c r="EB35" s="115">
        <v>0</v>
      </c>
      <c r="EC35" s="115">
        <v>1</v>
      </c>
      <c r="ED35" s="115">
        <v>869.5999755859375</v>
      </c>
      <c r="EE35" s="121">
        <v>0</v>
      </c>
      <c r="EF35" s="121">
        <v>0</v>
      </c>
      <c r="EG35" s="121">
        <v>0</v>
      </c>
      <c r="EH35" t="s">
        <v>66</v>
      </c>
    </row>
    <row r="36" spans="1:138" x14ac:dyDescent="0.3">
      <c r="A36" s="226">
        <f t="shared" si="3"/>
        <v>46020.022222222295</v>
      </c>
      <c r="B36" s="115">
        <v>304</v>
      </c>
      <c r="C36" s="115">
        <v>52.816001892089844</v>
      </c>
      <c r="D36" s="115">
        <v>103.14399719238281</v>
      </c>
      <c r="E36" s="115">
        <v>21.940000534057617</v>
      </c>
      <c r="F36" s="115">
        <v>14.083516120910645</v>
      </c>
      <c r="G36" s="116">
        <v>23.75</v>
      </c>
      <c r="H36" s="117">
        <v>361</v>
      </c>
      <c r="I36" s="115">
        <v>329</v>
      </c>
      <c r="J36" s="115">
        <v>77.018997192382813</v>
      </c>
      <c r="K36" s="115">
        <v>64.536483764648438</v>
      </c>
      <c r="L36" s="115">
        <v>53.896999359130859</v>
      </c>
      <c r="M36" s="115">
        <v>15.607000350952148</v>
      </c>
      <c r="N36" s="115">
        <v>15.967000007629395</v>
      </c>
      <c r="O36" s="115">
        <v>21</v>
      </c>
      <c r="P36" s="115">
        <v>0</v>
      </c>
      <c r="Q36" s="115">
        <v>20.601434707641602</v>
      </c>
      <c r="R36" s="115">
        <v>25.996875762939453</v>
      </c>
      <c r="S36" s="115">
        <v>26.915424346923828</v>
      </c>
      <c r="T36" s="115">
        <v>9</v>
      </c>
      <c r="U36" s="115">
        <v>9</v>
      </c>
      <c r="V36" s="117">
        <v>1203</v>
      </c>
      <c r="W36" s="115">
        <v>37.594409942626953</v>
      </c>
      <c r="X36" s="115">
        <v>39.243999481201172</v>
      </c>
      <c r="Y36" s="115">
        <v>11.069000244140625</v>
      </c>
      <c r="Z36" s="115">
        <v>0</v>
      </c>
      <c r="AA36" s="115">
        <v>33.816001892089844</v>
      </c>
      <c r="AB36" s="115">
        <v>0</v>
      </c>
      <c r="AC36" s="115">
        <v>67.396446228027344</v>
      </c>
      <c r="AD36" s="115">
        <v>6.1069998741149902</v>
      </c>
      <c r="AE36" s="115">
        <v>0</v>
      </c>
      <c r="AF36" s="115">
        <v>97.7593994140625</v>
      </c>
      <c r="AG36" s="115">
        <v>0</v>
      </c>
      <c r="AH36" s="115">
        <v>80.590347290039063</v>
      </c>
      <c r="AI36" s="115">
        <v>25.892000198364258</v>
      </c>
      <c r="AJ36" s="115">
        <v>35.624908447265625</v>
      </c>
      <c r="AK36" s="115">
        <v>51.494491577148438</v>
      </c>
      <c r="AL36" s="115">
        <v>59.729000091552734</v>
      </c>
      <c r="AM36" s="118">
        <v>58.082000732421875</v>
      </c>
      <c r="AN36" s="117">
        <v>161.375</v>
      </c>
      <c r="AO36" s="119">
        <v>88</v>
      </c>
      <c r="AP36" s="115">
        <v>85.94219970703125</v>
      </c>
      <c r="AQ36" s="115">
        <v>57.728179931640625</v>
      </c>
      <c r="AR36" s="115">
        <v>133</v>
      </c>
      <c r="AS36" s="115"/>
      <c r="AT36" s="115">
        <v>121</v>
      </c>
      <c r="AU36" s="115"/>
      <c r="AV36" s="115">
        <v>89</v>
      </c>
      <c r="AW36" s="115"/>
      <c r="AX36" s="115">
        <v>38</v>
      </c>
      <c r="AY36" s="115">
        <v>39.548507690429688</v>
      </c>
      <c r="AZ36" s="115">
        <v>26</v>
      </c>
      <c r="BA36" s="115"/>
      <c r="BB36" s="115">
        <v>199</v>
      </c>
      <c r="BC36" s="115">
        <v>207.74803161621094</v>
      </c>
      <c r="BD36" s="115">
        <v>7.4000000953674316</v>
      </c>
      <c r="BE36" s="115">
        <v>7.4166150093078613</v>
      </c>
      <c r="BF36" s="115">
        <v>31</v>
      </c>
      <c r="BG36" s="115">
        <v>13</v>
      </c>
      <c r="BH36" s="115">
        <v>13.44196605682373</v>
      </c>
      <c r="BI36" s="115"/>
      <c r="BJ36" s="108">
        <f t="shared" si="0"/>
        <v>17</v>
      </c>
      <c r="BK36" s="115">
        <v>17</v>
      </c>
      <c r="BL36" s="115">
        <v>0</v>
      </c>
      <c r="BM36" s="118"/>
      <c r="BN36" s="108">
        <f t="shared" si="1"/>
        <v>122</v>
      </c>
      <c r="BO36" s="108">
        <v>74</v>
      </c>
      <c r="BP36" s="108">
        <v>48</v>
      </c>
      <c r="BQ36" s="108">
        <v>340</v>
      </c>
      <c r="BR36" s="115">
        <v>108.23400115966797</v>
      </c>
      <c r="BS36" s="115">
        <v>27.482000350952148</v>
      </c>
      <c r="BT36" s="115">
        <v>50.568000793457031</v>
      </c>
      <c r="BU36" s="115">
        <v>48.284999847412109</v>
      </c>
      <c r="BV36" s="115">
        <v>68.699996948242188</v>
      </c>
      <c r="BW36" s="115">
        <v>7.1999998092651367</v>
      </c>
      <c r="BX36" s="115">
        <v>14.300000190734863</v>
      </c>
      <c r="BY36" s="115">
        <v>29</v>
      </c>
      <c r="BZ36" s="115">
        <v>1.4191665686666965E-2</v>
      </c>
      <c r="CA36" s="115">
        <v>1</v>
      </c>
      <c r="CB36" s="115">
        <v>29.380149841308594</v>
      </c>
      <c r="CC36" s="118"/>
      <c r="CD36" s="115">
        <v>444.644287109375</v>
      </c>
      <c r="CE36" s="115">
        <v>89.113014221191406</v>
      </c>
      <c r="CF36" s="115">
        <v>32.800128936767578</v>
      </c>
      <c r="CG36" s="115">
        <v>35.338191986083984</v>
      </c>
      <c r="CH36" s="115">
        <v>303.78390502929688</v>
      </c>
      <c r="CI36" s="115">
        <v>119.78672790527344</v>
      </c>
      <c r="CJ36" s="115">
        <v>58.803455352783203</v>
      </c>
      <c r="CK36" s="115">
        <v>63.937980651855469</v>
      </c>
      <c r="CL36" s="116">
        <v>46.273998260498047</v>
      </c>
      <c r="CM36" s="117">
        <v>348.0343017578125</v>
      </c>
      <c r="CN36" s="115">
        <v>154.85812377929688</v>
      </c>
      <c r="CO36" s="115">
        <v>96.583999633789063</v>
      </c>
      <c r="CP36" s="115">
        <v>86.600166320800781</v>
      </c>
      <c r="CQ36" s="115">
        <v>0</v>
      </c>
      <c r="CR36" s="115">
        <v>68.956977844238281</v>
      </c>
      <c r="CS36" s="115">
        <v>13.973239898681641</v>
      </c>
      <c r="CT36" s="115">
        <v>54.027336120605469</v>
      </c>
      <c r="CU36" s="115">
        <v>180.77009582519531</v>
      </c>
      <c r="CV36" s="116">
        <v>106.22821807861328</v>
      </c>
      <c r="CW36" s="117">
        <v>2</v>
      </c>
      <c r="CX36" s="115">
        <v>472</v>
      </c>
      <c r="CY36" s="115">
        <v>227.6424560546875</v>
      </c>
      <c r="CZ36" s="115">
        <v>64.593681335449219</v>
      </c>
      <c r="DA36" s="115">
        <v>22.948440551757813</v>
      </c>
      <c r="DB36" s="115">
        <v>44.768833160400391</v>
      </c>
      <c r="DC36" s="115">
        <v>96.758613586425781</v>
      </c>
      <c r="DD36" s="115">
        <v>687</v>
      </c>
      <c r="DE36" s="115">
        <v>199</v>
      </c>
      <c r="DF36" s="115">
        <v>703.3134765625</v>
      </c>
      <c r="DG36" s="115">
        <v>107.13837432861328</v>
      </c>
      <c r="DH36" s="115">
        <v>71.65087890625</v>
      </c>
      <c r="DI36" s="120">
        <v>44.104610443115234</v>
      </c>
      <c r="DJ36" s="119">
        <v>260</v>
      </c>
      <c r="DK36" s="115">
        <v>153.9530029296875</v>
      </c>
      <c r="DL36" s="115">
        <v>30.988000869750977</v>
      </c>
      <c r="DM36" s="115">
        <v>70.154998779296875</v>
      </c>
      <c r="DN36" s="115">
        <v>55.133998870849609</v>
      </c>
      <c r="DO36" s="116">
        <v>116.94937133789063</v>
      </c>
      <c r="DP36" s="117">
        <v>17.812000274658203</v>
      </c>
      <c r="DQ36" s="115"/>
      <c r="DR36" s="117">
        <v>67</v>
      </c>
      <c r="DS36" s="120">
        <v>47.900001525878906</v>
      </c>
      <c r="DT36" s="119">
        <v>14</v>
      </c>
      <c r="DU36" s="115"/>
      <c r="DV36" s="115">
        <v>174</v>
      </c>
      <c r="DW36" s="115">
        <v>164.21417236328125</v>
      </c>
      <c r="DX36" s="117">
        <v>13</v>
      </c>
      <c r="DY36" s="120"/>
      <c r="DZ36" s="119">
        <v>52</v>
      </c>
      <c r="EA36" s="115">
        <v>3</v>
      </c>
      <c r="EB36" s="115">
        <v>0</v>
      </c>
      <c r="EC36" s="115">
        <v>1</v>
      </c>
      <c r="ED36" s="115">
        <v>864.20001220703125</v>
      </c>
      <c r="EE36" s="121">
        <v>57.276092529296875</v>
      </c>
      <c r="EF36" s="121">
        <v>58.119443893432617</v>
      </c>
      <c r="EG36" s="121">
        <v>59.836030006408691</v>
      </c>
      <c r="EH36" t="s">
        <v>67</v>
      </c>
    </row>
    <row r="37" spans="1:138" x14ac:dyDescent="0.3">
      <c r="A37" s="226">
        <f t="shared" si="3"/>
        <v>46020.022916666741</v>
      </c>
      <c r="B37" s="115">
        <v>306</v>
      </c>
      <c r="C37" s="115">
        <v>54.512001037597656</v>
      </c>
      <c r="D37" s="115">
        <v>102.46600341796875</v>
      </c>
      <c r="E37" s="115">
        <v>21.375</v>
      </c>
      <c r="F37" s="115">
        <v>10.32135009765625</v>
      </c>
      <c r="G37" s="116">
        <v>22.392999649047852</v>
      </c>
      <c r="H37" s="117">
        <v>361</v>
      </c>
      <c r="I37" s="115">
        <v>335</v>
      </c>
      <c r="J37" s="115">
        <v>74.870002746582031</v>
      </c>
      <c r="K37" s="115">
        <v>64.211990356445313</v>
      </c>
      <c r="L37" s="115">
        <v>53.896999359130859</v>
      </c>
      <c r="M37" s="115">
        <v>15.607000350952148</v>
      </c>
      <c r="N37" s="115">
        <v>16.540000915527344</v>
      </c>
      <c r="O37" s="115">
        <v>18</v>
      </c>
      <c r="P37" s="115">
        <v>0</v>
      </c>
      <c r="Q37" s="115">
        <v>18.982513427734375</v>
      </c>
      <c r="R37" s="115">
        <v>27</v>
      </c>
      <c r="S37" s="115">
        <v>28.589715957641602</v>
      </c>
      <c r="T37" s="115">
        <v>9</v>
      </c>
      <c r="U37" s="115">
        <v>9</v>
      </c>
      <c r="V37" s="117">
        <v>1214</v>
      </c>
      <c r="W37" s="115">
        <v>37.961643218994141</v>
      </c>
      <c r="X37" s="115">
        <v>38.452999114990234</v>
      </c>
      <c r="Y37" s="115">
        <v>10.878000259399414</v>
      </c>
      <c r="Z37" s="115">
        <v>0</v>
      </c>
      <c r="AA37" s="115">
        <v>30.988000869750977</v>
      </c>
      <c r="AB37" s="115">
        <v>0</v>
      </c>
      <c r="AC37" s="115">
        <v>66.196022033691406</v>
      </c>
      <c r="AD37" s="115">
        <v>6.3610000610351563</v>
      </c>
      <c r="AE37" s="115">
        <v>0</v>
      </c>
      <c r="AF37" s="115">
        <v>98.341178894042969</v>
      </c>
      <c r="AG37" s="115">
        <v>0</v>
      </c>
      <c r="AH37" s="115">
        <v>79.838066101074219</v>
      </c>
      <c r="AI37" s="115">
        <v>19.656999588012695</v>
      </c>
      <c r="AJ37" s="115">
        <v>37.528079986572266</v>
      </c>
      <c r="AK37" s="115">
        <v>52.083717346191406</v>
      </c>
      <c r="AL37" s="115">
        <v>60.612998962402344</v>
      </c>
      <c r="AM37" s="118">
        <v>58.464000701904297</v>
      </c>
      <c r="AN37" s="117">
        <v>159.25</v>
      </c>
      <c r="AO37" s="119">
        <v>88</v>
      </c>
      <c r="AP37" s="115">
        <v>85.54425048828125</v>
      </c>
      <c r="AQ37" s="115">
        <v>54.020092010498047</v>
      </c>
      <c r="AR37" s="115">
        <v>133</v>
      </c>
      <c r="AS37" s="115"/>
      <c r="AT37" s="115">
        <v>121</v>
      </c>
      <c r="AU37" s="115"/>
      <c r="AV37" s="115">
        <v>89</v>
      </c>
      <c r="AW37" s="115"/>
      <c r="AX37" s="115">
        <v>36</v>
      </c>
      <c r="AY37" s="115">
        <v>37.984119415283203</v>
      </c>
      <c r="AZ37" s="115">
        <v>26</v>
      </c>
      <c r="BA37" s="115"/>
      <c r="BB37" s="115">
        <v>200</v>
      </c>
      <c r="BC37" s="115">
        <v>206.16952514648438</v>
      </c>
      <c r="BD37" s="115">
        <v>7.4000000953674316</v>
      </c>
      <c r="BE37" s="115">
        <v>7.4026179313659668</v>
      </c>
      <c r="BF37" s="115">
        <v>31</v>
      </c>
      <c r="BG37" s="115">
        <v>12</v>
      </c>
      <c r="BH37" s="115">
        <v>13.003176689147949</v>
      </c>
      <c r="BI37" s="115"/>
      <c r="BJ37" s="108">
        <f t="shared" si="0"/>
        <v>18</v>
      </c>
      <c r="BK37" s="115">
        <v>18</v>
      </c>
      <c r="BL37" s="115">
        <v>0</v>
      </c>
      <c r="BM37" s="118"/>
      <c r="BN37" s="108">
        <f t="shared" si="1"/>
        <v>122</v>
      </c>
      <c r="BO37" s="108">
        <v>74</v>
      </c>
      <c r="BP37" s="108">
        <v>48</v>
      </c>
      <c r="BQ37" s="108">
        <v>338</v>
      </c>
      <c r="BR37" s="115">
        <v>103.70999908447266</v>
      </c>
      <c r="BS37" s="115">
        <v>27.990999221801758</v>
      </c>
      <c r="BT37" s="115">
        <v>52.993000030517578</v>
      </c>
      <c r="BU37" s="115">
        <v>48.603000640869141</v>
      </c>
      <c r="BV37" s="115">
        <v>69</v>
      </c>
      <c r="BW37" s="115">
        <v>7.4000000953674316</v>
      </c>
      <c r="BX37" s="115">
        <v>13.800000190734863</v>
      </c>
      <c r="BY37" s="115">
        <v>29</v>
      </c>
      <c r="BZ37" s="115">
        <v>1.4878096990287304E-2</v>
      </c>
      <c r="CA37" s="115">
        <v>0</v>
      </c>
      <c r="CB37" s="115">
        <v>29.266567230224609</v>
      </c>
      <c r="CC37" s="118"/>
      <c r="CD37" s="115">
        <v>442.96847534179688</v>
      </c>
      <c r="CE37" s="115">
        <v>89.836074829101563</v>
      </c>
      <c r="CF37" s="115">
        <v>33.353343963623047</v>
      </c>
      <c r="CG37" s="115">
        <v>35.338191986083984</v>
      </c>
      <c r="CH37" s="115">
        <v>303.6131591796875</v>
      </c>
      <c r="CI37" s="115">
        <v>122.13344573974609</v>
      </c>
      <c r="CJ37" s="115">
        <v>60.401832580566406</v>
      </c>
      <c r="CK37" s="115">
        <v>64.98565673828125</v>
      </c>
      <c r="CL37" s="116">
        <v>47.546413421630859</v>
      </c>
      <c r="CM37" s="117">
        <v>343.39071655273438</v>
      </c>
      <c r="CN37" s="115">
        <v>151.45231628417969</v>
      </c>
      <c r="CO37" s="115">
        <v>92.660781860351563</v>
      </c>
      <c r="CP37" s="115">
        <v>91.944541931152344</v>
      </c>
      <c r="CQ37" s="115">
        <v>0</v>
      </c>
      <c r="CR37" s="115">
        <v>69.89398193359375</v>
      </c>
      <c r="CS37" s="115">
        <v>12.799445152282715</v>
      </c>
      <c r="CT37" s="115">
        <v>56.329971313476563</v>
      </c>
      <c r="CU37" s="115">
        <v>181.87481689453125</v>
      </c>
      <c r="CV37" s="116">
        <v>110.20480346679688</v>
      </c>
      <c r="CW37" s="117">
        <v>2</v>
      </c>
      <c r="CX37" s="115">
        <v>472</v>
      </c>
      <c r="CY37" s="115">
        <v>229.22007751464844</v>
      </c>
      <c r="CZ37" s="115">
        <v>62.526931762695313</v>
      </c>
      <c r="DA37" s="115">
        <v>22.189094543457031</v>
      </c>
      <c r="DB37" s="115">
        <v>44.490558624267578</v>
      </c>
      <c r="DC37" s="115">
        <v>95.845710754394531</v>
      </c>
      <c r="DD37" s="115">
        <v>685</v>
      </c>
      <c r="DE37" s="115">
        <v>202</v>
      </c>
      <c r="DF37" s="115">
        <v>702.1094970703125</v>
      </c>
      <c r="DG37" s="115">
        <v>106.92621612548828</v>
      </c>
      <c r="DH37" s="115">
        <v>71.65087890625</v>
      </c>
      <c r="DI37" s="120">
        <v>44.360580444335938</v>
      </c>
      <c r="DJ37" s="119">
        <v>258</v>
      </c>
      <c r="DK37" s="115">
        <v>150.64500427246094</v>
      </c>
      <c r="DL37" s="115">
        <v>31.214000701904297</v>
      </c>
      <c r="DM37" s="115">
        <v>68.035003662109375</v>
      </c>
      <c r="DN37" s="115">
        <v>53.896999359130859</v>
      </c>
      <c r="DO37" s="116">
        <v>119.96744537353516</v>
      </c>
      <c r="DP37" s="117">
        <v>17.698999404907227</v>
      </c>
      <c r="DQ37" s="115"/>
      <c r="DR37" s="117">
        <v>67</v>
      </c>
      <c r="DS37" s="120">
        <v>47.200000762939453</v>
      </c>
      <c r="DT37" s="119">
        <v>14</v>
      </c>
      <c r="DU37" s="115"/>
      <c r="DV37" s="115">
        <v>174</v>
      </c>
      <c r="DW37" s="115">
        <v>165.23831176757813</v>
      </c>
      <c r="DX37" s="117">
        <v>14</v>
      </c>
      <c r="DY37" s="120"/>
      <c r="DZ37" s="119">
        <v>52</v>
      </c>
      <c r="EA37" s="115">
        <v>3</v>
      </c>
      <c r="EB37" s="115">
        <v>0</v>
      </c>
      <c r="EC37" s="115">
        <v>1</v>
      </c>
      <c r="ED37" s="115">
        <v>866.5999755859375</v>
      </c>
      <c r="EE37" s="121">
        <v>9.9870004653930664</v>
      </c>
      <c r="EF37" s="121">
        <v>10.273499965667725</v>
      </c>
      <c r="EG37" s="121">
        <v>11.999783356984457</v>
      </c>
      <c r="EH37" t="s">
        <v>68</v>
      </c>
    </row>
    <row r="38" spans="1:138" x14ac:dyDescent="0.3">
      <c r="A38" s="226">
        <f t="shared" si="3"/>
        <v>46020.023611111188</v>
      </c>
      <c r="B38" s="115">
        <v>307</v>
      </c>
      <c r="C38" s="115">
        <v>57.340000152587891</v>
      </c>
      <c r="D38" s="115">
        <v>103.93599700927734</v>
      </c>
      <c r="E38" s="115">
        <v>20.357000350952148</v>
      </c>
      <c r="F38" s="115">
        <v>1.5428429841995239</v>
      </c>
      <c r="G38" s="116">
        <v>21.035999298095703</v>
      </c>
      <c r="H38" s="117">
        <v>355</v>
      </c>
      <c r="I38" s="115">
        <v>326</v>
      </c>
      <c r="J38" s="115">
        <v>73.51300048828125</v>
      </c>
      <c r="K38" s="115">
        <v>64.698173522949219</v>
      </c>
      <c r="L38" s="115">
        <v>52.837001800537109</v>
      </c>
      <c r="M38" s="115">
        <v>14.928000450134277</v>
      </c>
      <c r="N38" s="115">
        <v>17.113000869750977</v>
      </c>
      <c r="O38" s="115">
        <v>19</v>
      </c>
      <c r="P38" s="115">
        <v>0</v>
      </c>
      <c r="Q38" s="115">
        <v>18.982513427734375</v>
      </c>
      <c r="R38" s="115">
        <v>27</v>
      </c>
      <c r="S38" s="115">
        <v>28.963272094726563</v>
      </c>
      <c r="T38" s="115">
        <v>9</v>
      </c>
      <c r="U38" s="115">
        <v>9</v>
      </c>
      <c r="V38" s="117">
        <v>1203</v>
      </c>
      <c r="W38" s="115">
        <v>35.673847198486328</v>
      </c>
      <c r="X38" s="115">
        <v>38.791999816894531</v>
      </c>
      <c r="Y38" s="115">
        <v>9.9239997863769531</v>
      </c>
      <c r="Z38" s="115">
        <v>0</v>
      </c>
      <c r="AA38" s="115">
        <v>28.27400016784668</v>
      </c>
      <c r="AB38" s="115">
        <v>0</v>
      </c>
      <c r="AC38" s="115">
        <v>66.298858642578125</v>
      </c>
      <c r="AD38" s="115">
        <v>6.1069998741149902</v>
      </c>
      <c r="AE38" s="115">
        <v>0</v>
      </c>
      <c r="AF38" s="115">
        <v>97.554679870605469</v>
      </c>
      <c r="AG38" s="115">
        <v>0</v>
      </c>
      <c r="AH38" s="115">
        <v>79.716575622558594</v>
      </c>
      <c r="AI38" s="115">
        <v>21.24799919128418</v>
      </c>
      <c r="AJ38" s="115">
        <v>32.159538269042969</v>
      </c>
      <c r="AK38" s="115">
        <v>52.132747650146484</v>
      </c>
      <c r="AL38" s="115">
        <v>58.492000579833984</v>
      </c>
      <c r="AM38" s="118">
        <v>57.000999450683594</v>
      </c>
      <c r="AN38" s="117">
        <v>157.9375</v>
      </c>
      <c r="AO38" s="119">
        <v>86</v>
      </c>
      <c r="AP38" s="115">
        <v>85.168678283691406</v>
      </c>
      <c r="AQ38" s="115">
        <v>53.327644348144531</v>
      </c>
      <c r="AR38" s="115">
        <v>129</v>
      </c>
      <c r="AS38" s="115"/>
      <c r="AT38" s="115">
        <v>120</v>
      </c>
      <c r="AU38" s="115"/>
      <c r="AV38" s="115">
        <v>69</v>
      </c>
      <c r="AW38" s="115"/>
      <c r="AX38" s="115">
        <v>36</v>
      </c>
      <c r="AY38" s="115">
        <v>37.984119415283203</v>
      </c>
      <c r="AZ38" s="115">
        <v>27</v>
      </c>
      <c r="BA38" s="115"/>
      <c r="BB38" s="115">
        <v>199</v>
      </c>
      <c r="BC38" s="115">
        <v>206.53668212890625</v>
      </c>
      <c r="BD38" s="115">
        <v>7.4000000953674316</v>
      </c>
      <c r="BE38" s="115">
        <v>7.3988428115844727</v>
      </c>
      <c r="BF38" s="115">
        <v>30</v>
      </c>
      <c r="BG38" s="115">
        <v>12</v>
      </c>
      <c r="BH38" s="115">
        <v>12.50733757019043</v>
      </c>
      <c r="BI38" s="115"/>
      <c r="BJ38" s="108">
        <f t="shared" si="0"/>
        <v>18</v>
      </c>
      <c r="BK38" s="115">
        <v>18</v>
      </c>
      <c r="BL38" s="115">
        <v>0</v>
      </c>
      <c r="BM38" s="118"/>
      <c r="BN38" s="108">
        <f t="shared" si="1"/>
        <v>123</v>
      </c>
      <c r="BO38" s="108">
        <v>74</v>
      </c>
      <c r="BP38" s="108">
        <v>49</v>
      </c>
      <c r="BQ38" s="108">
        <v>334</v>
      </c>
      <c r="BR38" s="115">
        <v>100.20400238037109</v>
      </c>
      <c r="BS38" s="115">
        <v>28.5</v>
      </c>
      <c r="BT38" s="115">
        <v>48.83599853515625</v>
      </c>
      <c r="BU38" s="115">
        <v>48.53900146484375</v>
      </c>
      <c r="BV38" s="115">
        <v>68.599998474121094</v>
      </c>
      <c r="BW38" s="115">
        <v>7.3000001907348633</v>
      </c>
      <c r="BX38" s="115">
        <v>13.699999809265137</v>
      </c>
      <c r="BY38" s="115">
        <v>29</v>
      </c>
      <c r="BZ38" s="115">
        <v>1.5190604142844677E-2</v>
      </c>
      <c r="CA38" s="115">
        <v>0</v>
      </c>
      <c r="CB38" s="115">
        <v>29.175050735473633</v>
      </c>
      <c r="CC38" s="118"/>
      <c r="CD38" s="115">
        <v>444.169921875</v>
      </c>
      <c r="CE38" s="115">
        <v>90.349029541015625</v>
      </c>
      <c r="CF38" s="115">
        <v>32.730106353759766</v>
      </c>
      <c r="CG38" s="115">
        <v>35.338191986083984</v>
      </c>
      <c r="CH38" s="115">
        <v>303.859375</v>
      </c>
      <c r="CI38" s="115">
        <v>117.36579895019531</v>
      </c>
      <c r="CJ38" s="115">
        <v>58.215503692626953</v>
      </c>
      <c r="CK38" s="115">
        <v>60.379550933837891</v>
      </c>
      <c r="CL38" s="116">
        <v>48.187397003173828</v>
      </c>
      <c r="CM38" s="117">
        <v>342.3941650390625</v>
      </c>
      <c r="CN38" s="115">
        <v>149.1104736328125</v>
      </c>
      <c r="CO38" s="115">
        <v>92.740913391113281</v>
      </c>
      <c r="CP38" s="115">
        <v>94.620903015136719</v>
      </c>
      <c r="CQ38" s="115">
        <v>0</v>
      </c>
      <c r="CR38" s="115">
        <v>70.258369445800781</v>
      </c>
      <c r="CS38" s="115">
        <v>12.485926628112793</v>
      </c>
      <c r="CT38" s="115">
        <v>56.197826385498047</v>
      </c>
      <c r="CU38" s="115">
        <v>184.26890563964844</v>
      </c>
      <c r="CV38" s="116">
        <v>110.84196472167969</v>
      </c>
      <c r="CW38" s="117">
        <v>5</v>
      </c>
      <c r="CX38" s="115">
        <v>466</v>
      </c>
      <c r="CY38" s="115">
        <v>226.52632141113281</v>
      </c>
      <c r="CZ38" s="115">
        <v>60.722030639648438</v>
      </c>
      <c r="DA38" s="115">
        <v>23.421531677246094</v>
      </c>
      <c r="DB38" s="115">
        <v>43.762615203857422</v>
      </c>
      <c r="DC38" s="115">
        <v>93.379295349121094</v>
      </c>
      <c r="DD38" s="115">
        <v>680</v>
      </c>
      <c r="DE38" s="115">
        <v>204</v>
      </c>
      <c r="DF38" s="115">
        <v>703.2313232421875</v>
      </c>
      <c r="DG38" s="115">
        <v>103.62574768066406</v>
      </c>
      <c r="DH38" s="115">
        <v>71.818962097167969</v>
      </c>
      <c r="DI38" s="120">
        <v>43.407794952392578</v>
      </c>
      <c r="DJ38" s="119">
        <v>256</v>
      </c>
      <c r="DK38" s="115">
        <v>147.59199523925781</v>
      </c>
      <c r="DL38" s="115">
        <v>31.440999984741211</v>
      </c>
      <c r="DM38" s="115">
        <v>60.78900146484375</v>
      </c>
      <c r="DN38" s="115">
        <v>53.191001892089844</v>
      </c>
      <c r="DO38" s="116">
        <v>120.63993072509766</v>
      </c>
      <c r="DP38" s="117">
        <v>17.698999404907227</v>
      </c>
      <c r="DQ38" s="115"/>
      <c r="DR38" s="117">
        <v>67</v>
      </c>
      <c r="DS38" s="120">
        <v>47.900001525878906</v>
      </c>
      <c r="DT38" s="119">
        <v>14</v>
      </c>
      <c r="DU38" s="115"/>
      <c r="DV38" s="115">
        <v>176</v>
      </c>
      <c r="DW38" s="115">
        <v>165.14414978027344</v>
      </c>
      <c r="DX38" s="117">
        <v>13</v>
      </c>
      <c r="DY38" s="120"/>
      <c r="DZ38" s="119">
        <v>54</v>
      </c>
      <c r="EA38" s="115">
        <v>3</v>
      </c>
      <c r="EB38" s="115">
        <v>0</v>
      </c>
      <c r="EC38" s="115">
        <v>1</v>
      </c>
      <c r="ED38" s="115">
        <v>861</v>
      </c>
      <c r="EE38" s="121">
        <v>13.616472244262695</v>
      </c>
      <c r="EF38" s="121">
        <v>14.553894201914469</v>
      </c>
      <c r="EG38" s="121">
        <v>15.944715213775634</v>
      </c>
      <c r="EH38" t="s">
        <v>69</v>
      </c>
    </row>
    <row r="39" spans="1:138" x14ac:dyDescent="0.3">
      <c r="A39" s="226">
        <f t="shared" si="3"/>
        <v>46020.024305555635</v>
      </c>
      <c r="B39" s="115">
        <v>298</v>
      </c>
      <c r="C39" s="115">
        <v>55.869998931884766</v>
      </c>
      <c r="D39" s="115">
        <v>103.14399719238281</v>
      </c>
      <c r="E39" s="115">
        <v>19.451999664306641</v>
      </c>
      <c r="F39" s="115">
        <v>13.354691505432129</v>
      </c>
      <c r="G39" s="116">
        <v>21.826999664306641</v>
      </c>
      <c r="H39" s="117">
        <v>358</v>
      </c>
      <c r="I39" s="115">
        <v>326</v>
      </c>
      <c r="J39" s="115">
        <v>73.738998413085938</v>
      </c>
      <c r="K39" s="115">
        <v>65.259300231933594</v>
      </c>
      <c r="L39" s="115">
        <v>53.013999938964844</v>
      </c>
      <c r="M39" s="115">
        <v>14.814999580383301</v>
      </c>
      <c r="N39" s="115">
        <v>16.731000900268555</v>
      </c>
      <c r="O39" s="115">
        <v>21</v>
      </c>
      <c r="P39" s="115">
        <v>0</v>
      </c>
      <c r="Q39" s="115">
        <v>20.76313591003418</v>
      </c>
      <c r="R39" s="115">
        <v>28.996875762939453</v>
      </c>
      <c r="S39" s="115">
        <v>30.636562347412109</v>
      </c>
      <c r="T39" s="115">
        <v>9</v>
      </c>
      <c r="U39" s="115">
        <v>9</v>
      </c>
      <c r="V39" s="117">
        <v>1203</v>
      </c>
      <c r="W39" s="115">
        <v>36.082069396972656</v>
      </c>
      <c r="X39" s="115">
        <v>39.243999481201172</v>
      </c>
      <c r="Y39" s="115">
        <v>10.050999641418457</v>
      </c>
      <c r="Z39" s="115">
        <v>0</v>
      </c>
      <c r="AA39" s="115">
        <v>27.934999465942383</v>
      </c>
      <c r="AB39" s="115">
        <v>0</v>
      </c>
      <c r="AC39" s="115">
        <v>66.336151123046875</v>
      </c>
      <c r="AD39" s="115">
        <v>5.8520002365112305</v>
      </c>
      <c r="AE39" s="115">
        <v>0</v>
      </c>
      <c r="AF39" s="115">
        <v>97.683967590332031</v>
      </c>
      <c r="AG39" s="115">
        <v>0</v>
      </c>
      <c r="AH39" s="115">
        <v>81.101791381835938</v>
      </c>
      <c r="AI39" s="115">
        <v>23.219999313354492</v>
      </c>
      <c r="AJ39" s="115">
        <v>37.108013153076172</v>
      </c>
      <c r="AK39" s="115">
        <v>50.934741973876953</v>
      </c>
      <c r="AL39" s="115">
        <v>57.431999206542969</v>
      </c>
      <c r="AM39" s="118">
        <v>59.736000061035156</v>
      </c>
      <c r="AN39" s="117">
        <v>157.9375</v>
      </c>
      <c r="AO39" s="119">
        <v>87</v>
      </c>
      <c r="AP39" s="115">
        <v>84.805442810058594</v>
      </c>
      <c r="AQ39" s="115">
        <v>56.323112487792969</v>
      </c>
      <c r="AR39" s="115">
        <v>129</v>
      </c>
      <c r="AS39" s="115"/>
      <c r="AT39" s="115">
        <v>122</v>
      </c>
      <c r="AU39" s="115"/>
      <c r="AV39" s="115">
        <v>73</v>
      </c>
      <c r="AW39" s="115"/>
      <c r="AX39" s="115">
        <v>35</v>
      </c>
      <c r="AY39" s="115">
        <v>37.303455352783203</v>
      </c>
      <c r="AZ39" s="115">
        <v>28</v>
      </c>
      <c r="BA39" s="115"/>
      <c r="BB39" s="115">
        <v>197</v>
      </c>
      <c r="BC39" s="115">
        <v>206.53668212890625</v>
      </c>
      <c r="BD39" s="115">
        <v>7.4000000953674316</v>
      </c>
      <c r="BE39" s="115">
        <v>7.3911528587341309</v>
      </c>
      <c r="BF39" s="115">
        <v>30</v>
      </c>
      <c r="BG39" s="115">
        <v>12</v>
      </c>
      <c r="BH39" s="115">
        <v>12.473638534545898</v>
      </c>
      <c r="BI39" s="115"/>
      <c r="BJ39" s="108">
        <f t="shared" si="0"/>
        <v>17</v>
      </c>
      <c r="BK39" s="115">
        <v>17</v>
      </c>
      <c r="BL39" s="115">
        <v>0</v>
      </c>
      <c r="BM39" s="118"/>
      <c r="BN39" s="108">
        <f t="shared" si="1"/>
        <v>122</v>
      </c>
      <c r="BO39" s="108">
        <v>74</v>
      </c>
      <c r="BP39" s="108">
        <v>48</v>
      </c>
      <c r="BQ39" s="108">
        <v>333</v>
      </c>
      <c r="BR39" s="115">
        <v>100.54299926757813</v>
      </c>
      <c r="BS39" s="115">
        <v>26.972999572753906</v>
      </c>
      <c r="BT39" s="115">
        <v>50.222000122070313</v>
      </c>
      <c r="BU39" s="115">
        <v>49.556999206542969</v>
      </c>
      <c r="BV39" s="115">
        <v>68.199996948242188</v>
      </c>
      <c r="BW39" s="115">
        <v>7.1999998092651367</v>
      </c>
      <c r="BX39" s="115">
        <v>13.800000190734863</v>
      </c>
      <c r="BY39" s="115">
        <v>29</v>
      </c>
      <c r="BZ39" s="115">
        <v>1.3383785262703896E-2</v>
      </c>
      <c r="CA39" s="115">
        <v>0</v>
      </c>
      <c r="CB39" s="115">
        <v>29.159696578979492</v>
      </c>
      <c r="CC39" s="118"/>
      <c r="CD39" s="115">
        <v>448.18515014648438</v>
      </c>
      <c r="CE39" s="115">
        <v>91.186119079589844</v>
      </c>
      <c r="CF39" s="115">
        <v>33.653835296630859</v>
      </c>
      <c r="CG39" s="115">
        <v>35.338191986083984</v>
      </c>
      <c r="CH39" s="115">
        <v>303.82565307617188</v>
      </c>
      <c r="CI39" s="115">
        <v>121.10546875</v>
      </c>
      <c r="CJ39" s="115">
        <v>59.587821960449219</v>
      </c>
      <c r="CK39" s="115">
        <v>64.064018249511719</v>
      </c>
      <c r="CL39" s="116">
        <v>48.50555419921875</v>
      </c>
      <c r="CM39" s="117">
        <v>346.24349975585938</v>
      </c>
      <c r="CN39" s="115">
        <v>152.89942932128906</v>
      </c>
      <c r="CO39" s="115">
        <v>92.548324584960938</v>
      </c>
      <c r="CP39" s="115">
        <v>94.833694458007813</v>
      </c>
      <c r="CQ39" s="115">
        <v>0</v>
      </c>
      <c r="CR39" s="115">
        <v>70.258369445800781</v>
      </c>
      <c r="CS39" s="115">
        <v>13.138424873352051</v>
      </c>
      <c r="CT39" s="115">
        <v>59.414531707763672</v>
      </c>
      <c r="CU39" s="115">
        <v>188.66465759277344</v>
      </c>
      <c r="CV39" s="116">
        <v>111.43040466308594</v>
      </c>
      <c r="CW39" s="117">
        <v>3</v>
      </c>
      <c r="CX39" s="115">
        <v>463</v>
      </c>
      <c r="CY39" s="115">
        <v>226.64892578125</v>
      </c>
      <c r="CZ39" s="115">
        <v>62.032760620117188</v>
      </c>
      <c r="DA39" s="115">
        <v>24.399667739868164</v>
      </c>
      <c r="DB39" s="115">
        <v>43.275970458984375</v>
      </c>
      <c r="DC39" s="115">
        <v>93.379295349121094</v>
      </c>
      <c r="DD39" s="115">
        <v>688</v>
      </c>
      <c r="DE39" s="115">
        <v>203</v>
      </c>
      <c r="DF39" s="115">
        <v>700.5626220703125</v>
      </c>
      <c r="DG39" s="115">
        <v>99.532737731933594</v>
      </c>
      <c r="DH39" s="115">
        <v>71.848564147949219</v>
      </c>
      <c r="DI39" s="120">
        <v>43.293922424316406</v>
      </c>
      <c r="DJ39" s="119">
        <v>259</v>
      </c>
      <c r="DK39" s="115">
        <v>151.66299438476563</v>
      </c>
      <c r="DL39" s="115">
        <v>31.10099983215332</v>
      </c>
      <c r="DM39" s="115">
        <v>63.792999267578125</v>
      </c>
      <c r="DN39" s="115">
        <v>54.074001312255859</v>
      </c>
      <c r="DO39" s="116">
        <v>119.86919403076172</v>
      </c>
      <c r="DP39" s="117">
        <v>18.350000381469727</v>
      </c>
      <c r="DQ39" s="115"/>
      <c r="DR39" s="117">
        <v>67</v>
      </c>
      <c r="DS39" s="120">
        <v>46.799999237060547</v>
      </c>
      <c r="DT39" s="119">
        <v>14</v>
      </c>
      <c r="DU39" s="115"/>
      <c r="DV39" s="115">
        <v>176</v>
      </c>
      <c r="DW39" s="115">
        <v>164.69967651367188</v>
      </c>
      <c r="DX39" s="117">
        <v>12</v>
      </c>
      <c r="DY39" s="120"/>
      <c r="DZ39" s="119">
        <v>54</v>
      </c>
      <c r="EA39" s="115">
        <v>3</v>
      </c>
      <c r="EB39" s="115">
        <v>0</v>
      </c>
      <c r="EC39" s="115">
        <v>1</v>
      </c>
      <c r="ED39" s="115">
        <v>856.5999755859375</v>
      </c>
      <c r="EE39" s="121">
        <v>34.659770965576172</v>
      </c>
      <c r="EF39" s="121">
        <v>35.005884170532227</v>
      </c>
      <c r="EG39" s="121">
        <v>35.874720891316734</v>
      </c>
      <c r="EH39" t="s">
        <v>6</v>
      </c>
    </row>
    <row r="40" spans="1:138" x14ac:dyDescent="0.3">
      <c r="A40" s="226">
        <f t="shared" si="3"/>
        <v>46020.025000000081</v>
      </c>
      <c r="B40" s="115">
        <v>297</v>
      </c>
      <c r="C40" s="115">
        <v>57.791999816894531</v>
      </c>
      <c r="D40" s="115">
        <v>104.27500152587891</v>
      </c>
      <c r="E40" s="115">
        <v>20.357000350952148</v>
      </c>
      <c r="F40" s="115">
        <v>9.4450759887695313</v>
      </c>
      <c r="G40" s="116">
        <v>22.506000518798828</v>
      </c>
      <c r="H40" s="117">
        <v>349</v>
      </c>
      <c r="I40" s="115">
        <v>313</v>
      </c>
      <c r="J40" s="115">
        <v>72.042999267578125</v>
      </c>
      <c r="K40" s="115">
        <v>65.617088317871094</v>
      </c>
      <c r="L40" s="115">
        <v>50.540000915527344</v>
      </c>
      <c r="M40" s="115">
        <v>14.36299991607666</v>
      </c>
      <c r="N40" s="115">
        <v>17.302999496459961</v>
      </c>
      <c r="O40" s="115">
        <v>21</v>
      </c>
      <c r="P40" s="115">
        <v>0</v>
      </c>
      <c r="Q40" s="115">
        <v>21.961538314819336</v>
      </c>
      <c r="R40" s="115">
        <v>27</v>
      </c>
      <c r="S40" s="115">
        <v>28.770723342895508</v>
      </c>
      <c r="T40" s="115">
        <v>1</v>
      </c>
      <c r="U40" s="115">
        <v>1</v>
      </c>
      <c r="V40" s="117">
        <v>1199</v>
      </c>
      <c r="W40" s="115">
        <v>36.984577178955078</v>
      </c>
      <c r="X40" s="115">
        <v>39.696998596191406</v>
      </c>
      <c r="Y40" s="115">
        <v>10.178000450134277</v>
      </c>
      <c r="Z40" s="115">
        <v>0</v>
      </c>
      <c r="AA40" s="115">
        <v>27.030000686645508</v>
      </c>
      <c r="AB40" s="115">
        <v>0</v>
      </c>
      <c r="AC40" s="115">
        <v>66.806770324707031</v>
      </c>
      <c r="AD40" s="115">
        <v>6.1069998741149902</v>
      </c>
      <c r="AE40" s="115">
        <v>0</v>
      </c>
      <c r="AF40" s="115">
        <v>98.975868225097656</v>
      </c>
      <c r="AG40" s="115">
        <v>0</v>
      </c>
      <c r="AH40" s="115">
        <v>79.492835998535156</v>
      </c>
      <c r="AI40" s="115">
        <v>22.266000747680664</v>
      </c>
      <c r="AJ40" s="115">
        <v>37.167133331298828</v>
      </c>
      <c r="AK40" s="115">
        <v>50.909538269042969</v>
      </c>
      <c r="AL40" s="115">
        <v>60.258998870849609</v>
      </c>
      <c r="AM40" s="118">
        <v>55.854999542236328</v>
      </c>
      <c r="AN40" s="117">
        <v>159.375</v>
      </c>
      <c r="AO40" s="119">
        <v>88</v>
      </c>
      <c r="AP40" s="115">
        <v>82.527801513671875</v>
      </c>
      <c r="AQ40" s="115">
        <v>57.035270690917969</v>
      </c>
      <c r="AR40" s="115">
        <v>130</v>
      </c>
      <c r="AS40" s="115"/>
      <c r="AT40" s="115">
        <v>122</v>
      </c>
      <c r="AU40" s="115"/>
      <c r="AV40" s="115">
        <v>73</v>
      </c>
      <c r="AW40" s="115"/>
      <c r="AX40" s="115">
        <v>36</v>
      </c>
      <c r="AY40" s="115">
        <v>36.737255096435547</v>
      </c>
      <c r="AZ40" s="115">
        <v>28</v>
      </c>
      <c r="BA40" s="115"/>
      <c r="BB40" s="115">
        <v>197</v>
      </c>
      <c r="BC40" s="115">
        <v>205.80398559570313</v>
      </c>
      <c r="BD40" s="115">
        <v>7.3000001907348633</v>
      </c>
      <c r="BE40" s="115">
        <v>7.3911528587341309</v>
      </c>
      <c r="BF40" s="115">
        <v>30</v>
      </c>
      <c r="BG40" s="115">
        <v>12</v>
      </c>
      <c r="BH40" s="115">
        <v>12.557522773742676</v>
      </c>
      <c r="BI40" s="115"/>
      <c r="BJ40" s="108">
        <f t="shared" si="0"/>
        <v>18</v>
      </c>
      <c r="BK40" s="115">
        <v>18</v>
      </c>
      <c r="BL40" s="115">
        <v>0</v>
      </c>
      <c r="BM40" s="118"/>
      <c r="BN40" s="108">
        <f t="shared" si="1"/>
        <v>123</v>
      </c>
      <c r="BO40" s="108">
        <v>75</v>
      </c>
      <c r="BP40" s="108">
        <v>48</v>
      </c>
      <c r="BQ40" s="108">
        <v>334</v>
      </c>
      <c r="BR40" s="115">
        <v>101.10900115966797</v>
      </c>
      <c r="BS40" s="115">
        <v>27.73699951171875</v>
      </c>
      <c r="BT40" s="115">
        <v>50.568000793457031</v>
      </c>
      <c r="BU40" s="115">
        <v>48.3489990234375</v>
      </c>
      <c r="BV40" s="115">
        <v>68.5</v>
      </c>
      <c r="BW40" s="115">
        <v>7.1999998092651367</v>
      </c>
      <c r="BX40" s="115">
        <v>13.800000190734863</v>
      </c>
      <c r="BY40" s="115">
        <v>28</v>
      </c>
      <c r="BZ40" s="115">
        <v>1.2643575668334961E-2</v>
      </c>
      <c r="CA40" s="115">
        <v>0</v>
      </c>
      <c r="CB40" s="115">
        <v>29.615165710449219</v>
      </c>
      <c r="CC40" s="118"/>
      <c r="CD40" s="115">
        <v>442.88705444335938</v>
      </c>
      <c r="CE40" s="115">
        <v>89.597496032714844</v>
      </c>
      <c r="CF40" s="115">
        <v>32.949970245361328</v>
      </c>
      <c r="CG40" s="115">
        <v>35.338191986083984</v>
      </c>
      <c r="CH40" s="115">
        <v>303.68118286132813</v>
      </c>
      <c r="CI40" s="115">
        <v>122.57321166992188</v>
      </c>
      <c r="CJ40" s="115">
        <v>60.806015014648438</v>
      </c>
      <c r="CK40" s="115">
        <v>65.112625122070313</v>
      </c>
      <c r="CL40" s="116">
        <v>48.294773101806641</v>
      </c>
      <c r="CM40" s="117">
        <v>341.96743774414063</v>
      </c>
      <c r="CN40" s="115">
        <v>146.64593505859375</v>
      </c>
      <c r="CO40" s="115">
        <v>91.828201293945313</v>
      </c>
      <c r="CP40" s="115">
        <v>96.673065185546875</v>
      </c>
      <c r="CQ40" s="115">
        <v>0</v>
      </c>
      <c r="CR40" s="115">
        <v>69.949104309082031</v>
      </c>
      <c r="CS40" s="115">
        <v>13.474339485168457</v>
      </c>
      <c r="CT40" s="115">
        <v>53.545547485351563</v>
      </c>
      <c r="CU40" s="115">
        <v>190.07856750488281</v>
      </c>
      <c r="CV40" s="116">
        <v>111.16816711425781</v>
      </c>
      <c r="CW40" s="117">
        <v>3</v>
      </c>
      <c r="CX40" s="115">
        <v>473</v>
      </c>
      <c r="CY40" s="115">
        <v>226.48037719726563</v>
      </c>
      <c r="CZ40" s="115">
        <v>63.509159088134766</v>
      </c>
      <c r="DA40" s="115">
        <v>23.698392868041992</v>
      </c>
      <c r="DB40" s="115">
        <v>45.1358642578125</v>
      </c>
      <c r="DC40" s="115">
        <v>93.518028259277344</v>
      </c>
      <c r="DD40" s="115">
        <v>687</v>
      </c>
      <c r="DE40" s="115">
        <v>203</v>
      </c>
      <c r="DF40" s="115">
        <v>702.49737548828125</v>
      </c>
      <c r="DG40" s="115">
        <v>99.532737731933594</v>
      </c>
      <c r="DH40" s="115">
        <v>71.830322265625</v>
      </c>
      <c r="DI40" s="120">
        <v>43.293922424316406</v>
      </c>
      <c r="DJ40" s="119">
        <v>259</v>
      </c>
      <c r="DK40" s="115">
        <v>153.44400024414063</v>
      </c>
      <c r="DL40" s="115">
        <v>31.10099983215332</v>
      </c>
      <c r="DM40" s="115">
        <v>63.792999267578125</v>
      </c>
      <c r="DN40" s="115">
        <v>56.370998382568359</v>
      </c>
      <c r="DO40" s="116">
        <v>118.49986267089844</v>
      </c>
      <c r="DP40" s="117">
        <v>17.332000732421875</v>
      </c>
      <c r="DQ40" s="115"/>
      <c r="DR40" s="117">
        <v>67</v>
      </c>
      <c r="DS40" s="120">
        <v>46.200000762939453</v>
      </c>
      <c r="DT40" s="119">
        <v>14</v>
      </c>
      <c r="DU40" s="115"/>
      <c r="DV40" s="115">
        <v>173</v>
      </c>
      <c r="DW40" s="115">
        <v>165.4449462890625</v>
      </c>
      <c r="DX40" s="117">
        <v>13</v>
      </c>
      <c r="DY40" s="120"/>
      <c r="DZ40" s="119">
        <v>54</v>
      </c>
      <c r="EA40" s="115">
        <v>3</v>
      </c>
      <c r="EB40" s="115">
        <v>0</v>
      </c>
      <c r="EC40" s="115">
        <v>1</v>
      </c>
      <c r="ED40" s="115">
        <v>858.9000244140625</v>
      </c>
      <c r="EE40" s="121">
        <v>33.398998260498047</v>
      </c>
      <c r="EF40" s="121">
        <v>33.958166758219399</v>
      </c>
      <c r="EG40" s="121">
        <v>35.813633219401041</v>
      </c>
      <c r="EH40" t="s">
        <v>7</v>
      </c>
    </row>
    <row r="41" spans="1:138" x14ac:dyDescent="0.3">
      <c r="A41" s="226">
        <f t="shared" si="3"/>
        <v>46020.025694444528</v>
      </c>
      <c r="B41" s="115">
        <v>298</v>
      </c>
      <c r="C41" s="115">
        <v>56.660999298095703</v>
      </c>
      <c r="D41" s="115">
        <v>102.91799926757813</v>
      </c>
      <c r="E41" s="115">
        <v>20.923000335693359</v>
      </c>
      <c r="F41" s="115">
        <v>3.2832863330841064</v>
      </c>
      <c r="G41" s="116">
        <v>21.14900016784668</v>
      </c>
      <c r="H41" s="117">
        <v>349</v>
      </c>
      <c r="I41" s="115">
        <v>312</v>
      </c>
      <c r="J41" s="115">
        <v>72.268997192382813</v>
      </c>
      <c r="K41" s="115">
        <v>64.437911987304688</v>
      </c>
      <c r="L41" s="115">
        <v>51.599998474121094</v>
      </c>
      <c r="M41" s="115">
        <v>14.13700008392334</v>
      </c>
      <c r="N41" s="115">
        <v>17.367000579833984</v>
      </c>
      <c r="O41" s="115">
        <v>20</v>
      </c>
      <c r="P41" s="115">
        <v>0</v>
      </c>
      <c r="Q41" s="115">
        <v>19.802505493164063</v>
      </c>
      <c r="R41" s="115">
        <v>28.996875762939453</v>
      </c>
      <c r="S41" s="115">
        <v>29.594198226928711</v>
      </c>
      <c r="T41" s="115">
        <v>0</v>
      </c>
      <c r="U41" s="115">
        <v>0</v>
      </c>
      <c r="V41" s="117">
        <v>1199</v>
      </c>
      <c r="W41" s="115">
        <v>37.429332733154297</v>
      </c>
      <c r="X41" s="115">
        <v>39.923000335693359</v>
      </c>
      <c r="Y41" s="115">
        <v>9.9870004653930664</v>
      </c>
      <c r="Z41" s="115">
        <v>0</v>
      </c>
      <c r="AA41" s="115">
        <v>26.238000869750977</v>
      </c>
      <c r="AB41" s="115">
        <v>0</v>
      </c>
      <c r="AC41" s="115">
        <v>65.459136962890625</v>
      </c>
      <c r="AD41" s="115">
        <v>6.1069998741149902</v>
      </c>
      <c r="AE41" s="115">
        <v>0</v>
      </c>
      <c r="AF41" s="115">
        <v>99.126838684082031</v>
      </c>
      <c r="AG41" s="115">
        <v>0</v>
      </c>
      <c r="AH41" s="115">
        <v>79.268363952636719</v>
      </c>
      <c r="AI41" s="115">
        <v>18.702999114990234</v>
      </c>
      <c r="AJ41" s="115">
        <v>35.438655853271484</v>
      </c>
      <c r="AK41" s="115">
        <v>52.856605529785156</v>
      </c>
      <c r="AL41" s="115">
        <v>60.258998870849609</v>
      </c>
      <c r="AM41" s="118">
        <v>57.637001037597656</v>
      </c>
      <c r="AN41" s="117">
        <v>151.125</v>
      </c>
      <c r="AO41" s="119">
        <v>86</v>
      </c>
      <c r="AP41" s="115">
        <v>83.599403381347656</v>
      </c>
      <c r="AQ41" s="115">
        <v>53.645412445068359</v>
      </c>
      <c r="AR41" s="115">
        <v>129</v>
      </c>
      <c r="AS41" s="115"/>
      <c r="AT41" s="115">
        <v>122</v>
      </c>
      <c r="AU41" s="115"/>
      <c r="AV41" s="115">
        <v>74</v>
      </c>
      <c r="AW41" s="115"/>
      <c r="AX41" s="115">
        <v>35</v>
      </c>
      <c r="AY41" s="115">
        <v>36.466827392578125</v>
      </c>
      <c r="AZ41" s="115">
        <v>27</v>
      </c>
      <c r="BA41" s="115"/>
      <c r="BB41" s="115">
        <v>200</v>
      </c>
      <c r="BC41" s="115">
        <v>205.53562927246094</v>
      </c>
      <c r="BD41" s="115">
        <v>7.1999998092651367</v>
      </c>
      <c r="BE41" s="115">
        <v>7.3282022476196289</v>
      </c>
      <c r="BF41" s="115">
        <v>31</v>
      </c>
      <c r="BG41" s="115">
        <v>12</v>
      </c>
      <c r="BH41" s="115">
        <v>12.46158504486084</v>
      </c>
      <c r="BI41" s="115"/>
      <c r="BJ41" s="108">
        <f t="shared" si="0"/>
        <v>18</v>
      </c>
      <c r="BK41" s="115">
        <v>18</v>
      </c>
      <c r="BL41" s="115">
        <v>0</v>
      </c>
      <c r="BM41" s="118"/>
      <c r="BN41" s="108">
        <f t="shared" si="1"/>
        <v>123.20000076293945</v>
      </c>
      <c r="BO41" s="108">
        <v>75</v>
      </c>
      <c r="BP41" s="108">
        <v>48.200000762939453</v>
      </c>
      <c r="BQ41" s="108">
        <v>331</v>
      </c>
      <c r="BR41" s="115">
        <v>101.10900115966797</v>
      </c>
      <c r="BS41" s="115">
        <v>25.954999923706055</v>
      </c>
      <c r="BT41" s="115">
        <v>49.528999328613281</v>
      </c>
      <c r="BU41" s="115">
        <v>46.949001312255859</v>
      </c>
      <c r="BV41" s="115">
        <v>68.300003051757813</v>
      </c>
      <c r="BW41" s="115">
        <v>7.1999998092651367</v>
      </c>
      <c r="BX41" s="115">
        <v>13.600000381469727</v>
      </c>
      <c r="BY41" s="115">
        <v>28</v>
      </c>
      <c r="BZ41" s="115">
        <v>1.4902113936841488E-2</v>
      </c>
      <c r="CA41" s="115">
        <v>0</v>
      </c>
      <c r="CB41" s="115">
        <v>29.254007339477539</v>
      </c>
      <c r="CC41" s="118"/>
      <c r="CD41" s="115">
        <v>440.51101684570313</v>
      </c>
      <c r="CE41" s="115">
        <v>88.964645385742188</v>
      </c>
      <c r="CF41" s="115">
        <v>32.999092102050781</v>
      </c>
      <c r="CG41" s="115">
        <v>35.338191986083984</v>
      </c>
      <c r="CH41" s="115">
        <v>303.72552490234375</v>
      </c>
      <c r="CI41" s="115">
        <v>122.57321166992188</v>
      </c>
      <c r="CJ41" s="115">
        <v>62.945217132568359</v>
      </c>
      <c r="CK41" s="115">
        <v>64.851921081542969</v>
      </c>
      <c r="CL41" s="116">
        <v>46.607307434082031</v>
      </c>
      <c r="CM41" s="117">
        <v>352.154052734375</v>
      </c>
      <c r="CN41" s="115">
        <v>152.31648254394531</v>
      </c>
      <c r="CO41" s="115">
        <v>93.382987976074219</v>
      </c>
      <c r="CP41" s="115">
        <v>101.09681701660156</v>
      </c>
      <c r="CQ41" s="115">
        <v>0</v>
      </c>
      <c r="CR41" s="115">
        <v>69.232795715332031</v>
      </c>
      <c r="CS41" s="115">
        <v>12.685464859008789</v>
      </c>
      <c r="CT41" s="115">
        <v>51.906047821044922</v>
      </c>
      <c r="CU41" s="115">
        <v>187.02117919921875</v>
      </c>
      <c r="CV41" s="116">
        <v>110.04269409179688</v>
      </c>
      <c r="CW41" s="117">
        <v>2</v>
      </c>
      <c r="CX41" s="115">
        <v>467</v>
      </c>
      <c r="CY41" s="115">
        <v>223.43353271484375</v>
      </c>
      <c r="CZ41" s="115">
        <v>65.205375671386719</v>
      </c>
      <c r="DA41" s="115">
        <v>24.021299362182617</v>
      </c>
      <c r="DB41" s="115">
        <v>46.827533721923828</v>
      </c>
      <c r="DC41" s="115">
        <v>93.340438842773438</v>
      </c>
      <c r="DD41" s="115">
        <v>686</v>
      </c>
      <c r="DE41" s="115">
        <v>202</v>
      </c>
      <c r="DF41" s="115">
        <v>701.6651611328125</v>
      </c>
      <c r="DG41" s="115">
        <v>101.68000030517578</v>
      </c>
      <c r="DH41" s="115">
        <v>71.847434997558594</v>
      </c>
      <c r="DI41" s="120">
        <v>43.857269287109375</v>
      </c>
      <c r="DJ41" s="119">
        <v>255</v>
      </c>
      <c r="DK41" s="115">
        <v>153.44400024414063</v>
      </c>
      <c r="DL41" s="115">
        <v>29.517999649047852</v>
      </c>
      <c r="DM41" s="115">
        <v>62.202999114990234</v>
      </c>
      <c r="DN41" s="115">
        <v>57.077999114990234</v>
      </c>
      <c r="DO41" s="116">
        <v>115.92409515380859</v>
      </c>
      <c r="DP41" s="117">
        <v>17.840999603271484</v>
      </c>
      <c r="DQ41" s="115"/>
      <c r="DR41" s="117">
        <v>67</v>
      </c>
      <c r="DS41" s="120">
        <v>47.200000762939453</v>
      </c>
      <c r="DT41" s="119">
        <v>14</v>
      </c>
      <c r="DU41" s="115"/>
      <c r="DV41" s="115">
        <v>173</v>
      </c>
      <c r="DW41" s="115">
        <v>165.2308349609375</v>
      </c>
      <c r="DX41" s="117">
        <v>13</v>
      </c>
      <c r="DY41" s="120"/>
      <c r="DZ41" s="119">
        <v>53</v>
      </c>
      <c r="EA41" s="115">
        <v>3</v>
      </c>
      <c r="EB41" s="115">
        <v>0</v>
      </c>
      <c r="EC41" s="115">
        <v>2</v>
      </c>
      <c r="ED41" s="115">
        <v>863.70001220703125</v>
      </c>
      <c r="EE41" s="121">
        <v>45.486000061035156</v>
      </c>
      <c r="EF41" s="121">
        <v>52.208333333333336</v>
      </c>
      <c r="EG41" s="121">
        <v>54.743183008829753</v>
      </c>
      <c r="EH41" t="s">
        <v>8</v>
      </c>
    </row>
    <row r="42" spans="1:138" x14ac:dyDescent="0.3">
      <c r="A42" s="226">
        <f t="shared" si="3"/>
        <v>46020.026388888975</v>
      </c>
      <c r="B42" s="115">
        <v>298</v>
      </c>
      <c r="C42" s="115">
        <v>54.965000152587891</v>
      </c>
      <c r="D42" s="115">
        <v>103.14399719238281</v>
      </c>
      <c r="E42" s="115">
        <v>19.677999496459961</v>
      </c>
      <c r="F42" s="115">
        <v>16.306804656982422</v>
      </c>
      <c r="G42" s="116">
        <v>22.166999816894531</v>
      </c>
      <c r="H42" s="117">
        <v>359</v>
      </c>
      <c r="I42" s="115">
        <v>330</v>
      </c>
      <c r="J42" s="115">
        <v>75.321998596191406</v>
      </c>
      <c r="K42" s="115">
        <v>64.323799133300781</v>
      </c>
      <c r="L42" s="115">
        <v>51.423000335693359</v>
      </c>
      <c r="M42" s="115">
        <v>14.47599983215332</v>
      </c>
      <c r="N42" s="115">
        <v>17.048999786376953</v>
      </c>
      <c r="O42" s="115">
        <v>21</v>
      </c>
      <c r="P42" s="115">
        <v>0</v>
      </c>
      <c r="Q42" s="115">
        <v>20.81328010559082</v>
      </c>
      <c r="R42" s="115">
        <v>27</v>
      </c>
      <c r="S42" s="115">
        <v>27.956384658813477</v>
      </c>
      <c r="T42" s="115">
        <v>0</v>
      </c>
      <c r="U42" s="115">
        <v>0</v>
      </c>
      <c r="V42" s="117">
        <v>1201</v>
      </c>
      <c r="W42" s="115">
        <v>37.213535308837891</v>
      </c>
      <c r="X42" s="115">
        <v>39.243999481201172</v>
      </c>
      <c r="Y42" s="115">
        <v>9.3509998321533203</v>
      </c>
      <c r="Z42" s="115">
        <v>0</v>
      </c>
      <c r="AA42" s="115">
        <v>27.934999465942383</v>
      </c>
      <c r="AB42" s="115">
        <v>0</v>
      </c>
      <c r="AC42" s="115">
        <v>65.307418823242188</v>
      </c>
      <c r="AD42" s="115">
        <v>5.8520002365112305</v>
      </c>
      <c r="AE42" s="115">
        <v>0</v>
      </c>
      <c r="AF42" s="115">
        <v>97.831092834472656</v>
      </c>
      <c r="AG42" s="115">
        <v>0</v>
      </c>
      <c r="AH42" s="115">
        <v>82.269577026367188</v>
      </c>
      <c r="AI42" s="115">
        <v>19.402999877929688</v>
      </c>
      <c r="AJ42" s="115">
        <v>34.374820709228516</v>
      </c>
      <c r="AK42" s="115">
        <v>52.013938903808594</v>
      </c>
      <c r="AL42" s="115">
        <v>57.784999847412109</v>
      </c>
      <c r="AM42" s="118">
        <v>57.381999969482422</v>
      </c>
      <c r="AN42" s="117">
        <v>156.9375</v>
      </c>
      <c r="AO42" s="119">
        <v>87</v>
      </c>
      <c r="AP42" s="115">
        <v>83.785026550292969</v>
      </c>
      <c r="AQ42" s="115">
        <v>56.207786560058594</v>
      </c>
      <c r="AR42" s="115">
        <v>130</v>
      </c>
      <c r="AS42" s="115"/>
      <c r="AT42" s="115">
        <v>122</v>
      </c>
      <c r="AU42" s="115"/>
      <c r="AV42" s="115">
        <v>69</v>
      </c>
      <c r="AW42" s="115"/>
      <c r="AX42" s="115">
        <v>35</v>
      </c>
      <c r="AY42" s="115">
        <v>36.625862121582031</v>
      </c>
      <c r="AZ42" s="115">
        <v>26</v>
      </c>
      <c r="BA42" s="115"/>
      <c r="BB42" s="115">
        <v>200</v>
      </c>
      <c r="BC42" s="115">
        <v>206.85215759277344</v>
      </c>
      <c r="BD42" s="115">
        <v>7.3000001907348633</v>
      </c>
      <c r="BE42" s="115">
        <v>7.3614749908447266</v>
      </c>
      <c r="BF42" s="115">
        <v>30</v>
      </c>
      <c r="BG42" s="115">
        <v>12</v>
      </c>
      <c r="BH42" s="115">
        <v>12.387763977050781</v>
      </c>
      <c r="BI42" s="115"/>
      <c r="BJ42" s="108">
        <f t="shared" si="0"/>
        <v>18</v>
      </c>
      <c r="BK42" s="115">
        <v>18</v>
      </c>
      <c r="BL42" s="115">
        <v>0</v>
      </c>
      <c r="BM42" s="118"/>
      <c r="BN42" s="108">
        <f t="shared" si="1"/>
        <v>123</v>
      </c>
      <c r="BO42" s="108">
        <v>75</v>
      </c>
      <c r="BP42" s="108">
        <v>48</v>
      </c>
      <c r="BQ42" s="108">
        <v>330</v>
      </c>
      <c r="BR42" s="115">
        <v>101.33499908447266</v>
      </c>
      <c r="BS42" s="115">
        <v>26.464000701904297</v>
      </c>
      <c r="BT42" s="115">
        <v>50.568000793457031</v>
      </c>
      <c r="BU42" s="115">
        <v>46.186000823974609</v>
      </c>
      <c r="BV42" s="115">
        <v>68.900001525878906</v>
      </c>
      <c r="BW42" s="115">
        <v>7.0999999046325684</v>
      </c>
      <c r="BX42" s="115">
        <v>13.600000381469727</v>
      </c>
      <c r="BY42" s="115">
        <v>29</v>
      </c>
      <c r="BZ42" s="115">
        <v>1.4200405217707157E-2</v>
      </c>
      <c r="CA42" s="115">
        <v>0</v>
      </c>
      <c r="CB42" s="115">
        <v>29.254007339477539</v>
      </c>
      <c r="CC42" s="118"/>
      <c r="CD42" s="115">
        <v>453.74957275390625</v>
      </c>
      <c r="CE42" s="115">
        <v>90.085700988769531</v>
      </c>
      <c r="CF42" s="115">
        <v>32.781684875488281</v>
      </c>
      <c r="CG42" s="115">
        <v>35.338191986083984</v>
      </c>
      <c r="CH42" s="115">
        <v>303.31411743164063</v>
      </c>
      <c r="CI42" s="115">
        <v>120.21156311035156</v>
      </c>
      <c r="CJ42" s="115">
        <v>59.250480651855469</v>
      </c>
      <c r="CK42" s="115">
        <v>62.718906402587891</v>
      </c>
      <c r="CL42" s="116">
        <v>46.607307434082031</v>
      </c>
      <c r="CM42" s="117">
        <v>340.6729736328125</v>
      </c>
      <c r="CN42" s="115">
        <v>135.42514038085938</v>
      </c>
      <c r="CO42" s="115">
        <v>93.959014892578125</v>
      </c>
      <c r="CP42" s="115">
        <v>104.70365142822266</v>
      </c>
      <c r="CQ42" s="115">
        <v>0</v>
      </c>
      <c r="CR42" s="115">
        <v>68.526039123535156</v>
      </c>
      <c r="CS42" s="115">
        <v>13.249458312988281</v>
      </c>
      <c r="CT42" s="115">
        <v>51.906047821044922</v>
      </c>
      <c r="CU42" s="115">
        <v>180.86347961425781</v>
      </c>
      <c r="CV42" s="116">
        <v>107.65297698974609</v>
      </c>
      <c r="CW42" s="117">
        <v>2</v>
      </c>
      <c r="CX42" s="115">
        <v>465</v>
      </c>
      <c r="CY42" s="115">
        <v>222.77029418945313</v>
      </c>
      <c r="CZ42" s="115">
        <v>62.555122375488281</v>
      </c>
      <c r="DA42" s="115">
        <v>24.455751419067383</v>
      </c>
      <c r="DB42" s="115">
        <v>44.855930328369141</v>
      </c>
      <c r="DC42" s="115">
        <v>90.823989868164063</v>
      </c>
      <c r="DD42" s="115">
        <v>681</v>
      </c>
      <c r="DE42" s="115">
        <v>203</v>
      </c>
      <c r="DF42" s="115">
        <v>702.20550537109375</v>
      </c>
      <c r="DG42" s="115">
        <v>104.46880340576172</v>
      </c>
      <c r="DH42" s="115">
        <v>71.011825561523438</v>
      </c>
      <c r="DI42" s="120">
        <v>44.886646270751953</v>
      </c>
      <c r="DJ42" s="119">
        <v>258</v>
      </c>
      <c r="DK42" s="115">
        <v>153.44400024414063</v>
      </c>
      <c r="DL42" s="115">
        <v>33.25</v>
      </c>
      <c r="DM42" s="115">
        <v>62.202999114990234</v>
      </c>
      <c r="DN42" s="115">
        <v>55.487998962402344</v>
      </c>
      <c r="DO42" s="116">
        <v>115.33945465087891</v>
      </c>
      <c r="DP42" s="117">
        <v>17.472999572753906</v>
      </c>
      <c r="DQ42" s="115"/>
      <c r="DR42" s="117">
        <v>67</v>
      </c>
      <c r="DS42" s="120">
        <v>45.5</v>
      </c>
      <c r="DT42" s="119">
        <v>14</v>
      </c>
      <c r="DU42" s="115"/>
      <c r="DV42" s="115">
        <v>173</v>
      </c>
      <c r="DW42" s="115">
        <v>163.95304870605469</v>
      </c>
      <c r="DX42" s="117">
        <v>13</v>
      </c>
      <c r="DY42" s="120"/>
      <c r="DZ42" s="119">
        <v>52</v>
      </c>
      <c r="EA42" s="115">
        <v>3</v>
      </c>
      <c r="EB42" s="115">
        <v>0</v>
      </c>
      <c r="EC42" s="115">
        <v>1</v>
      </c>
      <c r="ED42" s="115">
        <v>865.0999755859375</v>
      </c>
      <c r="EE42" s="121">
        <v>107</v>
      </c>
      <c r="EF42" s="121">
        <v>108.10416666666667</v>
      </c>
      <c r="EG42" s="121">
        <v>111.68854166666667</v>
      </c>
      <c r="EH42" t="s">
        <v>298</v>
      </c>
    </row>
    <row r="43" spans="1:138" x14ac:dyDescent="0.3">
      <c r="A43" s="226">
        <f t="shared" si="3"/>
        <v>46020.027083333422</v>
      </c>
      <c r="B43" s="115">
        <v>304</v>
      </c>
      <c r="C43" s="115">
        <v>48.066001892089844</v>
      </c>
      <c r="D43" s="115">
        <v>102.91799926757813</v>
      </c>
      <c r="E43" s="115">
        <v>21.488000869750977</v>
      </c>
      <c r="F43" s="115">
        <v>7.631688117980957</v>
      </c>
      <c r="G43" s="116">
        <v>22.392999649047852</v>
      </c>
      <c r="H43" s="117">
        <v>360</v>
      </c>
      <c r="I43" s="115">
        <v>324</v>
      </c>
      <c r="J43" s="115">
        <v>71.589996337890625</v>
      </c>
      <c r="K43" s="115">
        <v>65.067367553710938</v>
      </c>
      <c r="L43" s="115">
        <v>53.013999938964844</v>
      </c>
      <c r="M43" s="115">
        <v>15.494000434875488</v>
      </c>
      <c r="N43" s="115">
        <v>16.666999816894531</v>
      </c>
      <c r="O43" s="115">
        <v>20</v>
      </c>
      <c r="P43" s="115">
        <v>0</v>
      </c>
      <c r="Q43" s="115">
        <v>21.238214492797852</v>
      </c>
      <c r="R43" s="115">
        <v>25.996875762939453</v>
      </c>
      <c r="S43" s="115">
        <v>26.207006454467773</v>
      </c>
      <c r="T43" s="115">
        <v>0</v>
      </c>
      <c r="U43" s="115">
        <v>0</v>
      </c>
      <c r="V43" s="117">
        <v>1193</v>
      </c>
      <c r="W43" s="115">
        <v>39.442153930664063</v>
      </c>
      <c r="X43" s="115">
        <v>37.435001373291016</v>
      </c>
      <c r="Y43" s="115">
        <v>9.4149999618530273</v>
      </c>
      <c r="Z43" s="115">
        <v>0</v>
      </c>
      <c r="AA43" s="115">
        <v>32.458000183105469</v>
      </c>
      <c r="AB43" s="115">
        <v>0</v>
      </c>
      <c r="AC43" s="115">
        <v>65.68829345703125</v>
      </c>
      <c r="AD43" s="115">
        <v>6.1069998741149902</v>
      </c>
      <c r="AE43" s="115">
        <v>0</v>
      </c>
      <c r="AF43" s="115">
        <v>97.032279968261719</v>
      </c>
      <c r="AG43" s="115">
        <v>0</v>
      </c>
      <c r="AH43" s="115">
        <v>80.705673217773438</v>
      </c>
      <c r="AI43" s="115">
        <v>21.819999694824219</v>
      </c>
      <c r="AJ43" s="115">
        <v>33.010543823242188</v>
      </c>
      <c r="AK43" s="115">
        <v>51.598285675048828</v>
      </c>
      <c r="AL43" s="115">
        <v>59.905998229980469</v>
      </c>
      <c r="AM43" s="118">
        <v>57.637001037597656</v>
      </c>
      <c r="AN43" s="117">
        <v>157.125</v>
      </c>
      <c r="AO43" s="119">
        <v>87</v>
      </c>
      <c r="AP43" s="115">
        <v>82.041397094726563</v>
      </c>
      <c r="AQ43" s="115">
        <v>54.870868682861328</v>
      </c>
      <c r="AR43" s="115">
        <v>128</v>
      </c>
      <c r="AS43" s="115"/>
      <c r="AT43" s="115">
        <v>124</v>
      </c>
      <c r="AU43" s="115"/>
      <c r="AV43" s="115">
        <v>69</v>
      </c>
      <c r="AW43" s="115"/>
      <c r="AX43" s="115">
        <v>35</v>
      </c>
      <c r="AY43" s="115">
        <v>36.625862121582031</v>
      </c>
      <c r="AZ43" s="115">
        <v>24</v>
      </c>
      <c r="BA43" s="115"/>
      <c r="BB43" s="115">
        <v>199</v>
      </c>
      <c r="BC43" s="115">
        <v>204.41349792480469</v>
      </c>
      <c r="BD43" s="115">
        <v>7.3000001907348633</v>
      </c>
      <c r="BE43" s="115">
        <v>7.3554425239562988</v>
      </c>
      <c r="BF43" s="115">
        <v>30</v>
      </c>
      <c r="BG43" s="115">
        <v>12</v>
      </c>
      <c r="BH43" s="115">
        <v>12.370657920837402</v>
      </c>
      <c r="BI43" s="115"/>
      <c r="BJ43" s="108">
        <f t="shared" si="0"/>
        <v>16</v>
      </c>
      <c r="BK43" s="115">
        <v>16</v>
      </c>
      <c r="BL43" s="115">
        <v>0</v>
      </c>
      <c r="BM43" s="118"/>
      <c r="BN43" s="108">
        <f t="shared" si="1"/>
        <v>123</v>
      </c>
      <c r="BO43" s="108">
        <v>75</v>
      </c>
      <c r="BP43" s="108">
        <v>48</v>
      </c>
      <c r="BQ43" s="108">
        <v>330</v>
      </c>
      <c r="BR43" s="115">
        <v>102.69200134277344</v>
      </c>
      <c r="BS43" s="115">
        <v>27.482000350952148</v>
      </c>
      <c r="BT43" s="115">
        <v>52.645999908447266</v>
      </c>
      <c r="BU43" s="115">
        <v>47.139999389648438</v>
      </c>
      <c r="BV43" s="115">
        <v>69.800003051757813</v>
      </c>
      <c r="BW43" s="115">
        <v>7.1999998092651367</v>
      </c>
      <c r="BX43" s="115">
        <v>13.600000381469727</v>
      </c>
      <c r="BY43" s="115">
        <v>29</v>
      </c>
      <c r="BZ43" s="115">
        <v>1.4774181880056858E-2</v>
      </c>
      <c r="CA43" s="115">
        <v>1</v>
      </c>
      <c r="CB43" s="115">
        <v>29.381048202514648</v>
      </c>
      <c r="CC43" s="118"/>
      <c r="CD43" s="115">
        <v>447.61898803710938</v>
      </c>
      <c r="CE43" s="115">
        <v>90.307014465332031</v>
      </c>
      <c r="CF43" s="115">
        <v>32.9027099609375</v>
      </c>
      <c r="CG43" s="115">
        <v>35.338191986083984</v>
      </c>
      <c r="CH43" s="115">
        <v>302.674072265625</v>
      </c>
      <c r="CI43" s="115">
        <v>115.68392944335938</v>
      </c>
      <c r="CJ43" s="115">
        <v>54.697986602783203</v>
      </c>
      <c r="CK43" s="115">
        <v>62.988788604736328</v>
      </c>
      <c r="CL43" s="116">
        <v>46.677909851074219</v>
      </c>
      <c r="CM43" s="117">
        <v>336.4864501953125</v>
      </c>
      <c r="CN43" s="115">
        <v>134.52667236328125</v>
      </c>
      <c r="CO43" s="115">
        <v>94.247467041015625</v>
      </c>
      <c r="CP43" s="115">
        <v>102.63053131103516</v>
      </c>
      <c r="CQ43" s="115">
        <v>0</v>
      </c>
      <c r="CR43" s="115">
        <v>69.74505615234375</v>
      </c>
      <c r="CS43" s="115">
        <v>12.841365814208984</v>
      </c>
      <c r="CT43" s="115">
        <v>53.700649261474609</v>
      </c>
      <c r="CU43" s="115">
        <v>180.86347961425781</v>
      </c>
      <c r="CV43" s="116">
        <v>92.079299926757813</v>
      </c>
      <c r="CW43" s="117">
        <v>3</v>
      </c>
      <c r="CX43" s="115">
        <v>465</v>
      </c>
      <c r="CY43" s="115">
        <v>222.13621520996094</v>
      </c>
      <c r="CZ43" s="115">
        <v>64.371788024902344</v>
      </c>
      <c r="DA43" s="115">
        <v>24.358034133911133</v>
      </c>
      <c r="DB43" s="115">
        <v>43.641853332519531</v>
      </c>
      <c r="DC43" s="115">
        <v>91.523124694824219</v>
      </c>
      <c r="DD43" s="115">
        <v>680</v>
      </c>
      <c r="DE43" s="115">
        <v>205</v>
      </c>
      <c r="DF43" s="115">
        <v>701.04803466796875</v>
      </c>
      <c r="DG43" s="115">
        <v>104.67655944824219</v>
      </c>
      <c r="DH43" s="115">
        <v>70.429290771484375</v>
      </c>
      <c r="DI43" s="120">
        <v>43.091751098632813</v>
      </c>
      <c r="DJ43" s="119">
        <v>253</v>
      </c>
      <c r="DK43" s="115">
        <v>152.1719970703125</v>
      </c>
      <c r="DL43" s="115">
        <v>32.006000518798828</v>
      </c>
      <c r="DM43" s="115">
        <v>63.617000579833984</v>
      </c>
      <c r="DN43" s="115">
        <v>55.487998962402344</v>
      </c>
      <c r="DO43" s="116">
        <v>114.94038391113281</v>
      </c>
      <c r="DP43" s="117">
        <v>17.924999237060547</v>
      </c>
      <c r="DQ43" s="115"/>
      <c r="DR43" s="117">
        <v>67</v>
      </c>
      <c r="DS43" s="120">
        <v>45.400001525878906</v>
      </c>
      <c r="DT43" s="119">
        <v>14</v>
      </c>
      <c r="DU43" s="115"/>
      <c r="DV43" s="115">
        <v>172</v>
      </c>
      <c r="DW43" s="115">
        <v>164.25239562988281</v>
      </c>
      <c r="DX43" s="117">
        <v>13</v>
      </c>
      <c r="DY43" s="120"/>
      <c r="DZ43" s="119">
        <v>52</v>
      </c>
      <c r="EA43" s="115">
        <v>3</v>
      </c>
      <c r="EB43" s="115">
        <v>0</v>
      </c>
      <c r="EC43" s="115">
        <v>1</v>
      </c>
      <c r="ED43" s="115">
        <v>863.5</v>
      </c>
      <c r="EE43" s="121">
        <v>54</v>
      </c>
      <c r="EF43" s="121">
        <v>54.833333333333336</v>
      </c>
      <c r="EG43" s="121">
        <v>56.783333333333331</v>
      </c>
      <c r="EH43" t="s">
        <v>299</v>
      </c>
    </row>
    <row r="44" spans="1:138" x14ac:dyDescent="0.3">
      <c r="A44" s="226">
        <f t="shared" si="3"/>
        <v>46020.027777777868</v>
      </c>
      <c r="B44" s="115">
        <v>292</v>
      </c>
      <c r="C44" s="115">
        <v>49.423000335693359</v>
      </c>
      <c r="D44" s="115">
        <v>103.37000274658203</v>
      </c>
      <c r="E44" s="115">
        <v>22.392999649047852</v>
      </c>
      <c r="F44" s="115">
        <v>1.76297926902771</v>
      </c>
      <c r="G44" s="116">
        <v>21.60099983215332</v>
      </c>
      <c r="H44" s="117">
        <v>364</v>
      </c>
      <c r="I44" s="115">
        <v>324</v>
      </c>
      <c r="J44" s="115">
        <v>73.851997375488281</v>
      </c>
      <c r="K44" s="115">
        <v>65.012916564941406</v>
      </c>
      <c r="L44" s="115">
        <v>50.893001556396484</v>
      </c>
      <c r="M44" s="115">
        <v>15.267999649047852</v>
      </c>
      <c r="N44" s="115">
        <v>16.922000885009766</v>
      </c>
      <c r="O44" s="115">
        <v>20</v>
      </c>
      <c r="P44" s="115">
        <v>0</v>
      </c>
      <c r="Q44" s="115">
        <v>20.834524154663086</v>
      </c>
      <c r="R44" s="115">
        <v>25.003124237060547</v>
      </c>
      <c r="S44" s="115">
        <v>26.485197067260742</v>
      </c>
      <c r="T44" s="115">
        <v>0</v>
      </c>
      <c r="U44" s="115">
        <v>0</v>
      </c>
      <c r="V44" s="117">
        <v>1190</v>
      </c>
      <c r="W44" s="115">
        <v>39.855186462402344</v>
      </c>
      <c r="X44" s="115">
        <v>36.643001556396484</v>
      </c>
      <c r="Y44" s="115">
        <v>8.9060001373291016</v>
      </c>
      <c r="Z44" s="115">
        <v>0</v>
      </c>
      <c r="AA44" s="115">
        <v>28.386999130249023</v>
      </c>
      <c r="AB44" s="115">
        <v>0</v>
      </c>
      <c r="AC44" s="115">
        <v>68.147819519042969</v>
      </c>
      <c r="AD44" s="115">
        <v>5.8520002365112305</v>
      </c>
      <c r="AE44" s="115">
        <v>0</v>
      </c>
      <c r="AF44" s="115">
        <v>98.1129150390625</v>
      </c>
      <c r="AG44" s="115">
        <v>0</v>
      </c>
      <c r="AH44" s="115">
        <v>82.461067199707031</v>
      </c>
      <c r="AI44" s="115">
        <v>18.576000213623047</v>
      </c>
      <c r="AJ44" s="115">
        <v>31.913982391357422</v>
      </c>
      <c r="AK44" s="115">
        <v>52.152732849121094</v>
      </c>
      <c r="AL44" s="115">
        <v>58.845001220703125</v>
      </c>
      <c r="AM44" s="118">
        <v>55.283000946044922</v>
      </c>
      <c r="AN44" s="117">
        <v>152.9375</v>
      </c>
      <c r="AO44" s="119">
        <v>85</v>
      </c>
      <c r="AP44" s="115">
        <v>81.38623046875</v>
      </c>
      <c r="AQ44" s="115">
        <v>55.727516174316406</v>
      </c>
      <c r="AR44" s="115">
        <v>128</v>
      </c>
      <c r="AS44" s="115"/>
      <c r="AT44" s="115">
        <v>123</v>
      </c>
      <c r="AU44" s="115"/>
      <c r="AV44" s="115">
        <v>70</v>
      </c>
      <c r="AW44" s="115"/>
      <c r="AX44" s="115">
        <v>33</v>
      </c>
      <c r="AY44" s="115">
        <v>36.623958587646484</v>
      </c>
      <c r="AZ44" s="115">
        <v>25</v>
      </c>
      <c r="BA44" s="115"/>
      <c r="BB44" s="115">
        <v>196</v>
      </c>
      <c r="BC44" s="115">
        <v>203.12060546875</v>
      </c>
      <c r="BD44" s="115">
        <v>7.3000001907348633</v>
      </c>
      <c r="BE44" s="115">
        <v>7.3466753959655762</v>
      </c>
      <c r="BF44" s="115">
        <v>30</v>
      </c>
      <c r="BG44" s="115">
        <v>12</v>
      </c>
      <c r="BH44" s="115">
        <v>12.704487800598145</v>
      </c>
      <c r="BI44" s="115"/>
      <c r="BJ44" s="108">
        <f t="shared" si="0"/>
        <v>18</v>
      </c>
      <c r="BK44" s="115">
        <v>18</v>
      </c>
      <c r="BL44" s="115">
        <v>0</v>
      </c>
      <c r="BM44" s="118"/>
      <c r="BN44" s="108">
        <f t="shared" si="1"/>
        <v>122</v>
      </c>
      <c r="BO44" s="108">
        <v>74</v>
      </c>
      <c r="BP44" s="108">
        <v>48</v>
      </c>
      <c r="BQ44" s="108">
        <v>327</v>
      </c>
      <c r="BR44" s="115">
        <v>100.20400238037109</v>
      </c>
      <c r="BS44" s="115">
        <v>27.228000640869141</v>
      </c>
      <c r="BT44" s="115">
        <v>51.261001586914063</v>
      </c>
      <c r="BU44" s="115">
        <v>48.030998229980469</v>
      </c>
      <c r="BV44" s="115">
        <v>69.199996948242188</v>
      </c>
      <c r="BW44" s="115">
        <v>7.1999998092651367</v>
      </c>
      <c r="BX44" s="115">
        <v>13.899999618530273</v>
      </c>
      <c r="BY44" s="115">
        <v>28</v>
      </c>
      <c r="BZ44" s="115">
        <v>1.4774181880056858E-2</v>
      </c>
      <c r="CA44" s="115">
        <v>0</v>
      </c>
      <c r="CB44" s="115">
        <v>29.425655364990234</v>
      </c>
      <c r="CC44" s="118"/>
      <c r="CD44" s="115">
        <v>442.738037109375</v>
      </c>
      <c r="CE44" s="115">
        <v>89.871986389160156</v>
      </c>
      <c r="CF44" s="115">
        <v>33.481952667236328</v>
      </c>
      <c r="CG44" s="115">
        <v>35.338191986083984</v>
      </c>
      <c r="CH44" s="115">
        <v>303.83877563476563</v>
      </c>
      <c r="CI44" s="115">
        <v>117.28940582275391</v>
      </c>
      <c r="CJ44" s="115">
        <v>57.631202697753906</v>
      </c>
      <c r="CK44" s="115">
        <v>64.387351989746094</v>
      </c>
      <c r="CL44" s="116">
        <v>47.320976257324219</v>
      </c>
      <c r="CM44" s="117">
        <v>342.26406860351563</v>
      </c>
      <c r="CN44" s="115">
        <v>137.55851745605469</v>
      </c>
      <c r="CO44" s="115">
        <v>95.650337219238281</v>
      </c>
      <c r="CP44" s="115">
        <v>103.89803314208984</v>
      </c>
      <c r="CQ44" s="115">
        <v>0</v>
      </c>
      <c r="CR44" s="115">
        <v>67.219810485839844</v>
      </c>
      <c r="CS44" s="115">
        <v>12.364734649658203</v>
      </c>
      <c r="CT44" s="115">
        <v>50.497905731201172</v>
      </c>
      <c r="CU44" s="115">
        <v>182.39421081542969</v>
      </c>
      <c r="CV44" s="116">
        <v>92.079299926757813</v>
      </c>
      <c r="CW44" s="117">
        <v>4</v>
      </c>
      <c r="CX44" s="115">
        <v>464</v>
      </c>
      <c r="CY44" s="115">
        <v>220.35124206542969</v>
      </c>
      <c r="CZ44" s="115">
        <v>64.093925476074219</v>
      </c>
      <c r="DA44" s="115">
        <v>23.768697738647461</v>
      </c>
      <c r="DB44" s="115">
        <v>47.227638244628906</v>
      </c>
      <c r="DC44" s="115">
        <v>91.31561279296875</v>
      </c>
      <c r="DD44" s="115">
        <v>694</v>
      </c>
      <c r="DE44" s="115">
        <v>205</v>
      </c>
      <c r="DF44" s="115">
        <v>703.0404052734375</v>
      </c>
      <c r="DG44" s="115">
        <v>106.26569366455078</v>
      </c>
      <c r="DH44" s="115">
        <v>68.475807189941406</v>
      </c>
      <c r="DI44" s="120">
        <v>44.433315277099609</v>
      </c>
      <c r="DJ44" s="119">
        <v>253</v>
      </c>
      <c r="DK44" s="115">
        <v>147.84599304199219</v>
      </c>
      <c r="DL44" s="115">
        <v>29.743999481201172</v>
      </c>
      <c r="DM44" s="115">
        <v>62.202999114990234</v>
      </c>
      <c r="DN44" s="115">
        <v>53.896999359130859</v>
      </c>
      <c r="DO44" s="116">
        <v>118.51775360107422</v>
      </c>
      <c r="DP44" s="117">
        <v>17.982000350952148</v>
      </c>
      <c r="DQ44" s="115"/>
      <c r="DR44" s="117">
        <v>67</v>
      </c>
      <c r="DS44" s="120">
        <v>46.900001525878906</v>
      </c>
      <c r="DT44" s="119">
        <v>14</v>
      </c>
      <c r="DU44" s="115"/>
      <c r="DV44" s="115">
        <v>174</v>
      </c>
      <c r="DW44" s="115">
        <v>160.27456665039063</v>
      </c>
      <c r="DX44" s="117">
        <v>13</v>
      </c>
      <c r="DY44" s="120"/>
      <c r="DZ44" s="119">
        <v>52</v>
      </c>
      <c r="EA44" s="115">
        <v>3</v>
      </c>
      <c r="EB44" s="115">
        <v>0</v>
      </c>
      <c r="EC44" s="115">
        <v>1</v>
      </c>
      <c r="ED44" s="115">
        <v>863</v>
      </c>
      <c r="EE44" s="121">
        <v>57.26751708984375</v>
      </c>
      <c r="EF44" s="121">
        <v>57.981149673461914</v>
      </c>
      <c r="EG44" s="121">
        <v>59.120028114318849</v>
      </c>
      <c r="EH44" t="s">
        <v>123</v>
      </c>
    </row>
    <row r="45" spans="1:138" x14ac:dyDescent="0.3">
      <c r="A45" s="226">
        <f t="shared" si="3"/>
        <v>46020.028472222315</v>
      </c>
      <c r="B45" s="115">
        <v>300</v>
      </c>
      <c r="C45" s="115">
        <v>58.244998931884766</v>
      </c>
      <c r="D45" s="115">
        <v>102.12599945068359</v>
      </c>
      <c r="E45" s="115">
        <v>21.940000534057617</v>
      </c>
      <c r="F45" s="115">
        <v>13.880548477172852</v>
      </c>
      <c r="G45" s="116">
        <v>21.60099983215332</v>
      </c>
      <c r="H45" s="117">
        <v>366</v>
      </c>
      <c r="I45" s="115">
        <v>329</v>
      </c>
      <c r="J45" s="115">
        <v>75.88800048828125</v>
      </c>
      <c r="K45" s="115">
        <v>66.441925048828125</v>
      </c>
      <c r="L45" s="115">
        <v>53.367000579833984</v>
      </c>
      <c r="M45" s="115">
        <v>15.494000434875488</v>
      </c>
      <c r="N45" s="115">
        <v>16.666999816894531</v>
      </c>
      <c r="O45" s="115">
        <v>20</v>
      </c>
      <c r="P45" s="115">
        <v>0</v>
      </c>
      <c r="Q45" s="115">
        <v>20.277711868286133</v>
      </c>
      <c r="R45" s="115">
        <v>25.003124237060547</v>
      </c>
      <c r="S45" s="115">
        <v>25.872268676757813</v>
      </c>
      <c r="T45" s="115">
        <v>0</v>
      </c>
      <c r="U45" s="115">
        <v>0</v>
      </c>
      <c r="V45" s="117">
        <v>1190</v>
      </c>
      <c r="W45" s="115">
        <v>38.875076293945313</v>
      </c>
      <c r="X45" s="115">
        <v>36.529998779296875</v>
      </c>
      <c r="Y45" s="115">
        <v>11.704999923706055</v>
      </c>
      <c r="Z45" s="115">
        <v>0</v>
      </c>
      <c r="AA45" s="115">
        <v>31.780000686645508</v>
      </c>
      <c r="AB45" s="115">
        <v>0</v>
      </c>
      <c r="AC45" s="115">
        <v>65.350746154785156</v>
      </c>
      <c r="AD45" s="115">
        <v>6.1069998741149902</v>
      </c>
      <c r="AE45" s="115">
        <v>0</v>
      </c>
      <c r="AF45" s="115">
        <v>97.6878662109375</v>
      </c>
      <c r="AG45" s="115">
        <v>0</v>
      </c>
      <c r="AH45" s="115">
        <v>79.668449401855469</v>
      </c>
      <c r="AI45" s="115">
        <v>20.930000305175781</v>
      </c>
      <c r="AJ45" s="115">
        <v>32.412494659423828</v>
      </c>
      <c r="AK45" s="115">
        <v>52.151519775390625</v>
      </c>
      <c r="AL45" s="115">
        <v>58.668998718261719</v>
      </c>
      <c r="AM45" s="118">
        <v>55.409999847412109</v>
      </c>
      <c r="AN45" s="117">
        <v>156.6875</v>
      </c>
      <c r="AO45" s="119">
        <v>86</v>
      </c>
      <c r="AP45" s="115">
        <v>81.172286987304688</v>
      </c>
      <c r="AQ45" s="115">
        <v>54.48565673828125</v>
      </c>
      <c r="AR45" s="115">
        <v>128</v>
      </c>
      <c r="AS45" s="115"/>
      <c r="AT45" s="115">
        <v>121</v>
      </c>
      <c r="AU45" s="115"/>
      <c r="AV45" s="115">
        <v>70</v>
      </c>
      <c r="AW45" s="115"/>
      <c r="AX45" s="115">
        <v>35</v>
      </c>
      <c r="AY45" s="115">
        <v>36.835464477539063</v>
      </c>
      <c r="AZ45" s="115">
        <v>27</v>
      </c>
      <c r="BA45" s="115"/>
      <c r="BB45" s="115">
        <v>195</v>
      </c>
      <c r="BC45" s="115">
        <v>200.56752014160156</v>
      </c>
      <c r="BD45" s="115">
        <v>7.3000001907348633</v>
      </c>
      <c r="BE45" s="115">
        <v>7.3466753959655762</v>
      </c>
      <c r="BF45" s="115">
        <v>30</v>
      </c>
      <c r="BG45" s="115">
        <v>12</v>
      </c>
      <c r="BH45" s="115">
        <v>12.41414737701416</v>
      </c>
      <c r="BI45" s="115"/>
      <c r="BJ45" s="108">
        <f t="shared" si="0"/>
        <v>18</v>
      </c>
      <c r="BK45" s="115">
        <v>18</v>
      </c>
      <c r="BL45" s="115">
        <v>0</v>
      </c>
      <c r="BM45" s="118"/>
      <c r="BN45" s="108">
        <f t="shared" si="1"/>
        <v>123</v>
      </c>
      <c r="BO45" s="108">
        <v>75</v>
      </c>
      <c r="BP45" s="108">
        <v>48</v>
      </c>
      <c r="BQ45" s="108">
        <v>327</v>
      </c>
      <c r="BR45" s="115">
        <v>99.750999450683594</v>
      </c>
      <c r="BS45" s="115">
        <v>27.228000640869141</v>
      </c>
      <c r="BT45" s="115">
        <v>49.528999328613281</v>
      </c>
      <c r="BU45" s="115">
        <v>46.694999694824219</v>
      </c>
      <c r="BV45" s="115">
        <v>67.5</v>
      </c>
      <c r="BW45" s="115">
        <v>7.0999999046325684</v>
      </c>
      <c r="BX45" s="115">
        <v>13.899999618530273</v>
      </c>
      <c r="BY45" s="115">
        <v>30</v>
      </c>
      <c r="BZ45" s="115">
        <v>1.1632420122623444E-2</v>
      </c>
      <c r="CA45" s="115">
        <v>0</v>
      </c>
      <c r="CB45" s="115">
        <v>29.356279373168945</v>
      </c>
      <c r="CC45" s="118"/>
      <c r="CD45" s="115">
        <v>447.78570556640625</v>
      </c>
      <c r="CE45" s="115">
        <v>93.306678771972656</v>
      </c>
      <c r="CF45" s="115">
        <v>33.250663757324219</v>
      </c>
      <c r="CG45" s="115">
        <v>35.338191986083984</v>
      </c>
      <c r="CH45" s="115">
        <v>303.78131103515625</v>
      </c>
      <c r="CI45" s="115">
        <v>114.97135925292969</v>
      </c>
      <c r="CJ45" s="115">
        <v>55.949104309082031</v>
      </c>
      <c r="CK45" s="115">
        <v>64.387351989746094</v>
      </c>
      <c r="CL45" s="116">
        <v>47.320976257324219</v>
      </c>
      <c r="CM45" s="117">
        <v>335.40878295898438</v>
      </c>
      <c r="CN45" s="115">
        <v>136.06570434570313</v>
      </c>
      <c r="CO45" s="115">
        <v>95.154083251953125</v>
      </c>
      <c r="CP45" s="115">
        <v>100.44405364990234</v>
      </c>
      <c r="CQ45" s="115">
        <v>0</v>
      </c>
      <c r="CR45" s="115">
        <v>63.440689086914063</v>
      </c>
      <c r="CS45" s="115">
        <v>13.049793243408203</v>
      </c>
      <c r="CT45" s="115">
        <v>48.846771240234375</v>
      </c>
      <c r="CU45" s="115">
        <v>181.51467895507813</v>
      </c>
      <c r="CV45" s="116">
        <v>94.859718322753906</v>
      </c>
      <c r="CW45" s="117">
        <v>7</v>
      </c>
      <c r="CX45" s="115">
        <v>463</v>
      </c>
      <c r="CY45" s="115">
        <v>218.53292846679688</v>
      </c>
      <c r="CZ45" s="115">
        <v>64.093925476074219</v>
      </c>
      <c r="DA45" s="115">
        <v>22.624332427978516</v>
      </c>
      <c r="DB45" s="115">
        <v>47.227638244628906</v>
      </c>
      <c r="DC45" s="115">
        <v>91.136260986328125</v>
      </c>
      <c r="DD45" s="115">
        <v>692</v>
      </c>
      <c r="DE45" s="115">
        <v>205</v>
      </c>
      <c r="DF45" s="115">
        <v>702.148193359375</v>
      </c>
      <c r="DG45" s="115">
        <v>102.70188903808594</v>
      </c>
      <c r="DH45" s="115">
        <v>66.642845153808594</v>
      </c>
      <c r="DI45" s="120">
        <v>47.14105224609375</v>
      </c>
      <c r="DJ45" s="119">
        <v>256</v>
      </c>
      <c r="DK45" s="115">
        <v>151.15400695800781</v>
      </c>
      <c r="DL45" s="115">
        <v>31.892999649047852</v>
      </c>
      <c r="DM45" s="115">
        <v>61.319000244140625</v>
      </c>
      <c r="DN45" s="115">
        <v>56.018001556396484</v>
      </c>
      <c r="DO45" s="116">
        <v>115.49713897705078</v>
      </c>
      <c r="DP45" s="117">
        <v>17.756000518798828</v>
      </c>
      <c r="DQ45" s="115"/>
      <c r="DR45" s="117">
        <v>67</v>
      </c>
      <c r="DS45" s="120">
        <v>46.099998474121094</v>
      </c>
      <c r="DT45" s="119">
        <v>13</v>
      </c>
      <c r="DU45" s="115"/>
      <c r="DV45" s="115">
        <v>178</v>
      </c>
      <c r="DW45" s="115">
        <v>157.9342041015625</v>
      </c>
      <c r="DX45" s="117">
        <v>12</v>
      </c>
      <c r="DY45" s="120"/>
      <c r="DZ45" s="119">
        <v>53</v>
      </c>
      <c r="EA45" s="115">
        <v>3</v>
      </c>
      <c r="EB45" s="115">
        <v>0</v>
      </c>
      <c r="EC45" s="115">
        <v>1</v>
      </c>
      <c r="ED45" s="115">
        <v>858.20001220703125</v>
      </c>
      <c r="EE45" s="121">
        <v>32.220138549804688</v>
      </c>
      <c r="EF45" s="121">
        <v>33.049851099650063</v>
      </c>
      <c r="EG45" s="121">
        <v>34.962172126770021</v>
      </c>
      <c r="EH45" t="s">
        <v>124</v>
      </c>
    </row>
    <row r="46" spans="1:138" x14ac:dyDescent="0.3">
      <c r="A46" s="226">
        <f t="shared" si="3"/>
        <v>46020.029166666762</v>
      </c>
      <c r="B46" s="115">
        <v>301</v>
      </c>
      <c r="C46" s="115">
        <v>58.923000335693359</v>
      </c>
      <c r="D46" s="115">
        <v>103.03099822998047</v>
      </c>
      <c r="E46" s="115">
        <v>21.035999298095703</v>
      </c>
      <c r="F46" s="115">
        <v>13.880548477172852</v>
      </c>
      <c r="G46" s="116">
        <v>22.052999496459961</v>
      </c>
      <c r="H46" s="117">
        <v>365</v>
      </c>
      <c r="I46" s="115">
        <v>327</v>
      </c>
      <c r="J46" s="115">
        <v>74.0780029296875</v>
      </c>
      <c r="K46" s="115">
        <v>64.739707946777344</v>
      </c>
      <c r="L46" s="115">
        <v>52.484001159667969</v>
      </c>
      <c r="M46" s="115">
        <v>14.701999664306641</v>
      </c>
      <c r="N46" s="115">
        <v>17.302999496459961</v>
      </c>
      <c r="O46" s="115">
        <v>19</v>
      </c>
      <c r="P46" s="115">
        <v>0</v>
      </c>
      <c r="Q46" s="115">
        <v>20.227598190307617</v>
      </c>
      <c r="R46" s="115">
        <v>28.003124237060547</v>
      </c>
      <c r="S46" s="115">
        <v>28.307880401611328</v>
      </c>
      <c r="T46" s="115">
        <v>0</v>
      </c>
      <c r="U46" s="115">
        <v>0</v>
      </c>
      <c r="V46" s="117">
        <v>1186</v>
      </c>
      <c r="W46" s="115">
        <v>37.561767578125</v>
      </c>
      <c r="X46" s="115">
        <v>37.887001037597656</v>
      </c>
      <c r="Y46" s="115">
        <v>9.8599996566772461</v>
      </c>
      <c r="Z46" s="115">
        <v>0</v>
      </c>
      <c r="AA46" s="115">
        <v>35.512001037597656</v>
      </c>
      <c r="AB46" s="115">
        <v>0</v>
      </c>
      <c r="AC46" s="115">
        <v>62.800201416015625</v>
      </c>
      <c r="AD46" s="115">
        <v>6.1069998741149902</v>
      </c>
      <c r="AE46" s="115">
        <v>0</v>
      </c>
      <c r="AF46" s="115">
        <v>96.540885925292969</v>
      </c>
      <c r="AG46" s="115">
        <v>0</v>
      </c>
      <c r="AH46" s="115">
        <v>80.843681335449219</v>
      </c>
      <c r="AI46" s="115">
        <v>18.320999145507813</v>
      </c>
      <c r="AJ46" s="115">
        <v>29.633220672607422</v>
      </c>
      <c r="AK46" s="115">
        <v>52.353458404541016</v>
      </c>
      <c r="AL46" s="115">
        <v>60.436000823974609</v>
      </c>
      <c r="AM46" s="118">
        <v>58.400001525878906</v>
      </c>
      <c r="AN46" s="117">
        <v>153.375</v>
      </c>
      <c r="AO46" s="119">
        <v>86</v>
      </c>
      <c r="AP46" s="115">
        <v>81.901832580566406</v>
      </c>
      <c r="AQ46" s="115">
        <v>52.822978973388672</v>
      </c>
      <c r="AR46" s="115">
        <v>132</v>
      </c>
      <c r="AS46" s="115"/>
      <c r="AT46" s="115">
        <v>121</v>
      </c>
      <c r="AU46" s="115"/>
      <c r="AV46" s="115">
        <v>95</v>
      </c>
      <c r="AW46" s="115"/>
      <c r="AX46" s="115">
        <v>34</v>
      </c>
      <c r="AY46" s="115">
        <v>36.668952941894531</v>
      </c>
      <c r="AZ46" s="115">
        <v>26</v>
      </c>
      <c r="BA46" s="115"/>
      <c r="BB46" s="115">
        <v>194</v>
      </c>
      <c r="BC46" s="115">
        <v>200.18515014648438</v>
      </c>
      <c r="BD46" s="115">
        <v>7.3000001907348633</v>
      </c>
      <c r="BE46" s="115">
        <v>7.3289732933044434</v>
      </c>
      <c r="BF46" s="115">
        <v>31</v>
      </c>
      <c r="BG46" s="115">
        <v>12</v>
      </c>
      <c r="BH46" s="115">
        <v>12.275046348571777</v>
      </c>
      <c r="BI46" s="115"/>
      <c r="BJ46" s="108">
        <f t="shared" si="0"/>
        <v>17</v>
      </c>
      <c r="BK46" s="115">
        <v>17</v>
      </c>
      <c r="BL46" s="115">
        <v>0</v>
      </c>
      <c r="BM46" s="118"/>
      <c r="BN46" s="108">
        <f t="shared" si="1"/>
        <v>123</v>
      </c>
      <c r="BO46" s="108">
        <v>75</v>
      </c>
      <c r="BP46" s="108">
        <v>48</v>
      </c>
      <c r="BQ46" s="108">
        <v>326</v>
      </c>
      <c r="BR46" s="115">
        <v>96.472000122070313</v>
      </c>
      <c r="BS46" s="115">
        <v>25.954999923706055</v>
      </c>
      <c r="BT46" s="115">
        <v>50.915000915527344</v>
      </c>
      <c r="BU46" s="115">
        <v>46.375999450683594</v>
      </c>
      <c r="BV46" s="115">
        <v>69.099998474121094</v>
      </c>
      <c r="BW46" s="115">
        <v>7.0999999046325684</v>
      </c>
      <c r="BX46" s="115">
        <v>13.899999618530273</v>
      </c>
      <c r="BY46" s="115">
        <v>29</v>
      </c>
      <c r="BZ46" s="115">
        <v>1.5184898860752583E-2</v>
      </c>
      <c r="CA46" s="115">
        <v>0</v>
      </c>
      <c r="CB46" s="115">
        <v>29.312881469726563</v>
      </c>
      <c r="CC46" s="118"/>
      <c r="CD46" s="115">
        <v>444.80963134765625</v>
      </c>
      <c r="CE46" s="115">
        <v>89.391448974609375</v>
      </c>
      <c r="CF46" s="115">
        <v>32.658729553222656</v>
      </c>
      <c r="CG46" s="115">
        <v>35.338191986083984</v>
      </c>
      <c r="CH46" s="115">
        <v>303.78659057617188</v>
      </c>
      <c r="CI46" s="115">
        <v>117.32188415527344</v>
      </c>
      <c r="CJ46" s="115">
        <v>58.164085388183594</v>
      </c>
      <c r="CK46" s="115">
        <v>61.381072998046875</v>
      </c>
      <c r="CL46" s="116">
        <v>48.568130493164063</v>
      </c>
      <c r="CM46" s="117">
        <v>334.44866943359375</v>
      </c>
      <c r="CN46" s="115">
        <v>134.51205444335938</v>
      </c>
      <c r="CO46" s="115">
        <v>91.486961364746094</v>
      </c>
      <c r="CP46" s="115">
        <v>103.97104644775391</v>
      </c>
      <c r="CQ46" s="115">
        <v>0</v>
      </c>
      <c r="CR46" s="115">
        <v>66.30804443359375</v>
      </c>
      <c r="CS46" s="115">
        <v>11.696434020996094</v>
      </c>
      <c r="CT46" s="115">
        <v>50.284843444824219</v>
      </c>
      <c r="CU46" s="115">
        <v>180.03578186035156</v>
      </c>
      <c r="CV46" s="116">
        <v>91.127494812011719</v>
      </c>
      <c r="CW46" s="117">
        <v>2</v>
      </c>
      <c r="CX46" s="115">
        <v>464</v>
      </c>
      <c r="CY46" s="115">
        <v>219.41117858886719</v>
      </c>
      <c r="CZ46" s="115">
        <v>65.285514831542969</v>
      </c>
      <c r="DA46" s="115">
        <v>22.256343841552734</v>
      </c>
      <c r="DB46" s="115">
        <v>44.94610595703125</v>
      </c>
      <c r="DC46" s="115">
        <v>91.136260986328125</v>
      </c>
      <c r="DD46" s="115">
        <v>677</v>
      </c>
      <c r="DE46" s="115">
        <v>202</v>
      </c>
      <c r="DF46" s="115">
        <v>702.01348876953125</v>
      </c>
      <c r="DG46" s="115">
        <v>97.885787963867188</v>
      </c>
      <c r="DH46" s="115">
        <v>66.405075073242188</v>
      </c>
      <c r="DI46" s="120">
        <v>44.536415100097656</v>
      </c>
      <c r="DJ46" s="119">
        <v>255</v>
      </c>
      <c r="DK46" s="115">
        <v>151.15400695800781</v>
      </c>
      <c r="DL46" s="115">
        <v>28.72599983215332</v>
      </c>
      <c r="DM46" s="115">
        <v>61.319000244140625</v>
      </c>
      <c r="DN46" s="115">
        <v>54.074001312255859</v>
      </c>
      <c r="DO46" s="116">
        <v>115.22612762451172</v>
      </c>
      <c r="DP46" s="117">
        <v>17.274999618530273</v>
      </c>
      <c r="DQ46" s="115"/>
      <c r="DR46" s="117">
        <v>67</v>
      </c>
      <c r="DS46" s="120">
        <v>48.5</v>
      </c>
      <c r="DT46" s="119">
        <v>13</v>
      </c>
      <c r="DU46" s="115"/>
      <c r="DV46" s="115">
        <v>174</v>
      </c>
      <c r="DW46" s="115">
        <v>165.43083190917969</v>
      </c>
      <c r="DX46" s="117">
        <v>12</v>
      </c>
      <c r="DY46" s="120"/>
      <c r="DZ46" s="119">
        <v>52</v>
      </c>
      <c r="EA46" s="115">
        <v>3</v>
      </c>
      <c r="EB46" s="115">
        <v>0</v>
      </c>
      <c r="EC46" s="115">
        <v>1</v>
      </c>
      <c r="ED46" s="115">
        <v>852.70001220703125</v>
      </c>
      <c r="EE46" s="121">
        <v>78</v>
      </c>
      <c r="EF46" s="121">
        <v>79.833333333333329</v>
      </c>
      <c r="EG46" s="121">
        <v>83.88333333333334</v>
      </c>
      <c r="EH46" t="s">
        <v>216</v>
      </c>
    </row>
    <row r="47" spans="1:138" x14ac:dyDescent="0.3">
      <c r="A47" s="226">
        <f t="shared" si="3"/>
        <v>46020.029861111208</v>
      </c>
      <c r="B47" s="115">
        <v>300</v>
      </c>
      <c r="C47" s="115">
        <v>60.166999816894531</v>
      </c>
      <c r="D47" s="115">
        <v>102.23899841308594</v>
      </c>
      <c r="E47" s="115">
        <v>19.451999664306641</v>
      </c>
      <c r="F47" s="115">
        <v>4.7167067527770996</v>
      </c>
      <c r="G47" s="116">
        <v>21.826999664306641</v>
      </c>
      <c r="H47" s="117">
        <v>360</v>
      </c>
      <c r="I47" s="115">
        <v>326</v>
      </c>
      <c r="J47" s="115">
        <v>74.0780029296875</v>
      </c>
      <c r="K47" s="115">
        <v>64.609306335449219</v>
      </c>
      <c r="L47" s="115">
        <v>52.484001159667969</v>
      </c>
      <c r="M47" s="115">
        <v>14.814999580383301</v>
      </c>
      <c r="N47" s="115">
        <v>17.302999496459961</v>
      </c>
      <c r="O47" s="115">
        <v>19</v>
      </c>
      <c r="P47" s="115">
        <v>0</v>
      </c>
      <c r="Q47" s="115">
        <v>19.242570877075195</v>
      </c>
      <c r="R47" s="115">
        <v>25.003124237060547</v>
      </c>
      <c r="S47" s="115">
        <v>25.552282333374023</v>
      </c>
      <c r="T47" s="115">
        <v>0</v>
      </c>
      <c r="U47" s="115">
        <v>0</v>
      </c>
      <c r="V47" s="117">
        <v>1180</v>
      </c>
      <c r="W47" s="115">
        <v>37.293117523193359</v>
      </c>
      <c r="X47" s="115">
        <v>36.416999816894531</v>
      </c>
      <c r="Y47" s="115">
        <v>10.496000289916992</v>
      </c>
      <c r="Z47" s="115">
        <v>0</v>
      </c>
      <c r="AA47" s="115">
        <v>34.720001220703125</v>
      </c>
      <c r="AB47" s="115">
        <v>0</v>
      </c>
      <c r="AC47" s="115">
        <v>64.167800903320313</v>
      </c>
      <c r="AD47" s="115">
        <v>6.1069998741149902</v>
      </c>
      <c r="AE47" s="115">
        <v>0</v>
      </c>
      <c r="AF47" s="115">
        <v>99.185699462890625</v>
      </c>
      <c r="AG47" s="115">
        <v>0</v>
      </c>
      <c r="AH47" s="115">
        <v>79.067924499511719</v>
      </c>
      <c r="AI47" s="115">
        <v>17.812000274658203</v>
      </c>
      <c r="AJ47" s="115">
        <v>30.387893676757813</v>
      </c>
      <c r="AK47" s="115">
        <v>51.663074493408203</v>
      </c>
      <c r="AL47" s="115">
        <v>58.492000579833984</v>
      </c>
      <c r="AM47" s="118">
        <v>57.700000762939453</v>
      </c>
      <c r="AN47" s="117">
        <v>152.6875</v>
      </c>
      <c r="AO47" s="119">
        <v>83</v>
      </c>
      <c r="AP47" s="115">
        <v>82.847076416015625</v>
      </c>
      <c r="AQ47" s="115">
        <v>51.959026336669922</v>
      </c>
      <c r="AR47" s="115">
        <v>131</v>
      </c>
      <c r="AS47" s="115"/>
      <c r="AT47" s="115">
        <v>121</v>
      </c>
      <c r="AU47" s="115"/>
      <c r="AV47" s="115">
        <v>102</v>
      </c>
      <c r="AW47" s="115"/>
      <c r="AX47" s="115">
        <v>35</v>
      </c>
      <c r="AY47" s="115">
        <v>37.314304351806641</v>
      </c>
      <c r="AZ47" s="115">
        <v>26</v>
      </c>
      <c r="BA47" s="115"/>
      <c r="BB47" s="115">
        <v>196</v>
      </c>
      <c r="BC47" s="115">
        <v>201.74749755859375</v>
      </c>
      <c r="BD47" s="115">
        <v>7.3000001907348633</v>
      </c>
      <c r="BE47" s="115">
        <v>7.3289732933044434</v>
      </c>
      <c r="BF47" s="115">
        <v>31</v>
      </c>
      <c r="BG47" s="115">
        <v>12</v>
      </c>
      <c r="BH47" s="115">
        <v>12.375345230102539</v>
      </c>
      <c r="BI47" s="115"/>
      <c r="BJ47" s="108">
        <f t="shared" si="0"/>
        <v>17</v>
      </c>
      <c r="BK47" s="115">
        <v>17</v>
      </c>
      <c r="BL47" s="115">
        <v>0</v>
      </c>
      <c r="BM47" s="118"/>
      <c r="BN47" s="108">
        <f t="shared" si="1"/>
        <v>123.20000076293945</v>
      </c>
      <c r="BO47" s="108">
        <v>75</v>
      </c>
      <c r="BP47" s="108">
        <v>48.200000762939453</v>
      </c>
      <c r="BQ47" s="108">
        <v>317</v>
      </c>
      <c r="BR47" s="115">
        <v>98.959999084472656</v>
      </c>
      <c r="BS47" s="115">
        <v>26.972999572753906</v>
      </c>
      <c r="BT47" s="115">
        <v>48.83599853515625</v>
      </c>
      <c r="BU47" s="115">
        <v>46.249000549316406</v>
      </c>
      <c r="BV47" s="115">
        <v>69.400001525878906</v>
      </c>
      <c r="BW47" s="115">
        <v>6.9000000953674316</v>
      </c>
      <c r="BX47" s="115">
        <v>13.899999618530273</v>
      </c>
      <c r="BY47" s="115">
        <v>28</v>
      </c>
      <c r="BZ47" s="115">
        <v>1.3904979452490807E-2</v>
      </c>
      <c r="CA47" s="115">
        <v>0</v>
      </c>
      <c r="CB47" s="115">
        <v>29.321376800537109</v>
      </c>
      <c r="CC47" s="118"/>
      <c r="CD47" s="115">
        <v>448.46975708007813</v>
      </c>
      <c r="CE47" s="115">
        <v>87.893379211425781</v>
      </c>
      <c r="CF47" s="115">
        <v>31.893793106079102</v>
      </c>
      <c r="CG47" s="115">
        <v>35.338191986083984</v>
      </c>
      <c r="CH47" s="115">
        <v>302.89376831054688</v>
      </c>
      <c r="CI47" s="115">
        <v>116.13102722167969</v>
      </c>
      <c r="CJ47" s="115">
        <v>57.728199005126953</v>
      </c>
      <c r="CK47" s="115">
        <v>60.259231567382813</v>
      </c>
      <c r="CL47" s="116">
        <v>46.980464935302734</v>
      </c>
      <c r="CM47" s="117">
        <v>330.57174682617188</v>
      </c>
      <c r="CN47" s="115">
        <v>134.51205444335938</v>
      </c>
      <c r="CO47" s="115">
        <v>92.01434326171875</v>
      </c>
      <c r="CP47" s="115">
        <v>99.344467163085938</v>
      </c>
      <c r="CQ47" s="115">
        <v>0</v>
      </c>
      <c r="CR47" s="115">
        <v>65.183517456054688</v>
      </c>
      <c r="CS47" s="115">
        <v>11.867270469665527</v>
      </c>
      <c r="CT47" s="115">
        <v>52.929519653320313</v>
      </c>
      <c r="CU47" s="115">
        <v>182.97506713867188</v>
      </c>
      <c r="CV47" s="116">
        <v>89.691787719726563</v>
      </c>
      <c r="CW47" s="117">
        <v>2</v>
      </c>
      <c r="CX47" s="115">
        <v>464</v>
      </c>
      <c r="CY47" s="115">
        <v>222.71653747558594</v>
      </c>
      <c r="CZ47" s="115">
        <v>67.35711669921875</v>
      </c>
      <c r="DA47" s="115">
        <v>23.003314971923828</v>
      </c>
      <c r="DB47" s="115">
        <v>42.372879028320313</v>
      </c>
      <c r="DC47" s="115">
        <v>92.729766845703125</v>
      </c>
      <c r="DD47" s="115">
        <v>677</v>
      </c>
      <c r="DE47" s="115">
        <v>202</v>
      </c>
      <c r="DF47" s="115">
        <v>704.929443359375</v>
      </c>
      <c r="DG47" s="115">
        <v>104.53021240234375</v>
      </c>
      <c r="DH47" s="115">
        <v>66.553421020507813</v>
      </c>
      <c r="DI47" s="120">
        <v>41.476203918457031</v>
      </c>
      <c r="DJ47" s="119">
        <v>255</v>
      </c>
      <c r="DK47" s="115">
        <v>151.15400695800781</v>
      </c>
      <c r="DL47" s="115">
        <v>28.72599983215332</v>
      </c>
      <c r="DM47" s="115">
        <v>62.202999114990234</v>
      </c>
      <c r="DN47" s="115">
        <v>55.487998962402344</v>
      </c>
      <c r="DO47" s="116">
        <v>118.83824920654297</v>
      </c>
      <c r="DP47" s="117">
        <v>17.274999618530273</v>
      </c>
      <c r="DQ47" s="115"/>
      <c r="DR47" s="117">
        <v>67</v>
      </c>
      <c r="DS47" s="120">
        <v>55.099998474121094</v>
      </c>
      <c r="DT47" s="119">
        <v>13</v>
      </c>
      <c r="DU47" s="115"/>
      <c r="DV47" s="115">
        <v>176</v>
      </c>
      <c r="DW47" s="115">
        <v>165.01072692871094</v>
      </c>
      <c r="DX47" s="117">
        <v>12</v>
      </c>
      <c r="DY47" s="120"/>
      <c r="DZ47" s="119">
        <v>52</v>
      </c>
      <c r="EA47" s="115">
        <v>3</v>
      </c>
      <c r="EB47" s="115">
        <v>0</v>
      </c>
      <c r="EC47" s="115">
        <v>1</v>
      </c>
      <c r="ED47" s="115">
        <v>857.4000244140625</v>
      </c>
      <c r="EE47" s="121">
        <v>0</v>
      </c>
      <c r="EF47" s="121" t="e">
        <v>#NUM!</v>
      </c>
      <c r="EG47" s="121" t="e">
        <v>#DIV/0!</v>
      </c>
      <c r="EH47" t="s">
        <v>258</v>
      </c>
    </row>
    <row r="48" spans="1:138" x14ac:dyDescent="0.3">
      <c r="A48" s="226">
        <f t="shared" si="3"/>
        <v>46020.030555555655</v>
      </c>
      <c r="B48" s="115">
        <v>290</v>
      </c>
      <c r="C48" s="115">
        <v>58.358001708984375</v>
      </c>
      <c r="D48" s="115">
        <v>102.46600341796875</v>
      </c>
      <c r="E48" s="115">
        <v>19.677999496459961</v>
      </c>
      <c r="F48" s="115">
        <v>4.4994134902954102</v>
      </c>
      <c r="G48" s="116">
        <v>21.714000701904297</v>
      </c>
      <c r="H48" s="117">
        <v>361</v>
      </c>
      <c r="I48" s="115">
        <v>328</v>
      </c>
      <c r="J48" s="115">
        <v>76.226997375488281</v>
      </c>
      <c r="K48" s="115">
        <v>65.214546203613281</v>
      </c>
      <c r="L48" s="115">
        <v>52.130001068115234</v>
      </c>
      <c r="M48" s="115">
        <v>15.154999732971191</v>
      </c>
      <c r="N48" s="115">
        <v>16.922000885009766</v>
      </c>
      <c r="O48" s="115">
        <v>20</v>
      </c>
      <c r="P48" s="115">
        <v>0</v>
      </c>
      <c r="Q48" s="115">
        <v>18.510984420776367</v>
      </c>
      <c r="R48" s="115">
        <v>24</v>
      </c>
      <c r="S48" s="115">
        <v>24.828302383422852</v>
      </c>
      <c r="T48" s="115">
        <v>0</v>
      </c>
      <c r="U48" s="115">
        <v>0</v>
      </c>
      <c r="V48" s="117">
        <v>1185</v>
      </c>
      <c r="W48" s="115">
        <v>34.035060882568359</v>
      </c>
      <c r="X48" s="115">
        <v>36.756000518798828</v>
      </c>
      <c r="Y48" s="115">
        <v>8.4610004425048828</v>
      </c>
      <c r="Z48" s="115">
        <v>0</v>
      </c>
      <c r="AA48" s="115">
        <v>32.231998443603516</v>
      </c>
      <c r="AB48" s="115">
        <v>0</v>
      </c>
      <c r="AC48" s="115">
        <v>63.1876220703125</v>
      </c>
      <c r="AD48" s="115">
        <v>6.1069998741149902</v>
      </c>
      <c r="AE48" s="115">
        <v>0</v>
      </c>
      <c r="AF48" s="115">
        <v>99.078437805175781</v>
      </c>
      <c r="AG48" s="115">
        <v>0</v>
      </c>
      <c r="AH48" s="115">
        <v>78.329307556152344</v>
      </c>
      <c r="AI48" s="115">
        <v>19.656999588012695</v>
      </c>
      <c r="AJ48" s="115">
        <v>31.744630813598633</v>
      </c>
      <c r="AK48" s="115">
        <v>52.046443939208984</v>
      </c>
      <c r="AL48" s="115">
        <v>60.082000732421875</v>
      </c>
      <c r="AM48" s="118">
        <v>58.337001800537109</v>
      </c>
      <c r="AN48" s="117">
        <v>158.5</v>
      </c>
      <c r="AO48" s="119">
        <v>86</v>
      </c>
      <c r="AP48" s="115">
        <v>82.859687805175781</v>
      </c>
      <c r="AQ48" s="115">
        <v>52.705051422119141</v>
      </c>
      <c r="AR48" s="115">
        <v>129</v>
      </c>
      <c r="AS48" s="115"/>
      <c r="AT48" s="115">
        <v>121</v>
      </c>
      <c r="AU48" s="115"/>
      <c r="AV48" s="115">
        <v>102</v>
      </c>
      <c r="AW48" s="115"/>
      <c r="AX48" s="115">
        <v>34</v>
      </c>
      <c r="AY48" s="115">
        <v>36.99920654296875</v>
      </c>
      <c r="AZ48" s="115">
        <v>26</v>
      </c>
      <c r="BA48" s="115"/>
      <c r="BB48" s="115">
        <v>195</v>
      </c>
      <c r="BC48" s="115">
        <v>202.40591430664063</v>
      </c>
      <c r="BD48" s="115">
        <v>7.4000000953674316</v>
      </c>
      <c r="BE48" s="115">
        <v>7.368743896484375</v>
      </c>
      <c r="BF48" s="115">
        <v>31</v>
      </c>
      <c r="BG48" s="115">
        <v>12</v>
      </c>
      <c r="BH48" s="115">
        <v>12.223080635070801</v>
      </c>
      <c r="BI48" s="115"/>
      <c r="BJ48" s="108">
        <f t="shared" si="0"/>
        <v>17</v>
      </c>
      <c r="BK48" s="115">
        <v>17</v>
      </c>
      <c r="BL48" s="115">
        <v>0</v>
      </c>
      <c r="BM48" s="118"/>
      <c r="BN48" s="108">
        <f t="shared" si="1"/>
        <v>122.20000076293945</v>
      </c>
      <c r="BO48" s="108">
        <v>74</v>
      </c>
      <c r="BP48" s="108">
        <v>48.200000762939453</v>
      </c>
      <c r="BQ48" s="108">
        <v>317</v>
      </c>
      <c r="BR48" s="115">
        <v>99.750999450683594</v>
      </c>
      <c r="BS48" s="115">
        <v>26.718999862670898</v>
      </c>
      <c r="BT48" s="115">
        <v>48.83599853515625</v>
      </c>
      <c r="BU48" s="115">
        <v>46.057998657226563</v>
      </c>
      <c r="BV48" s="115">
        <v>69.599998474121094</v>
      </c>
      <c r="BW48" s="115">
        <v>6.9000000953674316</v>
      </c>
      <c r="BX48" s="115">
        <v>14</v>
      </c>
      <c r="BY48" s="115">
        <v>28</v>
      </c>
      <c r="BZ48" s="115">
        <v>1.3904979452490807E-2</v>
      </c>
      <c r="CA48" s="115">
        <v>1</v>
      </c>
      <c r="CB48" s="115">
        <v>29.324104309082031</v>
      </c>
      <c r="CC48" s="118"/>
      <c r="CD48" s="115">
        <v>447.0322265625</v>
      </c>
      <c r="CE48" s="115">
        <v>87.035064697265625</v>
      </c>
      <c r="CF48" s="115">
        <v>32.17095947265625</v>
      </c>
      <c r="CG48" s="115">
        <v>35.338191986083984</v>
      </c>
      <c r="CH48" s="115">
        <v>303.00418090820313</v>
      </c>
      <c r="CI48" s="115">
        <v>117.40604400634766</v>
      </c>
      <c r="CJ48" s="115">
        <v>58.590789794921875</v>
      </c>
      <c r="CK48" s="115">
        <v>60.259231567382813</v>
      </c>
      <c r="CL48" s="116">
        <v>46.133274078369141</v>
      </c>
      <c r="CM48" s="117">
        <v>330.616455078125</v>
      </c>
      <c r="CN48" s="115">
        <v>134.82644653320313</v>
      </c>
      <c r="CO48" s="115">
        <v>90.869522094726563</v>
      </c>
      <c r="CP48" s="115">
        <v>100.04867553710938</v>
      </c>
      <c r="CQ48" s="115">
        <v>0</v>
      </c>
      <c r="CR48" s="115">
        <v>67.300338745117188</v>
      </c>
      <c r="CS48" s="115">
        <v>11.226766586303711</v>
      </c>
      <c r="CT48" s="115">
        <v>52.295188903808594</v>
      </c>
      <c r="CU48" s="115">
        <v>183.30387878417969</v>
      </c>
      <c r="CV48" s="116">
        <v>92.559173583984375</v>
      </c>
      <c r="CW48" s="117">
        <v>3</v>
      </c>
      <c r="CX48" s="115">
        <v>466</v>
      </c>
      <c r="CY48" s="115">
        <v>220.68597412109375</v>
      </c>
      <c r="CZ48" s="115">
        <v>65.619552612304688</v>
      </c>
      <c r="DA48" s="115">
        <v>23.876943588256836</v>
      </c>
      <c r="DB48" s="115">
        <v>43.217391967773438</v>
      </c>
      <c r="DC48" s="115">
        <v>91.459999084472656</v>
      </c>
      <c r="DD48" s="115">
        <v>674</v>
      </c>
      <c r="DE48" s="115">
        <v>201</v>
      </c>
      <c r="DF48" s="115">
        <v>705.12042236328125</v>
      </c>
      <c r="DG48" s="115">
        <v>102.28314208984375</v>
      </c>
      <c r="DH48" s="115">
        <v>66.769851684570313</v>
      </c>
      <c r="DI48" s="120">
        <v>41.185894012451172</v>
      </c>
      <c r="DJ48" s="119">
        <v>254</v>
      </c>
      <c r="DK48" s="115">
        <v>145.30099487304688</v>
      </c>
      <c r="DL48" s="115">
        <v>28.5</v>
      </c>
      <c r="DM48" s="115">
        <v>60.258998870849609</v>
      </c>
      <c r="DN48" s="115">
        <v>56.724998474121094</v>
      </c>
      <c r="DO48" s="116">
        <v>115.72669982910156</v>
      </c>
      <c r="DP48" s="117">
        <v>17.444999694824219</v>
      </c>
      <c r="DQ48" s="115"/>
      <c r="DR48" s="117">
        <v>67</v>
      </c>
      <c r="DS48" s="120">
        <v>55.900001525878906</v>
      </c>
      <c r="DT48" s="119">
        <v>14</v>
      </c>
      <c r="DU48" s="115"/>
      <c r="DV48" s="115">
        <v>176</v>
      </c>
      <c r="DW48" s="115">
        <v>165.01072692871094</v>
      </c>
      <c r="DX48" s="117">
        <v>12</v>
      </c>
      <c r="DY48" s="120"/>
      <c r="DZ48" s="119">
        <v>52</v>
      </c>
      <c r="EA48" s="115">
        <v>3</v>
      </c>
      <c r="EB48" s="115">
        <v>0</v>
      </c>
      <c r="EC48" s="115">
        <v>1</v>
      </c>
      <c r="ED48" s="115">
        <v>851.9000244140625</v>
      </c>
      <c r="EE48" s="121">
        <v>91</v>
      </c>
      <c r="EF48" s="121">
        <v>92.333333333333329</v>
      </c>
      <c r="EG48" s="121">
        <v>95.916666666666671</v>
      </c>
      <c r="EH48" t="s">
        <v>218</v>
      </c>
    </row>
    <row r="49" spans="1:138" x14ac:dyDescent="0.3">
      <c r="A49" s="226">
        <f t="shared" si="3"/>
        <v>46020.031250000102</v>
      </c>
      <c r="B49" s="115">
        <v>302</v>
      </c>
      <c r="C49" s="115">
        <v>54.852001190185547</v>
      </c>
      <c r="D49" s="115">
        <v>103.93599700927734</v>
      </c>
      <c r="E49" s="115">
        <v>22.392999649047852</v>
      </c>
      <c r="F49" s="115">
        <v>12.485354423522949</v>
      </c>
      <c r="G49" s="116">
        <v>21.826999664306641</v>
      </c>
      <c r="H49" s="117">
        <v>359</v>
      </c>
      <c r="I49" s="115">
        <v>322</v>
      </c>
      <c r="J49" s="115">
        <v>76.905998229980469</v>
      </c>
      <c r="K49" s="115">
        <v>65.032112121582031</v>
      </c>
      <c r="L49" s="115">
        <v>51.069999694824219</v>
      </c>
      <c r="M49" s="115">
        <v>14.58899974822998</v>
      </c>
      <c r="N49" s="115">
        <v>17.048999786376953</v>
      </c>
      <c r="O49" s="115">
        <v>20</v>
      </c>
      <c r="P49" s="115">
        <v>0</v>
      </c>
      <c r="Q49" s="115">
        <v>20.069675445556641</v>
      </c>
      <c r="R49" s="115">
        <v>25.003124237060547</v>
      </c>
      <c r="S49" s="115">
        <v>25.221139907836914</v>
      </c>
      <c r="T49" s="115">
        <v>0</v>
      </c>
      <c r="U49" s="115">
        <v>0</v>
      </c>
      <c r="V49" s="117">
        <v>1189</v>
      </c>
      <c r="W49" s="115">
        <v>35.367904663085938</v>
      </c>
      <c r="X49" s="115">
        <v>35.173000335693359</v>
      </c>
      <c r="Y49" s="115">
        <v>8.9700002670288086</v>
      </c>
      <c r="Z49" s="115">
        <v>0</v>
      </c>
      <c r="AA49" s="115">
        <v>30.535999298095703</v>
      </c>
      <c r="AB49" s="115">
        <v>0</v>
      </c>
      <c r="AC49" s="115">
        <v>64.228019714355469</v>
      </c>
      <c r="AD49" s="115">
        <v>6.1069998741149902</v>
      </c>
      <c r="AE49" s="115">
        <v>0</v>
      </c>
      <c r="AF49" s="115">
        <v>98.717239379882813</v>
      </c>
      <c r="AG49" s="115">
        <v>0</v>
      </c>
      <c r="AH49" s="115">
        <v>76.205764770507813</v>
      </c>
      <c r="AI49" s="115">
        <v>17.621000289916992</v>
      </c>
      <c r="AJ49" s="115">
        <v>31.560924530029297</v>
      </c>
      <c r="AK49" s="115">
        <v>53.15185546875</v>
      </c>
      <c r="AL49" s="115">
        <v>61.143001556396484</v>
      </c>
      <c r="AM49" s="118">
        <v>57.637001037597656</v>
      </c>
      <c r="AN49" s="117">
        <v>160.9375</v>
      </c>
      <c r="AO49" s="119">
        <v>86</v>
      </c>
      <c r="AP49" s="115">
        <v>83.698127746582031</v>
      </c>
      <c r="AQ49" s="115">
        <v>52.721881866455078</v>
      </c>
      <c r="AR49" s="115">
        <v>130</v>
      </c>
      <c r="AS49" s="115"/>
      <c r="AT49" s="115">
        <v>121</v>
      </c>
      <c r="AU49" s="115"/>
      <c r="AV49" s="115">
        <v>103</v>
      </c>
      <c r="AW49" s="115"/>
      <c r="AX49" s="115">
        <v>35</v>
      </c>
      <c r="AY49" s="115">
        <v>36.7794189453125</v>
      </c>
      <c r="AZ49" s="115">
        <v>26</v>
      </c>
      <c r="BA49" s="115"/>
      <c r="BB49" s="115">
        <v>197</v>
      </c>
      <c r="BC49" s="115">
        <v>203.72897338867188</v>
      </c>
      <c r="BD49" s="115">
        <v>7.4000000953674316</v>
      </c>
      <c r="BE49" s="115">
        <v>7.3569159507751465</v>
      </c>
      <c r="BF49" s="115">
        <v>30</v>
      </c>
      <c r="BG49" s="115">
        <v>11</v>
      </c>
      <c r="BH49" s="115">
        <v>12.189432144165039</v>
      </c>
      <c r="BI49" s="115"/>
      <c r="BJ49" s="108">
        <f t="shared" si="0"/>
        <v>17</v>
      </c>
      <c r="BK49" s="115">
        <v>17</v>
      </c>
      <c r="BL49" s="115">
        <v>0</v>
      </c>
      <c r="BM49" s="118"/>
      <c r="BN49" s="108">
        <f t="shared" si="1"/>
        <v>122.20000076293945</v>
      </c>
      <c r="BO49" s="108">
        <v>74</v>
      </c>
      <c r="BP49" s="108">
        <v>48.200000762939453</v>
      </c>
      <c r="BQ49" s="108">
        <v>320</v>
      </c>
      <c r="BR49" s="115">
        <v>99.185997009277344</v>
      </c>
      <c r="BS49" s="115">
        <v>27.228000640869141</v>
      </c>
      <c r="BT49" s="115">
        <v>47.104999542236328</v>
      </c>
      <c r="BU49" s="115">
        <v>45.740001678466797</v>
      </c>
      <c r="BV49" s="115">
        <v>70</v>
      </c>
      <c r="BW49" s="115">
        <v>7</v>
      </c>
      <c r="BX49" s="115">
        <v>13.899999618530273</v>
      </c>
      <c r="BY49" s="115">
        <v>30</v>
      </c>
      <c r="BZ49" s="115">
        <v>1.3866310939192772E-2</v>
      </c>
      <c r="CA49" s="115">
        <v>0</v>
      </c>
      <c r="CB49" s="115">
        <v>29.830924987792969</v>
      </c>
      <c r="CC49" s="118"/>
      <c r="CD49" s="115">
        <v>444.91961669921875</v>
      </c>
      <c r="CE49" s="115">
        <v>85.632652282714844</v>
      </c>
      <c r="CF49" s="115">
        <v>31.712087631225586</v>
      </c>
      <c r="CG49" s="115">
        <v>35.338191986083984</v>
      </c>
      <c r="CH49" s="115">
        <v>303.64443969726563</v>
      </c>
      <c r="CI49" s="115">
        <v>115.85817718505859</v>
      </c>
      <c r="CJ49" s="115">
        <v>57.391139984130859</v>
      </c>
      <c r="CK49" s="115">
        <v>60.677951812744141</v>
      </c>
      <c r="CL49" s="116">
        <v>46.823986053466797</v>
      </c>
      <c r="CM49" s="117">
        <v>329.35052490234375</v>
      </c>
      <c r="CN49" s="115">
        <v>134.58920288085938</v>
      </c>
      <c r="CO49" s="115">
        <v>90.743568420410156</v>
      </c>
      <c r="CP49" s="115">
        <v>100.37511444091797</v>
      </c>
      <c r="CQ49" s="115">
        <v>0</v>
      </c>
      <c r="CR49" s="115">
        <v>63.550140380859375</v>
      </c>
      <c r="CS49" s="115">
        <v>12.033355712890625</v>
      </c>
      <c r="CT49" s="115">
        <v>57.332633972167969</v>
      </c>
      <c r="CU49" s="115">
        <v>184.95600891113281</v>
      </c>
      <c r="CV49" s="116">
        <v>94.912002563476563</v>
      </c>
      <c r="CW49" s="117">
        <v>8</v>
      </c>
      <c r="CX49" s="115">
        <v>454</v>
      </c>
      <c r="CY49" s="115">
        <v>218.03007507324219</v>
      </c>
      <c r="CZ49" s="115">
        <v>61.325225830078125</v>
      </c>
      <c r="DA49" s="115">
        <v>23.730525970458984</v>
      </c>
      <c r="DB49" s="115">
        <v>41.835132598876953</v>
      </c>
      <c r="DC49" s="115">
        <v>91.128013610839844</v>
      </c>
      <c r="DD49" s="115">
        <v>675</v>
      </c>
      <c r="DE49" s="115">
        <v>203</v>
      </c>
      <c r="DF49" s="115">
        <v>705.7779541015625</v>
      </c>
      <c r="DG49" s="115">
        <v>102.04481506347656</v>
      </c>
      <c r="DH49" s="115">
        <v>66.417732238769531</v>
      </c>
      <c r="DI49" s="120">
        <v>41.870738983154297</v>
      </c>
      <c r="DJ49" s="119">
        <v>249</v>
      </c>
      <c r="DK49" s="115">
        <v>144.79200744628906</v>
      </c>
      <c r="DL49" s="115">
        <v>30.083000183105469</v>
      </c>
      <c r="DM49" s="115">
        <v>59.199001312255859</v>
      </c>
      <c r="DN49" s="115">
        <v>56.724998474121094</v>
      </c>
      <c r="DO49" s="116">
        <v>115.14016723632813</v>
      </c>
      <c r="DP49" s="117">
        <v>17.530000686645508</v>
      </c>
      <c r="DQ49" s="115"/>
      <c r="DR49" s="117">
        <v>67</v>
      </c>
      <c r="DS49" s="120">
        <v>54.700000762939453</v>
      </c>
      <c r="DT49" s="119">
        <v>13</v>
      </c>
      <c r="DU49" s="115"/>
      <c r="DV49" s="115">
        <v>175</v>
      </c>
      <c r="DW49" s="115">
        <v>165.47984313964844</v>
      </c>
      <c r="DX49" s="117">
        <v>11</v>
      </c>
      <c r="DY49" s="120"/>
      <c r="DZ49" s="119">
        <v>55</v>
      </c>
      <c r="EA49" s="115">
        <v>3</v>
      </c>
      <c r="EB49" s="115">
        <v>0</v>
      </c>
      <c r="EC49" s="115">
        <v>1</v>
      </c>
      <c r="ED49" s="115">
        <v>855.5</v>
      </c>
      <c r="EE49" s="121">
        <v>0</v>
      </c>
      <c r="EF49" s="121" t="e">
        <v>#NUM!</v>
      </c>
      <c r="EG49" s="121" t="e">
        <v>#DIV/0!</v>
      </c>
      <c r="EH49" t="s">
        <v>259</v>
      </c>
    </row>
    <row r="50" spans="1:138" x14ac:dyDescent="0.3">
      <c r="A50" s="226">
        <f t="shared" si="3"/>
        <v>46020.031944444549</v>
      </c>
      <c r="B50" s="115">
        <v>291</v>
      </c>
      <c r="C50" s="115">
        <v>52.25</v>
      </c>
      <c r="D50" s="115">
        <v>103.822998046875</v>
      </c>
      <c r="E50" s="115">
        <v>17.982000350952148</v>
      </c>
      <c r="F50" s="115">
        <v>10.602693557739258</v>
      </c>
      <c r="G50" s="116">
        <v>22.052999496459961</v>
      </c>
      <c r="H50" s="117">
        <v>359</v>
      </c>
      <c r="I50" s="115">
        <v>322</v>
      </c>
      <c r="J50" s="115">
        <v>73.287002563476563</v>
      </c>
      <c r="K50" s="115">
        <v>65.100944519042969</v>
      </c>
      <c r="L50" s="115">
        <v>51.069999694824219</v>
      </c>
      <c r="M50" s="115">
        <v>14.814999580383301</v>
      </c>
      <c r="N50" s="115">
        <v>17.430999755859375</v>
      </c>
      <c r="O50" s="115">
        <v>18</v>
      </c>
      <c r="P50" s="115">
        <v>0</v>
      </c>
      <c r="Q50" s="115">
        <v>18.724880218505859</v>
      </c>
      <c r="R50" s="115">
        <v>28.003124237060547</v>
      </c>
      <c r="S50" s="115">
        <v>28.496366500854492</v>
      </c>
      <c r="T50" s="115">
        <v>6</v>
      </c>
      <c r="U50" s="115">
        <v>6</v>
      </c>
      <c r="V50" s="117">
        <v>1173</v>
      </c>
      <c r="W50" s="115">
        <v>39.016899108886719</v>
      </c>
      <c r="X50" s="115">
        <v>36.077999114990234</v>
      </c>
      <c r="Y50" s="115">
        <v>8.5240001678466797</v>
      </c>
      <c r="Z50" s="115">
        <v>0</v>
      </c>
      <c r="AA50" s="115">
        <v>32.798000335693359</v>
      </c>
      <c r="AB50" s="115">
        <v>0</v>
      </c>
      <c r="AC50" s="115">
        <v>64.573600769042969</v>
      </c>
      <c r="AD50" s="115">
        <v>6.1069998741149902</v>
      </c>
      <c r="AE50" s="115">
        <v>0</v>
      </c>
      <c r="AF50" s="115">
        <v>97.582855224609375</v>
      </c>
      <c r="AG50" s="115">
        <v>0</v>
      </c>
      <c r="AH50" s="115">
        <v>75.121299743652344</v>
      </c>
      <c r="AI50" s="115">
        <v>19.211999893188477</v>
      </c>
      <c r="AJ50" s="115">
        <v>31.11121940612793</v>
      </c>
      <c r="AK50" s="115">
        <v>51.928974151611328</v>
      </c>
      <c r="AL50" s="115">
        <v>58.668998718261719</v>
      </c>
      <c r="AM50" s="118">
        <v>57.637001037597656</v>
      </c>
      <c r="AN50" s="117">
        <v>159.8125</v>
      </c>
      <c r="AO50" s="119">
        <v>84</v>
      </c>
      <c r="AP50" s="115">
        <v>83.676132202148438</v>
      </c>
      <c r="AQ50" s="115">
        <v>53.954845428466797</v>
      </c>
      <c r="AR50" s="115">
        <v>129</v>
      </c>
      <c r="AS50" s="115"/>
      <c r="AT50" s="115">
        <v>121</v>
      </c>
      <c r="AU50" s="115"/>
      <c r="AV50" s="115">
        <v>103</v>
      </c>
      <c r="AW50" s="115"/>
      <c r="AX50" s="115">
        <v>35</v>
      </c>
      <c r="AY50" s="115">
        <v>37.251441955566406</v>
      </c>
      <c r="AZ50" s="115">
        <v>26</v>
      </c>
      <c r="BA50" s="115"/>
      <c r="BB50" s="115">
        <v>197</v>
      </c>
      <c r="BC50" s="115">
        <v>203.71926879882813</v>
      </c>
      <c r="BD50" s="115">
        <v>7.4000000953674316</v>
      </c>
      <c r="BE50" s="115">
        <v>7.3350396156311035</v>
      </c>
      <c r="BF50" s="115">
        <v>30</v>
      </c>
      <c r="BG50" s="115">
        <v>11</v>
      </c>
      <c r="BH50" s="115">
        <v>12.219165802001953</v>
      </c>
      <c r="BI50" s="115"/>
      <c r="BJ50" s="108">
        <f t="shared" si="0"/>
        <v>17</v>
      </c>
      <c r="BK50" s="115">
        <v>17</v>
      </c>
      <c r="BL50" s="115">
        <v>0</v>
      </c>
      <c r="BM50" s="118"/>
      <c r="BN50" s="108">
        <f t="shared" si="1"/>
        <v>124.20000076293945</v>
      </c>
      <c r="BO50" s="108">
        <v>76</v>
      </c>
      <c r="BP50" s="108">
        <v>48.200000762939453</v>
      </c>
      <c r="BQ50" s="108">
        <v>320</v>
      </c>
      <c r="BR50" s="115">
        <v>97.26300048828125</v>
      </c>
      <c r="BS50" s="115">
        <v>27.228000640869141</v>
      </c>
      <c r="BT50" s="115">
        <v>47.104999542236328</v>
      </c>
      <c r="BU50" s="115">
        <v>45.548999786376953</v>
      </c>
      <c r="BV50" s="115">
        <v>69</v>
      </c>
      <c r="BW50" s="115">
        <v>7.1999998092651367</v>
      </c>
      <c r="BX50" s="115">
        <v>13.899999618530273</v>
      </c>
      <c r="BY50" s="115">
        <v>29</v>
      </c>
      <c r="BZ50" s="115">
        <v>1.3759936206042767E-2</v>
      </c>
      <c r="CA50" s="115">
        <v>0</v>
      </c>
      <c r="CB50" s="115">
        <v>29.492544174194336</v>
      </c>
      <c r="CC50" s="118"/>
      <c r="CD50" s="115">
        <v>441.46588134765625</v>
      </c>
      <c r="CE50" s="115">
        <v>87.335899353027344</v>
      </c>
      <c r="CF50" s="115">
        <v>31.676218032836914</v>
      </c>
      <c r="CG50" s="115">
        <v>35.338191986083984</v>
      </c>
      <c r="CH50" s="115">
        <v>305.15982055664063</v>
      </c>
      <c r="CI50" s="115">
        <v>110.85799407958984</v>
      </c>
      <c r="CJ50" s="115">
        <v>53.476844787597656</v>
      </c>
      <c r="CK50" s="115">
        <v>60.464797973632813</v>
      </c>
      <c r="CL50" s="116">
        <v>47.887565612792969</v>
      </c>
      <c r="CM50" s="117">
        <v>329.35052490234375</v>
      </c>
      <c r="CN50" s="115">
        <v>132.97789001464844</v>
      </c>
      <c r="CO50" s="115">
        <v>90.743568420410156</v>
      </c>
      <c r="CP50" s="115">
        <v>98.753425598144531</v>
      </c>
      <c r="CQ50" s="115">
        <v>0</v>
      </c>
      <c r="CR50" s="115">
        <v>62.797039031982422</v>
      </c>
      <c r="CS50" s="115">
        <v>11.873848915100098</v>
      </c>
      <c r="CT50" s="115">
        <v>55.661762237548828</v>
      </c>
      <c r="CU50" s="115">
        <v>177.620361328125</v>
      </c>
      <c r="CV50" s="116">
        <v>93.047012329101563</v>
      </c>
      <c r="CW50" s="117">
        <v>3</v>
      </c>
      <c r="CX50" s="115">
        <v>451</v>
      </c>
      <c r="CY50" s="115">
        <v>221.38247680664063</v>
      </c>
      <c r="CZ50" s="115">
        <v>61.333908081054688</v>
      </c>
      <c r="DA50" s="115">
        <v>23.356056213378906</v>
      </c>
      <c r="DB50" s="115">
        <v>41.610721588134766</v>
      </c>
      <c r="DC50" s="115">
        <v>91.893089294433594</v>
      </c>
      <c r="DD50" s="115">
        <v>676</v>
      </c>
      <c r="DE50" s="115">
        <v>204</v>
      </c>
      <c r="DF50" s="115">
        <v>705.6845703125</v>
      </c>
      <c r="DG50" s="115">
        <v>98.355514526367188</v>
      </c>
      <c r="DH50" s="115">
        <v>66.433982849121094</v>
      </c>
      <c r="DI50" s="120">
        <v>41.811080932617188</v>
      </c>
      <c r="DJ50" s="119">
        <v>249</v>
      </c>
      <c r="DK50" s="115">
        <v>146.06500244140625</v>
      </c>
      <c r="DL50" s="115">
        <v>31.326999664306641</v>
      </c>
      <c r="DM50" s="115">
        <v>59.199001312255859</v>
      </c>
      <c r="DN50" s="115">
        <v>53.721000671386719</v>
      </c>
      <c r="DO50" s="116">
        <v>114.97991943359375</v>
      </c>
      <c r="DP50" s="117">
        <v>17.444999694824219</v>
      </c>
      <c r="DQ50" s="115"/>
      <c r="DR50" s="117">
        <v>67</v>
      </c>
      <c r="DS50" s="120">
        <v>54.599998474121094</v>
      </c>
      <c r="DT50" s="119">
        <v>13</v>
      </c>
      <c r="DU50" s="115"/>
      <c r="DV50" s="115">
        <v>174</v>
      </c>
      <c r="DW50" s="115">
        <v>164.82827758789063</v>
      </c>
      <c r="DX50" s="117">
        <v>12</v>
      </c>
      <c r="DY50" s="120"/>
      <c r="DZ50" s="119">
        <v>54</v>
      </c>
      <c r="EA50" s="115">
        <v>3</v>
      </c>
      <c r="EB50" s="115">
        <v>0</v>
      </c>
      <c r="EC50" s="115">
        <v>2</v>
      </c>
      <c r="ED50" s="115">
        <v>851.20001220703125</v>
      </c>
      <c r="EE50" s="121">
        <v>49</v>
      </c>
      <c r="EF50" s="121">
        <v>49.5</v>
      </c>
      <c r="EG50" s="121">
        <v>54.416666666666664</v>
      </c>
      <c r="EH50" t="s">
        <v>220</v>
      </c>
    </row>
    <row r="51" spans="1:138" x14ac:dyDescent="0.3">
      <c r="A51" s="226">
        <f t="shared" si="3"/>
        <v>46020.032638888995</v>
      </c>
      <c r="B51" s="115">
        <v>291</v>
      </c>
      <c r="C51" s="115">
        <v>55.304000854492188</v>
      </c>
      <c r="D51" s="115">
        <v>103.70999908447266</v>
      </c>
      <c r="E51" s="115">
        <v>18.320999145507813</v>
      </c>
      <c r="F51" s="115">
        <v>13.208580017089844</v>
      </c>
      <c r="G51" s="116">
        <v>22.166999816894531</v>
      </c>
      <c r="H51" s="117">
        <v>358</v>
      </c>
      <c r="I51" s="115">
        <v>326</v>
      </c>
      <c r="J51" s="115">
        <v>75.208999633789063</v>
      </c>
      <c r="K51" s="115">
        <v>65.2698974609375</v>
      </c>
      <c r="L51" s="115">
        <v>53.543998718261719</v>
      </c>
      <c r="M51" s="115">
        <v>15.154999732971191</v>
      </c>
      <c r="N51" s="115">
        <v>16.731000900268555</v>
      </c>
      <c r="O51" s="115">
        <v>19</v>
      </c>
      <c r="P51" s="115">
        <v>0</v>
      </c>
      <c r="Q51" s="115">
        <v>20.545188903808594</v>
      </c>
      <c r="R51" s="115">
        <v>27</v>
      </c>
      <c r="S51" s="115">
        <v>27.180486679077148</v>
      </c>
      <c r="T51" s="115">
        <v>9</v>
      </c>
      <c r="U51" s="115">
        <v>9</v>
      </c>
      <c r="V51" s="117">
        <v>1173</v>
      </c>
      <c r="W51" s="115">
        <v>39.368434906005859</v>
      </c>
      <c r="X51" s="115">
        <v>37.887001037597656</v>
      </c>
      <c r="Y51" s="115">
        <v>8.7150001525878906</v>
      </c>
      <c r="Z51" s="115">
        <v>0</v>
      </c>
      <c r="AA51" s="115">
        <v>30.309999465942383</v>
      </c>
      <c r="AB51" s="115">
        <v>0</v>
      </c>
      <c r="AC51" s="115">
        <v>62.973495483398438</v>
      </c>
      <c r="AD51" s="115">
        <v>5.5980000495910645</v>
      </c>
      <c r="AE51" s="115">
        <v>0</v>
      </c>
      <c r="AF51" s="115">
        <v>96.512504577636719</v>
      </c>
      <c r="AG51" s="115">
        <v>0</v>
      </c>
      <c r="AH51" s="115">
        <v>76.825401306152344</v>
      </c>
      <c r="AI51" s="115">
        <v>17.940000534057617</v>
      </c>
      <c r="AJ51" s="115">
        <v>29.651268005371094</v>
      </c>
      <c r="AK51" s="115">
        <v>51.911392211914063</v>
      </c>
      <c r="AL51" s="115">
        <v>60.436000823974609</v>
      </c>
      <c r="AM51" s="118">
        <v>57.637001037597656</v>
      </c>
      <c r="AN51" s="117">
        <v>152.9375</v>
      </c>
      <c r="AO51" s="119">
        <v>83</v>
      </c>
      <c r="AP51" s="115">
        <v>82.636428833007813</v>
      </c>
      <c r="AQ51" s="115">
        <v>51.130565643310547</v>
      </c>
      <c r="AR51" s="115">
        <v>131</v>
      </c>
      <c r="AS51" s="115"/>
      <c r="AT51" s="115">
        <v>122</v>
      </c>
      <c r="AU51" s="115"/>
      <c r="AV51" s="115">
        <v>95</v>
      </c>
      <c r="AW51" s="115"/>
      <c r="AX51" s="115">
        <v>36</v>
      </c>
      <c r="AY51" s="115">
        <v>37.765262603759766</v>
      </c>
      <c r="AZ51" s="115">
        <v>25</v>
      </c>
      <c r="BA51" s="115"/>
      <c r="BB51" s="115">
        <v>197</v>
      </c>
      <c r="BC51" s="115">
        <v>205.10597229003906</v>
      </c>
      <c r="BD51" s="115">
        <v>7.3000001907348633</v>
      </c>
      <c r="BE51" s="115">
        <v>7.3334150314331055</v>
      </c>
      <c r="BF51" s="115">
        <v>31</v>
      </c>
      <c r="BG51" s="115">
        <v>11</v>
      </c>
      <c r="BH51" s="115">
        <v>12.267274856567383</v>
      </c>
      <c r="BI51" s="115"/>
      <c r="BJ51" s="108">
        <f t="shared" si="0"/>
        <v>17</v>
      </c>
      <c r="BK51" s="115">
        <v>17</v>
      </c>
      <c r="BL51" s="115">
        <v>0</v>
      </c>
      <c r="BM51" s="118"/>
      <c r="BN51" s="108">
        <f t="shared" si="1"/>
        <v>122</v>
      </c>
      <c r="BO51" s="108">
        <v>74</v>
      </c>
      <c r="BP51" s="108">
        <v>48</v>
      </c>
      <c r="BQ51" s="108">
        <v>328</v>
      </c>
      <c r="BR51" s="115">
        <v>98.620002746582031</v>
      </c>
      <c r="BS51" s="115">
        <v>27.482000350952148</v>
      </c>
      <c r="BT51" s="115">
        <v>48.490001678466797</v>
      </c>
      <c r="BU51" s="115">
        <v>46.122001647949219</v>
      </c>
      <c r="BV51" s="115">
        <v>69.5</v>
      </c>
      <c r="BW51" s="115">
        <v>7.0999999046325684</v>
      </c>
      <c r="BX51" s="115">
        <v>14.199999809265137</v>
      </c>
      <c r="BY51" s="115">
        <v>29</v>
      </c>
      <c r="BZ51" s="115">
        <v>1.3759936206042767E-2</v>
      </c>
      <c r="CA51" s="115">
        <v>0</v>
      </c>
      <c r="CB51" s="115">
        <v>29.452539443969727</v>
      </c>
      <c r="CC51" s="118"/>
      <c r="CD51" s="115">
        <v>445.72183227539063</v>
      </c>
      <c r="CE51" s="115">
        <v>87.457794189453125</v>
      </c>
      <c r="CF51" s="115">
        <v>31.2384033203125</v>
      </c>
      <c r="CG51" s="115">
        <v>35.338191986083984</v>
      </c>
      <c r="CH51" s="115">
        <v>304.05654907226563</v>
      </c>
      <c r="CI51" s="115">
        <v>109.41899108886719</v>
      </c>
      <c r="CJ51" s="115">
        <v>53.591297149658203</v>
      </c>
      <c r="CK51" s="115">
        <v>61.280414581298828</v>
      </c>
      <c r="CL51" s="116">
        <v>46.489170074462891</v>
      </c>
      <c r="CM51" s="117">
        <v>328.75918579101563</v>
      </c>
      <c r="CN51" s="115">
        <v>133.91877746582031</v>
      </c>
      <c r="CO51" s="115">
        <v>91.126228332519531</v>
      </c>
      <c r="CP51" s="115">
        <v>99.86279296875</v>
      </c>
      <c r="CQ51" s="115">
        <v>0</v>
      </c>
      <c r="CR51" s="115">
        <v>64.764701843261719</v>
      </c>
      <c r="CS51" s="115">
        <v>12.517350196838379</v>
      </c>
      <c r="CT51" s="115">
        <v>55.8575439453125</v>
      </c>
      <c r="CU51" s="115">
        <v>172.73977661132813</v>
      </c>
      <c r="CV51" s="116">
        <v>93.774681091308594</v>
      </c>
      <c r="CW51" s="117">
        <v>3</v>
      </c>
      <c r="CX51" s="115">
        <v>451</v>
      </c>
      <c r="CY51" s="115">
        <v>221.78256225585938</v>
      </c>
      <c r="CZ51" s="115">
        <v>63.544952392578125</v>
      </c>
      <c r="DA51" s="115">
        <v>23.580318450927734</v>
      </c>
      <c r="DB51" s="115">
        <v>42.821678161621094</v>
      </c>
      <c r="DC51" s="115">
        <v>92.079605102539063</v>
      </c>
      <c r="DD51" s="115">
        <v>676</v>
      </c>
      <c r="DE51" s="115">
        <v>204</v>
      </c>
      <c r="DF51" s="115">
        <v>703.61456298828125</v>
      </c>
      <c r="DG51" s="115">
        <v>97.881614685058594</v>
      </c>
      <c r="DH51" s="115">
        <v>66.993095397949219</v>
      </c>
      <c r="DI51" s="120">
        <v>41.011631011962891</v>
      </c>
      <c r="DJ51" s="119">
        <v>251</v>
      </c>
      <c r="DK51" s="115">
        <v>148.60899353027344</v>
      </c>
      <c r="DL51" s="115">
        <v>29.969999313354492</v>
      </c>
      <c r="DM51" s="115">
        <v>64.323997497558594</v>
      </c>
      <c r="DN51" s="115">
        <v>53.721000671386719</v>
      </c>
      <c r="DO51" s="116">
        <v>116.85676574707031</v>
      </c>
      <c r="DP51" s="117">
        <v>16.794000625610352</v>
      </c>
      <c r="DQ51" s="115"/>
      <c r="DR51" s="117">
        <v>67</v>
      </c>
      <c r="DS51" s="120">
        <v>54.900001525878906</v>
      </c>
      <c r="DT51" s="119">
        <v>14</v>
      </c>
      <c r="DU51" s="115"/>
      <c r="DV51" s="115">
        <v>174</v>
      </c>
      <c r="DW51" s="115">
        <v>165.84393310546875</v>
      </c>
      <c r="DX51" s="117">
        <v>13</v>
      </c>
      <c r="DY51" s="120"/>
      <c r="DZ51" s="119">
        <v>53</v>
      </c>
      <c r="EA51" s="115">
        <v>3</v>
      </c>
      <c r="EB51" s="115">
        <v>0</v>
      </c>
      <c r="EC51" s="115">
        <v>1</v>
      </c>
      <c r="ED51" s="115">
        <v>851</v>
      </c>
      <c r="EE51" s="121">
        <v>0</v>
      </c>
      <c r="EF51" s="121" t="e">
        <v>#NUM!</v>
      </c>
      <c r="EG51" s="121" t="e">
        <v>#DIV/0!</v>
      </c>
      <c r="EH51" t="s">
        <v>40</v>
      </c>
    </row>
    <row r="52" spans="1:138" x14ac:dyDescent="0.3">
      <c r="A52" s="226">
        <f t="shared" si="3"/>
        <v>46020.033333333442</v>
      </c>
      <c r="B52" s="115">
        <v>294</v>
      </c>
      <c r="C52" s="115">
        <v>54.285999298095703</v>
      </c>
      <c r="D52" s="115">
        <v>102.35299682617188</v>
      </c>
      <c r="E52" s="115">
        <v>21.826999664306641</v>
      </c>
      <c r="F52" s="115">
        <v>18.385299682617188</v>
      </c>
      <c r="G52" s="116">
        <v>22.618999481201172</v>
      </c>
      <c r="H52" s="117">
        <v>362</v>
      </c>
      <c r="I52" s="115">
        <v>331</v>
      </c>
      <c r="J52" s="115">
        <v>75.775001525878906</v>
      </c>
      <c r="K52" s="115">
        <v>64.954841613769531</v>
      </c>
      <c r="L52" s="115">
        <v>51.247001647949219</v>
      </c>
      <c r="M52" s="115">
        <v>15.041000366210938</v>
      </c>
      <c r="N52" s="115">
        <v>16.540000915527344</v>
      </c>
      <c r="O52" s="115">
        <v>18</v>
      </c>
      <c r="P52" s="115">
        <v>0</v>
      </c>
      <c r="Q52" s="115">
        <v>17.982570648193359</v>
      </c>
      <c r="R52" s="115">
        <v>27</v>
      </c>
      <c r="S52" s="115">
        <v>28.86933708190918</v>
      </c>
      <c r="T52" s="115">
        <v>9</v>
      </c>
      <c r="U52" s="115">
        <v>9</v>
      </c>
      <c r="V52" s="117">
        <v>1173</v>
      </c>
      <c r="W52" s="115">
        <v>38.718807220458984</v>
      </c>
      <c r="X52" s="115">
        <v>36.756000518798828</v>
      </c>
      <c r="Y52" s="115">
        <v>8.9060001373291016</v>
      </c>
      <c r="Z52" s="115">
        <v>0</v>
      </c>
      <c r="AA52" s="115">
        <v>29.969999313354492</v>
      </c>
      <c r="AB52" s="115">
        <v>0</v>
      </c>
      <c r="AC52" s="115">
        <v>63.79510498046875</v>
      </c>
      <c r="AD52" s="115">
        <v>6.1069998741149902</v>
      </c>
      <c r="AE52" s="115">
        <v>0</v>
      </c>
      <c r="AF52" s="115">
        <v>96.680282592773438</v>
      </c>
      <c r="AG52" s="115">
        <v>0</v>
      </c>
      <c r="AH52" s="115">
        <v>77.585830688476563</v>
      </c>
      <c r="AI52" s="115">
        <v>19.148000717163086</v>
      </c>
      <c r="AJ52" s="115">
        <v>30.545166015625</v>
      </c>
      <c r="AK52" s="115">
        <v>50.926761627197266</v>
      </c>
      <c r="AL52" s="115">
        <v>57.962001800537109</v>
      </c>
      <c r="AM52" s="118">
        <v>60.244998931884766</v>
      </c>
      <c r="AN52" s="117">
        <v>152.9375</v>
      </c>
      <c r="AO52" s="119">
        <v>82</v>
      </c>
      <c r="AP52" s="115">
        <v>82.789848327636719</v>
      </c>
      <c r="AQ52" s="115">
        <v>51.395122528076172</v>
      </c>
      <c r="AR52" s="115">
        <v>131</v>
      </c>
      <c r="AS52" s="115"/>
      <c r="AT52" s="115">
        <v>122</v>
      </c>
      <c r="AU52" s="115"/>
      <c r="AV52" s="115">
        <v>95</v>
      </c>
      <c r="AW52" s="115"/>
      <c r="AX52" s="115">
        <v>34</v>
      </c>
      <c r="AY52" s="115">
        <v>37.690090179443359</v>
      </c>
      <c r="AZ52" s="115">
        <v>25</v>
      </c>
      <c r="BA52" s="115"/>
      <c r="BB52" s="115">
        <v>196</v>
      </c>
      <c r="BC52" s="115">
        <v>202.37393188476563</v>
      </c>
      <c r="BD52" s="115">
        <v>7.3000001907348633</v>
      </c>
      <c r="BE52" s="115">
        <v>7.328498363494873</v>
      </c>
      <c r="BF52" s="115">
        <v>31</v>
      </c>
      <c r="BG52" s="115">
        <v>11</v>
      </c>
      <c r="BH52" s="115">
        <v>12.100983619689941</v>
      </c>
      <c r="BI52" s="115"/>
      <c r="BJ52" s="108">
        <f t="shared" si="0"/>
        <v>17</v>
      </c>
      <c r="BK52" s="115">
        <v>17</v>
      </c>
      <c r="BL52" s="115">
        <v>0</v>
      </c>
      <c r="BM52" s="118"/>
      <c r="BN52" s="108">
        <f t="shared" si="1"/>
        <v>123</v>
      </c>
      <c r="BO52" s="108">
        <v>75</v>
      </c>
      <c r="BP52" s="108">
        <v>48</v>
      </c>
      <c r="BQ52" s="108">
        <v>324</v>
      </c>
      <c r="BR52" s="115">
        <v>98.620002746582031</v>
      </c>
      <c r="BS52" s="115">
        <v>26.718999862670898</v>
      </c>
      <c r="BT52" s="115">
        <v>48.83599853515625</v>
      </c>
      <c r="BU52" s="115">
        <v>45.930999755859375</v>
      </c>
      <c r="BV52" s="115">
        <v>68.800003051757813</v>
      </c>
      <c r="BW52" s="115">
        <v>7</v>
      </c>
      <c r="BX52" s="115">
        <v>13.899999618530273</v>
      </c>
      <c r="BY52" s="115">
        <v>29</v>
      </c>
      <c r="BZ52" s="115">
        <v>1.4663056470453739E-2</v>
      </c>
      <c r="CA52" s="115">
        <v>0</v>
      </c>
      <c r="CB52" s="115">
        <v>29.464099884033203</v>
      </c>
      <c r="CC52" s="118"/>
      <c r="CD52" s="115">
        <v>442.60003662109375</v>
      </c>
      <c r="CE52" s="115">
        <v>88.192840576171875</v>
      </c>
      <c r="CF52" s="115">
        <v>31.941841125488281</v>
      </c>
      <c r="CG52" s="115">
        <v>35.338191986083984</v>
      </c>
      <c r="CH52" s="115">
        <v>304.48162841796875</v>
      </c>
      <c r="CI52" s="115">
        <v>114.56685638427734</v>
      </c>
      <c r="CJ52" s="115">
        <v>56.292533874511719</v>
      </c>
      <c r="CK52" s="115">
        <v>61.972137451171875</v>
      </c>
      <c r="CL52" s="116">
        <v>46.936946868896484</v>
      </c>
      <c r="CM52" s="117">
        <v>327.93862915039063</v>
      </c>
      <c r="CN52" s="115">
        <v>133.39707946777344</v>
      </c>
      <c r="CO52" s="115">
        <v>91.140213012695313</v>
      </c>
      <c r="CP52" s="115">
        <v>99.273910522460938</v>
      </c>
      <c r="CQ52" s="115">
        <v>0</v>
      </c>
      <c r="CR52" s="115">
        <v>64.04779052734375</v>
      </c>
      <c r="CS52" s="115">
        <v>12.914510726928711</v>
      </c>
      <c r="CT52" s="115">
        <v>57.553310394287109</v>
      </c>
      <c r="CU52" s="115">
        <v>179.09153747558594</v>
      </c>
      <c r="CV52" s="116">
        <v>92.509506225585938</v>
      </c>
      <c r="CW52" s="117">
        <v>4</v>
      </c>
      <c r="CX52" s="115">
        <v>461</v>
      </c>
      <c r="CY52" s="115">
        <v>216.91249084472656</v>
      </c>
      <c r="CZ52" s="115">
        <v>60.325458526611328</v>
      </c>
      <c r="DA52" s="115">
        <v>22.881500244140625</v>
      </c>
      <c r="DB52" s="115">
        <v>42.418647766113281</v>
      </c>
      <c r="DC52" s="115">
        <v>92.320953369140625</v>
      </c>
      <c r="DD52" s="115">
        <v>677</v>
      </c>
      <c r="DE52" s="115">
        <v>201</v>
      </c>
      <c r="DF52" s="115">
        <v>706.3284912109375</v>
      </c>
      <c r="DG52" s="115">
        <v>97.515327453613281</v>
      </c>
      <c r="DH52" s="115">
        <v>67.282150268554688</v>
      </c>
      <c r="DI52" s="120">
        <v>39.556110382080078</v>
      </c>
      <c r="DJ52" s="119">
        <v>253</v>
      </c>
      <c r="DK52" s="115">
        <v>151.15400695800781</v>
      </c>
      <c r="DL52" s="115">
        <v>29.969999313354492</v>
      </c>
      <c r="DM52" s="115">
        <v>62.733001708984375</v>
      </c>
      <c r="DN52" s="115">
        <v>56.548000335693359</v>
      </c>
      <c r="DO52" s="116">
        <v>115.64682006835938</v>
      </c>
      <c r="DP52" s="117">
        <v>16.597000122070313</v>
      </c>
      <c r="DQ52" s="115"/>
      <c r="DR52" s="117">
        <v>67</v>
      </c>
      <c r="DS52" s="120">
        <v>56.5</v>
      </c>
      <c r="DT52" s="119">
        <v>14</v>
      </c>
      <c r="DU52" s="115"/>
      <c r="DV52" s="115">
        <v>169</v>
      </c>
      <c r="DW52" s="115">
        <v>164.32427978515625</v>
      </c>
      <c r="DX52" s="117">
        <v>12</v>
      </c>
      <c r="DY52" s="120"/>
      <c r="DZ52" s="119">
        <v>53</v>
      </c>
      <c r="EA52" s="115">
        <v>3</v>
      </c>
      <c r="EB52" s="115">
        <v>0</v>
      </c>
      <c r="EC52" s="115">
        <v>1</v>
      </c>
      <c r="ED52" s="115">
        <v>851</v>
      </c>
      <c r="EE52" s="121">
        <v>28</v>
      </c>
      <c r="EF52" s="121">
        <v>28.5</v>
      </c>
      <c r="EG52" s="121">
        <v>29.483333333333334</v>
      </c>
      <c r="EH52" t="s">
        <v>222</v>
      </c>
    </row>
    <row r="53" spans="1:138" x14ac:dyDescent="0.3">
      <c r="A53" s="226">
        <f t="shared" si="3"/>
        <v>46020.034027777889</v>
      </c>
      <c r="B53" s="115">
        <v>293</v>
      </c>
      <c r="C53" s="115">
        <v>55.304000854492188</v>
      </c>
      <c r="D53" s="115">
        <v>103.14399719238281</v>
      </c>
      <c r="E53" s="115">
        <v>18.547000885009766</v>
      </c>
      <c r="F53" s="115">
        <v>14.202644348144531</v>
      </c>
      <c r="G53" s="116">
        <v>21.714000701904297</v>
      </c>
      <c r="H53" s="117">
        <v>356</v>
      </c>
      <c r="I53" s="115">
        <v>326</v>
      </c>
      <c r="J53" s="115">
        <v>74.757003784179688</v>
      </c>
      <c r="K53" s="115">
        <v>64.954841613769531</v>
      </c>
      <c r="L53" s="115">
        <v>49.655998229980469</v>
      </c>
      <c r="M53" s="115">
        <v>15.494000434875488</v>
      </c>
      <c r="N53" s="115">
        <v>17.493999481201172</v>
      </c>
      <c r="O53" s="115">
        <v>20</v>
      </c>
      <c r="P53" s="115">
        <v>0</v>
      </c>
      <c r="Q53" s="115">
        <v>20.242670059204102</v>
      </c>
      <c r="R53" s="115">
        <v>28.003124237060547</v>
      </c>
      <c r="S53" s="115">
        <v>28.850793838500977</v>
      </c>
      <c r="T53" s="115">
        <v>9</v>
      </c>
      <c r="U53" s="115">
        <v>9</v>
      </c>
      <c r="V53" s="117">
        <v>1184</v>
      </c>
      <c r="W53" s="115">
        <v>37.655910491943359</v>
      </c>
      <c r="X53" s="115">
        <v>37.548000335693359</v>
      </c>
      <c r="Y53" s="115">
        <v>9.0329999923706055</v>
      </c>
      <c r="Z53" s="115">
        <v>0</v>
      </c>
      <c r="AA53" s="115">
        <v>29.969999313354492</v>
      </c>
      <c r="AB53" s="115">
        <v>0</v>
      </c>
      <c r="AC53" s="115">
        <v>63.859363555908203</v>
      </c>
      <c r="AD53" s="115">
        <v>5.8520002365112305</v>
      </c>
      <c r="AE53" s="115">
        <v>0</v>
      </c>
      <c r="AF53" s="115">
        <v>96.554924011230469</v>
      </c>
      <c r="AG53" s="115">
        <v>0</v>
      </c>
      <c r="AH53" s="115">
        <v>77.2076416015625</v>
      </c>
      <c r="AI53" s="115">
        <v>21.438999176025391</v>
      </c>
      <c r="AJ53" s="115">
        <v>29.395048141479492</v>
      </c>
      <c r="AK53" s="115">
        <v>50.109214782714844</v>
      </c>
      <c r="AL53" s="115">
        <v>58.492000579833984</v>
      </c>
      <c r="AM53" s="118">
        <v>58.400001525878906</v>
      </c>
      <c r="AN53" s="117">
        <v>155.875</v>
      </c>
      <c r="AO53" s="119">
        <v>85</v>
      </c>
      <c r="AP53" s="115">
        <v>83.468338012695313</v>
      </c>
      <c r="AQ53" s="115">
        <v>52.227458953857422</v>
      </c>
      <c r="AR53" s="115">
        <v>130</v>
      </c>
      <c r="AS53" s="115"/>
      <c r="AT53" s="115">
        <v>123</v>
      </c>
      <c r="AU53" s="115"/>
      <c r="AV53" s="115">
        <v>96</v>
      </c>
      <c r="AW53" s="115"/>
      <c r="AX53" s="115">
        <v>35</v>
      </c>
      <c r="AY53" s="115">
        <v>36.878948211669922</v>
      </c>
      <c r="AZ53" s="115">
        <v>26</v>
      </c>
      <c r="BA53" s="115"/>
      <c r="BB53" s="115">
        <v>198</v>
      </c>
      <c r="BC53" s="115">
        <v>204.08598327636719</v>
      </c>
      <c r="BD53" s="115">
        <v>7.3000001907348633</v>
      </c>
      <c r="BE53" s="115">
        <v>7.3243865966796875</v>
      </c>
      <c r="BF53" s="115">
        <v>31</v>
      </c>
      <c r="BG53" s="115">
        <v>11</v>
      </c>
      <c r="BH53" s="115">
        <v>12.130973815917969</v>
      </c>
      <c r="BI53" s="115"/>
      <c r="BJ53" s="108">
        <f t="shared" si="0"/>
        <v>17</v>
      </c>
      <c r="BK53" s="115">
        <v>17</v>
      </c>
      <c r="BL53" s="115">
        <v>0</v>
      </c>
      <c r="BM53" s="118"/>
      <c r="BN53" s="108">
        <f t="shared" si="1"/>
        <v>123</v>
      </c>
      <c r="BO53" s="108">
        <v>75</v>
      </c>
      <c r="BP53" s="108">
        <v>48</v>
      </c>
      <c r="BQ53" s="108">
        <v>322</v>
      </c>
      <c r="BR53" s="115">
        <v>100.65599822998047</v>
      </c>
      <c r="BS53" s="115">
        <v>27.228000640869141</v>
      </c>
      <c r="BT53" s="115">
        <v>46.064998626708984</v>
      </c>
      <c r="BU53" s="115">
        <v>45.994998931884766</v>
      </c>
      <c r="BV53" s="115">
        <v>70.099998474121094</v>
      </c>
      <c r="BW53" s="115">
        <v>6.9000000953674316</v>
      </c>
      <c r="BX53" s="115">
        <v>13.899999618530273</v>
      </c>
      <c r="BY53" s="115">
        <v>29</v>
      </c>
      <c r="BZ53" s="115">
        <v>1.4163780957460403E-2</v>
      </c>
      <c r="CA53" s="115">
        <v>1</v>
      </c>
      <c r="CB53" s="115">
        <v>29.91624641418457</v>
      </c>
      <c r="CC53" s="118"/>
      <c r="CD53" s="115">
        <v>440.97811889648438</v>
      </c>
      <c r="CE53" s="115">
        <v>86.491455078125</v>
      </c>
      <c r="CF53" s="115">
        <v>31.613674163818359</v>
      </c>
      <c r="CG53" s="115">
        <v>35.338191986083984</v>
      </c>
      <c r="CH53" s="115">
        <v>304.22085571289063</v>
      </c>
      <c r="CI53" s="115">
        <v>110.49915313720703</v>
      </c>
      <c r="CJ53" s="115">
        <v>54.742179870605469</v>
      </c>
      <c r="CK53" s="115">
        <v>60.788105010986328</v>
      </c>
      <c r="CL53" s="116">
        <v>48.658542633056641</v>
      </c>
      <c r="CM53" s="117">
        <v>323.52029418945313</v>
      </c>
      <c r="CN53" s="115">
        <v>130.57173156738281</v>
      </c>
      <c r="CO53" s="115">
        <v>90.353363037109375</v>
      </c>
      <c r="CP53" s="115">
        <v>99.470977783203125</v>
      </c>
      <c r="CQ53" s="115">
        <v>0</v>
      </c>
      <c r="CR53" s="115">
        <v>65.495819091796875</v>
      </c>
      <c r="CS53" s="115">
        <v>11.656231880187988</v>
      </c>
      <c r="CT53" s="115">
        <v>55.134677886962891</v>
      </c>
      <c r="CU53" s="115">
        <v>178.27597045898438</v>
      </c>
      <c r="CV53" s="116">
        <v>92.782577514648438</v>
      </c>
      <c r="CW53" s="117">
        <v>1</v>
      </c>
      <c r="CX53" s="115">
        <v>453</v>
      </c>
      <c r="CY53" s="115">
        <v>213.612060546875</v>
      </c>
      <c r="CZ53" s="115">
        <v>61.758049011230469</v>
      </c>
      <c r="DA53" s="115">
        <v>24.506130218505859</v>
      </c>
      <c r="DB53" s="115">
        <v>43.461231231689453</v>
      </c>
      <c r="DC53" s="115">
        <v>93.320228576660156</v>
      </c>
      <c r="DD53" s="115">
        <v>679</v>
      </c>
      <c r="DE53" s="115">
        <v>201</v>
      </c>
      <c r="DF53" s="115">
        <v>707.4482421875</v>
      </c>
      <c r="DG53" s="115">
        <v>95.791526794433594</v>
      </c>
      <c r="DH53" s="115">
        <v>67.467079162597656</v>
      </c>
      <c r="DI53" s="120">
        <v>43.416568756103516</v>
      </c>
      <c r="DJ53" s="119">
        <v>251</v>
      </c>
      <c r="DK53" s="115">
        <v>145.80999755859375</v>
      </c>
      <c r="DL53" s="115">
        <v>32.571998596191406</v>
      </c>
      <c r="DM53" s="115">
        <v>62.555999755859375</v>
      </c>
      <c r="DN53" s="115">
        <v>54.074001312255859</v>
      </c>
      <c r="DO53" s="116">
        <v>115.97617340087891</v>
      </c>
      <c r="DP53" s="117">
        <v>17.020999908447266</v>
      </c>
      <c r="DQ53" s="115"/>
      <c r="DR53" s="117">
        <v>67</v>
      </c>
      <c r="DS53" s="120">
        <v>56.299999237060547</v>
      </c>
      <c r="DT53" s="119">
        <v>14</v>
      </c>
      <c r="DU53" s="115"/>
      <c r="DV53" s="115">
        <v>172</v>
      </c>
      <c r="DW53" s="115">
        <v>164.69351196289063</v>
      </c>
      <c r="DX53" s="117">
        <v>13</v>
      </c>
      <c r="DY53" s="120"/>
      <c r="DZ53" s="119">
        <v>53</v>
      </c>
      <c r="EA53" s="115">
        <v>3</v>
      </c>
      <c r="EB53" s="115">
        <v>0</v>
      </c>
      <c r="EC53" s="115">
        <v>2</v>
      </c>
      <c r="ED53" s="115">
        <v>853.9000244140625</v>
      </c>
      <c r="EE53" s="121">
        <v>31.43757438659668</v>
      </c>
      <c r="EF53" s="121">
        <v>31.655987421671551</v>
      </c>
      <c r="EG53" s="121">
        <v>32.389781729380289</v>
      </c>
      <c r="EH53" t="s">
        <v>260</v>
      </c>
    </row>
    <row r="54" spans="1:138" x14ac:dyDescent="0.3">
      <c r="A54" s="226">
        <f t="shared" si="3"/>
        <v>46020.034722222335</v>
      </c>
      <c r="B54" s="115">
        <v>290</v>
      </c>
      <c r="C54" s="115">
        <v>58.583999633789063</v>
      </c>
      <c r="D54" s="115">
        <v>102.23899841308594</v>
      </c>
      <c r="E54" s="115">
        <v>18.320999145507813</v>
      </c>
      <c r="F54" s="115">
        <v>2.811983585357666</v>
      </c>
      <c r="G54" s="116">
        <v>21.714000701904297</v>
      </c>
      <c r="H54" s="117">
        <v>360</v>
      </c>
      <c r="I54" s="115">
        <v>328</v>
      </c>
      <c r="J54" s="115">
        <v>74.0780029296875</v>
      </c>
      <c r="K54" s="115">
        <v>63.717735290527344</v>
      </c>
      <c r="L54" s="115">
        <v>50.362998962402344</v>
      </c>
      <c r="M54" s="115">
        <v>15.380999565124512</v>
      </c>
      <c r="N54" s="115">
        <v>16.731000900268555</v>
      </c>
      <c r="O54" s="115">
        <v>19</v>
      </c>
      <c r="P54" s="115">
        <v>0</v>
      </c>
      <c r="Q54" s="115">
        <v>18.818910598754883</v>
      </c>
      <c r="R54" s="115">
        <v>27</v>
      </c>
      <c r="S54" s="115">
        <v>28.228322982788086</v>
      </c>
      <c r="T54" s="115">
        <v>9</v>
      </c>
      <c r="U54" s="115">
        <v>9</v>
      </c>
      <c r="V54" s="117">
        <v>1163</v>
      </c>
      <c r="W54" s="115">
        <v>37.223888397216797</v>
      </c>
      <c r="X54" s="115">
        <v>37.887001037597656</v>
      </c>
      <c r="Y54" s="115">
        <v>9.9870004653930664</v>
      </c>
      <c r="Z54" s="115">
        <v>0</v>
      </c>
      <c r="AA54" s="115">
        <v>27.030000686645508</v>
      </c>
      <c r="AB54" s="115">
        <v>0</v>
      </c>
      <c r="AC54" s="115">
        <v>63.459304809570313</v>
      </c>
      <c r="AD54" s="115">
        <v>6.1069998741149902</v>
      </c>
      <c r="AE54" s="115">
        <v>0</v>
      </c>
      <c r="AF54" s="115">
        <v>95.837234497070313</v>
      </c>
      <c r="AG54" s="115">
        <v>0</v>
      </c>
      <c r="AH54" s="115">
        <v>77.931068420410156</v>
      </c>
      <c r="AI54" s="115">
        <v>19.402999877929688</v>
      </c>
      <c r="AJ54" s="115">
        <v>29.011190414428711</v>
      </c>
      <c r="AK54" s="115">
        <v>51.128692626953125</v>
      </c>
      <c r="AL54" s="115">
        <v>62.202999114990234</v>
      </c>
      <c r="AM54" s="118">
        <v>57.700000762939453</v>
      </c>
      <c r="AN54" s="117">
        <v>154</v>
      </c>
      <c r="AO54" s="119">
        <v>84</v>
      </c>
      <c r="AP54" s="115">
        <v>82.76318359375</v>
      </c>
      <c r="AQ54" s="115">
        <v>50.490596771240234</v>
      </c>
      <c r="AR54" s="115">
        <v>131</v>
      </c>
      <c r="AS54" s="115"/>
      <c r="AT54" s="115">
        <v>123</v>
      </c>
      <c r="AU54" s="115"/>
      <c r="AV54" s="115">
        <v>93</v>
      </c>
      <c r="AW54" s="115"/>
      <c r="AX54" s="115">
        <v>36</v>
      </c>
      <c r="AY54" s="115">
        <v>37.805698394775391</v>
      </c>
      <c r="AZ54" s="115">
        <v>26</v>
      </c>
      <c r="BA54" s="115"/>
      <c r="BB54" s="115">
        <v>196</v>
      </c>
      <c r="BC54" s="115">
        <v>202.37936401367188</v>
      </c>
      <c r="BD54" s="115">
        <v>7.3000001907348633</v>
      </c>
      <c r="BE54" s="115">
        <v>7.3207988739013672</v>
      </c>
      <c r="BF54" s="115">
        <v>30</v>
      </c>
      <c r="BG54" s="115">
        <v>12</v>
      </c>
      <c r="BH54" s="115">
        <v>12.16974925994873</v>
      </c>
      <c r="BI54" s="115"/>
      <c r="BJ54" s="108">
        <f t="shared" si="0"/>
        <v>17</v>
      </c>
      <c r="BK54" s="115">
        <v>17</v>
      </c>
      <c r="BL54" s="115">
        <v>0</v>
      </c>
      <c r="BM54" s="118"/>
      <c r="BN54" s="108">
        <f t="shared" si="1"/>
        <v>123</v>
      </c>
      <c r="BO54" s="108">
        <v>75</v>
      </c>
      <c r="BP54" s="108">
        <v>48</v>
      </c>
      <c r="BQ54" s="108">
        <v>325</v>
      </c>
      <c r="BR54" s="115">
        <v>96.810997009277344</v>
      </c>
      <c r="BS54" s="115">
        <v>27.73699951171875</v>
      </c>
      <c r="BT54" s="115">
        <v>46.757999420166016</v>
      </c>
      <c r="BU54" s="115">
        <v>45.930999755859375</v>
      </c>
      <c r="BV54" s="115">
        <v>69</v>
      </c>
      <c r="BW54" s="115">
        <v>6.9000000953674316</v>
      </c>
      <c r="BX54" s="115">
        <v>13.899999618530273</v>
      </c>
      <c r="BY54" s="115">
        <v>29</v>
      </c>
      <c r="BZ54" s="115">
        <v>1.2568526901304722E-2</v>
      </c>
      <c r="CA54" s="115">
        <v>0</v>
      </c>
      <c r="CB54" s="115">
        <v>30.057493209838867</v>
      </c>
      <c r="CC54" s="118"/>
      <c r="CD54" s="115">
        <v>438.1806640625</v>
      </c>
      <c r="CE54" s="115">
        <v>84.72576904296875</v>
      </c>
      <c r="CF54" s="115">
        <v>30.722650527954102</v>
      </c>
      <c r="CG54" s="115">
        <v>35.338191986083984</v>
      </c>
      <c r="CH54" s="115">
        <v>303.76480102539063</v>
      </c>
      <c r="CI54" s="115">
        <v>108.82846069335938</v>
      </c>
      <c r="CJ54" s="115">
        <v>52.227909088134766</v>
      </c>
      <c r="CK54" s="115">
        <v>60.207695007324219</v>
      </c>
      <c r="CL54" s="116">
        <v>44.934928894042969</v>
      </c>
      <c r="CM54" s="117">
        <v>326.145263671875</v>
      </c>
      <c r="CN54" s="115">
        <v>133.501953125</v>
      </c>
      <c r="CO54" s="115">
        <v>91.255218505859375</v>
      </c>
      <c r="CP54" s="115">
        <v>98.72186279296875</v>
      </c>
      <c r="CQ54" s="115">
        <v>0</v>
      </c>
      <c r="CR54" s="115">
        <v>66.133102416992188</v>
      </c>
      <c r="CS54" s="115">
        <v>11.789154052734375</v>
      </c>
      <c r="CT54" s="115">
        <v>52.702663421630859</v>
      </c>
      <c r="CU54" s="115">
        <v>174.44894409179688</v>
      </c>
      <c r="CV54" s="116">
        <v>92.173896789550781</v>
      </c>
      <c r="CW54" s="117">
        <v>4</v>
      </c>
      <c r="CX54" s="115">
        <v>461</v>
      </c>
      <c r="CY54" s="115">
        <v>216.07156372070313</v>
      </c>
      <c r="CZ54" s="115">
        <v>61.984550476074219</v>
      </c>
      <c r="DA54" s="115">
        <v>24.029773712158203</v>
      </c>
      <c r="DB54" s="115">
        <v>43.261039733886719</v>
      </c>
      <c r="DC54" s="115">
        <v>94.156166076660156</v>
      </c>
      <c r="DD54" s="115">
        <v>681</v>
      </c>
      <c r="DE54" s="115">
        <v>203</v>
      </c>
      <c r="DF54" s="115">
        <v>705.66748046875</v>
      </c>
      <c r="DG54" s="115">
        <v>92.755180358886719</v>
      </c>
      <c r="DH54" s="115">
        <v>69.182647705078125</v>
      </c>
      <c r="DI54" s="120">
        <v>42.229228973388672</v>
      </c>
      <c r="DJ54" s="119">
        <v>251</v>
      </c>
      <c r="DK54" s="115">
        <v>145.55599975585938</v>
      </c>
      <c r="DL54" s="115">
        <v>27.708000183105469</v>
      </c>
      <c r="DM54" s="115">
        <v>60.082000732421875</v>
      </c>
      <c r="DN54" s="115">
        <v>53.896999359130859</v>
      </c>
      <c r="DO54" s="116">
        <v>117.39659881591797</v>
      </c>
      <c r="DP54" s="117">
        <v>17.020999908447266</v>
      </c>
      <c r="DQ54" s="115"/>
      <c r="DR54" s="117">
        <v>67</v>
      </c>
      <c r="DS54" s="120">
        <v>56.599998474121094</v>
      </c>
      <c r="DT54" s="119">
        <v>15</v>
      </c>
      <c r="DU54" s="115"/>
      <c r="DV54" s="115">
        <v>172</v>
      </c>
      <c r="DW54" s="115">
        <v>164.21237182617188</v>
      </c>
      <c r="DX54" s="117">
        <v>12</v>
      </c>
      <c r="DY54" s="120"/>
      <c r="DZ54" s="119">
        <v>53</v>
      </c>
      <c r="EA54" s="115">
        <v>3</v>
      </c>
      <c r="EB54" s="115">
        <v>0</v>
      </c>
      <c r="EC54" s="115">
        <v>1</v>
      </c>
      <c r="ED54" s="115">
        <v>853.5</v>
      </c>
      <c r="EE54" s="121">
        <v>0</v>
      </c>
      <c r="EF54" s="121">
        <v>0.5</v>
      </c>
      <c r="EG54" s="121">
        <v>3.6833333333333331</v>
      </c>
      <c r="EH54" t="s">
        <v>261</v>
      </c>
    </row>
    <row r="55" spans="1:138" x14ac:dyDescent="0.3">
      <c r="A55" s="226">
        <f t="shared" si="3"/>
        <v>46020.035416666782</v>
      </c>
      <c r="B55" s="115">
        <v>297</v>
      </c>
      <c r="C55" s="115">
        <v>52.25</v>
      </c>
      <c r="D55" s="115">
        <v>103.03099822998047</v>
      </c>
      <c r="E55" s="115">
        <v>17.530000686645508</v>
      </c>
      <c r="F55" s="115">
        <v>2.811983585357666</v>
      </c>
      <c r="G55" s="116">
        <v>22.166999816894531</v>
      </c>
      <c r="H55" s="117">
        <v>351</v>
      </c>
      <c r="I55" s="115">
        <v>325</v>
      </c>
      <c r="J55" s="115">
        <v>72.946998596191406</v>
      </c>
      <c r="K55" s="115">
        <v>64.801200866699219</v>
      </c>
      <c r="L55" s="115">
        <v>49.303001403808594</v>
      </c>
      <c r="M55" s="115">
        <v>14.58899974822998</v>
      </c>
      <c r="N55" s="115">
        <v>16.985000610351563</v>
      </c>
      <c r="O55" s="115">
        <v>17</v>
      </c>
      <c r="P55" s="115">
        <v>0</v>
      </c>
      <c r="Q55" s="115">
        <v>17.576303482055664</v>
      </c>
      <c r="R55" s="115">
        <v>28.003124237060547</v>
      </c>
      <c r="S55" s="115">
        <v>28.822174072265625</v>
      </c>
      <c r="T55" s="115">
        <v>9</v>
      </c>
      <c r="U55" s="115">
        <v>9</v>
      </c>
      <c r="V55" s="117">
        <v>1177</v>
      </c>
      <c r="W55" s="115">
        <v>37.151466369628906</v>
      </c>
      <c r="X55" s="115">
        <v>38.452999114990234</v>
      </c>
      <c r="Y55" s="115">
        <v>9.0970001220703125</v>
      </c>
      <c r="Z55" s="115">
        <v>0</v>
      </c>
      <c r="AA55" s="115">
        <v>28.951999664306641</v>
      </c>
      <c r="AB55" s="115">
        <v>0</v>
      </c>
      <c r="AC55" s="115">
        <v>62.824436187744141</v>
      </c>
      <c r="AD55" s="115">
        <v>6.1069998741149902</v>
      </c>
      <c r="AE55" s="115">
        <v>0</v>
      </c>
      <c r="AF55" s="115">
        <v>95.182159423828125</v>
      </c>
      <c r="AG55" s="115">
        <v>0</v>
      </c>
      <c r="AH55" s="115">
        <v>78.497047424316406</v>
      </c>
      <c r="AI55" s="115">
        <v>20.038999557495117</v>
      </c>
      <c r="AJ55" s="115">
        <v>27.367483139038086</v>
      </c>
      <c r="AK55" s="115">
        <v>51.161758422851563</v>
      </c>
      <c r="AL55" s="115">
        <v>61.849998474121094</v>
      </c>
      <c r="AM55" s="118">
        <v>57.637001037597656</v>
      </c>
      <c r="AN55" s="117">
        <v>152.6875</v>
      </c>
      <c r="AO55" s="119">
        <v>84</v>
      </c>
      <c r="AP55" s="115">
        <v>83.547828674316406</v>
      </c>
      <c r="AQ55" s="115">
        <v>50.950847625732422</v>
      </c>
      <c r="AR55" s="115">
        <v>117</v>
      </c>
      <c r="AS55" s="115"/>
      <c r="AT55" s="115">
        <v>120</v>
      </c>
      <c r="AU55" s="115"/>
      <c r="AV55" s="115">
        <v>99</v>
      </c>
      <c r="AW55" s="115"/>
      <c r="AX55" s="115">
        <v>35</v>
      </c>
      <c r="AY55" s="115">
        <v>37.137069702148438</v>
      </c>
      <c r="AZ55" s="115">
        <v>26</v>
      </c>
      <c r="BA55" s="115"/>
      <c r="BB55" s="115">
        <v>195</v>
      </c>
      <c r="BC55" s="115">
        <v>199.88339233398438</v>
      </c>
      <c r="BD55" s="115">
        <v>7.3000001907348633</v>
      </c>
      <c r="BE55" s="115">
        <v>7.3204669952392578</v>
      </c>
      <c r="BF55" s="115">
        <v>30</v>
      </c>
      <c r="BG55" s="115">
        <v>11</v>
      </c>
      <c r="BH55" s="115">
        <v>12.034399032592773</v>
      </c>
      <c r="BI55" s="115"/>
      <c r="BJ55" s="108">
        <f t="shared" si="0"/>
        <v>17</v>
      </c>
      <c r="BK55" s="115">
        <v>17</v>
      </c>
      <c r="BL55" s="115">
        <v>0</v>
      </c>
      <c r="BM55" s="118"/>
      <c r="BN55" s="108">
        <f t="shared" si="1"/>
        <v>122</v>
      </c>
      <c r="BO55" s="108">
        <v>74</v>
      </c>
      <c r="BP55" s="108">
        <v>48</v>
      </c>
      <c r="BQ55" s="108">
        <v>317</v>
      </c>
      <c r="BR55" s="115">
        <v>96.924003601074219</v>
      </c>
      <c r="BS55" s="115">
        <v>25.954999923706055</v>
      </c>
      <c r="BT55" s="115">
        <v>46.064998626708984</v>
      </c>
      <c r="BU55" s="115">
        <v>45.676998138427734</v>
      </c>
      <c r="BV55" s="115">
        <v>69.199996948242188</v>
      </c>
      <c r="BW55" s="115">
        <v>6.9000000953674316</v>
      </c>
      <c r="BX55" s="115">
        <v>13.600000381469727</v>
      </c>
      <c r="BY55" s="115">
        <v>29</v>
      </c>
      <c r="BZ55" s="115">
        <v>1.4959735795855522E-2</v>
      </c>
      <c r="CA55" s="115">
        <v>0</v>
      </c>
      <c r="CB55" s="115">
        <v>29.399513244628906</v>
      </c>
      <c r="CC55" s="118"/>
      <c r="CD55" s="115">
        <v>437.64126586914063</v>
      </c>
      <c r="CE55" s="115">
        <v>84.178085327148438</v>
      </c>
      <c r="CF55" s="115">
        <v>30.722650527954102</v>
      </c>
      <c r="CG55" s="115">
        <v>35.338191986083984</v>
      </c>
      <c r="CH55" s="115">
        <v>303.80722045898438</v>
      </c>
      <c r="CI55" s="115">
        <v>112.90293121337891</v>
      </c>
      <c r="CJ55" s="115">
        <v>56.302867889404297</v>
      </c>
      <c r="CK55" s="115">
        <v>61.558727264404297</v>
      </c>
      <c r="CL55" s="116">
        <v>44.785243988037109</v>
      </c>
      <c r="CM55" s="117">
        <v>325.126708984375</v>
      </c>
      <c r="CN55" s="115">
        <v>130.36248779296875</v>
      </c>
      <c r="CO55" s="115">
        <v>90.608970642089844</v>
      </c>
      <c r="CP55" s="115">
        <v>96.54962158203125</v>
      </c>
      <c r="CQ55" s="115">
        <v>0</v>
      </c>
      <c r="CR55" s="115">
        <v>65.350074768066406</v>
      </c>
      <c r="CS55" s="115">
        <v>11.721549034118652</v>
      </c>
      <c r="CT55" s="115">
        <v>54.870872497558594</v>
      </c>
      <c r="CU55" s="115">
        <v>173.48568725585938</v>
      </c>
      <c r="CV55" s="116">
        <v>92.903938293457031</v>
      </c>
      <c r="CW55" s="117">
        <v>2</v>
      </c>
      <c r="CX55" s="115">
        <v>455</v>
      </c>
      <c r="CY55" s="115">
        <v>214.86587524414063</v>
      </c>
      <c r="CZ55" s="115">
        <v>64.946128845214844</v>
      </c>
      <c r="DA55" s="115">
        <v>23.324899673461914</v>
      </c>
      <c r="DB55" s="115">
        <v>43.798751831054688</v>
      </c>
      <c r="DC55" s="115">
        <v>93.11138916015625</v>
      </c>
      <c r="DD55" s="115">
        <v>682</v>
      </c>
      <c r="DE55" s="115">
        <v>203</v>
      </c>
      <c r="DF55" s="115">
        <v>705.618408203125</v>
      </c>
      <c r="DG55" s="115">
        <v>98.952621459960938</v>
      </c>
      <c r="DH55" s="115">
        <v>68.355331420898438</v>
      </c>
      <c r="DI55" s="120">
        <v>43.426479339599609</v>
      </c>
      <c r="DJ55" s="119">
        <v>253</v>
      </c>
      <c r="DK55" s="115">
        <v>144.53799438476563</v>
      </c>
      <c r="DL55" s="115">
        <v>27.482000350952148</v>
      </c>
      <c r="DM55" s="115">
        <v>60.436000823974609</v>
      </c>
      <c r="DN55" s="115">
        <v>53.896999359130859</v>
      </c>
      <c r="DO55" s="116">
        <v>118.35645294189453</v>
      </c>
      <c r="DP55" s="117">
        <v>17.16200065612793</v>
      </c>
      <c r="DQ55" s="115"/>
      <c r="DR55" s="117">
        <v>67</v>
      </c>
      <c r="DS55" s="120">
        <v>56.200000762939453</v>
      </c>
      <c r="DT55" s="119">
        <v>14</v>
      </c>
      <c r="DU55" s="115"/>
      <c r="DV55" s="115">
        <v>177</v>
      </c>
      <c r="DW55" s="115">
        <v>164.02297973632813</v>
      </c>
      <c r="DX55" s="117">
        <v>11</v>
      </c>
      <c r="DY55" s="120"/>
      <c r="DZ55" s="119">
        <v>53</v>
      </c>
      <c r="EA55" s="115">
        <v>3</v>
      </c>
      <c r="EB55" s="115">
        <v>0</v>
      </c>
      <c r="EC55" s="115">
        <v>1</v>
      </c>
      <c r="ED55" s="115">
        <v>858.0999755859375</v>
      </c>
      <c r="EE55" s="121">
        <v>0</v>
      </c>
      <c r="EF55" s="121" t="e">
        <v>#NUM!</v>
      </c>
      <c r="EG55" s="121" t="e">
        <v>#DIV/0!</v>
      </c>
      <c r="EH55" t="s">
        <v>41</v>
      </c>
    </row>
    <row r="56" spans="1:138" x14ac:dyDescent="0.3">
      <c r="A56" s="226">
        <f t="shared" si="3"/>
        <v>46020.036111111229</v>
      </c>
      <c r="B56" s="115">
        <v>299</v>
      </c>
      <c r="C56" s="115">
        <v>47.952999114990234</v>
      </c>
      <c r="D56" s="115">
        <v>102.80500030517578</v>
      </c>
      <c r="E56" s="115">
        <v>19.451999664306641</v>
      </c>
      <c r="F56" s="115">
        <v>8.0240249633789063</v>
      </c>
      <c r="G56" s="116">
        <v>22.392999649047852</v>
      </c>
      <c r="H56" s="117">
        <v>355</v>
      </c>
      <c r="I56" s="115">
        <v>324</v>
      </c>
      <c r="J56" s="115">
        <v>70.346000671386719</v>
      </c>
      <c r="K56" s="115">
        <v>65.488410949707031</v>
      </c>
      <c r="L56" s="115">
        <v>50.362998962402344</v>
      </c>
      <c r="M56" s="115">
        <v>14.928000450134277</v>
      </c>
      <c r="N56" s="115">
        <v>16.540000915527344</v>
      </c>
      <c r="O56" s="115">
        <v>18</v>
      </c>
      <c r="P56" s="115">
        <v>0</v>
      </c>
      <c r="Q56" s="115">
        <v>18.932981491088867</v>
      </c>
      <c r="R56" s="115">
        <v>27</v>
      </c>
      <c r="S56" s="115">
        <v>27.632965087890625</v>
      </c>
      <c r="T56" s="115">
        <v>9</v>
      </c>
      <c r="U56" s="115">
        <v>9</v>
      </c>
      <c r="V56" s="117">
        <v>1178</v>
      </c>
      <c r="W56" s="115">
        <v>35.256446838378906</v>
      </c>
      <c r="X56" s="115">
        <v>38.226001739501953</v>
      </c>
      <c r="Y56" s="115">
        <v>9.0970001220703125</v>
      </c>
      <c r="Z56" s="115">
        <v>0</v>
      </c>
      <c r="AA56" s="115">
        <v>27.708000183105469</v>
      </c>
      <c r="AB56" s="115">
        <v>0</v>
      </c>
      <c r="AC56" s="115">
        <v>64.316551208496094</v>
      </c>
      <c r="AD56" s="115">
        <v>6.1069998741149902</v>
      </c>
      <c r="AE56" s="115">
        <v>0</v>
      </c>
      <c r="AF56" s="115">
        <v>97.066253662109375</v>
      </c>
      <c r="AG56" s="115">
        <v>0</v>
      </c>
      <c r="AH56" s="115">
        <v>77.345718383789063</v>
      </c>
      <c r="AI56" s="115">
        <v>20.73900032043457</v>
      </c>
      <c r="AJ56" s="115">
        <v>27.417579650878906</v>
      </c>
      <c r="AK56" s="115">
        <v>51.695568084716797</v>
      </c>
      <c r="AL56" s="115">
        <v>59.729000091552734</v>
      </c>
      <c r="AM56" s="118">
        <v>58.590999603271484</v>
      </c>
      <c r="AN56" s="117">
        <v>153.125</v>
      </c>
      <c r="AO56" s="119">
        <v>81</v>
      </c>
      <c r="AP56" s="115">
        <v>82.955955505371094</v>
      </c>
      <c r="AQ56" s="115">
        <v>49.203765869140625</v>
      </c>
      <c r="AR56" s="115">
        <v>90</v>
      </c>
      <c r="AS56" s="115"/>
      <c r="AT56" s="115">
        <v>119</v>
      </c>
      <c r="AU56" s="115"/>
      <c r="AV56" s="115">
        <v>99</v>
      </c>
      <c r="AW56" s="115"/>
      <c r="AX56" s="115">
        <v>35</v>
      </c>
      <c r="AY56" s="115">
        <v>36.847293853759766</v>
      </c>
      <c r="AZ56" s="115">
        <v>26</v>
      </c>
      <c r="BA56" s="115"/>
      <c r="BB56" s="115">
        <v>194</v>
      </c>
      <c r="BC56" s="115">
        <v>200.55101013183594</v>
      </c>
      <c r="BD56" s="115">
        <v>7.3000001907348633</v>
      </c>
      <c r="BE56" s="115">
        <v>7.3060526847839355</v>
      </c>
      <c r="BF56" s="115">
        <v>30</v>
      </c>
      <c r="BG56" s="115">
        <v>11</v>
      </c>
      <c r="BH56" s="115">
        <v>12.034399032592773</v>
      </c>
      <c r="BI56" s="115"/>
      <c r="BJ56" s="108">
        <f t="shared" si="0"/>
        <v>17</v>
      </c>
      <c r="BK56" s="115">
        <v>17</v>
      </c>
      <c r="BL56" s="115">
        <v>0</v>
      </c>
      <c r="BM56" s="118"/>
      <c r="BN56" s="108">
        <f t="shared" si="1"/>
        <v>122</v>
      </c>
      <c r="BO56" s="108">
        <v>74</v>
      </c>
      <c r="BP56" s="108">
        <v>48</v>
      </c>
      <c r="BQ56" s="108">
        <v>327</v>
      </c>
      <c r="BR56" s="115">
        <v>101.10900115966797</v>
      </c>
      <c r="BS56" s="115">
        <v>24.937000274658203</v>
      </c>
      <c r="BT56" s="115">
        <v>46.064998626708984</v>
      </c>
      <c r="BU56" s="115">
        <v>47.076000213623047</v>
      </c>
      <c r="BV56" s="115">
        <v>69.5</v>
      </c>
      <c r="BW56" s="115">
        <v>7.0999999046325684</v>
      </c>
      <c r="BX56" s="115">
        <v>13.600000381469727</v>
      </c>
      <c r="BY56" s="115">
        <v>29</v>
      </c>
      <c r="BZ56" s="115">
        <v>1.374515239149332E-2</v>
      </c>
      <c r="CA56" s="115">
        <v>0</v>
      </c>
      <c r="CB56" s="115">
        <v>29.399513244628906</v>
      </c>
      <c r="CC56" s="118"/>
      <c r="CD56" s="115">
        <v>436.07040405273438</v>
      </c>
      <c r="CE56" s="115">
        <v>85.750862121582031</v>
      </c>
      <c r="CF56" s="115">
        <v>31.264898300170898</v>
      </c>
      <c r="CG56" s="115">
        <v>35.338191986083984</v>
      </c>
      <c r="CH56" s="115">
        <v>302.849609375</v>
      </c>
      <c r="CI56" s="115">
        <v>115.15546417236328</v>
      </c>
      <c r="CJ56" s="115">
        <v>58.355274200439453</v>
      </c>
      <c r="CK56" s="115">
        <v>61.269626617431641</v>
      </c>
      <c r="CL56" s="116">
        <v>45.144920349121094</v>
      </c>
      <c r="CM56" s="117">
        <v>327.86416625976563</v>
      </c>
      <c r="CN56" s="115">
        <v>131.26144409179688</v>
      </c>
      <c r="CO56" s="115">
        <v>89.5062255859375</v>
      </c>
      <c r="CP56" s="115">
        <v>103.86540222167969</v>
      </c>
      <c r="CQ56" s="115">
        <v>0</v>
      </c>
      <c r="CR56" s="115">
        <v>65.605484008789063</v>
      </c>
      <c r="CS56" s="115">
        <v>12.123172760009766</v>
      </c>
      <c r="CT56" s="115">
        <v>51.64306640625</v>
      </c>
      <c r="CU56" s="115">
        <v>176.37858581542969</v>
      </c>
      <c r="CV56" s="116">
        <v>93.030021667480469</v>
      </c>
      <c r="CW56" s="117">
        <v>1</v>
      </c>
      <c r="CX56" s="115">
        <v>464</v>
      </c>
      <c r="CY56" s="115">
        <v>214.47499084472656</v>
      </c>
      <c r="CZ56" s="115">
        <v>60.014667510986328</v>
      </c>
      <c r="DA56" s="115">
        <v>22.944589614868164</v>
      </c>
      <c r="DB56" s="115">
        <v>43.715282440185547</v>
      </c>
      <c r="DC56" s="115">
        <v>92.650321960449219</v>
      </c>
      <c r="DD56" s="115">
        <v>681</v>
      </c>
      <c r="DE56" s="115">
        <v>204</v>
      </c>
      <c r="DF56" s="115">
        <v>703.650146484375</v>
      </c>
      <c r="DG56" s="115">
        <v>93.979026794433594</v>
      </c>
      <c r="DH56" s="115">
        <v>66.551712036132813</v>
      </c>
      <c r="DI56" s="120">
        <v>42.8729248046875</v>
      </c>
      <c r="DJ56" s="119">
        <v>253</v>
      </c>
      <c r="DK56" s="115">
        <v>145.55599975585938</v>
      </c>
      <c r="DL56" s="115">
        <v>30.535999298095703</v>
      </c>
      <c r="DM56" s="115">
        <v>61.849998474121094</v>
      </c>
      <c r="DN56" s="115">
        <v>55.840999603271484</v>
      </c>
      <c r="DO56" s="116">
        <v>116.01187133789063</v>
      </c>
      <c r="DP56" s="117">
        <v>17.472999572753906</v>
      </c>
      <c r="DQ56" s="115"/>
      <c r="DR56" s="117">
        <v>67</v>
      </c>
      <c r="DS56" s="120">
        <v>55.799999237060547</v>
      </c>
      <c r="DT56" s="119">
        <v>14</v>
      </c>
      <c r="DU56" s="115"/>
      <c r="DV56" s="115">
        <v>176</v>
      </c>
      <c r="DW56" s="115">
        <v>164.22509765625</v>
      </c>
      <c r="DX56" s="117">
        <v>12</v>
      </c>
      <c r="DY56" s="120"/>
      <c r="DZ56" s="119">
        <v>52</v>
      </c>
      <c r="EA56" s="115">
        <v>3</v>
      </c>
      <c r="EB56" s="115">
        <v>0</v>
      </c>
      <c r="EC56" s="115">
        <v>1</v>
      </c>
      <c r="ED56" s="115">
        <v>852.70001220703125</v>
      </c>
      <c r="EE56" s="121">
        <v>174</v>
      </c>
      <c r="EF56" s="121">
        <v>174.5</v>
      </c>
      <c r="EG56" s="121">
        <v>176.26666666666668</v>
      </c>
      <c r="EH56" t="s">
        <v>223</v>
      </c>
    </row>
    <row r="57" spans="1:138" x14ac:dyDescent="0.3">
      <c r="A57" s="226">
        <f t="shared" si="3"/>
        <v>46020.036805555676</v>
      </c>
      <c r="B57" s="115">
        <v>291</v>
      </c>
      <c r="C57" s="115">
        <v>50.554000854492188</v>
      </c>
      <c r="D57" s="115">
        <v>100.76899719238281</v>
      </c>
      <c r="E57" s="115">
        <v>18.434000015258789</v>
      </c>
      <c r="F57" s="115">
        <v>19.122968673706055</v>
      </c>
      <c r="G57" s="116">
        <v>21.375</v>
      </c>
      <c r="H57" s="117">
        <v>356</v>
      </c>
      <c r="I57" s="115">
        <v>315</v>
      </c>
      <c r="J57" s="115">
        <v>73.400001525878906</v>
      </c>
      <c r="K57" s="115">
        <v>64.865966796875</v>
      </c>
      <c r="L57" s="115">
        <v>50.186000823974609</v>
      </c>
      <c r="M57" s="115">
        <v>14.47599983215332</v>
      </c>
      <c r="N57" s="115">
        <v>17.048999786376953</v>
      </c>
      <c r="O57" s="115">
        <v>18</v>
      </c>
      <c r="P57" s="115">
        <v>0</v>
      </c>
      <c r="Q57" s="115">
        <v>17.753522872924805</v>
      </c>
      <c r="R57" s="115">
        <v>25.996875762939453</v>
      </c>
      <c r="S57" s="115">
        <v>26.641651153564453</v>
      </c>
      <c r="T57" s="115">
        <v>9</v>
      </c>
      <c r="U57" s="115">
        <v>9</v>
      </c>
      <c r="V57" s="117">
        <v>1175</v>
      </c>
      <c r="W57" s="115">
        <v>35.843341827392578</v>
      </c>
      <c r="X57" s="115">
        <v>38</v>
      </c>
      <c r="Y57" s="115">
        <v>10.178000450134277</v>
      </c>
      <c r="Z57" s="115">
        <v>0</v>
      </c>
      <c r="AA57" s="115">
        <v>26.916999816894531</v>
      </c>
      <c r="AB57" s="115">
        <v>0</v>
      </c>
      <c r="AC57" s="115">
        <v>64.130950927734375</v>
      </c>
      <c r="AD57" s="115">
        <v>6.1069998741149902</v>
      </c>
      <c r="AE57" s="115">
        <v>0</v>
      </c>
      <c r="AF57" s="115">
        <v>97.198501586914063</v>
      </c>
      <c r="AG57" s="115">
        <v>0</v>
      </c>
      <c r="AH57" s="115">
        <v>79.284896850585938</v>
      </c>
      <c r="AI57" s="115">
        <v>26.209999084472656</v>
      </c>
      <c r="AJ57" s="115">
        <v>26.157419204711914</v>
      </c>
      <c r="AK57" s="115">
        <v>51.293350219726563</v>
      </c>
      <c r="AL57" s="115">
        <v>59.729000091552734</v>
      </c>
      <c r="AM57" s="118">
        <v>60.054000854492188</v>
      </c>
      <c r="AN57" s="117">
        <v>147.125</v>
      </c>
      <c r="AO57" s="119">
        <v>79</v>
      </c>
      <c r="AP57" s="115">
        <v>80.916404724121094</v>
      </c>
      <c r="AQ57" s="115">
        <v>48.591121673583984</v>
      </c>
      <c r="AR57" s="115">
        <v>86</v>
      </c>
      <c r="AS57" s="115"/>
      <c r="AT57" s="115">
        <v>120</v>
      </c>
      <c r="AU57" s="115"/>
      <c r="AV57" s="115">
        <v>100</v>
      </c>
      <c r="AW57" s="115"/>
      <c r="AX57" s="115">
        <v>35</v>
      </c>
      <c r="AY57" s="115">
        <v>36.847293853759766</v>
      </c>
      <c r="AZ57" s="115">
        <v>25</v>
      </c>
      <c r="BA57" s="115"/>
      <c r="BB57" s="115">
        <v>195</v>
      </c>
      <c r="BC57" s="115">
        <v>199.86354064941406</v>
      </c>
      <c r="BD57" s="115">
        <v>7.3000001907348633</v>
      </c>
      <c r="BE57" s="115">
        <v>7.3013691902160645</v>
      </c>
      <c r="BF57" s="115">
        <v>30</v>
      </c>
      <c r="BG57" s="115">
        <v>11</v>
      </c>
      <c r="BH57" s="115">
        <v>12.055544853210449</v>
      </c>
      <c r="BI57" s="115"/>
      <c r="BJ57" s="108">
        <f t="shared" si="0"/>
        <v>17</v>
      </c>
      <c r="BK57" s="115">
        <v>17</v>
      </c>
      <c r="BL57" s="115">
        <v>0</v>
      </c>
      <c r="BM57" s="118"/>
      <c r="BN57" s="108">
        <f t="shared" si="1"/>
        <v>122.20000076293945</v>
      </c>
      <c r="BO57" s="108">
        <v>74</v>
      </c>
      <c r="BP57" s="108">
        <v>48.200000762939453</v>
      </c>
      <c r="BQ57" s="108">
        <v>316</v>
      </c>
      <c r="BR57" s="115">
        <v>94.662002563476563</v>
      </c>
      <c r="BS57" s="115">
        <v>24.937000274658203</v>
      </c>
      <c r="BT57" s="115">
        <v>47.797000885009766</v>
      </c>
      <c r="BU57" s="115">
        <v>46.439998626708984</v>
      </c>
      <c r="BV57" s="115">
        <v>68.699996948242188</v>
      </c>
      <c r="BW57" s="115">
        <v>7.0999999046325684</v>
      </c>
      <c r="BX57" s="115">
        <v>13.600000381469727</v>
      </c>
      <c r="BY57" s="115">
        <v>29</v>
      </c>
      <c r="BZ57" s="115">
        <v>1.4029259793460369E-2</v>
      </c>
      <c r="CA57" s="115">
        <v>0</v>
      </c>
      <c r="CB57" s="115">
        <v>29.246294021606445</v>
      </c>
      <c r="CC57" s="118"/>
      <c r="CD57" s="115">
        <v>445.05389404296875</v>
      </c>
      <c r="CE57" s="115">
        <v>87.249649047851563</v>
      </c>
      <c r="CF57" s="115">
        <v>30.571435928344727</v>
      </c>
      <c r="CG57" s="115">
        <v>35.338191986083984</v>
      </c>
      <c r="CH57" s="115">
        <v>303.74423217773438</v>
      </c>
      <c r="CI57" s="115">
        <v>112.40749359130859</v>
      </c>
      <c r="CJ57" s="115">
        <v>52.591648101806641</v>
      </c>
      <c r="CK57" s="115">
        <v>61.837898254394531</v>
      </c>
      <c r="CL57" s="116">
        <v>44.848751068115234</v>
      </c>
      <c r="CM57" s="117">
        <v>330.31124877929688</v>
      </c>
      <c r="CN57" s="115">
        <v>133.27449035644531</v>
      </c>
      <c r="CO57" s="115">
        <v>90.956069946289063</v>
      </c>
      <c r="CP57" s="115">
        <v>98.405776977539063</v>
      </c>
      <c r="CQ57" s="115">
        <v>0</v>
      </c>
      <c r="CR57" s="115">
        <v>64.308700561523438</v>
      </c>
      <c r="CS57" s="115">
        <v>12.903204917907715</v>
      </c>
      <c r="CT57" s="115">
        <v>52.977664947509766</v>
      </c>
      <c r="CU57" s="115">
        <v>96.033012390136719</v>
      </c>
      <c r="CV57" s="116">
        <v>89.548477172851563</v>
      </c>
      <c r="CW57" s="117">
        <v>3</v>
      </c>
      <c r="CX57" s="115">
        <v>447</v>
      </c>
      <c r="CY57" s="115">
        <v>211.851806640625</v>
      </c>
      <c r="CZ57" s="115">
        <v>59.738460540771484</v>
      </c>
      <c r="DA57" s="115">
        <v>22.391315460205078</v>
      </c>
      <c r="DB57" s="115">
        <v>43.572963714599609</v>
      </c>
      <c r="DC57" s="115">
        <v>91.567214965820313</v>
      </c>
      <c r="DD57" s="115">
        <v>678</v>
      </c>
      <c r="DE57" s="115">
        <v>200</v>
      </c>
      <c r="DF57" s="115">
        <v>703.09906005859375</v>
      </c>
      <c r="DG57" s="115">
        <v>95.785125732421875</v>
      </c>
      <c r="DH57" s="115">
        <v>67.3446044921875</v>
      </c>
      <c r="DI57" s="120">
        <v>42.8729248046875</v>
      </c>
      <c r="DJ57" s="119">
        <v>242</v>
      </c>
      <c r="DK57" s="115">
        <v>143.26600646972656</v>
      </c>
      <c r="DL57" s="115">
        <v>33.137001037597656</v>
      </c>
      <c r="DM57" s="115">
        <v>58.845001220703125</v>
      </c>
      <c r="DN57" s="115">
        <v>53.191001892089844</v>
      </c>
      <c r="DO57" s="116">
        <v>112.94009399414063</v>
      </c>
      <c r="DP57" s="117">
        <v>17.332000732421875</v>
      </c>
      <c r="DQ57" s="115"/>
      <c r="DR57" s="117">
        <v>67</v>
      </c>
      <c r="DS57" s="120">
        <v>55.900001525878906</v>
      </c>
      <c r="DT57" s="119">
        <v>13</v>
      </c>
      <c r="DU57" s="115"/>
      <c r="DV57" s="115">
        <v>174</v>
      </c>
      <c r="DW57" s="115">
        <v>164.24652099609375</v>
      </c>
      <c r="DX57" s="117">
        <v>11</v>
      </c>
      <c r="DY57" s="120"/>
      <c r="DZ57" s="119">
        <v>52</v>
      </c>
      <c r="EA57" s="115">
        <v>3</v>
      </c>
      <c r="EB57" s="115">
        <v>0</v>
      </c>
      <c r="EC57" s="115">
        <v>1</v>
      </c>
      <c r="ED57" s="115">
        <v>848.9000244140625</v>
      </c>
      <c r="EE57" s="121">
        <v>172.07620239257813</v>
      </c>
      <c r="EF57" s="121">
        <v>173.21721903483072</v>
      </c>
      <c r="EG57" s="121">
        <v>176.05192616780599</v>
      </c>
      <c r="EH57" t="s">
        <v>42</v>
      </c>
    </row>
    <row r="58" spans="1:138" x14ac:dyDescent="0.3">
      <c r="A58" s="226">
        <f t="shared" si="3"/>
        <v>46020.037500000122</v>
      </c>
      <c r="B58" s="115">
        <v>287</v>
      </c>
      <c r="C58" s="115">
        <v>51.910999298095703</v>
      </c>
      <c r="D58" s="115">
        <v>101.78700256347656</v>
      </c>
      <c r="E58" s="115">
        <v>18.320999145507813</v>
      </c>
      <c r="F58" s="115">
        <v>8.4642820358276367</v>
      </c>
      <c r="G58" s="116">
        <v>21.375</v>
      </c>
      <c r="H58" s="117">
        <v>349</v>
      </c>
      <c r="I58" s="115">
        <v>318</v>
      </c>
      <c r="J58" s="115">
        <v>69.101997375488281</v>
      </c>
      <c r="K58" s="115">
        <v>62.387229919433594</v>
      </c>
      <c r="L58" s="115">
        <v>49.303001403808594</v>
      </c>
      <c r="M58" s="115">
        <v>14.701999664306641</v>
      </c>
      <c r="N58" s="115">
        <v>17.558000564575195</v>
      </c>
      <c r="O58" s="115">
        <v>17</v>
      </c>
      <c r="P58" s="115">
        <v>0</v>
      </c>
      <c r="Q58" s="115">
        <v>19.257396697998047</v>
      </c>
      <c r="R58" s="115">
        <v>24</v>
      </c>
      <c r="S58" s="115">
        <v>25.122940063476563</v>
      </c>
      <c r="T58" s="115">
        <v>9</v>
      </c>
      <c r="U58" s="115">
        <v>9</v>
      </c>
      <c r="V58" s="117">
        <v>1173</v>
      </c>
      <c r="W58" s="115">
        <v>36.478389739990234</v>
      </c>
      <c r="X58" s="115">
        <v>38.339000701904297</v>
      </c>
      <c r="Y58" s="115">
        <v>10.305000305175781</v>
      </c>
      <c r="Z58" s="115">
        <v>0</v>
      </c>
      <c r="AA58" s="115">
        <v>25.333000183105469</v>
      </c>
      <c r="AB58" s="115">
        <v>0</v>
      </c>
      <c r="AC58" s="115">
        <v>63.343227386474609</v>
      </c>
      <c r="AD58" s="115">
        <v>6.1069998741149902</v>
      </c>
      <c r="AE58" s="115">
        <v>0</v>
      </c>
      <c r="AF58" s="115">
        <v>95.593513488769531</v>
      </c>
      <c r="AG58" s="115">
        <v>0</v>
      </c>
      <c r="AH58" s="115">
        <v>80.187538146972656</v>
      </c>
      <c r="AI58" s="115">
        <v>18.957000732421875</v>
      </c>
      <c r="AJ58" s="115">
        <v>25.424365997314453</v>
      </c>
      <c r="AK58" s="115">
        <v>50.315143585205078</v>
      </c>
      <c r="AL58" s="115">
        <v>58.845001220703125</v>
      </c>
      <c r="AM58" s="118">
        <v>58.272998809814453</v>
      </c>
      <c r="AN58" s="117">
        <v>148.6875</v>
      </c>
      <c r="AO58" s="119">
        <v>80</v>
      </c>
      <c r="AP58" s="115">
        <v>80.656791687011719</v>
      </c>
      <c r="AQ58" s="115">
        <v>49.596824645996094</v>
      </c>
      <c r="AR58" s="115">
        <v>87</v>
      </c>
      <c r="AS58" s="115"/>
      <c r="AT58" s="115">
        <v>120</v>
      </c>
      <c r="AU58" s="115"/>
      <c r="AV58" s="115">
        <v>99</v>
      </c>
      <c r="AW58" s="115"/>
      <c r="AX58" s="115">
        <v>36</v>
      </c>
      <c r="AY58" s="115">
        <v>37.763233184814453</v>
      </c>
      <c r="AZ58" s="115">
        <v>25</v>
      </c>
      <c r="BA58" s="115"/>
      <c r="BB58" s="115">
        <v>194</v>
      </c>
      <c r="BC58" s="115">
        <v>199.86354064941406</v>
      </c>
      <c r="BD58" s="115">
        <v>7.3000001907348633</v>
      </c>
      <c r="BE58" s="115">
        <v>7.2894883155822754</v>
      </c>
      <c r="BF58" s="115">
        <v>30</v>
      </c>
      <c r="BG58" s="115">
        <v>11</v>
      </c>
      <c r="BH58" s="115">
        <v>12.067018508911133</v>
      </c>
      <c r="BI58" s="115"/>
      <c r="BJ58" s="108">
        <f t="shared" si="0"/>
        <v>16</v>
      </c>
      <c r="BK58" s="115">
        <v>16</v>
      </c>
      <c r="BL58" s="115">
        <v>0</v>
      </c>
      <c r="BM58" s="118"/>
      <c r="BN58" s="108">
        <f t="shared" si="1"/>
        <v>123.20000076293945</v>
      </c>
      <c r="BO58" s="108">
        <v>75</v>
      </c>
      <c r="BP58" s="108">
        <v>48.200000762939453</v>
      </c>
      <c r="BQ58" s="108">
        <v>316</v>
      </c>
      <c r="BR58" s="115">
        <v>93.530998229980469</v>
      </c>
      <c r="BS58" s="115">
        <v>25.445999145507813</v>
      </c>
      <c r="BT58" s="115">
        <v>46.064998626708984</v>
      </c>
      <c r="BU58" s="115">
        <v>45.930999755859375</v>
      </c>
      <c r="BV58" s="115">
        <v>68.599998474121094</v>
      </c>
      <c r="BW58" s="115">
        <v>6.9000000953674316</v>
      </c>
      <c r="BX58" s="115">
        <v>13.899999618530273</v>
      </c>
      <c r="BY58" s="115">
        <v>29</v>
      </c>
      <c r="BZ58" s="115">
        <v>1.5069943852722645E-2</v>
      </c>
      <c r="CA58" s="115">
        <v>0</v>
      </c>
      <c r="CB58" s="115">
        <v>29.194334030151367</v>
      </c>
      <c r="CC58" s="118"/>
      <c r="CD58" s="115">
        <v>447.81182861328125</v>
      </c>
      <c r="CE58" s="115">
        <v>88.4769287109375</v>
      </c>
      <c r="CF58" s="115">
        <v>31.432815551757813</v>
      </c>
      <c r="CG58" s="115">
        <v>35.338191986083984</v>
      </c>
      <c r="CH58" s="115">
        <v>303.13397216796875</v>
      </c>
      <c r="CI58" s="115">
        <v>107.07525634765625</v>
      </c>
      <c r="CJ58" s="115">
        <v>51.8699951171875</v>
      </c>
      <c r="CK58" s="115">
        <v>60.299022674560547</v>
      </c>
      <c r="CL58" s="116">
        <v>46.934276580810547</v>
      </c>
      <c r="CM58" s="117">
        <v>331.3436279296875</v>
      </c>
      <c r="CN58" s="115">
        <v>141.48416137695313</v>
      </c>
      <c r="CO58" s="115">
        <v>90.13616943359375</v>
      </c>
      <c r="CP58" s="115">
        <v>94.725601196289063</v>
      </c>
      <c r="CQ58" s="115">
        <v>0</v>
      </c>
      <c r="CR58" s="115">
        <v>64.025627136230469</v>
      </c>
      <c r="CS58" s="115">
        <v>12.814255714416504</v>
      </c>
      <c r="CT58" s="115">
        <v>52.847240447998047</v>
      </c>
      <c r="CU58" s="115">
        <v>57.850204467773438</v>
      </c>
      <c r="CV58" s="116">
        <v>83.128128051757813</v>
      </c>
      <c r="CW58" s="117">
        <v>4</v>
      </c>
      <c r="CX58" s="115">
        <v>446</v>
      </c>
      <c r="CY58" s="115">
        <v>212.18666076660156</v>
      </c>
      <c r="CZ58" s="115">
        <v>60.902248382568359</v>
      </c>
      <c r="DA58" s="115">
        <v>21.892084121704102</v>
      </c>
      <c r="DB58" s="115">
        <v>44.070247650146484</v>
      </c>
      <c r="DC58" s="115">
        <v>93.605979919433594</v>
      </c>
      <c r="DD58" s="115">
        <v>678</v>
      </c>
      <c r="DE58" s="115">
        <v>200</v>
      </c>
      <c r="DF58" s="115">
        <v>705.901123046875</v>
      </c>
      <c r="DG58" s="115">
        <v>93.213844299316406</v>
      </c>
      <c r="DH58" s="115">
        <v>66.64892578125</v>
      </c>
      <c r="DI58" s="120">
        <v>41.553920745849609</v>
      </c>
      <c r="DJ58" s="119">
        <v>242</v>
      </c>
      <c r="DK58" s="115">
        <v>143.26600646972656</v>
      </c>
      <c r="DL58" s="115">
        <v>30.988000869750977</v>
      </c>
      <c r="DM58" s="115">
        <v>58.492000579833984</v>
      </c>
      <c r="DN58" s="115">
        <v>53.721000671386719</v>
      </c>
      <c r="DO58" s="116">
        <v>111.94914245605469</v>
      </c>
      <c r="DP58" s="117">
        <v>16.964000701904297</v>
      </c>
      <c r="DQ58" s="115"/>
      <c r="DR58" s="117">
        <v>67</v>
      </c>
      <c r="DS58" s="120">
        <v>55.599998474121094</v>
      </c>
      <c r="DT58" s="119">
        <v>13</v>
      </c>
      <c r="DU58" s="115"/>
      <c r="DV58" s="115">
        <v>177</v>
      </c>
      <c r="DW58" s="115">
        <v>164.49754333496094</v>
      </c>
      <c r="DX58" s="117">
        <v>12</v>
      </c>
      <c r="DY58" s="120"/>
      <c r="DZ58" s="119">
        <v>53</v>
      </c>
      <c r="EA58" s="115">
        <v>3</v>
      </c>
      <c r="EB58" s="115">
        <v>0</v>
      </c>
      <c r="EC58" s="115">
        <v>1</v>
      </c>
      <c r="ED58" s="115">
        <v>848.79998779296875</v>
      </c>
      <c r="EE58" s="121">
        <v>6.1999998092651367</v>
      </c>
      <c r="EF58" s="121">
        <v>6.4166667461395264</v>
      </c>
      <c r="EG58" s="121">
        <v>6.5966665824254358</v>
      </c>
      <c r="EH58" t="s">
        <v>262</v>
      </c>
    </row>
    <row r="59" spans="1:138" x14ac:dyDescent="0.3">
      <c r="A59" s="226">
        <f t="shared" si="3"/>
        <v>46020.038194444569</v>
      </c>
      <c r="B59" s="115">
        <v>286</v>
      </c>
      <c r="C59" s="115">
        <v>53.946998596191406</v>
      </c>
      <c r="D59" s="115">
        <v>100.88200378417969</v>
      </c>
      <c r="E59" s="115">
        <v>21.14900016784668</v>
      </c>
      <c r="F59" s="115">
        <v>9.1946859359741211</v>
      </c>
      <c r="G59" s="116">
        <v>20.695999145507813</v>
      </c>
      <c r="H59" s="117">
        <v>348</v>
      </c>
      <c r="I59" s="115">
        <v>319</v>
      </c>
      <c r="J59" s="115">
        <v>71.025001525878906</v>
      </c>
      <c r="K59" s="115">
        <v>63.540058135986328</v>
      </c>
      <c r="L59" s="115">
        <v>49.655998229980469</v>
      </c>
      <c r="M59" s="115">
        <v>14.13700008392334</v>
      </c>
      <c r="N59" s="115">
        <v>17.302999496459961</v>
      </c>
      <c r="O59" s="115">
        <v>17</v>
      </c>
      <c r="P59" s="115">
        <v>0</v>
      </c>
      <c r="Q59" s="115">
        <v>18.087892532348633</v>
      </c>
      <c r="R59" s="115">
        <v>22.003124237060547</v>
      </c>
      <c r="S59" s="115">
        <v>23.598072052001953</v>
      </c>
      <c r="T59" s="115">
        <v>9</v>
      </c>
      <c r="U59" s="115">
        <v>9</v>
      </c>
      <c r="V59" s="117">
        <v>1062</v>
      </c>
      <c r="W59" s="115">
        <v>37.110565185546875</v>
      </c>
      <c r="X59" s="115">
        <v>38</v>
      </c>
      <c r="Y59" s="115">
        <v>9.9239997863769531</v>
      </c>
      <c r="Z59" s="115">
        <v>0</v>
      </c>
      <c r="AA59" s="115">
        <v>28.160999298095703</v>
      </c>
      <c r="AB59" s="115">
        <v>0</v>
      </c>
      <c r="AC59" s="115">
        <v>62.212593078613281</v>
      </c>
      <c r="AD59" s="115">
        <v>5.8520002365112305</v>
      </c>
      <c r="AE59" s="115">
        <v>0</v>
      </c>
      <c r="AF59" s="115">
        <v>94.725440979003906</v>
      </c>
      <c r="AG59" s="115">
        <v>0</v>
      </c>
      <c r="AH59" s="115">
        <v>81.212249755859375</v>
      </c>
      <c r="AI59" s="115">
        <v>19.402999877929688</v>
      </c>
      <c r="AJ59" s="115">
        <v>26.724460601806641</v>
      </c>
      <c r="AK59" s="115">
        <v>50.113956451416016</v>
      </c>
      <c r="AL59" s="115">
        <v>57.784999847412109</v>
      </c>
      <c r="AM59" s="118">
        <v>58.018001556396484</v>
      </c>
      <c r="AN59" s="117">
        <v>150.6875</v>
      </c>
      <c r="AO59" s="119">
        <v>82</v>
      </c>
      <c r="AP59" s="115">
        <v>80.188697814941406</v>
      </c>
      <c r="AQ59" s="115">
        <v>52.225479125976563</v>
      </c>
      <c r="AR59" s="115">
        <v>89</v>
      </c>
      <c r="AS59" s="115"/>
      <c r="AT59" s="115">
        <v>120</v>
      </c>
      <c r="AU59" s="115"/>
      <c r="AV59" s="115">
        <v>93</v>
      </c>
      <c r="AW59" s="115"/>
      <c r="AX59" s="115">
        <v>35</v>
      </c>
      <c r="AY59" s="115">
        <v>35.962863922119141</v>
      </c>
      <c r="AZ59" s="115">
        <v>25</v>
      </c>
      <c r="BA59" s="115"/>
      <c r="BB59" s="115">
        <v>195</v>
      </c>
      <c r="BC59" s="115">
        <v>201.41383361816406</v>
      </c>
      <c r="BD59" s="115">
        <v>7.1999998092651367</v>
      </c>
      <c r="BE59" s="115">
        <v>7.2812700271606445</v>
      </c>
      <c r="BF59" s="115">
        <v>30</v>
      </c>
      <c r="BG59" s="115">
        <v>11</v>
      </c>
      <c r="BH59" s="115">
        <v>12.017580032348633</v>
      </c>
      <c r="BI59" s="115"/>
      <c r="BJ59" s="108">
        <f t="shared" si="0"/>
        <v>16</v>
      </c>
      <c r="BK59" s="115">
        <v>16</v>
      </c>
      <c r="BL59" s="115">
        <v>0</v>
      </c>
      <c r="BM59" s="118"/>
      <c r="BN59" s="108">
        <f t="shared" si="1"/>
        <v>124</v>
      </c>
      <c r="BO59" s="108">
        <v>76</v>
      </c>
      <c r="BP59" s="108">
        <v>48</v>
      </c>
      <c r="BQ59" s="108">
        <v>317</v>
      </c>
      <c r="BR59" s="115">
        <v>89.912002563476563</v>
      </c>
      <c r="BS59" s="115">
        <v>25.445999145507813</v>
      </c>
      <c r="BT59" s="115">
        <v>50.222000122070313</v>
      </c>
      <c r="BU59" s="115">
        <v>50.383998870849609</v>
      </c>
      <c r="BV59" s="115">
        <v>69.5</v>
      </c>
      <c r="BW59" s="115">
        <v>7.0999999046325684</v>
      </c>
      <c r="BX59" s="115">
        <v>14</v>
      </c>
      <c r="BY59" s="115">
        <v>29</v>
      </c>
      <c r="BZ59" s="115">
        <v>1.3986595906317234E-2</v>
      </c>
      <c r="CA59" s="115">
        <v>0</v>
      </c>
      <c r="CB59" s="115">
        <v>29.29736328125</v>
      </c>
      <c r="CC59" s="118"/>
      <c r="CD59" s="115">
        <v>440.92861938476563</v>
      </c>
      <c r="CE59" s="115">
        <v>89.0804443359375</v>
      </c>
      <c r="CF59" s="115">
        <v>31.729585647583008</v>
      </c>
      <c r="CG59" s="115">
        <v>35.338191986083984</v>
      </c>
      <c r="CH59" s="115">
        <v>302.9898681640625</v>
      </c>
      <c r="CI59" s="115">
        <v>110.63521575927734</v>
      </c>
      <c r="CJ59" s="115">
        <v>52.800159454345703</v>
      </c>
      <c r="CK59" s="115">
        <v>61.616302490234375</v>
      </c>
      <c r="CL59" s="116">
        <v>47.037395477294922</v>
      </c>
      <c r="CM59" s="117">
        <v>330.27719116210938</v>
      </c>
      <c r="CN59" s="115">
        <v>138.76904296875</v>
      </c>
      <c r="CO59" s="115">
        <v>91.119598388671875</v>
      </c>
      <c r="CP59" s="115">
        <v>95.859619140625</v>
      </c>
      <c r="CQ59" s="115">
        <v>0</v>
      </c>
      <c r="CR59" s="115">
        <v>62.802463531494141</v>
      </c>
      <c r="CS59" s="115">
        <v>11.758902549743652</v>
      </c>
      <c r="CT59" s="115">
        <v>50.661170959472656</v>
      </c>
      <c r="CU59" s="115">
        <v>60.090782165527344</v>
      </c>
      <c r="CV59" s="116">
        <v>87.724784851074219</v>
      </c>
      <c r="CW59" s="117">
        <v>12</v>
      </c>
      <c r="CX59" s="115">
        <v>446</v>
      </c>
      <c r="CY59" s="115">
        <v>211.43826293945313</v>
      </c>
      <c r="CZ59" s="115">
        <v>61.378810882568359</v>
      </c>
      <c r="DA59" s="115">
        <v>22.049301147460938</v>
      </c>
      <c r="DB59" s="115">
        <v>43.454292297363281</v>
      </c>
      <c r="DC59" s="115">
        <v>94.529006958007813</v>
      </c>
      <c r="DD59" s="115">
        <v>673</v>
      </c>
      <c r="DE59" s="115">
        <v>204</v>
      </c>
      <c r="DF59" s="115">
        <v>701.57696533203125</v>
      </c>
      <c r="DG59" s="115">
        <v>94.389007568359375</v>
      </c>
      <c r="DH59" s="115">
        <v>67.797676086425781</v>
      </c>
      <c r="DI59" s="120">
        <v>39.764930725097656</v>
      </c>
      <c r="DJ59" s="119">
        <v>248</v>
      </c>
      <c r="DK59" s="115">
        <v>145.0469970703125</v>
      </c>
      <c r="DL59" s="115">
        <v>29.517999649047852</v>
      </c>
      <c r="DM59" s="115">
        <v>60.258998870849609</v>
      </c>
      <c r="DN59" s="115">
        <v>52.837001800537109</v>
      </c>
      <c r="DO59" s="116">
        <v>112.79640960693359</v>
      </c>
      <c r="DP59" s="117">
        <v>16.680999755859375</v>
      </c>
      <c r="DQ59" s="115"/>
      <c r="DR59" s="117">
        <v>67</v>
      </c>
      <c r="DS59" s="120">
        <v>55</v>
      </c>
      <c r="DT59" s="119">
        <v>13</v>
      </c>
      <c r="DU59" s="115"/>
      <c r="DV59" s="115">
        <v>174</v>
      </c>
      <c r="DW59" s="115">
        <v>165.42724609375</v>
      </c>
      <c r="DX59" s="117">
        <v>12</v>
      </c>
      <c r="DY59" s="120"/>
      <c r="DZ59" s="119">
        <v>51</v>
      </c>
      <c r="EA59" s="115">
        <v>3</v>
      </c>
      <c r="EB59" s="115">
        <v>0</v>
      </c>
      <c r="EC59" s="115">
        <v>1</v>
      </c>
      <c r="ED59" s="115">
        <v>843.70001220703125</v>
      </c>
      <c r="EE59" s="121">
        <v>6.5186948776245117</v>
      </c>
      <c r="EF59" s="121">
        <v>6.5461931228637695</v>
      </c>
      <c r="EG59" s="121">
        <v>6.654758278528849</v>
      </c>
      <c r="EH59" t="s">
        <v>14</v>
      </c>
    </row>
    <row r="60" spans="1:138" x14ac:dyDescent="0.3">
      <c r="A60" s="226">
        <f t="shared" si="3"/>
        <v>46020.038888889016</v>
      </c>
      <c r="B60" s="115">
        <v>286</v>
      </c>
      <c r="C60" s="115">
        <v>55.529998779296875</v>
      </c>
      <c r="D60" s="115">
        <v>101.447998046875</v>
      </c>
      <c r="E60" s="115">
        <v>17.190000534057617</v>
      </c>
      <c r="F60" s="115">
        <v>15.612621307373047</v>
      </c>
      <c r="G60" s="116">
        <v>20.131000518798828</v>
      </c>
      <c r="H60" s="117">
        <v>350</v>
      </c>
      <c r="I60" s="115">
        <v>322</v>
      </c>
      <c r="J60" s="115">
        <v>71.7030029296875</v>
      </c>
      <c r="K60" s="115">
        <v>63.755821228027344</v>
      </c>
      <c r="L60" s="115">
        <v>50.716999053955078</v>
      </c>
      <c r="M60" s="115">
        <v>14.02400016784668</v>
      </c>
      <c r="N60" s="115">
        <v>17.430999755859375</v>
      </c>
      <c r="O60" s="115">
        <v>17</v>
      </c>
      <c r="P60" s="115">
        <v>0</v>
      </c>
      <c r="Q60" s="115">
        <v>17.583700180053711</v>
      </c>
      <c r="R60" s="115">
        <v>22.996875762939453</v>
      </c>
      <c r="S60" s="115">
        <v>23.964288711547852</v>
      </c>
      <c r="T60" s="115">
        <v>9</v>
      </c>
      <c r="U60" s="115">
        <v>9</v>
      </c>
      <c r="V60" s="117">
        <v>1062</v>
      </c>
      <c r="W60" s="115">
        <v>37.340961456298828</v>
      </c>
      <c r="X60" s="115">
        <v>36.756000518798828</v>
      </c>
      <c r="Y60" s="115">
        <v>9.3509998321533203</v>
      </c>
      <c r="Z60" s="115">
        <v>0</v>
      </c>
      <c r="AA60" s="115">
        <v>25.89900016784668</v>
      </c>
      <c r="AB60" s="115">
        <v>0</v>
      </c>
      <c r="AC60" s="115">
        <v>62.152374267578125</v>
      </c>
      <c r="AD60" s="115">
        <v>6.3610000610351563</v>
      </c>
      <c r="AE60" s="115">
        <v>0</v>
      </c>
      <c r="AF60" s="115">
        <v>95.594200134277344</v>
      </c>
      <c r="AG60" s="115">
        <v>0</v>
      </c>
      <c r="AH60" s="115">
        <v>77.524017333984375</v>
      </c>
      <c r="AI60" s="115">
        <v>19.339000701904297</v>
      </c>
      <c r="AJ60" s="115">
        <v>26.889493942260742</v>
      </c>
      <c r="AK60" s="115">
        <v>50.180339813232422</v>
      </c>
      <c r="AL60" s="115">
        <v>59.729000091552734</v>
      </c>
      <c r="AM60" s="118">
        <v>58.145999908447266</v>
      </c>
      <c r="AN60" s="117">
        <v>148.4375</v>
      </c>
      <c r="AO60" s="119">
        <v>81</v>
      </c>
      <c r="AP60" s="115">
        <v>80.188697814941406</v>
      </c>
      <c r="AQ60" s="115">
        <v>49.515731811523438</v>
      </c>
      <c r="AR60" s="115">
        <v>87</v>
      </c>
      <c r="AS60" s="115"/>
      <c r="AT60" s="115">
        <v>121</v>
      </c>
      <c r="AU60" s="115"/>
      <c r="AV60" s="115">
        <v>94</v>
      </c>
      <c r="AW60" s="115"/>
      <c r="AX60" s="115">
        <v>34</v>
      </c>
      <c r="AY60" s="115">
        <v>35.954463958740234</v>
      </c>
      <c r="AZ60" s="115">
        <v>25</v>
      </c>
      <c r="BA60" s="115"/>
      <c r="BB60" s="115">
        <v>194</v>
      </c>
      <c r="BC60" s="115">
        <v>202.10455322265625</v>
      </c>
      <c r="BD60" s="115">
        <v>7.3000001907348633</v>
      </c>
      <c r="BE60" s="115">
        <v>7.2836294174194336</v>
      </c>
      <c r="BF60" s="115">
        <v>29</v>
      </c>
      <c r="BG60" s="115">
        <v>11</v>
      </c>
      <c r="BH60" s="115">
        <v>12.017580032348633</v>
      </c>
      <c r="BI60" s="115"/>
      <c r="BJ60" s="108">
        <f t="shared" si="0"/>
        <v>17</v>
      </c>
      <c r="BK60" s="115">
        <v>17</v>
      </c>
      <c r="BL60" s="115">
        <v>0</v>
      </c>
      <c r="BM60" s="118"/>
      <c r="BN60" s="108">
        <f t="shared" si="1"/>
        <v>123</v>
      </c>
      <c r="BO60" s="108">
        <v>75</v>
      </c>
      <c r="BP60" s="108">
        <v>48</v>
      </c>
      <c r="BQ60" s="108">
        <v>312</v>
      </c>
      <c r="BR60" s="115">
        <v>90.13800048828125</v>
      </c>
      <c r="BS60" s="115">
        <v>26.209999084472656</v>
      </c>
      <c r="BT60" s="115">
        <v>46.064998626708984</v>
      </c>
      <c r="BU60" s="115">
        <v>51.275001525878906</v>
      </c>
      <c r="BV60" s="115">
        <v>69.400001525878906</v>
      </c>
      <c r="BW60" s="115">
        <v>7.1999998092651367</v>
      </c>
      <c r="BX60" s="115">
        <v>14</v>
      </c>
      <c r="BY60" s="115">
        <v>28</v>
      </c>
      <c r="BZ60" s="115">
        <v>1.2130952440202236E-2</v>
      </c>
      <c r="CA60" s="115">
        <v>0</v>
      </c>
      <c r="CB60" s="115">
        <v>29.174306869506836</v>
      </c>
      <c r="CC60" s="118"/>
      <c r="CD60" s="115">
        <v>441.17352294921875</v>
      </c>
      <c r="CE60" s="115">
        <v>84.563247680664063</v>
      </c>
      <c r="CF60" s="115">
        <v>30.87529182434082</v>
      </c>
      <c r="CG60" s="115">
        <v>35.338191986083984</v>
      </c>
      <c r="CH60" s="115">
        <v>303.06069946289063</v>
      </c>
      <c r="CI60" s="115">
        <v>109.52285003662109</v>
      </c>
      <c r="CJ60" s="115">
        <v>54.233024597167969</v>
      </c>
      <c r="CK60" s="115">
        <v>62.004188537597656</v>
      </c>
      <c r="CL60" s="116">
        <v>47.199981689453125</v>
      </c>
      <c r="CM60" s="117">
        <v>337.18707275390625</v>
      </c>
      <c r="CN60" s="115">
        <v>142.68063354492188</v>
      </c>
      <c r="CO60" s="115">
        <v>89.599235534667969</v>
      </c>
      <c r="CP60" s="115">
        <v>100.60832214355469</v>
      </c>
      <c r="CQ60" s="115">
        <v>0</v>
      </c>
      <c r="CR60" s="115">
        <v>64.498359680175781</v>
      </c>
      <c r="CS60" s="115">
        <v>11.477116584777832</v>
      </c>
      <c r="CT60" s="115">
        <v>51.727149963378906</v>
      </c>
      <c r="CU60" s="115">
        <v>63.870162963867188</v>
      </c>
      <c r="CV60" s="116">
        <v>91.702339172363281</v>
      </c>
      <c r="CW60" s="117">
        <v>3</v>
      </c>
      <c r="CX60" s="115">
        <v>450</v>
      </c>
      <c r="CY60" s="115">
        <v>208.16470336914063</v>
      </c>
      <c r="CZ60" s="115">
        <v>60.47821044921875</v>
      </c>
      <c r="DA60" s="115">
        <v>22.288106918334961</v>
      </c>
      <c r="DB60" s="115">
        <v>43.814926147460938</v>
      </c>
      <c r="DC60" s="115">
        <v>91.315162658691406</v>
      </c>
      <c r="DD60" s="115">
        <v>673</v>
      </c>
      <c r="DE60" s="115">
        <v>201</v>
      </c>
      <c r="DF60" s="115">
        <v>702.77337646484375</v>
      </c>
      <c r="DG60" s="115">
        <v>97.031570434570313</v>
      </c>
      <c r="DH60" s="115">
        <v>67.926216125488281</v>
      </c>
      <c r="DI60" s="120">
        <v>40.762195587158203</v>
      </c>
      <c r="DJ60" s="119">
        <v>247</v>
      </c>
      <c r="DK60" s="115">
        <v>145.0469970703125</v>
      </c>
      <c r="DL60" s="115">
        <v>32.910999298095703</v>
      </c>
      <c r="DM60" s="115">
        <v>60.258998870849609</v>
      </c>
      <c r="DN60" s="115">
        <v>53.191001892089844</v>
      </c>
      <c r="DO60" s="116">
        <v>113.24475860595703</v>
      </c>
      <c r="DP60" s="117">
        <v>16.85099983215332</v>
      </c>
      <c r="DQ60" s="115"/>
      <c r="DR60" s="117">
        <v>67</v>
      </c>
      <c r="DS60" s="120">
        <v>53.700000762939453</v>
      </c>
      <c r="DT60" s="119">
        <v>14</v>
      </c>
      <c r="DU60" s="115"/>
      <c r="DV60" s="115">
        <v>177</v>
      </c>
      <c r="DW60" s="115">
        <v>164.60247802734375</v>
      </c>
      <c r="DX60" s="117">
        <v>11</v>
      </c>
      <c r="DY60" s="120"/>
      <c r="DZ60" s="119">
        <v>52</v>
      </c>
      <c r="EA60" s="115">
        <v>3</v>
      </c>
      <c r="EB60" s="115">
        <v>0</v>
      </c>
      <c r="EC60" s="115">
        <v>1</v>
      </c>
      <c r="ED60" s="115">
        <v>851.20001220703125</v>
      </c>
      <c r="EE60" s="121">
        <v>29</v>
      </c>
      <c r="EF60" s="121">
        <v>29</v>
      </c>
      <c r="EG60" s="121">
        <v>29.366666666666667</v>
      </c>
      <c r="EH60" t="s">
        <v>225</v>
      </c>
    </row>
    <row r="61" spans="1:138" x14ac:dyDescent="0.3">
      <c r="A61" s="226">
        <f t="shared" si="3"/>
        <v>46020.039583333462</v>
      </c>
      <c r="B61" s="115">
        <v>290</v>
      </c>
      <c r="C61" s="115">
        <v>54.512001037597656</v>
      </c>
      <c r="D61" s="115">
        <v>101.10900115966797</v>
      </c>
      <c r="E61" s="115">
        <v>20.357000350952148</v>
      </c>
      <c r="F61" s="115">
        <v>2.1481578350067139</v>
      </c>
      <c r="G61" s="116">
        <v>20.583000183105469</v>
      </c>
      <c r="H61" s="117">
        <v>346</v>
      </c>
      <c r="I61" s="115">
        <v>313</v>
      </c>
      <c r="J61" s="115">
        <v>70.912002563476563</v>
      </c>
      <c r="K61" s="115">
        <v>63.248207092285156</v>
      </c>
      <c r="L61" s="115">
        <v>49.125999450683594</v>
      </c>
      <c r="M61" s="115">
        <v>14.928000450134277</v>
      </c>
      <c r="N61" s="115">
        <v>17.493999481201172</v>
      </c>
      <c r="O61" s="115">
        <v>17</v>
      </c>
      <c r="P61" s="115">
        <v>0</v>
      </c>
      <c r="Q61" s="115">
        <v>17.583700180053711</v>
      </c>
      <c r="R61" s="115">
        <v>22.996875762939453</v>
      </c>
      <c r="S61" s="115">
        <v>23.964288711547852</v>
      </c>
      <c r="T61" s="115">
        <v>9</v>
      </c>
      <c r="U61" s="115">
        <v>9</v>
      </c>
      <c r="V61" s="117">
        <v>1075</v>
      </c>
      <c r="W61" s="115">
        <v>36.597091674804688</v>
      </c>
      <c r="X61" s="115">
        <v>37.208999633789063</v>
      </c>
      <c r="Y61" s="115">
        <v>9.4149999618530273</v>
      </c>
      <c r="Z61" s="115">
        <v>0</v>
      </c>
      <c r="AA61" s="115">
        <v>26.125</v>
      </c>
      <c r="AB61" s="115">
        <v>0</v>
      </c>
      <c r="AC61" s="115">
        <v>62.152374267578125</v>
      </c>
      <c r="AD61" s="115">
        <v>6.1069998741149902</v>
      </c>
      <c r="AE61" s="115">
        <v>0</v>
      </c>
      <c r="AF61" s="115">
        <v>96.447288513183594</v>
      </c>
      <c r="AG61" s="115">
        <v>0</v>
      </c>
      <c r="AH61" s="115">
        <v>79.761253356933594</v>
      </c>
      <c r="AI61" s="115">
        <v>18.257999420166016</v>
      </c>
      <c r="AJ61" s="115">
        <v>30.291744232177734</v>
      </c>
      <c r="AK61" s="115">
        <v>50.180339813232422</v>
      </c>
      <c r="AL61" s="115">
        <v>57.962001800537109</v>
      </c>
      <c r="AM61" s="118">
        <v>59.354000091552734</v>
      </c>
      <c r="AN61" s="117">
        <v>148.5625</v>
      </c>
      <c r="AO61" s="119">
        <v>81</v>
      </c>
      <c r="AP61" s="115">
        <v>81.013992309570313</v>
      </c>
      <c r="AQ61" s="115">
        <v>50.358119964599609</v>
      </c>
      <c r="AR61" s="115">
        <v>94</v>
      </c>
      <c r="AS61" s="115"/>
      <c r="AT61" s="115">
        <v>121</v>
      </c>
      <c r="AU61" s="115"/>
      <c r="AV61" s="115">
        <v>91</v>
      </c>
      <c r="AW61" s="115"/>
      <c r="AX61" s="115">
        <v>34</v>
      </c>
      <c r="AY61" s="115">
        <v>36.422863006591797</v>
      </c>
      <c r="AZ61" s="115">
        <v>25</v>
      </c>
      <c r="BA61" s="115"/>
      <c r="BB61" s="115">
        <v>198</v>
      </c>
      <c r="BC61" s="115">
        <v>204.05569458007813</v>
      </c>
      <c r="BD61" s="115">
        <v>7.1999998092651367</v>
      </c>
      <c r="BE61" s="115">
        <v>7.2726845741271973</v>
      </c>
      <c r="BF61" s="115">
        <v>30</v>
      </c>
      <c r="BG61" s="115">
        <v>11</v>
      </c>
      <c r="BH61" s="115">
        <v>12.10450553894043</v>
      </c>
      <c r="BI61" s="115"/>
      <c r="BJ61" s="108">
        <f t="shared" si="0"/>
        <v>17</v>
      </c>
      <c r="BK61" s="115">
        <v>17</v>
      </c>
      <c r="BL61" s="115">
        <v>0</v>
      </c>
      <c r="BM61" s="118"/>
      <c r="BN61" s="108">
        <f t="shared" si="1"/>
        <v>123</v>
      </c>
      <c r="BO61" s="108">
        <v>75</v>
      </c>
      <c r="BP61" s="108">
        <v>48</v>
      </c>
      <c r="BQ61" s="108">
        <v>312</v>
      </c>
      <c r="BR61" s="115">
        <v>87.875999450683594</v>
      </c>
      <c r="BS61" s="115">
        <v>25.701000213623047</v>
      </c>
      <c r="BT61" s="115">
        <v>46.064998626708984</v>
      </c>
      <c r="BU61" s="115">
        <v>49.938999176025391</v>
      </c>
      <c r="BV61" s="115">
        <v>69.699996948242188</v>
      </c>
      <c r="BW61" s="115">
        <v>7.0999999046325684</v>
      </c>
      <c r="BX61" s="115">
        <v>14</v>
      </c>
      <c r="BY61" s="115">
        <v>28</v>
      </c>
      <c r="BZ61" s="115">
        <v>1.5186772681772709E-2</v>
      </c>
      <c r="CA61" s="115">
        <v>0</v>
      </c>
      <c r="CB61" s="115">
        <v>29.169130325317383</v>
      </c>
      <c r="CC61" s="118"/>
      <c r="CD61" s="115">
        <v>433.79312133789063</v>
      </c>
      <c r="CE61" s="115">
        <v>84.418746948242188</v>
      </c>
      <c r="CF61" s="115">
        <v>30.904922485351563</v>
      </c>
      <c r="CG61" s="115">
        <v>35.338191986083984</v>
      </c>
      <c r="CH61" s="115">
        <v>303.64785766601563</v>
      </c>
      <c r="CI61" s="115">
        <v>109.98429870605469</v>
      </c>
      <c r="CJ61" s="115">
        <v>52.861827850341797</v>
      </c>
      <c r="CK61" s="115">
        <v>63.1785888671875</v>
      </c>
      <c r="CL61" s="116">
        <v>46.542270660400391</v>
      </c>
      <c r="CM61" s="117">
        <v>330.720458984375</v>
      </c>
      <c r="CN61" s="115">
        <v>141.68167114257813</v>
      </c>
      <c r="CO61" s="115">
        <v>88.994781494140625</v>
      </c>
      <c r="CP61" s="115">
        <v>94.969169616699219</v>
      </c>
      <c r="CQ61" s="115">
        <v>0</v>
      </c>
      <c r="CR61" s="115">
        <v>63.851234436035156</v>
      </c>
      <c r="CS61" s="115">
        <v>11.280820846557617</v>
      </c>
      <c r="CT61" s="115">
        <v>47.512039184570313</v>
      </c>
      <c r="CU61" s="115">
        <v>65.898956298828125</v>
      </c>
      <c r="CV61" s="116">
        <v>90.364059448242188</v>
      </c>
      <c r="CW61" s="117">
        <v>3</v>
      </c>
      <c r="CX61" s="115">
        <v>453</v>
      </c>
      <c r="CY61" s="115">
        <v>209.37394714355469</v>
      </c>
      <c r="CZ61" s="115">
        <v>63.444618225097656</v>
      </c>
      <c r="DA61" s="115">
        <v>21.712213516235352</v>
      </c>
      <c r="DB61" s="115">
        <v>43.45086669921875</v>
      </c>
      <c r="DC61" s="115">
        <v>91.684982299804688</v>
      </c>
      <c r="DD61" s="115">
        <v>666</v>
      </c>
      <c r="DE61" s="115">
        <v>200</v>
      </c>
      <c r="DF61" s="115">
        <v>705.7010498046875</v>
      </c>
      <c r="DG61" s="115">
        <v>94.502090454101563</v>
      </c>
      <c r="DH61" s="115">
        <v>66.885551452636719</v>
      </c>
      <c r="DI61" s="120">
        <v>40.185745239257813</v>
      </c>
      <c r="DJ61" s="119">
        <v>252</v>
      </c>
      <c r="DK61" s="115">
        <v>148.35499572753906</v>
      </c>
      <c r="DL61" s="115">
        <v>30.309999465942383</v>
      </c>
      <c r="DM61" s="115">
        <v>62.0260009765625</v>
      </c>
      <c r="DN61" s="115">
        <v>53.896999359130859</v>
      </c>
      <c r="DO61" s="116">
        <v>113.88624572753906</v>
      </c>
      <c r="DP61" s="117">
        <v>17.61400032043457</v>
      </c>
      <c r="DQ61" s="115"/>
      <c r="DR61" s="117">
        <v>67</v>
      </c>
      <c r="DS61" s="120">
        <v>51.5</v>
      </c>
      <c r="DT61" s="119">
        <v>14</v>
      </c>
      <c r="DU61" s="115"/>
      <c r="DV61" s="115">
        <v>175</v>
      </c>
      <c r="DW61" s="115">
        <v>164.53018188476563</v>
      </c>
      <c r="DX61" s="117">
        <v>11</v>
      </c>
      <c r="DY61" s="120"/>
      <c r="DZ61" s="119">
        <v>50</v>
      </c>
      <c r="EA61" s="115">
        <v>3</v>
      </c>
      <c r="EB61" s="115">
        <v>0</v>
      </c>
      <c r="EC61" s="115">
        <v>1</v>
      </c>
      <c r="ED61" s="115">
        <v>844.0999755859375</v>
      </c>
      <c r="EE61" s="121">
        <v>10</v>
      </c>
      <c r="EF61" s="121">
        <v>10</v>
      </c>
      <c r="EG61" s="121">
        <v>10.050000000000001</v>
      </c>
      <c r="EH61" t="s">
        <v>227</v>
      </c>
    </row>
    <row r="62" spans="1:138" x14ac:dyDescent="0.3">
      <c r="A62" s="226">
        <f t="shared" si="3"/>
        <v>46020.040277777909</v>
      </c>
      <c r="B62" s="115">
        <v>284</v>
      </c>
      <c r="C62" s="115">
        <v>53.268001556396484</v>
      </c>
      <c r="D62" s="115">
        <v>100.43000030517578</v>
      </c>
      <c r="E62" s="115">
        <v>18.547000885009766</v>
      </c>
      <c r="F62" s="115">
        <v>18.808383941650391</v>
      </c>
      <c r="G62" s="116">
        <v>20.469999313354492</v>
      </c>
      <c r="H62" s="117">
        <v>345</v>
      </c>
      <c r="I62" s="115">
        <v>312</v>
      </c>
      <c r="J62" s="115">
        <v>70.912002563476563</v>
      </c>
      <c r="K62" s="115">
        <v>63.781791687011719</v>
      </c>
      <c r="L62" s="115">
        <v>47.006000518798828</v>
      </c>
      <c r="M62" s="115">
        <v>14.13700008392334</v>
      </c>
      <c r="N62" s="115">
        <v>16.666999816894531</v>
      </c>
      <c r="O62" s="115">
        <v>18</v>
      </c>
      <c r="P62" s="115">
        <v>0</v>
      </c>
      <c r="Q62" s="115">
        <v>18.946182250976563</v>
      </c>
      <c r="R62" s="115">
        <v>25.003124237060547</v>
      </c>
      <c r="S62" s="115">
        <v>25.33983039855957</v>
      </c>
      <c r="T62" s="115">
        <v>9</v>
      </c>
      <c r="U62" s="115">
        <v>9</v>
      </c>
      <c r="V62" s="117">
        <v>1083</v>
      </c>
      <c r="W62" s="115">
        <v>35.939853668212891</v>
      </c>
      <c r="X62" s="115">
        <v>35.512001037597656</v>
      </c>
      <c r="Y62" s="115">
        <v>8.8420000076293945</v>
      </c>
      <c r="Z62" s="115">
        <v>0</v>
      </c>
      <c r="AA62" s="115">
        <v>27.708000183105469</v>
      </c>
      <c r="AB62" s="115">
        <v>0</v>
      </c>
      <c r="AC62" s="115">
        <v>64.335647583007813</v>
      </c>
      <c r="AD62" s="115">
        <v>5.8520002365112305</v>
      </c>
      <c r="AE62" s="115">
        <v>0</v>
      </c>
      <c r="AF62" s="115">
        <v>95.853599548339844</v>
      </c>
      <c r="AG62" s="115">
        <v>0</v>
      </c>
      <c r="AH62" s="115">
        <v>77.594810485839844</v>
      </c>
      <c r="AI62" s="115">
        <v>21.819999694824219</v>
      </c>
      <c r="AJ62" s="115">
        <v>31.77464485168457</v>
      </c>
      <c r="AK62" s="115">
        <v>51.313152313232422</v>
      </c>
      <c r="AL62" s="115">
        <v>58.314998626708984</v>
      </c>
      <c r="AM62" s="118">
        <v>60.244998931884766</v>
      </c>
      <c r="AN62" s="117">
        <v>149.375</v>
      </c>
      <c r="AO62" s="119">
        <v>80</v>
      </c>
      <c r="AP62" s="115">
        <v>78.89569091796875</v>
      </c>
      <c r="AQ62" s="115">
        <v>50.421958923339844</v>
      </c>
      <c r="AR62" s="115">
        <v>126</v>
      </c>
      <c r="AS62" s="115"/>
      <c r="AT62" s="115">
        <v>123</v>
      </c>
      <c r="AU62" s="115"/>
      <c r="AV62" s="115">
        <v>91</v>
      </c>
      <c r="AW62" s="115"/>
      <c r="AX62" s="115">
        <v>33</v>
      </c>
      <c r="AY62" s="115">
        <v>35.693397521972656</v>
      </c>
      <c r="AZ62" s="115">
        <v>23</v>
      </c>
      <c r="BA62" s="115"/>
      <c r="BB62" s="115">
        <v>195</v>
      </c>
      <c r="BC62" s="115">
        <v>201.998779296875</v>
      </c>
      <c r="BD62" s="115">
        <v>7.3000001907348633</v>
      </c>
      <c r="BE62" s="115">
        <v>7.2679524421691895</v>
      </c>
      <c r="BF62" s="115">
        <v>31</v>
      </c>
      <c r="BG62" s="115">
        <v>12</v>
      </c>
      <c r="BH62" s="115">
        <v>12.258987426757813</v>
      </c>
      <c r="BI62" s="115"/>
      <c r="BJ62" s="108">
        <f t="shared" si="0"/>
        <v>17</v>
      </c>
      <c r="BK62" s="115">
        <v>17</v>
      </c>
      <c r="BL62" s="115">
        <v>0</v>
      </c>
      <c r="BM62" s="118"/>
      <c r="BN62" s="108">
        <f t="shared" si="1"/>
        <v>121</v>
      </c>
      <c r="BO62" s="108">
        <v>73</v>
      </c>
      <c r="BP62" s="108">
        <v>48</v>
      </c>
      <c r="BQ62" s="108">
        <v>310</v>
      </c>
      <c r="BR62" s="115">
        <v>91.042999267578125</v>
      </c>
      <c r="BS62" s="115">
        <v>25.701000213623047</v>
      </c>
      <c r="BT62" s="115">
        <v>49.182998657226563</v>
      </c>
      <c r="BU62" s="115">
        <v>49.748001098632813</v>
      </c>
      <c r="BV62" s="115">
        <v>69.900001525878906</v>
      </c>
      <c r="BW62" s="115">
        <v>7.0999999046325684</v>
      </c>
      <c r="BX62" s="115">
        <v>14</v>
      </c>
      <c r="BY62" s="115">
        <v>28</v>
      </c>
      <c r="BZ62" s="115">
        <v>1.3238666579127312E-2</v>
      </c>
      <c r="CA62" s="115">
        <v>0</v>
      </c>
      <c r="CB62" s="115">
        <v>29.143386840820313</v>
      </c>
      <c r="CC62" s="118"/>
      <c r="CD62" s="115">
        <v>445.304443359375</v>
      </c>
      <c r="CE62" s="115">
        <v>86.077911376953125</v>
      </c>
      <c r="CF62" s="115">
        <v>29.573781967163086</v>
      </c>
      <c r="CG62" s="115">
        <v>35.338191986083984</v>
      </c>
      <c r="CH62" s="115">
        <v>302.584716796875</v>
      </c>
      <c r="CI62" s="115">
        <v>111.487060546875</v>
      </c>
      <c r="CJ62" s="115">
        <v>52.966556549072266</v>
      </c>
      <c r="CK62" s="115">
        <v>62.47589111328125</v>
      </c>
      <c r="CL62" s="116">
        <v>45.860225677490234</v>
      </c>
      <c r="CM62" s="117">
        <v>329.0948486328125</v>
      </c>
      <c r="CN62" s="115">
        <v>140.95074462890625</v>
      </c>
      <c r="CO62" s="115">
        <v>88.415321350097656</v>
      </c>
      <c r="CP62" s="115">
        <v>94.969169616699219</v>
      </c>
      <c r="CQ62" s="115">
        <v>0</v>
      </c>
      <c r="CR62" s="115">
        <v>62.16351318359375</v>
      </c>
      <c r="CS62" s="115">
        <v>11.542652130126953</v>
      </c>
      <c r="CT62" s="115">
        <v>47.690235137939453</v>
      </c>
      <c r="CU62" s="115">
        <v>59.752635955810547</v>
      </c>
      <c r="CV62" s="116">
        <v>91.279731750488281</v>
      </c>
      <c r="CW62" s="117">
        <v>4</v>
      </c>
      <c r="CX62" s="115">
        <v>446</v>
      </c>
      <c r="CY62" s="115">
        <v>211.46356201171875</v>
      </c>
      <c r="CZ62" s="115">
        <v>61.654754638671875</v>
      </c>
      <c r="DA62" s="115">
        <v>21.712213516235352</v>
      </c>
      <c r="DB62" s="115">
        <v>42.062225341796875</v>
      </c>
      <c r="DC62" s="115">
        <v>92.310028076171875</v>
      </c>
      <c r="DD62" s="115">
        <v>670</v>
      </c>
      <c r="DE62" s="115">
        <v>203</v>
      </c>
      <c r="DF62" s="115">
        <v>702.33258056640625</v>
      </c>
      <c r="DG62" s="115">
        <v>94.394477844238281</v>
      </c>
      <c r="DH62" s="115">
        <v>66.934371948242188</v>
      </c>
      <c r="DI62" s="120">
        <v>41.205646514892578</v>
      </c>
      <c r="DJ62" s="119">
        <v>248</v>
      </c>
      <c r="DK62" s="115">
        <v>147.84599304199219</v>
      </c>
      <c r="DL62" s="115">
        <v>33.589000701904297</v>
      </c>
      <c r="DM62" s="115">
        <v>62.0260009765625</v>
      </c>
      <c r="DN62" s="115">
        <v>52.130001068115234</v>
      </c>
      <c r="DO62" s="116">
        <v>113.82563781738281</v>
      </c>
      <c r="DP62" s="117">
        <v>18.292999267578125</v>
      </c>
      <c r="DQ62" s="115"/>
      <c r="DR62" s="117">
        <v>67</v>
      </c>
      <c r="DS62" s="120">
        <v>54.099998474121094</v>
      </c>
      <c r="DT62" s="119">
        <v>14</v>
      </c>
      <c r="DU62" s="115"/>
      <c r="DV62" s="115">
        <v>175</v>
      </c>
      <c r="DW62" s="115">
        <v>164.25315856933594</v>
      </c>
      <c r="DX62" s="117">
        <v>11</v>
      </c>
      <c r="DY62" s="120"/>
      <c r="DZ62" s="119">
        <v>50</v>
      </c>
      <c r="EA62" s="115">
        <v>3</v>
      </c>
      <c r="EB62" s="115">
        <v>0</v>
      </c>
      <c r="EC62" s="115">
        <v>1</v>
      </c>
      <c r="ED62" s="115">
        <v>846.70001220703125</v>
      </c>
      <c r="EE62" s="121">
        <v>10.745209693908691</v>
      </c>
      <c r="EF62" s="121">
        <v>10.776455561319986</v>
      </c>
      <c r="EG62" s="121">
        <v>10.96327470143636</v>
      </c>
      <c r="EH62" t="s">
        <v>39</v>
      </c>
    </row>
    <row r="63" spans="1:138" x14ac:dyDescent="0.3">
      <c r="A63" s="226">
        <f t="shared" si="3"/>
        <v>46020.040972222356</v>
      </c>
      <c r="B63" s="115">
        <v>284</v>
      </c>
      <c r="C63" s="115">
        <v>54.060001373291016</v>
      </c>
      <c r="D63" s="115">
        <v>103.59700012207031</v>
      </c>
      <c r="E63" s="115">
        <v>20.357000350952148</v>
      </c>
      <c r="F63" s="115">
        <v>2.695436954498291</v>
      </c>
      <c r="G63" s="116">
        <v>20.243999481201172</v>
      </c>
      <c r="H63" s="117">
        <v>344</v>
      </c>
      <c r="I63" s="115">
        <v>312</v>
      </c>
      <c r="J63" s="115">
        <v>70.571998596191406</v>
      </c>
      <c r="K63" s="115">
        <v>63.580379486083984</v>
      </c>
      <c r="L63" s="115">
        <v>47.006000518798828</v>
      </c>
      <c r="M63" s="115">
        <v>14.814999580383301</v>
      </c>
      <c r="N63" s="115">
        <v>17.048999786376953</v>
      </c>
      <c r="O63" s="115">
        <v>18</v>
      </c>
      <c r="P63" s="115">
        <v>0</v>
      </c>
      <c r="Q63" s="115">
        <v>18.712497711181641</v>
      </c>
      <c r="R63" s="115">
        <v>24</v>
      </c>
      <c r="S63" s="115">
        <v>24.275262832641602</v>
      </c>
      <c r="T63" s="115">
        <v>9</v>
      </c>
      <c r="U63" s="115">
        <v>9</v>
      </c>
      <c r="V63" s="117">
        <v>1076</v>
      </c>
      <c r="W63" s="115">
        <v>34.926387786865234</v>
      </c>
      <c r="X63" s="115">
        <v>35.964000701904297</v>
      </c>
      <c r="Y63" s="115">
        <v>8.1429996490478516</v>
      </c>
      <c r="Z63" s="115">
        <v>0</v>
      </c>
      <c r="AA63" s="115">
        <v>30.309999465942383</v>
      </c>
      <c r="AB63" s="115">
        <v>0</v>
      </c>
      <c r="AC63" s="115">
        <v>62.682361602783203</v>
      </c>
      <c r="AD63" s="115">
        <v>5.8520002365112305</v>
      </c>
      <c r="AE63" s="115">
        <v>0</v>
      </c>
      <c r="AF63" s="115">
        <v>96.209159851074219</v>
      </c>
      <c r="AG63" s="115">
        <v>0</v>
      </c>
      <c r="AH63" s="115">
        <v>83.412139892578125</v>
      </c>
      <c r="AI63" s="115">
        <v>20.548000335693359</v>
      </c>
      <c r="AJ63" s="115">
        <v>29.441738128662109</v>
      </c>
      <c r="AK63" s="115">
        <v>48.968227386474609</v>
      </c>
      <c r="AL63" s="115">
        <v>57.431999206542969</v>
      </c>
      <c r="AM63" s="118">
        <v>57.191001892089844</v>
      </c>
      <c r="AN63" s="117">
        <v>148.625</v>
      </c>
      <c r="AO63" s="119">
        <v>80</v>
      </c>
      <c r="AP63" s="115">
        <v>79.006721496582031</v>
      </c>
      <c r="AQ63" s="115">
        <v>49.569385528564453</v>
      </c>
      <c r="AR63" s="115">
        <v>130</v>
      </c>
      <c r="AS63" s="115"/>
      <c r="AT63" s="115">
        <v>122</v>
      </c>
      <c r="AU63" s="115"/>
      <c r="AV63" s="115">
        <v>92</v>
      </c>
      <c r="AW63" s="115"/>
      <c r="AX63" s="115">
        <v>34</v>
      </c>
      <c r="AY63" s="115">
        <v>35.900070190429688</v>
      </c>
      <c r="AZ63" s="115">
        <v>23</v>
      </c>
      <c r="BA63" s="115"/>
      <c r="BB63" s="115">
        <v>195</v>
      </c>
      <c r="BC63" s="115">
        <v>202.54377746582031</v>
      </c>
      <c r="BD63" s="115">
        <v>7.1999998092651367</v>
      </c>
      <c r="BE63" s="115">
        <v>7.2887978553771973</v>
      </c>
      <c r="BF63" s="115">
        <v>30</v>
      </c>
      <c r="BG63" s="115">
        <v>11</v>
      </c>
      <c r="BH63" s="115">
        <v>12.188735008239746</v>
      </c>
      <c r="BI63" s="115"/>
      <c r="BJ63" s="108">
        <f t="shared" si="0"/>
        <v>17</v>
      </c>
      <c r="BK63" s="115">
        <v>17</v>
      </c>
      <c r="BL63" s="115">
        <v>0</v>
      </c>
      <c r="BM63" s="118"/>
      <c r="BN63" s="108">
        <f t="shared" si="1"/>
        <v>121</v>
      </c>
      <c r="BO63" s="108">
        <v>73</v>
      </c>
      <c r="BP63" s="108">
        <v>48</v>
      </c>
      <c r="BQ63" s="108">
        <v>310</v>
      </c>
      <c r="BR63" s="115">
        <v>90.363998413085938</v>
      </c>
      <c r="BS63" s="115">
        <v>26.718999862670898</v>
      </c>
      <c r="BT63" s="115">
        <v>47.104999542236328</v>
      </c>
      <c r="BU63" s="115">
        <v>48.603000640869141</v>
      </c>
      <c r="BV63" s="115">
        <v>69.699996948242188</v>
      </c>
      <c r="BW63" s="115">
        <v>6.8000001907348633</v>
      </c>
      <c r="BX63" s="115">
        <v>13.899999618530273</v>
      </c>
      <c r="BY63" s="115">
        <v>29</v>
      </c>
      <c r="BZ63" s="115">
        <v>1.3238666579127312E-2</v>
      </c>
      <c r="CA63" s="115">
        <v>1</v>
      </c>
      <c r="CB63" s="115">
        <v>29.123178482055664</v>
      </c>
      <c r="CC63" s="118"/>
      <c r="CD63" s="115">
        <v>450.51504516601563</v>
      </c>
      <c r="CE63" s="115">
        <v>83.28192138671875</v>
      </c>
      <c r="CF63" s="115">
        <v>29.841667175292969</v>
      </c>
      <c r="CG63" s="115">
        <v>35.338191986083984</v>
      </c>
      <c r="CH63" s="115">
        <v>302.4697265625</v>
      </c>
      <c r="CI63" s="115">
        <v>113.18496704101563</v>
      </c>
      <c r="CJ63" s="115">
        <v>52.746757507324219</v>
      </c>
      <c r="CK63" s="115">
        <v>64.0941162109375</v>
      </c>
      <c r="CL63" s="116">
        <v>46.863483428955078</v>
      </c>
      <c r="CM63" s="117">
        <v>331.58773803710938</v>
      </c>
      <c r="CN63" s="115">
        <v>140.95034790039063</v>
      </c>
      <c r="CO63" s="115">
        <v>90.197090148925781</v>
      </c>
      <c r="CP63" s="115">
        <v>97.427719116210938</v>
      </c>
      <c r="CQ63" s="115">
        <v>0</v>
      </c>
      <c r="CR63" s="115">
        <v>62.081592559814453</v>
      </c>
      <c r="CS63" s="115">
        <v>11.945812225341797</v>
      </c>
      <c r="CT63" s="115">
        <v>49.272575378417969</v>
      </c>
      <c r="CU63" s="115">
        <v>57.987911224365234</v>
      </c>
      <c r="CV63" s="116">
        <v>91.507125854492188</v>
      </c>
      <c r="CW63" s="117">
        <v>3</v>
      </c>
      <c r="CX63" s="115">
        <v>451</v>
      </c>
      <c r="CY63" s="115">
        <v>208.18539428710938</v>
      </c>
      <c r="CZ63" s="115">
        <v>64.555076599121094</v>
      </c>
      <c r="DA63" s="115">
        <v>23.166652679443359</v>
      </c>
      <c r="DB63" s="115">
        <v>42.889793395996094</v>
      </c>
      <c r="DC63" s="115">
        <v>93.972846984863281</v>
      </c>
      <c r="DD63" s="115">
        <v>670</v>
      </c>
      <c r="DE63" s="115">
        <v>203</v>
      </c>
      <c r="DF63" s="115">
        <v>703.351806640625</v>
      </c>
      <c r="DG63" s="115">
        <v>93.934471130371094</v>
      </c>
      <c r="DH63" s="115">
        <v>67.0771484375</v>
      </c>
      <c r="DI63" s="120">
        <v>41.037952423095703</v>
      </c>
      <c r="DJ63" s="119">
        <v>247</v>
      </c>
      <c r="DK63" s="115">
        <v>145.30099487304688</v>
      </c>
      <c r="DL63" s="115">
        <v>30.761999130249023</v>
      </c>
      <c r="DM63" s="115">
        <v>58.845001220703125</v>
      </c>
      <c r="DN63" s="115">
        <v>52.130001068115234</v>
      </c>
      <c r="DO63" s="116">
        <v>113.55094146728516</v>
      </c>
      <c r="DP63" s="117">
        <v>18.518999099731445</v>
      </c>
      <c r="DQ63" s="115"/>
      <c r="DR63" s="117">
        <v>67</v>
      </c>
      <c r="DS63" s="120">
        <v>53.599998474121094</v>
      </c>
      <c r="DT63" s="119">
        <v>13</v>
      </c>
      <c r="DU63" s="115"/>
      <c r="DV63" s="115">
        <v>173</v>
      </c>
      <c r="DW63" s="115">
        <v>164.11367797851563</v>
      </c>
      <c r="DX63" s="117">
        <v>12</v>
      </c>
      <c r="DY63" s="120"/>
      <c r="DZ63" s="119">
        <v>53</v>
      </c>
      <c r="EA63" s="115">
        <v>3</v>
      </c>
      <c r="EB63" s="115">
        <v>0</v>
      </c>
      <c r="EC63" s="115">
        <v>1</v>
      </c>
      <c r="ED63" s="115">
        <v>849.4000244140625</v>
      </c>
      <c r="EE63" s="121">
        <v>0</v>
      </c>
      <c r="EF63" s="121" t="e">
        <v>#NUM!</v>
      </c>
      <c r="EG63" s="121" t="e">
        <v>#DIV/0!</v>
      </c>
      <c r="EH63" t="s">
        <v>39</v>
      </c>
    </row>
    <row r="64" spans="1:138" x14ac:dyDescent="0.3">
      <c r="A64" s="226">
        <f t="shared" si="3"/>
        <v>46020.041666666802</v>
      </c>
      <c r="B64" s="115">
        <v>290</v>
      </c>
      <c r="C64" s="115">
        <v>52.702999114990234</v>
      </c>
      <c r="D64" s="115">
        <v>102.57900238037109</v>
      </c>
      <c r="E64" s="115">
        <v>20.017999649047852</v>
      </c>
      <c r="F64" s="115">
        <v>10.554937362670898</v>
      </c>
      <c r="G64" s="116">
        <v>19.677999496459961</v>
      </c>
      <c r="H64" s="117">
        <v>337</v>
      </c>
      <c r="I64" s="115">
        <v>311</v>
      </c>
      <c r="J64" s="115">
        <v>68.196998596191406</v>
      </c>
      <c r="K64" s="115">
        <v>62.249416351318359</v>
      </c>
      <c r="L64" s="115">
        <v>48.596000671386719</v>
      </c>
      <c r="M64" s="115">
        <v>14.25</v>
      </c>
      <c r="N64" s="115">
        <v>16.922000885009766</v>
      </c>
      <c r="O64" s="115">
        <v>19</v>
      </c>
      <c r="P64" s="115">
        <v>0</v>
      </c>
      <c r="Q64" s="115">
        <v>20.220417022705078</v>
      </c>
      <c r="R64" s="115">
        <v>25.003124237060547</v>
      </c>
      <c r="S64" s="115">
        <v>25.520166397094727</v>
      </c>
      <c r="T64" s="115">
        <v>0</v>
      </c>
      <c r="U64" s="115">
        <v>0</v>
      </c>
      <c r="V64" s="117">
        <v>1062</v>
      </c>
      <c r="W64" s="115">
        <v>33.354389190673828</v>
      </c>
      <c r="X64" s="115">
        <v>34.833000183105469</v>
      </c>
      <c r="Y64" s="115">
        <v>8.5880002975463867</v>
      </c>
      <c r="Z64" s="115">
        <v>0</v>
      </c>
      <c r="AA64" s="115">
        <v>28.5</v>
      </c>
      <c r="AB64" s="115">
        <v>0</v>
      </c>
      <c r="AC64" s="115">
        <v>61.94891357421875</v>
      </c>
      <c r="AD64" s="115">
        <v>6.3610000610351563</v>
      </c>
      <c r="AE64" s="115">
        <v>0</v>
      </c>
      <c r="AF64" s="115">
        <v>95.640335083007813</v>
      </c>
      <c r="AG64" s="115">
        <v>0</v>
      </c>
      <c r="AH64" s="115">
        <v>80.969192504882813</v>
      </c>
      <c r="AI64" s="115">
        <v>21.947000503540039</v>
      </c>
      <c r="AJ64" s="115">
        <v>30.050647735595703</v>
      </c>
      <c r="AK64" s="115">
        <v>48.747993469238281</v>
      </c>
      <c r="AL64" s="115">
        <v>58.668998718261719</v>
      </c>
      <c r="AM64" s="118">
        <v>57.445999145507813</v>
      </c>
      <c r="AN64" s="117">
        <v>147.5</v>
      </c>
      <c r="AO64" s="119">
        <v>79</v>
      </c>
      <c r="AP64" s="115">
        <v>78.667587280273438</v>
      </c>
      <c r="AQ64" s="115">
        <v>50.739593505859375</v>
      </c>
      <c r="AR64" s="115">
        <v>130</v>
      </c>
      <c r="AS64" s="115"/>
      <c r="AT64" s="115">
        <v>123</v>
      </c>
      <c r="AU64" s="115"/>
      <c r="AV64" s="115">
        <v>98</v>
      </c>
      <c r="AW64" s="115"/>
      <c r="AX64" s="115">
        <v>34</v>
      </c>
      <c r="AY64" s="115">
        <v>35.900070190429688</v>
      </c>
      <c r="AZ64" s="115">
        <v>23</v>
      </c>
      <c r="BA64" s="115"/>
      <c r="BB64" s="115">
        <v>193</v>
      </c>
      <c r="BC64" s="115">
        <v>200.33464050292969</v>
      </c>
      <c r="BD64" s="115">
        <v>7.3000001907348633</v>
      </c>
      <c r="BE64" s="115">
        <v>7.2705917358398438</v>
      </c>
      <c r="BF64" s="115">
        <v>30</v>
      </c>
      <c r="BG64" s="115">
        <v>11</v>
      </c>
      <c r="BH64" s="115">
        <v>12.230677604675293</v>
      </c>
      <c r="BI64" s="115"/>
      <c r="BJ64" s="108">
        <f t="shared" si="0"/>
        <v>16</v>
      </c>
      <c r="BK64" s="115">
        <v>16</v>
      </c>
      <c r="BL64" s="115">
        <v>0</v>
      </c>
      <c r="BM64" s="118"/>
      <c r="BN64" s="108">
        <f t="shared" si="1"/>
        <v>122.20000076293945</v>
      </c>
      <c r="BO64" s="108">
        <v>74</v>
      </c>
      <c r="BP64" s="108">
        <v>48.200000762939453</v>
      </c>
      <c r="BQ64" s="108">
        <v>309</v>
      </c>
      <c r="BR64" s="115">
        <v>92.400001525878906</v>
      </c>
      <c r="BS64" s="115">
        <v>26.209999084472656</v>
      </c>
      <c r="BT64" s="115">
        <v>46.411998748779297</v>
      </c>
      <c r="BU64" s="115">
        <v>44.977001190185547</v>
      </c>
      <c r="BV64" s="115">
        <v>70.099998474121094</v>
      </c>
      <c r="BW64" s="115">
        <v>6.9000000953674316</v>
      </c>
      <c r="BX64" s="115">
        <v>13.800000190734863</v>
      </c>
      <c r="BY64" s="115">
        <v>28</v>
      </c>
      <c r="BZ64" s="115">
        <v>1.4116729609668255E-2</v>
      </c>
      <c r="CA64" s="115">
        <v>0</v>
      </c>
      <c r="CB64" s="115">
        <v>29.428186416625977</v>
      </c>
      <c r="CC64" s="118"/>
      <c r="CD64" s="115">
        <v>436.1031494140625</v>
      </c>
      <c r="CE64" s="115">
        <v>83.126136779785156</v>
      </c>
      <c r="CF64" s="115">
        <v>31.536922454833984</v>
      </c>
      <c r="CG64" s="115">
        <v>35.338191986083984</v>
      </c>
      <c r="CH64" s="115">
        <v>301.82296752929688</v>
      </c>
      <c r="CI64" s="115">
        <v>113.49418640136719</v>
      </c>
      <c r="CJ64" s="115">
        <v>52.749614715576172</v>
      </c>
      <c r="CK64" s="115">
        <v>63.541740417480469</v>
      </c>
      <c r="CL64" s="116">
        <v>45.159400939941406</v>
      </c>
      <c r="CM64" s="117">
        <v>331.58773803710938</v>
      </c>
      <c r="CN64" s="115">
        <v>140.29058837890625</v>
      </c>
      <c r="CO64" s="115">
        <v>90.438713073730469</v>
      </c>
      <c r="CP64" s="115">
        <v>94.630134582519531</v>
      </c>
      <c r="CQ64" s="115">
        <v>0</v>
      </c>
      <c r="CR64" s="115">
        <v>63.228893280029297</v>
      </c>
      <c r="CS64" s="115">
        <v>11.75472354888916</v>
      </c>
      <c r="CT64" s="115">
        <v>46.357376098632813</v>
      </c>
      <c r="CU64" s="115">
        <v>61.583393096923828</v>
      </c>
      <c r="CV64" s="116">
        <v>91.507125854492188</v>
      </c>
      <c r="CW64" s="117">
        <v>1</v>
      </c>
      <c r="CX64" s="115">
        <v>449</v>
      </c>
      <c r="CY64" s="115">
        <v>208.49114990234375</v>
      </c>
      <c r="CZ64" s="115">
        <v>64.238319396972656</v>
      </c>
      <c r="DA64" s="115">
        <v>22.680463790893555</v>
      </c>
      <c r="DB64" s="115">
        <v>43.001838684082031</v>
      </c>
      <c r="DC64" s="115">
        <v>92.665252685546875</v>
      </c>
      <c r="DD64" s="115">
        <v>660</v>
      </c>
      <c r="DE64" s="115">
        <v>204</v>
      </c>
      <c r="DF64" s="115">
        <v>703.5474853515625</v>
      </c>
      <c r="DG64" s="115">
        <v>97.745147705078125</v>
      </c>
      <c r="DH64" s="115">
        <v>64.290740966796875</v>
      </c>
      <c r="DI64" s="120">
        <v>42.842262268066406</v>
      </c>
      <c r="DJ64" s="119">
        <v>249</v>
      </c>
      <c r="DK64" s="115">
        <v>145.55599975585938</v>
      </c>
      <c r="DL64" s="115">
        <v>31.326999664306641</v>
      </c>
      <c r="DM64" s="115">
        <v>63.26300048828125</v>
      </c>
      <c r="DN64" s="115">
        <v>53.721000671386719</v>
      </c>
      <c r="DO64" s="116">
        <v>114.74369812011719</v>
      </c>
      <c r="DP64" s="117">
        <v>17.020999908447266</v>
      </c>
      <c r="DQ64" s="115"/>
      <c r="DR64" s="117">
        <v>67</v>
      </c>
      <c r="DS64" s="120">
        <v>52.900001525878906</v>
      </c>
      <c r="DT64" s="119">
        <v>13</v>
      </c>
      <c r="DU64" s="115"/>
      <c r="DV64" s="115">
        <v>176</v>
      </c>
      <c r="DW64" s="115">
        <v>163.89935302734375</v>
      </c>
      <c r="DX64" s="117">
        <v>12</v>
      </c>
      <c r="DY64" s="120"/>
      <c r="DZ64" s="119">
        <v>51</v>
      </c>
      <c r="EA64" s="115">
        <v>3</v>
      </c>
      <c r="EB64" s="115">
        <v>0</v>
      </c>
      <c r="EC64" s="115">
        <v>1</v>
      </c>
      <c r="ED64" s="115">
        <v>851</v>
      </c>
      <c r="EE64" s="121">
        <v>9</v>
      </c>
      <c r="EF64" s="121">
        <v>10</v>
      </c>
      <c r="EG64" s="121">
        <v>10.366666666666667</v>
      </c>
      <c r="EH64" t="s">
        <v>702</v>
      </c>
    </row>
    <row r="65" spans="1:138" x14ac:dyDescent="0.3">
      <c r="A65" s="226">
        <f t="shared" si="3"/>
        <v>46020.042361111249</v>
      </c>
      <c r="B65" s="115">
        <v>289</v>
      </c>
      <c r="C65" s="115">
        <v>53.381000518798828</v>
      </c>
      <c r="D65" s="115">
        <v>103.37000274658203</v>
      </c>
      <c r="E65" s="115">
        <v>20.583000183105469</v>
      </c>
      <c r="F65" s="115">
        <v>16.481834411621094</v>
      </c>
      <c r="G65" s="116">
        <v>20.583000183105469</v>
      </c>
      <c r="H65" s="117">
        <v>340</v>
      </c>
      <c r="I65" s="115">
        <v>310</v>
      </c>
      <c r="J65" s="115">
        <v>69.780998229980469</v>
      </c>
      <c r="K65" s="115">
        <v>61.953983306884766</v>
      </c>
      <c r="L65" s="115">
        <v>46.652000427246094</v>
      </c>
      <c r="M65" s="115">
        <v>14.25</v>
      </c>
      <c r="N65" s="115">
        <v>16.794000625610352</v>
      </c>
      <c r="O65" s="115">
        <v>17</v>
      </c>
      <c r="P65" s="115">
        <v>0</v>
      </c>
      <c r="Q65" s="115">
        <v>18.416593551635742</v>
      </c>
      <c r="R65" s="115">
        <v>25.003124237060547</v>
      </c>
      <c r="S65" s="115">
        <v>26.430795669555664</v>
      </c>
      <c r="T65" s="115">
        <v>0</v>
      </c>
      <c r="U65" s="115">
        <v>0</v>
      </c>
      <c r="V65" s="117">
        <v>1059</v>
      </c>
      <c r="W65" s="115">
        <v>32.550033569335938</v>
      </c>
      <c r="X65" s="115">
        <v>35.964000701904297</v>
      </c>
      <c r="Y65" s="115">
        <v>8.4610004425048828</v>
      </c>
      <c r="Z65" s="115">
        <v>0</v>
      </c>
      <c r="AA65" s="115">
        <v>27.820999145507813</v>
      </c>
      <c r="AB65" s="115">
        <v>0</v>
      </c>
      <c r="AC65" s="115">
        <v>62.989353179931641</v>
      </c>
      <c r="AD65" s="115">
        <v>6.1069998741149902</v>
      </c>
      <c r="AE65" s="115">
        <v>0</v>
      </c>
      <c r="AF65" s="115">
        <v>94.976669311523438</v>
      </c>
      <c r="AG65" s="115">
        <v>0</v>
      </c>
      <c r="AH65" s="115">
        <v>75.631202697753906</v>
      </c>
      <c r="AI65" s="115">
        <v>21.184000015258789</v>
      </c>
      <c r="AJ65" s="115">
        <v>28.482938766479492</v>
      </c>
      <c r="AK65" s="115">
        <v>49.042278289794922</v>
      </c>
      <c r="AL65" s="115">
        <v>58.845001220703125</v>
      </c>
      <c r="AM65" s="118">
        <v>61.136001586914063</v>
      </c>
      <c r="AN65" s="117">
        <v>145.125</v>
      </c>
      <c r="AO65" s="119">
        <v>78</v>
      </c>
      <c r="AP65" s="115">
        <v>77.317100524902344</v>
      </c>
      <c r="AQ65" s="115">
        <v>50.649116516113281</v>
      </c>
      <c r="AR65" s="115">
        <v>131</v>
      </c>
      <c r="AS65" s="115"/>
      <c r="AT65" s="115">
        <v>123</v>
      </c>
      <c r="AU65" s="115"/>
      <c r="AV65" s="115">
        <v>98</v>
      </c>
      <c r="AW65" s="115"/>
      <c r="AX65" s="115">
        <v>35</v>
      </c>
      <c r="AY65" s="115">
        <v>37.527278900146484</v>
      </c>
      <c r="AZ65" s="115">
        <v>23</v>
      </c>
      <c r="BA65" s="115"/>
      <c r="BB65" s="115">
        <v>191</v>
      </c>
      <c r="BC65" s="115">
        <v>198.69940185546875</v>
      </c>
      <c r="BD65" s="115">
        <v>7.4000000953674316</v>
      </c>
      <c r="BE65" s="115">
        <v>7.260718822479248</v>
      </c>
      <c r="BF65" s="115">
        <v>30</v>
      </c>
      <c r="BG65" s="115">
        <v>11</v>
      </c>
      <c r="BH65" s="115">
        <v>12.222355842590332</v>
      </c>
      <c r="BI65" s="115"/>
      <c r="BJ65" s="108">
        <f t="shared" si="0"/>
        <v>17</v>
      </c>
      <c r="BK65" s="115">
        <v>17</v>
      </c>
      <c r="BL65" s="115">
        <v>0</v>
      </c>
      <c r="BM65" s="118"/>
      <c r="BN65" s="108">
        <f t="shared" si="1"/>
        <v>122</v>
      </c>
      <c r="BO65" s="108">
        <v>74</v>
      </c>
      <c r="BP65" s="108">
        <v>48</v>
      </c>
      <c r="BQ65" s="108">
        <v>315</v>
      </c>
      <c r="BR65" s="115">
        <v>90.250999450683594</v>
      </c>
      <c r="BS65" s="115">
        <v>27.73699951171875</v>
      </c>
      <c r="BT65" s="115">
        <v>51.606998443603516</v>
      </c>
      <c r="BU65" s="115">
        <v>45.422000885009766</v>
      </c>
      <c r="BV65" s="115">
        <v>69.599998474121094</v>
      </c>
      <c r="BW65" s="115">
        <v>6.8000001907348633</v>
      </c>
      <c r="BX65" s="115">
        <v>13.800000190734863</v>
      </c>
      <c r="BY65" s="115">
        <v>28</v>
      </c>
      <c r="BZ65" s="115">
        <v>1.4116729609668255E-2</v>
      </c>
      <c r="CA65" s="115">
        <v>1</v>
      </c>
      <c r="CB65" s="115">
        <v>29.466985702514648</v>
      </c>
      <c r="CC65" s="118"/>
      <c r="CD65" s="115">
        <v>437.54537963867188</v>
      </c>
      <c r="CE65" s="115">
        <v>86.253196716308594</v>
      </c>
      <c r="CF65" s="115">
        <v>30.499349594116211</v>
      </c>
      <c r="CG65" s="115">
        <v>35.338191986083984</v>
      </c>
      <c r="CH65" s="115">
        <v>302.18136596679688</v>
      </c>
      <c r="CI65" s="115">
        <v>110.44407653808594</v>
      </c>
      <c r="CJ65" s="115">
        <v>51.484481811523438</v>
      </c>
      <c r="CK65" s="115">
        <v>61.210296630859375</v>
      </c>
      <c r="CL65" s="116">
        <v>45.427688598632813</v>
      </c>
      <c r="CM65" s="117">
        <v>331.78488159179688</v>
      </c>
      <c r="CN65" s="115">
        <v>145.39712524414063</v>
      </c>
      <c r="CO65" s="115">
        <v>92.185333251953125</v>
      </c>
      <c r="CP65" s="115">
        <v>90.140853881835938</v>
      </c>
      <c r="CQ65" s="115">
        <v>0</v>
      </c>
      <c r="CR65" s="115">
        <v>64.189598083496094</v>
      </c>
      <c r="CS65" s="115">
        <v>11.38602352142334</v>
      </c>
      <c r="CT65" s="115">
        <v>47.930068969726563</v>
      </c>
      <c r="CU65" s="115">
        <v>63.108745574951172</v>
      </c>
      <c r="CV65" s="116">
        <v>90.990180969238281</v>
      </c>
      <c r="CW65" s="117">
        <v>3</v>
      </c>
      <c r="CX65" s="115">
        <v>449</v>
      </c>
      <c r="CY65" s="115">
        <v>209.12298583984375</v>
      </c>
      <c r="CZ65" s="115">
        <v>65.080520629882813</v>
      </c>
      <c r="DA65" s="115">
        <v>22.941202163696289</v>
      </c>
      <c r="DB65" s="115">
        <v>41.541324615478516</v>
      </c>
      <c r="DC65" s="115">
        <v>91.47955322265625</v>
      </c>
      <c r="DD65" s="115">
        <v>671</v>
      </c>
      <c r="DE65" s="115">
        <v>202</v>
      </c>
      <c r="DF65" s="115">
        <v>701.51922607421875</v>
      </c>
      <c r="DG65" s="115">
        <v>95.959617614746094</v>
      </c>
      <c r="DH65" s="115">
        <v>64.58001708984375</v>
      </c>
      <c r="DI65" s="120">
        <v>40.430015563964844</v>
      </c>
      <c r="DJ65" s="119">
        <v>255</v>
      </c>
      <c r="DK65" s="115">
        <v>145.55599975585938</v>
      </c>
      <c r="DL65" s="115">
        <v>32.118999481201172</v>
      </c>
      <c r="DM65" s="115">
        <v>63.970001220703125</v>
      </c>
      <c r="DN65" s="115">
        <v>52.659999847412109</v>
      </c>
      <c r="DO65" s="116">
        <v>119.44467163085938</v>
      </c>
      <c r="DP65" s="117">
        <v>16.908000946044922</v>
      </c>
      <c r="DQ65" s="115"/>
      <c r="DR65" s="117">
        <v>67</v>
      </c>
      <c r="DS65" s="120">
        <v>51.599998474121094</v>
      </c>
      <c r="DT65" s="119">
        <v>13</v>
      </c>
      <c r="DU65" s="115"/>
      <c r="DV65" s="115">
        <v>176</v>
      </c>
      <c r="DW65" s="115">
        <v>164.54208374023438</v>
      </c>
      <c r="DX65" s="117">
        <v>12</v>
      </c>
      <c r="DY65" s="120"/>
      <c r="DZ65" s="119">
        <v>52</v>
      </c>
      <c r="EA65" s="115">
        <v>3</v>
      </c>
      <c r="EB65" s="115">
        <v>0</v>
      </c>
      <c r="EC65" s="115">
        <v>2</v>
      </c>
      <c r="ED65" s="115">
        <v>845.0999755859375</v>
      </c>
      <c r="EE65" s="121">
        <v>9</v>
      </c>
      <c r="EF65" s="121">
        <v>10</v>
      </c>
      <c r="EG65" s="121">
        <v>10.366666666666667</v>
      </c>
      <c r="EH65" t="s">
        <v>229</v>
      </c>
    </row>
    <row r="66" spans="1:138" x14ac:dyDescent="0.3">
      <c r="A66" s="226">
        <f t="shared" si="3"/>
        <v>46020.043055555696</v>
      </c>
      <c r="B66" s="115">
        <v>283</v>
      </c>
      <c r="C66" s="115">
        <v>56.435001373291016</v>
      </c>
      <c r="D66" s="115">
        <v>102.35299682617188</v>
      </c>
      <c r="E66" s="115">
        <v>20.923000335693359</v>
      </c>
      <c r="F66" s="115">
        <v>19.626089096069336</v>
      </c>
      <c r="G66" s="116">
        <v>20.243999481201172</v>
      </c>
      <c r="H66" s="117">
        <v>340</v>
      </c>
      <c r="I66" s="115">
        <v>310</v>
      </c>
      <c r="J66" s="115">
        <v>70.120002746582031</v>
      </c>
      <c r="K66" s="115">
        <v>62.063411712646484</v>
      </c>
      <c r="L66" s="115">
        <v>50.009998321533203</v>
      </c>
      <c r="M66" s="115">
        <v>14.25</v>
      </c>
      <c r="N66" s="115">
        <v>17.367000579833984</v>
      </c>
      <c r="O66" s="115">
        <v>19</v>
      </c>
      <c r="P66" s="115">
        <v>0</v>
      </c>
      <c r="Q66" s="115">
        <v>19.261589050292969</v>
      </c>
      <c r="R66" s="115">
        <v>25.003124237060547</v>
      </c>
      <c r="S66" s="115">
        <v>26.481597900390625</v>
      </c>
      <c r="T66" s="115">
        <v>0</v>
      </c>
      <c r="U66" s="115">
        <v>0</v>
      </c>
      <c r="V66" s="117">
        <v>1059</v>
      </c>
      <c r="W66" s="115">
        <v>32.550033569335938</v>
      </c>
      <c r="X66" s="115">
        <v>36.304000854492188</v>
      </c>
      <c r="Y66" s="115">
        <v>10.496000289916992</v>
      </c>
      <c r="Z66" s="115">
        <v>0</v>
      </c>
      <c r="AA66" s="115">
        <v>27.708000183105469</v>
      </c>
      <c r="AB66" s="115">
        <v>0</v>
      </c>
      <c r="AC66" s="115">
        <v>61.473884582519531</v>
      </c>
      <c r="AD66" s="115">
        <v>5.8520002365112305</v>
      </c>
      <c r="AE66" s="115">
        <v>0</v>
      </c>
      <c r="AF66" s="115">
        <v>92.531517028808594</v>
      </c>
      <c r="AG66" s="115">
        <v>0</v>
      </c>
      <c r="AH66" s="115">
        <v>76.710563659667969</v>
      </c>
      <c r="AI66" s="115">
        <v>21.311000823974609</v>
      </c>
      <c r="AJ66" s="115">
        <v>27.932685852050781</v>
      </c>
      <c r="AK66" s="115">
        <v>48.884162902832031</v>
      </c>
      <c r="AL66" s="115">
        <v>60.082000732421875</v>
      </c>
      <c r="AM66" s="118">
        <v>59.354000091552734</v>
      </c>
      <c r="AN66" s="117">
        <v>145.125</v>
      </c>
      <c r="AO66" s="119">
        <v>78</v>
      </c>
      <c r="AP66" s="115">
        <v>77.317100524902344</v>
      </c>
      <c r="AQ66" s="115">
        <v>52.730743408203125</v>
      </c>
      <c r="AR66" s="115">
        <v>130</v>
      </c>
      <c r="AS66" s="115"/>
      <c r="AT66" s="115">
        <v>123</v>
      </c>
      <c r="AU66" s="115"/>
      <c r="AV66" s="115">
        <v>98</v>
      </c>
      <c r="AW66" s="115"/>
      <c r="AX66" s="115">
        <v>35</v>
      </c>
      <c r="AY66" s="115">
        <v>36.605262756347656</v>
      </c>
      <c r="AZ66" s="115">
        <v>23</v>
      </c>
      <c r="BA66" s="115"/>
      <c r="BB66" s="115">
        <v>191</v>
      </c>
      <c r="BC66" s="115">
        <v>196.52096557617188</v>
      </c>
      <c r="BD66" s="115">
        <v>7.3000001907348633</v>
      </c>
      <c r="BE66" s="115">
        <v>7.2531790733337402</v>
      </c>
      <c r="BF66" s="115">
        <v>31</v>
      </c>
      <c r="BG66" s="115">
        <v>11</v>
      </c>
      <c r="BH66" s="115">
        <v>12.153913497924805</v>
      </c>
      <c r="BI66" s="115"/>
      <c r="BJ66" s="108">
        <f t="shared" si="0"/>
        <v>16</v>
      </c>
      <c r="BK66" s="115">
        <v>16</v>
      </c>
      <c r="BL66" s="115">
        <v>0</v>
      </c>
      <c r="BM66" s="118"/>
      <c r="BN66" s="108">
        <f t="shared" si="1"/>
        <v>121</v>
      </c>
      <c r="BO66" s="108">
        <v>73</v>
      </c>
      <c r="BP66" s="108">
        <v>48</v>
      </c>
      <c r="BQ66" s="108">
        <v>312</v>
      </c>
      <c r="BR66" s="115">
        <v>89.799003601074219</v>
      </c>
      <c r="BS66" s="115">
        <v>25.701000213623047</v>
      </c>
      <c r="BT66" s="115">
        <v>49.528999328613281</v>
      </c>
      <c r="BU66" s="115">
        <v>44.977001190185547</v>
      </c>
      <c r="BV66" s="115">
        <v>68.900001525878906</v>
      </c>
      <c r="BW66" s="115">
        <v>6.8000001907348633</v>
      </c>
      <c r="BX66" s="115">
        <v>13.699999809265137</v>
      </c>
      <c r="BY66" s="115">
        <v>30</v>
      </c>
      <c r="BZ66" s="115">
        <v>1.526554673910141E-2</v>
      </c>
      <c r="CA66" s="115">
        <v>0</v>
      </c>
      <c r="CB66" s="115">
        <v>29.466985702514648</v>
      </c>
      <c r="CC66" s="118"/>
      <c r="CD66" s="115">
        <v>441.65621948242188</v>
      </c>
      <c r="CE66" s="115">
        <v>86.594993591308594</v>
      </c>
      <c r="CF66" s="115">
        <v>30.687957763671875</v>
      </c>
      <c r="CG66" s="115">
        <v>35.338191986083984</v>
      </c>
      <c r="CH66" s="115">
        <v>303.19400024414063</v>
      </c>
      <c r="CI66" s="115">
        <v>110.88654327392578</v>
      </c>
      <c r="CJ66" s="115">
        <v>55.378154754638672</v>
      </c>
      <c r="CK66" s="115">
        <v>58.959438323974609</v>
      </c>
      <c r="CL66" s="116">
        <v>45.976108551025391</v>
      </c>
      <c r="CM66" s="117">
        <v>330.57693481445313</v>
      </c>
      <c r="CN66" s="115">
        <v>145.49192810058594</v>
      </c>
      <c r="CO66" s="115">
        <v>89.251594543457031</v>
      </c>
      <c r="CP66" s="115">
        <v>90.297523498535156</v>
      </c>
      <c r="CQ66" s="115">
        <v>0</v>
      </c>
      <c r="CR66" s="115">
        <v>63.616493225097656</v>
      </c>
      <c r="CS66" s="115">
        <v>11.561047554016113</v>
      </c>
      <c r="CT66" s="115">
        <v>49.179676055908203</v>
      </c>
      <c r="CU66" s="115">
        <v>65.949325561523438</v>
      </c>
      <c r="CV66" s="116">
        <v>90.876106262207031</v>
      </c>
      <c r="CW66" s="117">
        <v>4</v>
      </c>
      <c r="CX66" s="115">
        <v>444</v>
      </c>
      <c r="CY66" s="115">
        <v>207.79039001464844</v>
      </c>
      <c r="CZ66" s="115">
        <v>59.873443603515625</v>
      </c>
      <c r="DA66" s="115">
        <v>23.491287231445313</v>
      </c>
      <c r="DB66" s="115">
        <v>41.541324615478516</v>
      </c>
      <c r="DC66" s="115">
        <v>90.268753051757813</v>
      </c>
      <c r="DD66" s="115">
        <v>671</v>
      </c>
      <c r="DE66" s="115">
        <v>204</v>
      </c>
      <c r="DF66" s="115">
        <v>704.72967529296875</v>
      </c>
      <c r="DG66" s="115">
        <v>96.723876953125</v>
      </c>
      <c r="DH66" s="115">
        <v>62.146278381347656</v>
      </c>
      <c r="DI66" s="120">
        <v>41.030632019042969</v>
      </c>
      <c r="DJ66" s="119">
        <v>252</v>
      </c>
      <c r="DK66" s="115">
        <v>145.55599975585938</v>
      </c>
      <c r="DL66" s="115">
        <v>29.743999481201172</v>
      </c>
      <c r="DM66" s="115">
        <v>63.617000579833984</v>
      </c>
      <c r="DN66" s="115">
        <v>51.953998565673828</v>
      </c>
      <c r="DO66" s="116">
        <v>116.62539672851563</v>
      </c>
      <c r="DP66" s="117">
        <v>17.530000686645508</v>
      </c>
      <c r="DQ66" s="115"/>
      <c r="DR66" s="117">
        <v>67</v>
      </c>
      <c r="DS66" s="120">
        <v>51.599998474121094</v>
      </c>
      <c r="DT66" s="119">
        <v>13</v>
      </c>
      <c r="DU66" s="115"/>
      <c r="DV66" s="115">
        <v>178</v>
      </c>
      <c r="DW66" s="115">
        <v>164.93118286132813</v>
      </c>
      <c r="DX66" s="117">
        <v>11</v>
      </c>
      <c r="DY66" s="120"/>
      <c r="DZ66" s="119">
        <v>52</v>
      </c>
      <c r="EA66" s="115">
        <v>3</v>
      </c>
      <c r="EB66" s="115">
        <v>0</v>
      </c>
      <c r="EC66" s="115">
        <v>2</v>
      </c>
      <c r="ED66" s="115">
        <v>845.0999755859375</v>
      </c>
      <c r="EE66" s="121">
        <v>0</v>
      </c>
      <c r="EF66" s="121">
        <v>0</v>
      </c>
      <c r="EG66" s="121">
        <v>0</v>
      </c>
      <c r="EH66" t="s">
        <v>671</v>
      </c>
    </row>
    <row r="67" spans="1:138" x14ac:dyDescent="0.3">
      <c r="A67" s="226">
        <f t="shared" si="3"/>
        <v>46020.043750000143</v>
      </c>
      <c r="B67" s="115">
        <v>283</v>
      </c>
      <c r="C67" s="115">
        <v>56.208999633789063</v>
      </c>
      <c r="D67" s="115">
        <v>103.59700012207031</v>
      </c>
      <c r="E67" s="115">
        <v>21.261999130249023</v>
      </c>
      <c r="F67" s="115">
        <v>13.679324150085449</v>
      </c>
      <c r="G67" s="116">
        <v>20.243999481201172</v>
      </c>
      <c r="H67" s="117">
        <v>344</v>
      </c>
      <c r="I67" s="115">
        <v>314</v>
      </c>
      <c r="J67" s="115">
        <v>67.971000671386719</v>
      </c>
      <c r="K67" s="115">
        <v>62.809810638427734</v>
      </c>
      <c r="L67" s="115">
        <v>49.655998229980469</v>
      </c>
      <c r="M67" s="115">
        <v>14.58899974822998</v>
      </c>
      <c r="N67" s="115">
        <v>16.731000900268555</v>
      </c>
      <c r="O67" s="115">
        <v>17</v>
      </c>
      <c r="P67" s="115">
        <v>0</v>
      </c>
      <c r="Q67" s="115">
        <v>17.359098434448242</v>
      </c>
      <c r="R67" s="115">
        <v>27</v>
      </c>
      <c r="S67" s="115">
        <v>27.192270278930664</v>
      </c>
      <c r="T67" s="115">
        <v>0</v>
      </c>
      <c r="U67" s="115">
        <v>0</v>
      </c>
      <c r="V67" s="117">
        <v>1061</v>
      </c>
      <c r="W67" s="115">
        <v>34.041950225830078</v>
      </c>
      <c r="X67" s="115">
        <v>35.625</v>
      </c>
      <c r="Y67" s="115">
        <v>8.9060001373291016</v>
      </c>
      <c r="Z67" s="115">
        <v>0</v>
      </c>
      <c r="AA67" s="115">
        <v>32.685001373291016</v>
      </c>
      <c r="AB67" s="115">
        <v>0</v>
      </c>
      <c r="AC67" s="115">
        <v>62.330360412597656</v>
      </c>
      <c r="AD67" s="115">
        <v>5.8520002365112305</v>
      </c>
      <c r="AE67" s="115">
        <v>0</v>
      </c>
      <c r="AF67" s="115">
        <v>94.287559509277344</v>
      </c>
      <c r="AG67" s="115">
        <v>0</v>
      </c>
      <c r="AH67" s="115">
        <v>71.974700927734375</v>
      </c>
      <c r="AI67" s="115">
        <v>17.621000289916992</v>
      </c>
      <c r="AJ67" s="115">
        <v>26.614425659179688</v>
      </c>
      <c r="AK67" s="115">
        <v>49.017490386962891</v>
      </c>
      <c r="AL67" s="115">
        <v>57.608001708984375</v>
      </c>
      <c r="AM67" s="118">
        <v>61.26300048828125</v>
      </c>
      <c r="AN67" s="117">
        <v>151.75</v>
      </c>
      <c r="AO67" s="119">
        <v>84</v>
      </c>
      <c r="AP67" s="115">
        <v>77.238365173339844</v>
      </c>
      <c r="AQ67" s="115">
        <v>53.003509521484375</v>
      </c>
      <c r="AR67" s="115">
        <v>127</v>
      </c>
      <c r="AS67" s="115"/>
      <c r="AT67" s="115">
        <v>123</v>
      </c>
      <c r="AU67" s="115"/>
      <c r="AV67" s="115">
        <v>89</v>
      </c>
      <c r="AW67" s="115"/>
      <c r="AX67" s="115">
        <v>35</v>
      </c>
      <c r="AY67" s="115">
        <v>37.069210052490234</v>
      </c>
      <c r="AZ67" s="115">
        <v>23</v>
      </c>
      <c r="BA67" s="115"/>
      <c r="BB67" s="115">
        <v>270</v>
      </c>
      <c r="BC67" s="115">
        <v>229.12820434570313</v>
      </c>
      <c r="BD67" s="115">
        <v>7.1999998092651367</v>
      </c>
      <c r="BE67" s="115">
        <v>7.2560567855834961</v>
      </c>
      <c r="BF67" s="115">
        <v>31</v>
      </c>
      <c r="BG67" s="115">
        <v>11</v>
      </c>
      <c r="BH67" s="115">
        <v>12.160636901855469</v>
      </c>
      <c r="BI67" s="115"/>
      <c r="BJ67" s="108">
        <f t="shared" si="0"/>
        <v>16</v>
      </c>
      <c r="BK67" s="115">
        <v>16</v>
      </c>
      <c r="BL67" s="115">
        <v>0</v>
      </c>
      <c r="BM67" s="118"/>
      <c r="BN67" s="108">
        <f t="shared" si="1"/>
        <v>123.29999923706055</v>
      </c>
      <c r="BO67" s="108">
        <v>75</v>
      </c>
      <c r="BP67" s="108">
        <v>48.299999237060547</v>
      </c>
      <c r="BQ67" s="108">
        <v>312</v>
      </c>
      <c r="BR67" s="115">
        <v>96.358001708984375</v>
      </c>
      <c r="BS67" s="115">
        <v>25.701000213623047</v>
      </c>
      <c r="BT67" s="115">
        <v>50.568000793457031</v>
      </c>
      <c r="BU67" s="115">
        <v>45.486000061035156</v>
      </c>
      <c r="BV67" s="115">
        <v>69</v>
      </c>
      <c r="BW67" s="115">
        <v>6.6999998092651367</v>
      </c>
      <c r="BX67" s="115">
        <v>13.699999809265137</v>
      </c>
      <c r="BY67" s="115">
        <v>28</v>
      </c>
      <c r="BZ67" s="115">
        <v>1.527817640453577E-2</v>
      </c>
      <c r="CA67" s="115">
        <v>0</v>
      </c>
      <c r="CB67" s="115">
        <v>29.551712036132813</v>
      </c>
      <c r="CC67" s="118"/>
      <c r="CD67" s="115">
        <v>435.81594848632813</v>
      </c>
      <c r="CE67" s="115">
        <v>85.577827453613281</v>
      </c>
      <c r="CF67" s="115">
        <v>30.278556823730469</v>
      </c>
      <c r="CG67" s="115">
        <v>35.338191986083984</v>
      </c>
      <c r="CH67" s="115">
        <v>302.9462890625</v>
      </c>
      <c r="CI67" s="115">
        <v>108.11212158203125</v>
      </c>
      <c r="CJ67" s="115">
        <v>54.040435791015625</v>
      </c>
      <c r="CK67" s="115">
        <v>59.194389343261719</v>
      </c>
      <c r="CL67" s="116">
        <v>45.106208801269531</v>
      </c>
      <c r="CM67" s="117">
        <v>328.16275024414063</v>
      </c>
      <c r="CN67" s="115">
        <v>143.67283630371094</v>
      </c>
      <c r="CO67" s="115">
        <v>88.994972229003906</v>
      </c>
      <c r="CP67" s="115">
        <v>92.012252807617188</v>
      </c>
      <c r="CQ67" s="115">
        <v>0</v>
      </c>
      <c r="CR67" s="115">
        <v>62.482227325439453</v>
      </c>
      <c r="CS67" s="115">
        <v>11.771152496337891</v>
      </c>
      <c r="CT67" s="115">
        <v>50.094196319580078</v>
      </c>
      <c r="CU67" s="115">
        <v>62.601097106933594</v>
      </c>
      <c r="CV67" s="116">
        <v>91.912574768066406</v>
      </c>
      <c r="CW67" s="117">
        <v>4</v>
      </c>
      <c r="CX67" s="115">
        <v>443</v>
      </c>
      <c r="CY67" s="115">
        <v>208.55450439453125</v>
      </c>
      <c r="CZ67" s="115">
        <v>60.727016448974609</v>
      </c>
      <c r="DA67" s="115">
        <v>24.96632194519043</v>
      </c>
      <c r="DB67" s="115">
        <v>41.712867736816406</v>
      </c>
      <c r="DC67" s="115">
        <v>90.621803283691406</v>
      </c>
      <c r="DD67" s="115">
        <v>672</v>
      </c>
      <c r="DE67" s="115">
        <v>204</v>
      </c>
      <c r="DF67" s="115">
        <v>704.6693115234375</v>
      </c>
      <c r="DG67" s="115">
        <v>96.286415100097656</v>
      </c>
      <c r="DH67" s="115">
        <v>64.123100280761719</v>
      </c>
      <c r="DI67" s="120">
        <v>41.29437255859375</v>
      </c>
      <c r="DJ67" s="119">
        <v>252</v>
      </c>
      <c r="DK67" s="115">
        <v>145.55599975585938</v>
      </c>
      <c r="DL67" s="115">
        <v>29.743999481201172</v>
      </c>
      <c r="DM67" s="115">
        <v>64.5</v>
      </c>
      <c r="DN67" s="115">
        <v>51.953998565673828</v>
      </c>
      <c r="DO67" s="116">
        <v>114.61245727539063</v>
      </c>
      <c r="DP67" s="117">
        <v>16.878999710083008</v>
      </c>
      <c r="DQ67" s="115"/>
      <c r="DR67" s="117">
        <v>67</v>
      </c>
      <c r="DS67" s="120">
        <v>52.599998474121094</v>
      </c>
      <c r="DT67" s="119">
        <v>13</v>
      </c>
      <c r="DU67" s="115"/>
      <c r="DV67" s="115">
        <v>175</v>
      </c>
      <c r="DW67" s="115">
        <v>164.34388732910156</v>
      </c>
      <c r="DX67" s="117">
        <v>11</v>
      </c>
      <c r="DY67" s="120"/>
      <c r="DZ67" s="119">
        <v>52</v>
      </c>
      <c r="EA67" s="115">
        <v>3</v>
      </c>
      <c r="EB67" s="115">
        <v>0</v>
      </c>
      <c r="EC67" s="115">
        <v>1</v>
      </c>
      <c r="ED67" s="115">
        <v>846.70001220703125</v>
      </c>
      <c r="EE67" s="121">
        <v>0</v>
      </c>
      <c r="EF67" s="121" t="e">
        <v>#NUM!</v>
      </c>
      <c r="EG67" s="121" t="e">
        <v>#DIV/0!</v>
      </c>
      <c r="EH67" t="s">
        <v>17</v>
      </c>
    </row>
    <row r="68" spans="1:138" x14ac:dyDescent="0.3">
      <c r="A68" s="226">
        <f t="shared" si="3"/>
        <v>46020.044444444589</v>
      </c>
      <c r="B68" s="115">
        <v>277</v>
      </c>
      <c r="C68" s="115">
        <v>57.566001892089844</v>
      </c>
      <c r="D68" s="115">
        <v>100.76899719238281</v>
      </c>
      <c r="E68" s="115">
        <v>20.583000183105469</v>
      </c>
      <c r="F68" s="115">
        <v>1.5182374715805054</v>
      </c>
      <c r="G68" s="116">
        <v>20.583000183105469</v>
      </c>
      <c r="H68" s="117">
        <v>341</v>
      </c>
      <c r="I68" s="115">
        <v>309</v>
      </c>
      <c r="J68" s="115">
        <v>69.214996337890625</v>
      </c>
      <c r="K68" s="115">
        <v>61.961082458496094</v>
      </c>
      <c r="L68" s="115">
        <v>47.712001800537109</v>
      </c>
      <c r="M68" s="115">
        <v>15.154999732971191</v>
      </c>
      <c r="N68" s="115">
        <v>18.129999160766602</v>
      </c>
      <c r="O68" s="115">
        <v>19</v>
      </c>
      <c r="P68" s="115">
        <v>0</v>
      </c>
      <c r="Q68" s="115">
        <v>19.150774002075195</v>
      </c>
      <c r="R68" s="115">
        <v>24</v>
      </c>
      <c r="S68" s="115">
        <v>25.641380310058594</v>
      </c>
      <c r="T68" s="115">
        <v>0</v>
      </c>
      <c r="U68" s="115">
        <v>0</v>
      </c>
      <c r="V68" s="117">
        <v>1049</v>
      </c>
      <c r="W68" s="115">
        <v>34.510368347167969</v>
      </c>
      <c r="X68" s="115">
        <v>35.512001037597656</v>
      </c>
      <c r="Y68" s="115">
        <v>8.9700002670288086</v>
      </c>
      <c r="Z68" s="115">
        <v>0</v>
      </c>
      <c r="AA68" s="115">
        <v>27.820999145507813</v>
      </c>
      <c r="AB68" s="115">
        <v>0</v>
      </c>
      <c r="AC68" s="115">
        <v>62.524520874023438</v>
      </c>
      <c r="AD68" s="115">
        <v>5.8520002365112305</v>
      </c>
      <c r="AE68" s="115">
        <v>0</v>
      </c>
      <c r="AF68" s="115">
        <v>93.577774047851563</v>
      </c>
      <c r="AG68" s="115">
        <v>0</v>
      </c>
      <c r="AH68" s="115">
        <v>71.974700927734375</v>
      </c>
      <c r="AI68" s="115">
        <v>19.656999588012695</v>
      </c>
      <c r="AJ68" s="115">
        <v>28.261091232299805</v>
      </c>
      <c r="AK68" s="115">
        <v>49.115329742431641</v>
      </c>
      <c r="AL68" s="115">
        <v>57.431999206542969</v>
      </c>
      <c r="AM68" s="118">
        <v>61.26300048828125</v>
      </c>
      <c r="AN68" s="117">
        <v>151</v>
      </c>
      <c r="AO68" s="119">
        <v>81</v>
      </c>
      <c r="AP68" s="115">
        <v>77.25732421875</v>
      </c>
      <c r="AQ68" s="115">
        <v>51.588626861572266</v>
      </c>
      <c r="AR68" s="115">
        <v>127</v>
      </c>
      <c r="AS68" s="115"/>
      <c r="AT68" s="115">
        <v>124</v>
      </c>
      <c r="AU68" s="115"/>
      <c r="AV68" s="115">
        <v>89</v>
      </c>
      <c r="AW68" s="115"/>
      <c r="AX68" s="115">
        <v>34</v>
      </c>
      <c r="AY68" s="115">
        <v>37.200939178466797</v>
      </c>
      <c r="AZ68" s="115">
        <v>22</v>
      </c>
      <c r="BA68" s="115"/>
      <c r="BB68" s="115">
        <v>289</v>
      </c>
      <c r="BC68" s="115">
        <v>297.02252197265625</v>
      </c>
      <c r="BD68" s="115">
        <v>7.1999998092651367</v>
      </c>
      <c r="BE68" s="115">
        <v>7.2498331069946289</v>
      </c>
      <c r="BF68" s="115">
        <v>30</v>
      </c>
      <c r="BG68" s="115">
        <v>11</v>
      </c>
      <c r="BH68" s="115">
        <v>12.094183921813965</v>
      </c>
      <c r="BI68" s="115"/>
      <c r="BJ68" s="108">
        <f t="shared" si="0"/>
        <v>17</v>
      </c>
      <c r="BK68" s="115">
        <v>17</v>
      </c>
      <c r="BL68" s="115">
        <v>0</v>
      </c>
      <c r="BM68" s="118"/>
      <c r="BN68" s="108">
        <f t="shared" si="1"/>
        <v>123.29999923706055</v>
      </c>
      <c r="BO68" s="108">
        <v>75</v>
      </c>
      <c r="BP68" s="108">
        <v>48.299999237060547</v>
      </c>
      <c r="BQ68" s="108">
        <v>315</v>
      </c>
      <c r="BR68" s="115">
        <v>89.572998046875</v>
      </c>
      <c r="BS68" s="115">
        <v>27.482000350952148</v>
      </c>
      <c r="BT68" s="115">
        <v>49.875</v>
      </c>
      <c r="BU68" s="115">
        <v>46.694999694824219</v>
      </c>
      <c r="BV68" s="115">
        <v>68.699996948242188</v>
      </c>
      <c r="BW68" s="115">
        <v>6.6999998092651367</v>
      </c>
      <c r="BX68" s="115">
        <v>13.800000190734863</v>
      </c>
      <c r="BY68" s="115">
        <v>28</v>
      </c>
      <c r="BZ68" s="115">
        <v>1.53426518663764E-2</v>
      </c>
      <c r="CA68" s="115">
        <v>0</v>
      </c>
      <c r="CB68" s="115">
        <v>29.167093276977539</v>
      </c>
      <c r="CC68" s="118"/>
      <c r="CD68" s="115">
        <v>442.85531616210938</v>
      </c>
      <c r="CE68" s="115">
        <v>84.476493835449219</v>
      </c>
      <c r="CF68" s="115">
        <v>30.073709487915039</v>
      </c>
      <c r="CG68" s="115">
        <v>35.338191986083984</v>
      </c>
      <c r="CH68" s="115">
        <v>302.37081909179688</v>
      </c>
      <c r="CI68" s="115">
        <v>107.45770263671875</v>
      </c>
      <c r="CJ68" s="115">
        <v>53.938819885253906</v>
      </c>
      <c r="CK68" s="115">
        <v>61.071216583251953</v>
      </c>
      <c r="CL68" s="116">
        <v>43.499847412109375</v>
      </c>
      <c r="CM68" s="117">
        <v>325.8321533203125</v>
      </c>
      <c r="CN68" s="115">
        <v>143.0247802734375</v>
      </c>
      <c r="CO68" s="115">
        <v>90.757316589355469</v>
      </c>
      <c r="CP68" s="115">
        <v>86.567527770996094</v>
      </c>
      <c r="CQ68" s="115">
        <v>0</v>
      </c>
      <c r="CR68" s="115">
        <v>64.502693176269531</v>
      </c>
      <c r="CS68" s="115">
        <v>11.632039070129395</v>
      </c>
      <c r="CT68" s="115">
        <v>51.639411926269531</v>
      </c>
      <c r="CU68" s="115">
        <v>64.421768188476563</v>
      </c>
      <c r="CV68" s="116">
        <v>90.488899230957031</v>
      </c>
      <c r="CW68" s="117">
        <v>4</v>
      </c>
      <c r="CX68" s="115">
        <v>452</v>
      </c>
      <c r="CY68" s="115">
        <v>207.75051879882813</v>
      </c>
      <c r="CZ68" s="115">
        <v>60.727016448974609</v>
      </c>
      <c r="DA68" s="115">
        <v>24.941484451293945</v>
      </c>
      <c r="DB68" s="115">
        <v>42.967784881591797</v>
      </c>
      <c r="DC68" s="115">
        <v>93.959602355957031</v>
      </c>
      <c r="DD68" s="115">
        <v>654</v>
      </c>
      <c r="DE68" s="115">
        <v>204</v>
      </c>
      <c r="DF68" s="115">
        <v>699.4906005859375</v>
      </c>
      <c r="DG68" s="115">
        <v>92.069625854492188</v>
      </c>
      <c r="DH68" s="115">
        <v>63.365894317626953</v>
      </c>
      <c r="DI68" s="120">
        <v>40.033309936523438</v>
      </c>
      <c r="DJ68" s="119">
        <v>241</v>
      </c>
      <c r="DK68" s="115">
        <v>142.24800109863281</v>
      </c>
      <c r="DL68" s="115">
        <v>30.195999145507813</v>
      </c>
      <c r="DM68" s="115">
        <v>63.617000579833984</v>
      </c>
      <c r="DN68" s="115">
        <v>49.655998229980469</v>
      </c>
      <c r="DO68" s="116">
        <v>115.39987182617188</v>
      </c>
      <c r="DP68" s="117">
        <v>17.302999496459961</v>
      </c>
      <c r="DQ68" s="115"/>
      <c r="DR68" s="117">
        <v>67</v>
      </c>
      <c r="DS68" s="120">
        <v>53.200000762939453</v>
      </c>
      <c r="DT68" s="119">
        <v>13</v>
      </c>
      <c r="DU68" s="115"/>
      <c r="DV68" s="115">
        <v>173</v>
      </c>
      <c r="DW68" s="115">
        <v>165.38638305664063</v>
      </c>
      <c r="DX68" s="117">
        <v>11</v>
      </c>
      <c r="DY68" s="120"/>
      <c r="DZ68" s="119">
        <v>49</v>
      </c>
      <c r="EA68" s="115">
        <v>3</v>
      </c>
      <c r="EB68" s="115">
        <v>0</v>
      </c>
      <c r="EC68" s="115">
        <v>1</v>
      </c>
      <c r="ED68" s="115">
        <v>840.5</v>
      </c>
      <c r="EE68" s="121">
        <v>119.20000076293945</v>
      </c>
      <c r="EF68" s="121">
        <v>119.38333320617676</v>
      </c>
      <c r="EG68" s="121">
        <v>120.48000030517578</v>
      </c>
      <c r="EH68" t="s">
        <v>690</v>
      </c>
    </row>
    <row r="69" spans="1:138" x14ac:dyDescent="0.3">
      <c r="A69" s="226">
        <f t="shared" si="3"/>
        <v>46020.045138889036</v>
      </c>
      <c r="B69" s="115">
        <v>275</v>
      </c>
      <c r="C69" s="115">
        <v>56.887001037597656</v>
      </c>
      <c r="D69" s="115">
        <v>100.76899719238281</v>
      </c>
      <c r="E69" s="115">
        <v>20.469999313354492</v>
      </c>
      <c r="F69" s="115">
        <v>1.8005707263946533</v>
      </c>
      <c r="G69" s="116">
        <v>20.131000518798828</v>
      </c>
      <c r="H69" s="117">
        <v>345</v>
      </c>
      <c r="I69" s="115">
        <v>309</v>
      </c>
      <c r="J69" s="115">
        <v>68.988998413085938</v>
      </c>
      <c r="K69" s="115">
        <v>63.367771148681641</v>
      </c>
      <c r="L69" s="115">
        <v>50.186000823974609</v>
      </c>
      <c r="M69" s="115">
        <v>14.25</v>
      </c>
      <c r="N69" s="115">
        <v>17.684999465942383</v>
      </c>
      <c r="O69" s="115">
        <v>20</v>
      </c>
      <c r="P69" s="115">
        <v>0</v>
      </c>
      <c r="Q69" s="115">
        <v>20.582290649414063</v>
      </c>
      <c r="R69" s="115">
        <v>24</v>
      </c>
      <c r="S69" s="115">
        <v>24.819002151489258</v>
      </c>
      <c r="T69" s="115">
        <v>0</v>
      </c>
      <c r="U69" s="115">
        <v>0</v>
      </c>
      <c r="V69" s="117">
        <v>1055</v>
      </c>
      <c r="W69" s="115">
        <v>33.545612335205078</v>
      </c>
      <c r="X69" s="115">
        <v>34.268001556396484</v>
      </c>
      <c r="Y69" s="115">
        <v>8.4610004425048828</v>
      </c>
      <c r="Z69" s="115">
        <v>0</v>
      </c>
      <c r="AA69" s="115">
        <v>28.839000701904297</v>
      </c>
      <c r="AB69" s="115">
        <v>0</v>
      </c>
      <c r="AC69" s="115">
        <v>62.058238983154297</v>
      </c>
      <c r="AD69" s="115">
        <v>6.1069998741149902</v>
      </c>
      <c r="AE69" s="115">
        <v>0</v>
      </c>
      <c r="AF69" s="115">
        <v>93.980766296386719</v>
      </c>
      <c r="AG69" s="115">
        <v>0</v>
      </c>
      <c r="AH69" s="115">
        <v>71.900955200195313</v>
      </c>
      <c r="AI69" s="115">
        <v>20.420999526977539</v>
      </c>
      <c r="AJ69" s="115">
        <v>29.59912109375</v>
      </c>
      <c r="AK69" s="115">
        <v>49.351161956787109</v>
      </c>
      <c r="AL69" s="115">
        <v>57.431999206542969</v>
      </c>
      <c r="AM69" s="118">
        <v>61.26300048828125</v>
      </c>
      <c r="AN69" s="117">
        <v>152.5</v>
      </c>
      <c r="AO69" s="119">
        <v>82</v>
      </c>
      <c r="AP69" s="115">
        <v>77.855712890625</v>
      </c>
      <c r="AQ69" s="115">
        <v>55.624752044677734</v>
      </c>
      <c r="AR69" s="115">
        <v>125</v>
      </c>
      <c r="AS69" s="115"/>
      <c r="AT69" s="115">
        <v>123</v>
      </c>
      <c r="AU69" s="115"/>
      <c r="AV69" s="115">
        <v>91</v>
      </c>
      <c r="AW69" s="115"/>
      <c r="AX69" s="115">
        <v>34</v>
      </c>
      <c r="AY69" s="115">
        <v>36.103233337402344</v>
      </c>
      <c r="AZ69" s="115">
        <v>21</v>
      </c>
      <c r="BA69" s="115"/>
      <c r="BB69" s="115">
        <v>291</v>
      </c>
      <c r="BC69" s="115">
        <v>299.29855346679688</v>
      </c>
      <c r="BD69" s="115">
        <v>7.1999998092651367</v>
      </c>
      <c r="BE69" s="115">
        <v>7.2377939224243164</v>
      </c>
      <c r="BF69" s="115">
        <v>30</v>
      </c>
      <c r="BG69" s="115">
        <v>11</v>
      </c>
      <c r="BH69" s="115">
        <v>12.08860969543457</v>
      </c>
      <c r="BI69" s="115"/>
      <c r="BJ69" s="108">
        <f t="shared" ref="BJ69:BJ132" si="4">SUM(BK69:BL69)</f>
        <v>17</v>
      </c>
      <c r="BK69" s="115">
        <v>17</v>
      </c>
      <c r="BL69" s="115">
        <v>0</v>
      </c>
      <c r="BM69" s="118"/>
      <c r="BN69" s="108">
        <f t="shared" ref="BN69:BN132" si="5">SUM(BO69:BP69)</f>
        <v>122.20000076293945</v>
      </c>
      <c r="BO69" s="108">
        <v>74</v>
      </c>
      <c r="BP69" s="108">
        <v>48.200000762939453</v>
      </c>
      <c r="BQ69" s="108">
        <v>314</v>
      </c>
      <c r="BR69" s="115">
        <v>91.608001708984375</v>
      </c>
      <c r="BS69" s="115">
        <v>27.482000350952148</v>
      </c>
      <c r="BT69" s="115">
        <v>47.451000213623047</v>
      </c>
      <c r="BU69" s="115">
        <v>45.104000091552734</v>
      </c>
      <c r="BV69" s="115">
        <v>68.300003051757813</v>
      </c>
      <c r="BW69" s="115">
        <v>6.9000000953674316</v>
      </c>
      <c r="BX69" s="115">
        <v>13.5</v>
      </c>
      <c r="BY69" s="115">
        <v>28</v>
      </c>
      <c r="BZ69" s="115">
        <v>1.1794924736022949E-2</v>
      </c>
      <c r="CA69" s="115">
        <v>0</v>
      </c>
      <c r="CB69" s="115">
        <v>29.076513290405273</v>
      </c>
      <c r="CC69" s="118"/>
      <c r="CD69" s="115">
        <v>440.5789794921875</v>
      </c>
      <c r="CE69" s="115">
        <v>85.936134338378906</v>
      </c>
      <c r="CF69" s="115">
        <v>30.929950714111328</v>
      </c>
      <c r="CG69" s="115">
        <v>35.338191986083984</v>
      </c>
      <c r="CH69" s="115">
        <v>302.38449096679688</v>
      </c>
      <c r="CI69" s="115">
        <v>111.7047119140625</v>
      </c>
      <c r="CJ69" s="115">
        <v>53.510772705078125</v>
      </c>
      <c r="CK69" s="115">
        <v>60.565029144287109</v>
      </c>
      <c r="CL69" s="116">
        <v>44.852737426757813</v>
      </c>
      <c r="CM69" s="117">
        <v>322.79104614257813</v>
      </c>
      <c r="CN69" s="115">
        <v>142.09846496582031</v>
      </c>
      <c r="CO69" s="115">
        <v>89.961921691894531</v>
      </c>
      <c r="CP69" s="115">
        <v>85.187309265136719</v>
      </c>
      <c r="CQ69" s="115">
        <v>0</v>
      </c>
      <c r="CR69" s="115">
        <v>62.004020690917969</v>
      </c>
      <c r="CS69" s="115">
        <v>11.705121994018555</v>
      </c>
      <c r="CT69" s="115">
        <v>51.699569702148438</v>
      </c>
      <c r="CU69" s="115">
        <v>66.200149536132813</v>
      </c>
      <c r="CV69" s="116">
        <v>90.71612548828125</v>
      </c>
      <c r="CW69" s="117">
        <v>4</v>
      </c>
      <c r="CX69" s="115">
        <v>447</v>
      </c>
      <c r="CY69" s="115">
        <v>202.902099609375</v>
      </c>
      <c r="CZ69" s="115">
        <v>63.203441619873047</v>
      </c>
      <c r="DA69" s="115">
        <v>25.742019653320313</v>
      </c>
      <c r="DB69" s="115">
        <v>43.173561096191406</v>
      </c>
      <c r="DC69" s="115">
        <v>93.933639526367188</v>
      </c>
      <c r="DD69" s="115">
        <v>654</v>
      </c>
      <c r="DE69" s="115">
        <v>204</v>
      </c>
      <c r="DF69" s="115">
        <v>691.07403564453125</v>
      </c>
      <c r="DG69" s="115">
        <v>93.95172119140625</v>
      </c>
      <c r="DH69" s="115">
        <v>63.118785858154297</v>
      </c>
      <c r="DI69" s="120">
        <v>40.214031219482422</v>
      </c>
      <c r="DJ69" s="119">
        <v>241</v>
      </c>
      <c r="DK69" s="115">
        <v>142.24800109863281</v>
      </c>
      <c r="DL69" s="115">
        <v>30.423000335693359</v>
      </c>
      <c r="DM69" s="115">
        <v>59.199001312255859</v>
      </c>
      <c r="DN69" s="115">
        <v>51.599998474121094</v>
      </c>
      <c r="DO69" s="116">
        <v>116.27494049072266</v>
      </c>
      <c r="DP69" s="117">
        <v>17.048999786376953</v>
      </c>
      <c r="DQ69" s="115"/>
      <c r="DR69" s="117">
        <v>67</v>
      </c>
      <c r="DS69" s="120">
        <v>53.099998474121094</v>
      </c>
      <c r="DT69" s="119">
        <v>13</v>
      </c>
      <c r="DU69" s="115"/>
      <c r="DV69" s="115">
        <v>170</v>
      </c>
      <c r="DW69" s="115">
        <v>164.89376831054688</v>
      </c>
      <c r="DX69" s="117">
        <v>11</v>
      </c>
      <c r="DY69" s="120"/>
      <c r="DZ69" s="119">
        <v>47</v>
      </c>
      <c r="EA69" s="115">
        <v>3</v>
      </c>
      <c r="EB69" s="115">
        <v>0</v>
      </c>
      <c r="EC69" s="115">
        <v>1</v>
      </c>
      <c r="ED69" s="115">
        <v>836</v>
      </c>
      <c r="EE69" s="121">
        <v>71</v>
      </c>
      <c r="EF69" s="121">
        <v>71</v>
      </c>
      <c r="EG69" s="121">
        <v>72.266666666666666</v>
      </c>
      <c r="EH69" t="s">
        <v>683</v>
      </c>
    </row>
    <row r="70" spans="1:138" x14ac:dyDescent="0.3">
      <c r="A70" s="226">
        <f t="shared" si="3"/>
        <v>46020.045833333483</v>
      </c>
      <c r="B70" s="115">
        <v>271</v>
      </c>
      <c r="C70" s="115">
        <v>56.096000671386719</v>
      </c>
      <c r="D70" s="115">
        <v>99.63800048828125</v>
      </c>
      <c r="E70" s="115">
        <v>19.22599983215332</v>
      </c>
      <c r="F70" s="115">
        <v>1.7777706384658813</v>
      </c>
      <c r="G70" s="116">
        <v>20.923000335693359</v>
      </c>
      <c r="H70" s="117">
        <v>344</v>
      </c>
      <c r="I70" s="115">
        <v>308</v>
      </c>
      <c r="J70" s="115">
        <v>71.250999450683594</v>
      </c>
      <c r="K70" s="115">
        <v>62.118991851806641</v>
      </c>
      <c r="L70" s="115">
        <v>50.186000823974609</v>
      </c>
      <c r="M70" s="115">
        <v>14.25</v>
      </c>
      <c r="N70" s="115">
        <v>17.812000274658203</v>
      </c>
      <c r="O70" s="115">
        <v>19</v>
      </c>
      <c r="P70" s="115">
        <v>0</v>
      </c>
      <c r="Q70" s="115">
        <v>20.510786056518555</v>
      </c>
      <c r="R70" s="115">
        <v>25.996875762939453</v>
      </c>
      <c r="S70" s="115">
        <v>25.516447067260742</v>
      </c>
      <c r="T70" s="115">
        <v>0</v>
      </c>
      <c r="U70" s="115">
        <v>0</v>
      </c>
      <c r="V70" s="117">
        <v>1052</v>
      </c>
      <c r="W70" s="115">
        <v>32.865436553955078</v>
      </c>
      <c r="X70" s="115">
        <v>34.946998596191406</v>
      </c>
      <c r="Y70" s="115">
        <v>8.5880002975463867</v>
      </c>
      <c r="Z70" s="115">
        <v>0</v>
      </c>
      <c r="AA70" s="115">
        <v>27.934999465942383</v>
      </c>
      <c r="AB70" s="115">
        <v>0</v>
      </c>
      <c r="AC70" s="115">
        <v>61.904556274414063</v>
      </c>
      <c r="AD70" s="115">
        <v>6.1069998741149902</v>
      </c>
      <c r="AE70" s="115">
        <v>0</v>
      </c>
      <c r="AF70" s="115">
        <v>95.123580932617188</v>
      </c>
      <c r="AG70" s="115">
        <v>0</v>
      </c>
      <c r="AH70" s="115">
        <v>71.243110656738281</v>
      </c>
      <c r="AI70" s="115">
        <v>21.24799919128418</v>
      </c>
      <c r="AJ70" s="115">
        <v>29.191509246826172</v>
      </c>
      <c r="AK70" s="115">
        <v>49.70745849609375</v>
      </c>
      <c r="AL70" s="115">
        <v>58.492000579833984</v>
      </c>
      <c r="AM70" s="118">
        <v>59.862998962402344</v>
      </c>
      <c r="AN70" s="117">
        <v>147.4375</v>
      </c>
      <c r="AO70" s="119">
        <v>81</v>
      </c>
      <c r="AP70" s="115">
        <v>76.205116271972656</v>
      </c>
      <c r="AQ70" s="115">
        <v>52.741645812988281</v>
      </c>
      <c r="AR70" s="115">
        <v>127</v>
      </c>
      <c r="AS70" s="115"/>
      <c r="AT70" s="115">
        <v>124</v>
      </c>
      <c r="AU70" s="115"/>
      <c r="AV70" s="115">
        <v>90</v>
      </c>
      <c r="AW70" s="115"/>
      <c r="AX70" s="115">
        <v>34</v>
      </c>
      <c r="AY70" s="115">
        <v>36.161415100097656</v>
      </c>
      <c r="AZ70" s="115">
        <v>21</v>
      </c>
      <c r="BA70" s="115"/>
      <c r="BB70" s="115">
        <v>295</v>
      </c>
      <c r="BC70" s="115">
        <v>299.90249633789063</v>
      </c>
      <c r="BD70" s="115">
        <v>7.1999998092651367</v>
      </c>
      <c r="BE70" s="115">
        <v>7.2165641784667969</v>
      </c>
      <c r="BF70" s="115">
        <v>30</v>
      </c>
      <c r="BG70" s="115">
        <v>11</v>
      </c>
      <c r="BH70" s="115">
        <v>12.08860969543457</v>
      </c>
      <c r="BI70" s="115"/>
      <c r="BJ70" s="108">
        <f t="shared" si="4"/>
        <v>17</v>
      </c>
      <c r="BK70" s="115">
        <v>17</v>
      </c>
      <c r="BL70" s="115">
        <v>0</v>
      </c>
      <c r="BM70" s="118"/>
      <c r="BN70" s="108">
        <f t="shared" si="5"/>
        <v>123</v>
      </c>
      <c r="BO70" s="108">
        <v>75</v>
      </c>
      <c r="BP70" s="108">
        <v>48</v>
      </c>
      <c r="BQ70" s="108">
        <v>316</v>
      </c>
      <c r="BR70" s="115">
        <v>91.834999084472656</v>
      </c>
      <c r="BS70" s="115">
        <v>26.972999572753906</v>
      </c>
      <c r="BT70" s="115">
        <v>50.222000122070313</v>
      </c>
      <c r="BU70" s="115">
        <v>44.977001190185547</v>
      </c>
      <c r="BV70" s="115">
        <v>68.300003051757813</v>
      </c>
      <c r="BW70" s="115">
        <v>6.9000000953674316</v>
      </c>
      <c r="BX70" s="115">
        <v>13.600000381469727</v>
      </c>
      <c r="BY70" s="115">
        <v>27</v>
      </c>
      <c r="BZ70" s="115">
        <v>1.5196368098258972E-2</v>
      </c>
      <c r="CA70" s="115">
        <v>0</v>
      </c>
      <c r="CB70" s="115">
        <v>29.076513290405273</v>
      </c>
      <c r="CC70" s="118"/>
      <c r="CD70" s="115">
        <v>434.76434326171875</v>
      </c>
      <c r="CE70" s="115">
        <v>86.76812744140625</v>
      </c>
      <c r="CF70" s="115">
        <v>29.824338912963867</v>
      </c>
      <c r="CG70" s="115">
        <v>35.338191986083984</v>
      </c>
      <c r="CH70" s="115">
        <v>302.09918212890625</v>
      </c>
      <c r="CI70" s="115">
        <v>110.84909057617188</v>
      </c>
      <c r="CJ70" s="115">
        <v>55.847751617431641</v>
      </c>
      <c r="CK70" s="115">
        <v>58.831336975097656</v>
      </c>
      <c r="CL70" s="116">
        <v>44.384212493896484</v>
      </c>
      <c r="CM70" s="117">
        <v>319.27120971679688</v>
      </c>
      <c r="CN70" s="115">
        <v>137.53128051757813</v>
      </c>
      <c r="CO70" s="115">
        <v>88.510452270507813</v>
      </c>
      <c r="CP70" s="115">
        <v>89.485511779785156</v>
      </c>
      <c r="CQ70" s="115">
        <v>0</v>
      </c>
      <c r="CR70" s="115">
        <v>59.824760437011719</v>
      </c>
      <c r="CS70" s="115">
        <v>11.590153694152832</v>
      </c>
      <c r="CT70" s="115">
        <v>51.651905059814453</v>
      </c>
      <c r="CU70" s="115">
        <v>64.569755554199219</v>
      </c>
      <c r="CV70" s="116">
        <v>90.638290405273438</v>
      </c>
      <c r="CW70" s="117">
        <v>3</v>
      </c>
      <c r="CX70" s="115">
        <v>447</v>
      </c>
      <c r="CY70" s="115">
        <v>206.64599609375</v>
      </c>
      <c r="CZ70" s="115">
        <v>63.9346923828125</v>
      </c>
      <c r="DA70" s="115">
        <v>23.121084213256836</v>
      </c>
      <c r="DB70" s="115">
        <v>40.222183227539063</v>
      </c>
      <c r="DC70" s="115">
        <v>94.219322204589844</v>
      </c>
      <c r="DD70" s="115">
        <v>665</v>
      </c>
      <c r="DE70" s="115">
        <v>200</v>
      </c>
      <c r="DF70" s="115">
        <v>687.84161376953125</v>
      </c>
      <c r="DG70" s="115">
        <v>94.47412109375</v>
      </c>
      <c r="DH70" s="115">
        <v>62.768791198730469</v>
      </c>
      <c r="DI70" s="120">
        <v>39.6219482421875</v>
      </c>
      <c r="DJ70" s="119">
        <v>247</v>
      </c>
      <c r="DK70" s="115">
        <v>143.77400207519531</v>
      </c>
      <c r="DL70" s="115">
        <v>31.440999984741211</v>
      </c>
      <c r="DM70" s="115">
        <v>59.199001312255859</v>
      </c>
      <c r="DN70" s="115">
        <v>52.130001068115234</v>
      </c>
      <c r="DO70" s="116">
        <v>115.89688110351563</v>
      </c>
      <c r="DP70" s="117">
        <v>17.16200065612793</v>
      </c>
      <c r="DQ70" s="115"/>
      <c r="DR70" s="117">
        <v>67</v>
      </c>
      <c r="DS70" s="120">
        <v>52.700000762939453</v>
      </c>
      <c r="DT70" s="119">
        <v>13</v>
      </c>
      <c r="DU70" s="115"/>
      <c r="DV70" s="115">
        <v>175</v>
      </c>
      <c r="DW70" s="115">
        <v>164.72984313964844</v>
      </c>
      <c r="DX70" s="117">
        <v>10</v>
      </c>
      <c r="DY70" s="120"/>
      <c r="DZ70" s="119">
        <v>50</v>
      </c>
      <c r="EA70" s="115">
        <v>3</v>
      </c>
      <c r="EB70" s="115">
        <v>0</v>
      </c>
      <c r="EC70" s="115">
        <v>1</v>
      </c>
      <c r="ED70" s="115">
        <v>832.70001220703125</v>
      </c>
      <c r="EE70" s="121">
        <v>47.200000762939453</v>
      </c>
      <c r="EF70" s="121">
        <v>47.766666412353516</v>
      </c>
      <c r="EG70" s="121">
        <v>48.151666959126793</v>
      </c>
      <c r="EH70" t="s">
        <v>684</v>
      </c>
    </row>
    <row r="71" spans="1:138" x14ac:dyDescent="0.3">
      <c r="A71" s="226">
        <f t="shared" si="3"/>
        <v>46020.046527777929</v>
      </c>
      <c r="B71" s="115">
        <v>280</v>
      </c>
      <c r="C71" s="115">
        <v>52.702999114990234</v>
      </c>
      <c r="D71" s="115">
        <v>101.56099700927734</v>
      </c>
      <c r="E71" s="115">
        <v>16.85099983215332</v>
      </c>
      <c r="F71" s="115">
        <v>6.1527786254882813</v>
      </c>
      <c r="G71" s="116">
        <v>21.035999298095703</v>
      </c>
      <c r="H71" s="117">
        <v>343</v>
      </c>
      <c r="I71" s="115">
        <v>314</v>
      </c>
      <c r="J71" s="115">
        <v>70.233001708984375</v>
      </c>
      <c r="K71" s="115">
        <v>63.149478912353516</v>
      </c>
      <c r="L71" s="115">
        <v>49.655998229980469</v>
      </c>
      <c r="M71" s="115">
        <v>13.796999931335449</v>
      </c>
      <c r="N71" s="115">
        <v>16.540000915527344</v>
      </c>
      <c r="O71" s="115">
        <v>19</v>
      </c>
      <c r="P71" s="115">
        <v>0</v>
      </c>
      <c r="Q71" s="115">
        <v>20.873720169067383</v>
      </c>
      <c r="R71" s="115">
        <v>22.996875762939453</v>
      </c>
      <c r="S71" s="115">
        <v>25.843671798706055</v>
      </c>
      <c r="T71" s="115">
        <v>0</v>
      </c>
      <c r="U71" s="115">
        <v>0</v>
      </c>
      <c r="V71" s="117">
        <v>1055</v>
      </c>
      <c r="W71" s="115">
        <v>33.154560089111328</v>
      </c>
      <c r="X71" s="115">
        <v>34.833000183105469</v>
      </c>
      <c r="Y71" s="115">
        <v>10.050999641418457</v>
      </c>
      <c r="Z71" s="115">
        <v>0</v>
      </c>
      <c r="AA71" s="115">
        <v>33.476001739501953</v>
      </c>
      <c r="AB71" s="115">
        <v>0</v>
      </c>
      <c r="AC71" s="115">
        <v>61.132331848144531</v>
      </c>
      <c r="AD71" s="115">
        <v>6.3610000610351563</v>
      </c>
      <c r="AE71" s="115">
        <v>0</v>
      </c>
      <c r="AF71" s="115">
        <v>94.568069458007813</v>
      </c>
      <c r="AG71" s="115">
        <v>0</v>
      </c>
      <c r="AH71" s="115">
        <v>72.710342407226563</v>
      </c>
      <c r="AI71" s="115">
        <v>18.066999435424805</v>
      </c>
      <c r="AJ71" s="115">
        <v>28.366867065429688</v>
      </c>
      <c r="AK71" s="115">
        <v>48.696136474609375</v>
      </c>
      <c r="AL71" s="115">
        <v>57.784999847412109</v>
      </c>
      <c r="AM71" s="118">
        <v>58.400001525878906</v>
      </c>
      <c r="AN71" s="117">
        <v>146.75</v>
      </c>
      <c r="AO71" s="119">
        <v>79</v>
      </c>
      <c r="AP71" s="115">
        <v>76.211502075195313</v>
      </c>
      <c r="AQ71" s="115">
        <v>48.064990997314453</v>
      </c>
      <c r="AR71" s="115">
        <v>127</v>
      </c>
      <c r="AS71" s="115"/>
      <c r="AT71" s="115">
        <v>124</v>
      </c>
      <c r="AU71" s="115"/>
      <c r="AV71" s="115">
        <v>91</v>
      </c>
      <c r="AW71" s="115"/>
      <c r="AX71" s="115">
        <v>34</v>
      </c>
      <c r="AY71" s="115">
        <v>36.235240936279297</v>
      </c>
      <c r="AZ71" s="115">
        <v>21</v>
      </c>
      <c r="BA71" s="115"/>
      <c r="BB71" s="115">
        <v>299</v>
      </c>
      <c r="BC71" s="115">
        <v>304.833984375</v>
      </c>
      <c r="BD71" s="115">
        <v>7.0999999046325684</v>
      </c>
      <c r="BE71" s="115">
        <v>7.180234432220459</v>
      </c>
      <c r="BF71" s="115">
        <v>30</v>
      </c>
      <c r="BG71" s="115">
        <v>12</v>
      </c>
      <c r="BH71" s="115">
        <v>12.431574821472168</v>
      </c>
      <c r="BI71" s="115"/>
      <c r="BJ71" s="108">
        <f t="shared" si="4"/>
        <v>17</v>
      </c>
      <c r="BK71" s="115">
        <v>17</v>
      </c>
      <c r="BL71" s="115">
        <v>0</v>
      </c>
      <c r="BM71" s="118"/>
      <c r="BN71" s="108">
        <f t="shared" si="5"/>
        <v>123.20000076293945</v>
      </c>
      <c r="BO71" s="108">
        <v>75</v>
      </c>
      <c r="BP71" s="108">
        <v>48.200000762939453</v>
      </c>
      <c r="BQ71" s="108">
        <v>310</v>
      </c>
      <c r="BR71" s="115">
        <v>87.650001525878906</v>
      </c>
      <c r="BS71" s="115">
        <v>26.972999572753906</v>
      </c>
      <c r="BT71" s="115">
        <v>47.451000213623047</v>
      </c>
      <c r="BU71" s="115">
        <v>45.230998992919922</v>
      </c>
      <c r="BV71" s="115">
        <v>69.400001525878906</v>
      </c>
      <c r="BW71" s="115">
        <v>7</v>
      </c>
      <c r="BX71" s="115">
        <v>13.600000381469727</v>
      </c>
      <c r="BY71" s="115">
        <v>27</v>
      </c>
      <c r="BZ71" s="115">
        <v>1.4619958586990833E-2</v>
      </c>
      <c r="CA71" s="115">
        <v>0</v>
      </c>
      <c r="CB71" s="115">
        <v>29.216768264770508</v>
      </c>
      <c r="CC71" s="118"/>
      <c r="CD71" s="115">
        <v>436.04296875</v>
      </c>
      <c r="CE71" s="115">
        <v>87.110649108886719</v>
      </c>
      <c r="CF71" s="115">
        <v>29.89971923828125</v>
      </c>
      <c r="CG71" s="115">
        <v>35.338191986083984</v>
      </c>
      <c r="CH71" s="115">
        <v>303.12374877929688</v>
      </c>
      <c r="CI71" s="115">
        <v>109.23131561279297</v>
      </c>
      <c r="CJ71" s="115">
        <v>54.616943359375</v>
      </c>
      <c r="CK71" s="115">
        <v>58.507743835449219</v>
      </c>
      <c r="CL71" s="116">
        <v>44.046653747558594</v>
      </c>
      <c r="CM71" s="117">
        <v>316.41543579101563</v>
      </c>
      <c r="CN71" s="115">
        <v>136.27749633789063</v>
      </c>
      <c r="CO71" s="115">
        <v>89.855545043945313</v>
      </c>
      <c r="CP71" s="115">
        <v>85.5084228515625</v>
      </c>
      <c r="CQ71" s="115">
        <v>0</v>
      </c>
      <c r="CR71" s="115">
        <v>64.095954895019531</v>
      </c>
      <c r="CS71" s="115">
        <v>11.296385765075684</v>
      </c>
      <c r="CT71" s="115">
        <v>47.452503204345703</v>
      </c>
      <c r="CU71" s="115">
        <v>65.229927062988281</v>
      </c>
      <c r="CV71" s="116">
        <v>91.139152526855469</v>
      </c>
      <c r="CW71" s="117">
        <v>6</v>
      </c>
      <c r="CX71" s="115">
        <v>447</v>
      </c>
      <c r="CY71" s="115">
        <v>205.37088012695313</v>
      </c>
      <c r="CZ71" s="115">
        <v>65.636993408203125</v>
      </c>
      <c r="DA71" s="115">
        <v>22.950714111328125</v>
      </c>
      <c r="DB71" s="115">
        <v>40.361968994140625</v>
      </c>
      <c r="DC71" s="115">
        <v>91.779609680175781</v>
      </c>
      <c r="DD71" s="115">
        <v>646</v>
      </c>
      <c r="DE71" s="115">
        <v>200</v>
      </c>
      <c r="DF71" s="115">
        <v>680.44097900390625</v>
      </c>
      <c r="DG71" s="115">
        <v>94.504425048828125</v>
      </c>
      <c r="DH71" s="115">
        <v>62.258228302001953</v>
      </c>
      <c r="DI71" s="120">
        <v>40.474330902099609</v>
      </c>
      <c r="DJ71" s="119">
        <v>249</v>
      </c>
      <c r="DK71" s="115">
        <v>144.28300476074219</v>
      </c>
      <c r="DL71" s="115">
        <v>29.517999649047852</v>
      </c>
      <c r="DM71" s="115">
        <v>61.319000244140625</v>
      </c>
      <c r="DN71" s="115">
        <v>54.604000091552734</v>
      </c>
      <c r="DO71" s="116">
        <v>112.90827178955078</v>
      </c>
      <c r="DP71" s="117">
        <v>16.256999969482422</v>
      </c>
      <c r="DQ71" s="115"/>
      <c r="DR71" s="117">
        <v>67</v>
      </c>
      <c r="DS71" s="120">
        <v>51.799999237060547</v>
      </c>
      <c r="DT71" s="119">
        <v>13</v>
      </c>
      <c r="DU71" s="115"/>
      <c r="DV71" s="115">
        <v>177</v>
      </c>
      <c r="DW71" s="115">
        <v>164.76388549804688</v>
      </c>
      <c r="DX71" s="117">
        <v>10</v>
      </c>
      <c r="DY71" s="120"/>
      <c r="DZ71" s="119">
        <v>49</v>
      </c>
      <c r="EA71" s="115">
        <v>3</v>
      </c>
      <c r="EB71" s="115">
        <v>0</v>
      </c>
      <c r="EC71" s="115">
        <v>1</v>
      </c>
      <c r="ED71" s="115">
        <v>821.20001220703125</v>
      </c>
      <c r="EE71" s="121">
        <v>255</v>
      </c>
      <c r="EF71" s="121">
        <v>257.5</v>
      </c>
      <c r="EG71" s="121">
        <v>262.36666666666667</v>
      </c>
      <c r="EH71" t="s">
        <v>213</v>
      </c>
    </row>
    <row r="72" spans="1:138" x14ac:dyDescent="0.3">
      <c r="A72" s="226">
        <f t="shared" si="3"/>
        <v>46020.047222222376</v>
      </c>
      <c r="B72" s="115">
        <v>272</v>
      </c>
      <c r="C72" s="115">
        <v>53.154998779296875</v>
      </c>
      <c r="D72" s="115">
        <v>101.447998046875</v>
      </c>
      <c r="E72" s="115">
        <v>16.511999130249023</v>
      </c>
      <c r="F72" s="115">
        <v>2.190669059753418</v>
      </c>
      <c r="G72" s="116">
        <v>20.131000518798828</v>
      </c>
      <c r="H72" s="117">
        <v>339</v>
      </c>
      <c r="I72" s="115">
        <v>313</v>
      </c>
      <c r="J72" s="115">
        <v>69.780998229980469</v>
      </c>
      <c r="K72" s="115">
        <v>63.685527801513672</v>
      </c>
      <c r="L72" s="115">
        <v>49.303001403808594</v>
      </c>
      <c r="M72" s="115">
        <v>14.13700008392334</v>
      </c>
      <c r="N72" s="115">
        <v>17.875999450683594</v>
      </c>
      <c r="O72" s="115">
        <v>21</v>
      </c>
      <c r="P72" s="115">
        <v>0</v>
      </c>
      <c r="Q72" s="115">
        <v>21.627651214599609</v>
      </c>
      <c r="R72" s="115">
        <v>25.003124237060547</v>
      </c>
      <c r="S72" s="115">
        <v>27.014558792114258</v>
      </c>
      <c r="T72" s="115">
        <v>0</v>
      </c>
      <c r="U72" s="115">
        <v>0</v>
      </c>
      <c r="V72" s="117">
        <v>1047</v>
      </c>
      <c r="W72" s="115">
        <v>32.225166320800781</v>
      </c>
      <c r="X72" s="115">
        <v>36.077999114990234</v>
      </c>
      <c r="Y72" s="115">
        <v>9.0970001220703125</v>
      </c>
      <c r="Z72" s="115">
        <v>0</v>
      </c>
      <c r="AA72" s="115">
        <v>33.137001037597656</v>
      </c>
      <c r="AB72" s="115">
        <v>0</v>
      </c>
      <c r="AC72" s="115">
        <v>63.318103790283203</v>
      </c>
      <c r="AD72" s="115">
        <v>6.1069998741149902</v>
      </c>
      <c r="AE72" s="115">
        <v>0</v>
      </c>
      <c r="AF72" s="115">
        <v>95.180427551269531</v>
      </c>
      <c r="AG72" s="115">
        <v>0</v>
      </c>
      <c r="AH72" s="115">
        <v>73.084632873535156</v>
      </c>
      <c r="AI72" s="115">
        <v>18.576000213623047</v>
      </c>
      <c r="AJ72" s="115">
        <v>26.714582443237305</v>
      </c>
      <c r="AK72" s="115">
        <v>47.739635467529297</v>
      </c>
      <c r="AL72" s="115">
        <v>59.199001312255859</v>
      </c>
      <c r="AM72" s="118">
        <v>58.145999908447266</v>
      </c>
      <c r="AN72" s="117">
        <v>142.8125</v>
      </c>
      <c r="AO72" s="119">
        <v>78</v>
      </c>
      <c r="AP72" s="115">
        <v>74.688560485839844</v>
      </c>
      <c r="AQ72" s="115">
        <v>49.090389251708984</v>
      </c>
      <c r="AR72" s="115">
        <v>128</v>
      </c>
      <c r="AS72" s="115"/>
      <c r="AT72" s="115">
        <v>124</v>
      </c>
      <c r="AU72" s="115"/>
      <c r="AV72" s="115">
        <v>98</v>
      </c>
      <c r="AW72" s="115"/>
      <c r="AX72" s="115">
        <v>34</v>
      </c>
      <c r="AY72" s="115">
        <v>35.111892700195313</v>
      </c>
      <c r="AZ72" s="115">
        <v>22</v>
      </c>
      <c r="BA72" s="115"/>
      <c r="BB72" s="115">
        <v>301</v>
      </c>
      <c r="BC72" s="115">
        <v>307.2860107421875</v>
      </c>
      <c r="BD72" s="115">
        <v>7.0999999046325684</v>
      </c>
      <c r="BE72" s="115">
        <v>7.2162079811096191</v>
      </c>
      <c r="BF72" s="115">
        <v>30</v>
      </c>
      <c r="BG72" s="115">
        <v>11</v>
      </c>
      <c r="BH72" s="115">
        <v>11.973469734191895</v>
      </c>
      <c r="BI72" s="115"/>
      <c r="BJ72" s="108">
        <f t="shared" si="4"/>
        <v>17</v>
      </c>
      <c r="BK72" s="115">
        <v>17</v>
      </c>
      <c r="BL72" s="115">
        <v>0</v>
      </c>
      <c r="BM72" s="118"/>
      <c r="BN72" s="108">
        <f t="shared" si="5"/>
        <v>123.20000076293945</v>
      </c>
      <c r="BO72" s="108">
        <v>75</v>
      </c>
      <c r="BP72" s="108">
        <v>48.200000762939453</v>
      </c>
      <c r="BQ72" s="108">
        <v>310</v>
      </c>
      <c r="BR72" s="115">
        <v>92.51300048828125</v>
      </c>
      <c r="BS72" s="115">
        <v>26.464000701904297</v>
      </c>
      <c r="BT72" s="115">
        <v>49.182998657226563</v>
      </c>
      <c r="BU72" s="115">
        <v>43.895000457763672</v>
      </c>
      <c r="BV72" s="115">
        <v>68.900001525878906</v>
      </c>
      <c r="BW72" s="115">
        <v>6.9000000953674316</v>
      </c>
      <c r="BX72" s="115">
        <v>13.5</v>
      </c>
      <c r="BY72" s="115">
        <v>28</v>
      </c>
      <c r="BZ72" s="115">
        <v>1.523723267018795E-2</v>
      </c>
      <c r="CA72" s="115">
        <v>0</v>
      </c>
      <c r="CB72" s="115">
        <v>29.109716415405273</v>
      </c>
      <c r="CC72" s="118"/>
      <c r="CD72" s="115">
        <v>431.99893188476563</v>
      </c>
      <c r="CE72" s="115">
        <v>84.974899291992188</v>
      </c>
      <c r="CF72" s="115">
        <v>30.327695846557617</v>
      </c>
      <c r="CG72" s="115">
        <v>35.338191986083984</v>
      </c>
      <c r="CH72" s="115">
        <v>301.91131591796875</v>
      </c>
      <c r="CI72" s="115">
        <v>107.29041290283203</v>
      </c>
      <c r="CJ72" s="115">
        <v>51.150043487548828</v>
      </c>
      <c r="CK72" s="115">
        <v>60.340213775634766</v>
      </c>
      <c r="CL72" s="116">
        <v>44.222503662109375</v>
      </c>
      <c r="CM72" s="117">
        <v>316.18722534179688</v>
      </c>
      <c r="CN72" s="115">
        <v>139.86776733398438</v>
      </c>
      <c r="CO72" s="115">
        <v>87.822433471679688</v>
      </c>
      <c r="CP72" s="115">
        <v>81.451957702636719</v>
      </c>
      <c r="CQ72" s="115">
        <v>0</v>
      </c>
      <c r="CR72" s="115">
        <v>62.927989959716797</v>
      </c>
      <c r="CS72" s="115">
        <v>11.997809410095215</v>
      </c>
      <c r="CT72" s="115">
        <v>50.200553894042969</v>
      </c>
      <c r="CU72" s="115">
        <v>67.606178283691406</v>
      </c>
      <c r="CV72" s="116">
        <v>89.842613220214844</v>
      </c>
      <c r="CW72" s="117">
        <v>4</v>
      </c>
      <c r="CX72" s="115">
        <v>446</v>
      </c>
      <c r="CY72" s="115">
        <v>206.30557250976563</v>
      </c>
      <c r="CZ72" s="115">
        <v>65.73309326171875</v>
      </c>
      <c r="DA72" s="115">
        <v>22.595329284667969</v>
      </c>
      <c r="DB72" s="115">
        <v>40.035072326660156</v>
      </c>
      <c r="DC72" s="115">
        <v>91.708213806152344</v>
      </c>
      <c r="DD72" s="115">
        <v>637</v>
      </c>
      <c r="DE72" s="115">
        <v>202</v>
      </c>
      <c r="DF72" s="115">
        <v>666.52197265625</v>
      </c>
      <c r="DG72" s="115">
        <v>92.535598754882813</v>
      </c>
      <c r="DH72" s="115">
        <v>62.400600433349609</v>
      </c>
      <c r="DI72" s="120">
        <v>42.147441864013672</v>
      </c>
      <c r="DJ72" s="119">
        <v>238</v>
      </c>
      <c r="DK72" s="115">
        <v>143.26600646972656</v>
      </c>
      <c r="DL72" s="115">
        <v>27.820999145507813</v>
      </c>
      <c r="DM72" s="115">
        <v>59.551998138427734</v>
      </c>
      <c r="DN72" s="115">
        <v>55.487998962402344</v>
      </c>
      <c r="DO72" s="116">
        <v>112.52054595947266</v>
      </c>
      <c r="DP72" s="117">
        <v>16.256999969482422</v>
      </c>
      <c r="DQ72" s="115"/>
      <c r="DR72" s="117">
        <v>67</v>
      </c>
      <c r="DS72" s="120">
        <v>51.799999237060547</v>
      </c>
      <c r="DT72" s="119">
        <v>13</v>
      </c>
      <c r="DU72" s="115"/>
      <c r="DV72" s="115">
        <v>175</v>
      </c>
      <c r="DW72" s="115">
        <v>164.62388610839844</v>
      </c>
      <c r="DX72" s="117">
        <v>11</v>
      </c>
      <c r="DY72" s="120"/>
      <c r="DZ72" s="119">
        <v>46</v>
      </c>
      <c r="EA72" s="115">
        <v>3</v>
      </c>
      <c r="EB72" s="115">
        <v>0</v>
      </c>
      <c r="EC72" s="115">
        <v>1</v>
      </c>
      <c r="ED72" s="115">
        <v>809.5999755859375</v>
      </c>
      <c r="EE72" s="121">
        <v>61.185001373291016</v>
      </c>
      <c r="EF72" s="121">
        <v>62.862833658854164</v>
      </c>
      <c r="EG72" s="121">
        <v>66.080383427937832</v>
      </c>
      <c r="EH72" t="s">
        <v>139</v>
      </c>
    </row>
    <row r="73" spans="1:138" x14ac:dyDescent="0.3">
      <c r="A73" s="226">
        <f t="shared" si="3"/>
        <v>46020.047916666823</v>
      </c>
      <c r="B73" s="115">
        <v>276</v>
      </c>
      <c r="C73" s="115">
        <v>53.494998931884766</v>
      </c>
      <c r="D73" s="115">
        <v>99.412002563476563</v>
      </c>
      <c r="E73" s="115">
        <v>18.660999298095703</v>
      </c>
      <c r="F73" s="115">
        <v>21.177133560180664</v>
      </c>
      <c r="G73" s="116">
        <v>19.451999664306641</v>
      </c>
      <c r="H73" s="117">
        <v>342</v>
      </c>
      <c r="I73" s="115">
        <v>309</v>
      </c>
      <c r="J73" s="115">
        <v>69.554000854492188</v>
      </c>
      <c r="K73" s="115">
        <v>62.294605255126953</v>
      </c>
      <c r="L73" s="115">
        <v>49.655998229980469</v>
      </c>
      <c r="M73" s="115">
        <v>14.36299991607666</v>
      </c>
      <c r="N73" s="115">
        <v>18.194000244140625</v>
      </c>
      <c r="O73" s="115">
        <v>19</v>
      </c>
      <c r="P73" s="115">
        <v>0</v>
      </c>
      <c r="Q73" s="115">
        <v>18.896486282348633</v>
      </c>
      <c r="R73" s="115">
        <v>27</v>
      </c>
      <c r="S73" s="115">
        <v>27.950904846191406</v>
      </c>
      <c r="T73" s="115">
        <v>0</v>
      </c>
      <c r="U73" s="115">
        <v>0</v>
      </c>
      <c r="V73" s="117">
        <v>1047</v>
      </c>
      <c r="W73" s="115">
        <v>34.146114349365234</v>
      </c>
      <c r="X73" s="115">
        <v>36.756000518798828</v>
      </c>
      <c r="Y73" s="115">
        <v>9.0329999923706055</v>
      </c>
      <c r="Z73" s="115">
        <v>0</v>
      </c>
      <c r="AA73" s="115">
        <v>32.798000335693359</v>
      </c>
      <c r="AB73" s="115">
        <v>0</v>
      </c>
      <c r="AC73" s="115">
        <v>61.820198059082031</v>
      </c>
      <c r="AD73" s="115">
        <v>5.8520002365112305</v>
      </c>
      <c r="AE73" s="115">
        <v>0</v>
      </c>
      <c r="AF73" s="115">
        <v>95.060745239257813</v>
      </c>
      <c r="AG73" s="115">
        <v>0</v>
      </c>
      <c r="AH73" s="115">
        <v>71.020233154296875</v>
      </c>
      <c r="AI73" s="115">
        <v>21.50200080871582</v>
      </c>
      <c r="AJ73" s="115">
        <v>25.201522827148438</v>
      </c>
      <c r="AK73" s="115">
        <v>47.426280975341797</v>
      </c>
      <c r="AL73" s="115">
        <v>59.729000091552734</v>
      </c>
      <c r="AM73" s="118">
        <v>59.862998962402344</v>
      </c>
      <c r="AN73" s="117">
        <v>144.8125</v>
      </c>
      <c r="AO73" s="119">
        <v>78</v>
      </c>
      <c r="AP73" s="115">
        <v>74.218376159667969</v>
      </c>
      <c r="AQ73" s="115">
        <v>50.057785034179688</v>
      </c>
      <c r="AR73" s="115">
        <v>129</v>
      </c>
      <c r="AS73" s="115"/>
      <c r="AT73" s="115">
        <v>124</v>
      </c>
      <c r="AU73" s="115"/>
      <c r="AV73" s="115">
        <v>99</v>
      </c>
      <c r="AW73" s="115"/>
      <c r="AX73" s="115">
        <v>32</v>
      </c>
      <c r="AY73" s="115">
        <v>34.371444702148438</v>
      </c>
      <c r="AZ73" s="115">
        <v>22</v>
      </c>
      <c r="BA73" s="115"/>
      <c r="BB73" s="115">
        <v>303</v>
      </c>
      <c r="BC73" s="115">
        <v>307.2860107421875</v>
      </c>
      <c r="BD73" s="115">
        <v>7.1999998092651367</v>
      </c>
      <c r="BE73" s="115">
        <v>7.2140145301818848</v>
      </c>
      <c r="BF73" s="115">
        <v>29</v>
      </c>
      <c r="BG73" s="115">
        <v>11</v>
      </c>
      <c r="BH73" s="115">
        <v>11.787383079528809</v>
      </c>
      <c r="BI73" s="115"/>
      <c r="BJ73" s="108">
        <f t="shared" si="4"/>
        <v>17</v>
      </c>
      <c r="BK73" s="115">
        <v>17</v>
      </c>
      <c r="BL73" s="115">
        <v>0</v>
      </c>
      <c r="BM73" s="118"/>
      <c r="BN73" s="108">
        <f t="shared" si="5"/>
        <v>123.20000076293945</v>
      </c>
      <c r="BO73" s="108">
        <v>75</v>
      </c>
      <c r="BP73" s="108">
        <v>48.200000762939453</v>
      </c>
      <c r="BQ73" s="108">
        <v>322</v>
      </c>
      <c r="BR73" s="115">
        <v>89.912002563476563</v>
      </c>
      <c r="BS73" s="115">
        <v>26.209999084472656</v>
      </c>
      <c r="BT73" s="115">
        <v>46.064998626708984</v>
      </c>
      <c r="BU73" s="115">
        <v>43.386001586914063</v>
      </c>
      <c r="BV73" s="115">
        <v>68.5</v>
      </c>
      <c r="BW73" s="115">
        <v>6.5999999046325684</v>
      </c>
      <c r="BX73" s="115">
        <v>13.5</v>
      </c>
      <c r="BY73" s="115">
        <v>28</v>
      </c>
      <c r="BZ73" s="115">
        <v>1.4787471853196621E-2</v>
      </c>
      <c r="CA73" s="115">
        <v>0</v>
      </c>
      <c r="CB73" s="115">
        <v>29.17170524597168</v>
      </c>
      <c r="CC73" s="118"/>
      <c r="CD73" s="115">
        <v>429.8411865234375</v>
      </c>
      <c r="CE73" s="115">
        <v>85.654998779296875</v>
      </c>
      <c r="CF73" s="115">
        <v>29.05023193359375</v>
      </c>
      <c r="CG73" s="115">
        <v>35.338191986083984</v>
      </c>
      <c r="CH73" s="115">
        <v>302.32302856445313</v>
      </c>
      <c r="CI73" s="115">
        <v>103.46677398681641</v>
      </c>
      <c r="CJ73" s="115">
        <v>48.650665283203125</v>
      </c>
      <c r="CK73" s="115">
        <v>59.966609954833984</v>
      </c>
      <c r="CL73" s="116">
        <v>44.478279113769531</v>
      </c>
      <c r="CM73" s="117">
        <v>314.9915771484375</v>
      </c>
      <c r="CN73" s="115">
        <v>141.20903015136719</v>
      </c>
      <c r="CO73" s="115">
        <v>87.892669677734375</v>
      </c>
      <c r="CP73" s="115">
        <v>82.11773681640625</v>
      </c>
      <c r="CQ73" s="115">
        <v>0</v>
      </c>
      <c r="CR73" s="115">
        <v>63.231742858886719</v>
      </c>
      <c r="CS73" s="115">
        <v>12.276689529418945</v>
      </c>
      <c r="CT73" s="115">
        <v>54.144031524658203</v>
      </c>
      <c r="CU73" s="115">
        <v>69.329566955566406</v>
      </c>
      <c r="CV73" s="116">
        <v>91.94140625</v>
      </c>
      <c r="CW73" s="117">
        <v>4</v>
      </c>
      <c r="CX73" s="115">
        <v>441</v>
      </c>
      <c r="CY73" s="115">
        <v>208.91165161132813</v>
      </c>
      <c r="CZ73" s="115">
        <v>63.731815338134766</v>
      </c>
      <c r="DA73" s="115">
        <v>23.792423248291016</v>
      </c>
      <c r="DB73" s="115">
        <v>41.761829376220703</v>
      </c>
      <c r="DC73" s="115">
        <v>89.632247924804688</v>
      </c>
      <c r="DD73" s="115">
        <v>628</v>
      </c>
      <c r="DE73" s="115">
        <v>202</v>
      </c>
      <c r="DF73" s="115">
        <v>637.92462158203125</v>
      </c>
      <c r="DG73" s="115">
        <v>91.858833312988281</v>
      </c>
      <c r="DH73" s="115">
        <v>64.305412292480469</v>
      </c>
      <c r="DI73" s="120">
        <v>42.314281463623047</v>
      </c>
      <c r="DJ73" s="119">
        <v>243</v>
      </c>
      <c r="DK73" s="115">
        <v>139.95700073242188</v>
      </c>
      <c r="DL73" s="115">
        <v>27.256000518798828</v>
      </c>
      <c r="DM73" s="115">
        <v>58.668998718261719</v>
      </c>
      <c r="DN73" s="115">
        <v>53.896999359130859</v>
      </c>
      <c r="DO73" s="116">
        <v>114.6195068359375</v>
      </c>
      <c r="DP73" s="117">
        <v>16.738000869750977</v>
      </c>
      <c r="DQ73" s="115"/>
      <c r="DR73" s="117">
        <v>67</v>
      </c>
      <c r="DS73" s="120">
        <v>50</v>
      </c>
      <c r="DT73" s="119">
        <v>13</v>
      </c>
      <c r="DU73" s="115"/>
      <c r="DV73" s="115">
        <v>171</v>
      </c>
      <c r="DW73" s="115">
        <v>164.792236328125</v>
      </c>
      <c r="DX73" s="117">
        <v>10</v>
      </c>
      <c r="DY73" s="120"/>
      <c r="DZ73" s="119">
        <v>47</v>
      </c>
      <c r="EA73" s="115">
        <v>3</v>
      </c>
      <c r="EB73" s="115">
        <v>0</v>
      </c>
      <c r="EC73" s="115">
        <v>1</v>
      </c>
      <c r="ED73" s="115">
        <v>773.29998779296875</v>
      </c>
      <c r="EE73" s="121">
        <v>12.722999572753906</v>
      </c>
      <c r="EF73" s="121">
        <v>22.901666641235352</v>
      </c>
      <c r="EG73" s="121">
        <v>24.101983483632406</v>
      </c>
      <c r="EH73" t="s">
        <v>73</v>
      </c>
    </row>
    <row r="74" spans="1:138" x14ac:dyDescent="0.3">
      <c r="A74" s="226">
        <f t="shared" si="3"/>
        <v>46020.04861111127</v>
      </c>
      <c r="B74" s="115">
        <v>275</v>
      </c>
      <c r="C74" s="115">
        <v>55.983001708984375</v>
      </c>
      <c r="D74" s="115">
        <v>100.43000030517578</v>
      </c>
      <c r="E74" s="115">
        <v>17.642999649047852</v>
      </c>
      <c r="F74" s="115">
        <v>42.437141418457031</v>
      </c>
      <c r="G74" s="116">
        <v>20.017999649047852</v>
      </c>
      <c r="H74" s="117">
        <v>345</v>
      </c>
      <c r="I74" s="115">
        <v>314</v>
      </c>
      <c r="J74" s="115">
        <v>71.363998413085938</v>
      </c>
      <c r="K74" s="115">
        <v>62.294605255126953</v>
      </c>
      <c r="L74" s="115">
        <v>50.362998962402344</v>
      </c>
      <c r="M74" s="115">
        <v>14.814999580383301</v>
      </c>
      <c r="N74" s="115">
        <v>17.302999496459961</v>
      </c>
      <c r="O74" s="115">
        <v>18</v>
      </c>
      <c r="P74" s="115">
        <v>0</v>
      </c>
      <c r="Q74" s="115">
        <v>18.452529907226563</v>
      </c>
      <c r="R74" s="115">
        <v>25.003124237060547</v>
      </c>
      <c r="S74" s="115">
        <v>26.940736770629883</v>
      </c>
      <c r="T74" s="115">
        <v>9</v>
      </c>
      <c r="U74" s="115">
        <v>9</v>
      </c>
      <c r="V74" s="117">
        <v>1048</v>
      </c>
      <c r="W74" s="115">
        <v>33.433620452880859</v>
      </c>
      <c r="X74" s="115">
        <v>36.981998443603516</v>
      </c>
      <c r="Y74" s="115">
        <v>8.7150001525878906</v>
      </c>
      <c r="Z74" s="115">
        <v>0</v>
      </c>
      <c r="AA74" s="115">
        <v>27.594999313354492</v>
      </c>
      <c r="AB74" s="115">
        <v>0</v>
      </c>
      <c r="AC74" s="115">
        <v>59.8804931640625</v>
      </c>
      <c r="AD74" s="115">
        <v>5.5980000495910645</v>
      </c>
      <c r="AE74" s="115">
        <v>0</v>
      </c>
      <c r="AF74" s="115">
        <v>92.914833068847656</v>
      </c>
      <c r="AG74" s="115">
        <v>0</v>
      </c>
      <c r="AH74" s="115">
        <v>72.32159423828125</v>
      </c>
      <c r="AI74" s="115">
        <v>17.493999481201172</v>
      </c>
      <c r="AJ74" s="115">
        <v>27.749883651733398</v>
      </c>
      <c r="AK74" s="115">
        <v>48.083988189697266</v>
      </c>
      <c r="AL74" s="115">
        <v>57.255001068115234</v>
      </c>
      <c r="AM74" s="118">
        <v>58.208999633789063</v>
      </c>
      <c r="AN74" s="117">
        <v>135.75</v>
      </c>
      <c r="AO74" s="119">
        <v>75</v>
      </c>
      <c r="AP74" s="115">
        <v>73.350692749023438</v>
      </c>
      <c r="AQ74" s="115">
        <v>45.527584075927734</v>
      </c>
      <c r="AR74" s="115">
        <v>128</v>
      </c>
      <c r="AS74" s="115"/>
      <c r="AT74" s="115">
        <v>124</v>
      </c>
      <c r="AU74" s="115"/>
      <c r="AV74" s="115">
        <v>99</v>
      </c>
      <c r="AW74" s="115"/>
      <c r="AX74" s="115">
        <v>34</v>
      </c>
      <c r="AY74" s="115">
        <v>35.260349273681641</v>
      </c>
      <c r="AZ74" s="115">
        <v>22</v>
      </c>
      <c r="BA74" s="115"/>
      <c r="BB74" s="115">
        <v>303</v>
      </c>
      <c r="BC74" s="115">
        <v>309.43203735351563</v>
      </c>
      <c r="BD74" s="115">
        <v>7.1999998092651367</v>
      </c>
      <c r="BE74" s="115">
        <v>7.2140145301818848</v>
      </c>
      <c r="BF74" s="115">
        <v>29</v>
      </c>
      <c r="BG74" s="115">
        <v>11</v>
      </c>
      <c r="BH74" s="115">
        <v>11.787383079528809</v>
      </c>
      <c r="BI74" s="115"/>
      <c r="BJ74" s="108">
        <f t="shared" si="4"/>
        <v>17</v>
      </c>
      <c r="BK74" s="115">
        <v>17</v>
      </c>
      <c r="BL74" s="115">
        <v>0</v>
      </c>
      <c r="BM74" s="118"/>
      <c r="BN74" s="108">
        <f t="shared" si="5"/>
        <v>122.20000076293945</v>
      </c>
      <c r="BO74" s="108">
        <v>74</v>
      </c>
      <c r="BP74" s="108">
        <v>48.200000762939453</v>
      </c>
      <c r="BQ74" s="108">
        <v>307</v>
      </c>
      <c r="BR74" s="115">
        <v>89.912002563476563</v>
      </c>
      <c r="BS74" s="115">
        <v>24.937000274658203</v>
      </c>
      <c r="BT74" s="115">
        <v>47.451000213623047</v>
      </c>
      <c r="BU74" s="115">
        <v>43.640998840332031</v>
      </c>
      <c r="BV74" s="115">
        <v>68.300003051757813</v>
      </c>
      <c r="BW74" s="115">
        <v>6.6999998092651367</v>
      </c>
      <c r="BX74" s="115">
        <v>13.5</v>
      </c>
      <c r="BY74" s="115">
        <v>28</v>
      </c>
      <c r="BZ74" s="115">
        <v>1.4161302708089352E-2</v>
      </c>
      <c r="CA74" s="115">
        <v>0</v>
      </c>
      <c r="CB74" s="115">
        <v>29.262796401977539</v>
      </c>
      <c r="CC74" s="118"/>
      <c r="CD74" s="115">
        <v>429.8411865234375</v>
      </c>
      <c r="CE74" s="115">
        <v>84.220001220703125</v>
      </c>
      <c r="CF74" s="115">
        <v>28.761247634887695</v>
      </c>
      <c r="CG74" s="115">
        <v>35.338191986083984</v>
      </c>
      <c r="CH74" s="115">
        <v>302.697998046875</v>
      </c>
      <c r="CI74" s="115">
        <v>104.38311004638672</v>
      </c>
      <c r="CJ74" s="115">
        <v>49.577877044677734</v>
      </c>
      <c r="CK74" s="115">
        <v>59.558631896972656</v>
      </c>
      <c r="CL74" s="116">
        <v>45.426433563232422</v>
      </c>
      <c r="CM74" s="117">
        <v>329.5787353515625</v>
      </c>
      <c r="CN74" s="115">
        <v>151.0694580078125</v>
      </c>
      <c r="CO74" s="115">
        <v>88.370216369628906</v>
      </c>
      <c r="CP74" s="115">
        <v>85.706108093261719</v>
      </c>
      <c r="CQ74" s="115">
        <v>0</v>
      </c>
      <c r="CR74" s="115">
        <v>63.347991943359375</v>
      </c>
      <c r="CS74" s="115">
        <v>11.520918846130371</v>
      </c>
      <c r="CT74" s="115">
        <v>49.145709991455078</v>
      </c>
      <c r="CU74" s="115">
        <v>65.100555419921875</v>
      </c>
      <c r="CV74" s="116">
        <v>91.617866516113281</v>
      </c>
      <c r="CW74" s="117">
        <v>4</v>
      </c>
      <c r="CX74" s="115">
        <v>438</v>
      </c>
      <c r="CY74" s="115">
        <v>207.09535217285156</v>
      </c>
      <c r="CZ74" s="115">
        <v>60.795730590820313</v>
      </c>
      <c r="DA74" s="115">
        <v>22.26685905456543</v>
      </c>
      <c r="DB74" s="115">
        <v>41.567272186279297</v>
      </c>
      <c r="DC74" s="115">
        <v>89.566200256347656</v>
      </c>
      <c r="DD74" s="115">
        <v>525</v>
      </c>
      <c r="DE74" s="115">
        <v>200</v>
      </c>
      <c r="DF74" s="115">
        <v>510.73516845703125</v>
      </c>
      <c r="DG74" s="115">
        <v>91.508804321289063</v>
      </c>
      <c r="DH74" s="115">
        <v>62.489402770996094</v>
      </c>
      <c r="DI74" s="120">
        <v>41.908905029296875</v>
      </c>
      <c r="DJ74" s="119">
        <v>241</v>
      </c>
      <c r="DK74" s="115">
        <v>136.39500427246094</v>
      </c>
      <c r="DL74" s="115">
        <v>30.64900016784668</v>
      </c>
      <c r="DM74" s="115">
        <v>57.962001800537109</v>
      </c>
      <c r="DN74" s="115">
        <v>50.186000823974609</v>
      </c>
      <c r="DO74" s="116">
        <v>114.96213531494141</v>
      </c>
      <c r="DP74" s="117">
        <v>17.61400032043457</v>
      </c>
      <c r="DQ74" s="115"/>
      <c r="DR74" s="117">
        <v>67</v>
      </c>
      <c r="DS74" s="120">
        <v>50.5</v>
      </c>
      <c r="DT74" s="119">
        <v>13</v>
      </c>
      <c r="DU74" s="115"/>
      <c r="DV74" s="115">
        <v>171</v>
      </c>
      <c r="DW74" s="115">
        <v>164.08297729492188</v>
      </c>
      <c r="DX74" s="117">
        <v>10</v>
      </c>
      <c r="DY74" s="120"/>
      <c r="DZ74" s="119">
        <v>47</v>
      </c>
      <c r="EA74" s="115">
        <v>3</v>
      </c>
      <c r="EB74" s="115">
        <v>0</v>
      </c>
      <c r="EC74" s="115">
        <v>1</v>
      </c>
      <c r="ED74" s="115">
        <v>647</v>
      </c>
      <c r="EE74" s="121">
        <v>39.485000610351563</v>
      </c>
      <c r="EF74" s="121">
        <v>40.176998138427734</v>
      </c>
      <c r="EG74" s="121">
        <v>40.656465339660642</v>
      </c>
      <c r="EH74" t="s">
        <v>74</v>
      </c>
    </row>
    <row r="75" spans="1:138" x14ac:dyDescent="0.3">
      <c r="A75" s="226">
        <f t="shared" si="3"/>
        <v>46020.049305555716</v>
      </c>
      <c r="B75" s="115">
        <v>299</v>
      </c>
      <c r="C75" s="115">
        <v>58.810001373291016</v>
      </c>
      <c r="D75" s="115">
        <v>100.88200378417969</v>
      </c>
      <c r="E75" s="115">
        <v>22.844999313354492</v>
      </c>
      <c r="F75" s="115">
        <v>38.340629577636719</v>
      </c>
      <c r="G75" s="116">
        <v>20.017999649047852</v>
      </c>
      <c r="H75" s="117">
        <v>345</v>
      </c>
      <c r="I75" s="115">
        <v>309</v>
      </c>
      <c r="J75" s="115">
        <v>71.476997375488281</v>
      </c>
      <c r="K75" s="115">
        <v>63.33203125</v>
      </c>
      <c r="L75" s="115">
        <v>47.888999938964844</v>
      </c>
      <c r="M75" s="115">
        <v>15.041000366210938</v>
      </c>
      <c r="N75" s="115">
        <v>16.922000885009766</v>
      </c>
      <c r="O75" s="115">
        <v>20</v>
      </c>
      <c r="P75" s="115">
        <v>0</v>
      </c>
      <c r="Q75" s="115">
        <v>20.924179077148438</v>
      </c>
      <c r="R75" s="115">
        <v>24</v>
      </c>
      <c r="S75" s="115">
        <v>25.439174652099609</v>
      </c>
      <c r="T75" s="115">
        <v>9</v>
      </c>
      <c r="U75" s="115">
        <v>9</v>
      </c>
      <c r="V75" s="117">
        <v>1049</v>
      </c>
      <c r="W75" s="115">
        <v>34.042659759521484</v>
      </c>
      <c r="X75" s="115">
        <v>37.208999633789063</v>
      </c>
      <c r="Y75" s="115">
        <v>8.2060003280639648</v>
      </c>
      <c r="Z75" s="115">
        <v>0</v>
      </c>
      <c r="AA75" s="115">
        <v>32.006000518798828</v>
      </c>
      <c r="AB75" s="115">
        <v>0</v>
      </c>
      <c r="AC75" s="115">
        <v>62.006240844726563</v>
      </c>
      <c r="AD75" s="115">
        <v>6.1069998741149902</v>
      </c>
      <c r="AE75" s="115">
        <v>0</v>
      </c>
      <c r="AF75" s="115">
        <v>94.154884338378906</v>
      </c>
      <c r="AG75" s="115">
        <v>0</v>
      </c>
      <c r="AH75" s="115">
        <v>74.838043212890625</v>
      </c>
      <c r="AI75" s="115">
        <v>17.176000595092773</v>
      </c>
      <c r="AJ75" s="115">
        <v>26.055593490600586</v>
      </c>
      <c r="AK75" s="115">
        <v>49.272392272949219</v>
      </c>
      <c r="AL75" s="115">
        <v>57.962001800537109</v>
      </c>
      <c r="AM75" s="118">
        <v>57.000999450683594</v>
      </c>
      <c r="AN75" s="117">
        <v>138.75</v>
      </c>
      <c r="AO75" s="119">
        <v>75</v>
      </c>
      <c r="AP75" s="115">
        <v>74.141975402832031</v>
      </c>
      <c r="AQ75" s="115">
        <v>46.964515686035156</v>
      </c>
      <c r="AR75" s="115">
        <v>88</v>
      </c>
      <c r="AS75" s="115"/>
      <c r="AT75" s="115">
        <v>121</v>
      </c>
      <c r="AU75" s="115"/>
      <c r="AV75" s="115">
        <v>99</v>
      </c>
      <c r="AW75" s="115"/>
      <c r="AX75" s="115">
        <v>34</v>
      </c>
      <c r="AY75" s="115">
        <v>35.260349273681641</v>
      </c>
      <c r="AZ75" s="115">
        <v>21</v>
      </c>
      <c r="BA75" s="115"/>
      <c r="BB75" s="115">
        <v>305</v>
      </c>
      <c r="BC75" s="115">
        <v>310.66177368164063</v>
      </c>
      <c r="BD75" s="115">
        <v>7.1999998092651367</v>
      </c>
      <c r="BE75" s="115">
        <v>7.2184138298034668</v>
      </c>
      <c r="BF75" s="115">
        <v>29</v>
      </c>
      <c r="BG75" s="115">
        <v>11</v>
      </c>
      <c r="BH75" s="115">
        <v>11.728302001953125</v>
      </c>
      <c r="BI75" s="115"/>
      <c r="BJ75" s="108">
        <f t="shared" si="4"/>
        <v>17</v>
      </c>
      <c r="BK75" s="115">
        <v>17</v>
      </c>
      <c r="BL75" s="115">
        <v>0</v>
      </c>
      <c r="BM75" s="118"/>
      <c r="BN75" s="108">
        <f t="shared" si="5"/>
        <v>122</v>
      </c>
      <c r="BO75" s="108">
        <v>74</v>
      </c>
      <c r="BP75" s="108">
        <v>48</v>
      </c>
      <c r="BQ75" s="108">
        <v>302</v>
      </c>
      <c r="BR75" s="115">
        <v>89.799003601074219</v>
      </c>
      <c r="BS75" s="115">
        <v>25.445999145507813</v>
      </c>
      <c r="BT75" s="115">
        <v>47.451000213623047</v>
      </c>
      <c r="BU75" s="115">
        <v>43.195999145507813</v>
      </c>
      <c r="BV75" s="115">
        <v>68.5</v>
      </c>
      <c r="BW75" s="115">
        <v>7</v>
      </c>
      <c r="BX75" s="115">
        <v>13.5</v>
      </c>
      <c r="BY75" s="115">
        <v>30</v>
      </c>
      <c r="BZ75" s="115">
        <v>1.4859171584248543E-2</v>
      </c>
      <c r="CA75" s="115">
        <v>0</v>
      </c>
      <c r="CB75" s="115">
        <v>29.884403228759766</v>
      </c>
      <c r="CC75" s="118"/>
      <c r="CD75" s="115">
        <v>437.56295776367188</v>
      </c>
      <c r="CE75" s="115">
        <v>85.328903198242188</v>
      </c>
      <c r="CF75" s="115">
        <v>28.741451263427734</v>
      </c>
      <c r="CG75" s="115">
        <v>35.338191986083984</v>
      </c>
      <c r="CH75" s="115">
        <v>302.35476684570313</v>
      </c>
      <c r="CI75" s="115">
        <v>106.24742126464844</v>
      </c>
      <c r="CJ75" s="115">
        <v>52.872341156005859</v>
      </c>
      <c r="CK75" s="115">
        <v>58.826789855957031</v>
      </c>
      <c r="CL75" s="116">
        <v>44.09832763671875</v>
      </c>
      <c r="CM75" s="117">
        <v>322.12637329101563</v>
      </c>
      <c r="CN75" s="115">
        <v>148.94435119628906</v>
      </c>
      <c r="CO75" s="115">
        <v>88.238616943359375</v>
      </c>
      <c r="CP75" s="115">
        <v>83.575820922851563</v>
      </c>
      <c r="CQ75" s="115">
        <v>0</v>
      </c>
      <c r="CR75" s="115">
        <v>62.404060363769531</v>
      </c>
      <c r="CS75" s="115">
        <v>12.046438217163086</v>
      </c>
      <c r="CT75" s="115">
        <v>53.794368743896484</v>
      </c>
      <c r="CU75" s="115">
        <v>62.720291137695313</v>
      </c>
      <c r="CV75" s="116">
        <v>89.6456298828125</v>
      </c>
      <c r="CW75" s="117">
        <v>2</v>
      </c>
      <c r="CX75" s="115">
        <v>440</v>
      </c>
      <c r="CY75" s="115">
        <v>206.7423095703125</v>
      </c>
      <c r="CZ75" s="115">
        <v>62.466354370117188</v>
      </c>
      <c r="DA75" s="115">
        <v>21.129241943359375</v>
      </c>
      <c r="DB75" s="115">
        <v>40.0802001953125</v>
      </c>
      <c r="DC75" s="115">
        <v>88.583847045898438</v>
      </c>
      <c r="DD75" s="115">
        <v>309</v>
      </c>
      <c r="DE75" s="115">
        <v>193</v>
      </c>
      <c r="DF75" s="115">
        <v>280.75088500976563</v>
      </c>
      <c r="DG75" s="115">
        <v>96.457168579101563</v>
      </c>
      <c r="DH75" s="115">
        <v>61.414981842041016</v>
      </c>
      <c r="DI75" s="120">
        <v>40.069812774658203</v>
      </c>
      <c r="DJ75" s="119">
        <v>241</v>
      </c>
      <c r="DK75" s="115">
        <v>133.59599304199219</v>
      </c>
      <c r="DL75" s="115">
        <v>29.405000686645508</v>
      </c>
      <c r="DM75" s="115">
        <v>57.962001800537109</v>
      </c>
      <c r="DN75" s="115">
        <v>50.186000823974609</v>
      </c>
      <c r="DO75" s="116">
        <v>114.7119140625</v>
      </c>
      <c r="DP75" s="117">
        <v>17.670999526977539</v>
      </c>
      <c r="DQ75" s="115"/>
      <c r="DR75" s="117">
        <v>67</v>
      </c>
      <c r="DS75" s="120">
        <v>50</v>
      </c>
      <c r="DT75" s="119">
        <v>13</v>
      </c>
      <c r="DU75" s="115"/>
      <c r="DV75" s="115">
        <v>174</v>
      </c>
      <c r="DW75" s="115">
        <v>164.73892211914063</v>
      </c>
      <c r="DX75" s="117">
        <v>10</v>
      </c>
      <c r="DY75" s="120"/>
      <c r="DZ75" s="119">
        <v>50</v>
      </c>
      <c r="EA75" s="115">
        <v>3</v>
      </c>
      <c r="EB75" s="115">
        <v>0</v>
      </c>
      <c r="EC75" s="115">
        <v>1</v>
      </c>
      <c r="ED75" s="115">
        <v>434.89999389648438</v>
      </c>
      <c r="EE75" s="121">
        <v>28.753999710083008</v>
      </c>
      <c r="EF75" s="121">
        <v>32.974499384562172</v>
      </c>
      <c r="EG75" s="121">
        <v>33.601083374023439</v>
      </c>
      <c r="EH75" t="s">
        <v>75</v>
      </c>
    </row>
    <row r="76" spans="1:138" x14ac:dyDescent="0.3">
      <c r="A76" s="226">
        <f t="shared" si="3"/>
        <v>46020.050000000163</v>
      </c>
      <c r="B76" s="115">
        <v>294</v>
      </c>
      <c r="C76" s="115">
        <v>55.983001708984375</v>
      </c>
      <c r="D76" s="115">
        <v>100.31700134277344</v>
      </c>
      <c r="E76" s="115">
        <v>22.052999496459961</v>
      </c>
      <c r="F76" s="115">
        <v>38.949951171875</v>
      </c>
      <c r="G76" s="116">
        <v>19.905000686645508</v>
      </c>
      <c r="H76" s="117">
        <v>344</v>
      </c>
      <c r="I76" s="115">
        <v>311</v>
      </c>
      <c r="J76" s="115">
        <v>70.233001708984375</v>
      </c>
      <c r="K76" s="115">
        <v>62.037311553955078</v>
      </c>
      <c r="L76" s="115">
        <v>46.828998565673828</v>
      </c>
      <c r="M76" s="115">
        <v>15.154999732971191</v>
      </c>
      <c r="N76" s="115">
        <v>16.794000625610352</v>
      </c>
      <c r="O76" s="115">
        <v>19</v>
      </c>
      <c r="P76" s="115">
        <v>0</v>
      </c>
      <c r="Q76" s="115">
        <v>20.254175186157227</v>
      </c>
      <c r="R76" s="115">
        <v>22.996875762939453</v>
      </c>
      <c r="S76" s="115">
        <v>24.407939910888672</v>
      </c>
      <c r="T76" s="115">
        <v>9</v>
      </c>
      <c r="U76" s="115">
        <v>9</v>
      </c>
      <c r="V76" s="117">
        <v>1048</v>
      </c>
      <c r="W76" s="115">
        <v>33.815528869628906</v>
      </c>
      <c r="X76" s="115">
        <v>37.208999633789063</v>
      </c>
      <c r="Y76" s="115">
        <v>8.9700002670288086</v>
      </c>
      <c r="Z76" s="115">
        <v>0</v>
      </c>
      <c r="AA76" s="115">
        <v>30.083000183105469</v>
      </c>
      <c r="AB76" s="115">
        <v>0</v>
      </c>
      <c r="AC76" s="115">
        <v>62.066867828369141</v>
      </c>
      <c r="AD76" s="115">
        <v>5.8520002365112305</v>
      </c>
      <c r="AE76" s="115">
        <v>0</v>
      </c>
      <c r="AF76" s="115">
        <v>95.284324645996094</v>
      </c>
      <c r="AG76" s="115">
        <v>0</v>
      </c>
      <c r="AH76" s="115">
        <v>73.554527282714844</v>
      </c>
      <c r="AI76" s="115">
        <v>17.176000595092773</v>
      </c>
      <c r="AJ76" s="115">
        <v>27.921054840087891</v>
      </c>
      <c r="AK76" s="115">
        <v>48.164836883544922</v>
      </c>
      <c r="AL76" s="115">
        <v>59.021999359130859</v>
      </c>
      <c r="AM76" s="118">
        <v>57.127998352050781</v>
      </c>
      <c r="AN76" s="117">
        <v>139.9375</v>
      </c>
      <c r="AO76" s="119">
        <v>76</v>
      </c>
      <c r="AP76" s="115">
        <v>74.552711486816406</v>
      </c>
      <c r="AQ76" s="115">
        <v>47.899467468261719</v>
      </c>
      <c r="AR76" s="115">
        <v>83</v>
      </c>
      <c r="AS76" s="115"/>
      <c r="AT76" s="115">
        <v>121</v>
      </c>
      <c r="AU76" s="115"/>
      <c r="AV76" s="115">
        <v>91</v>
      </c>
      <c r="AW76" s="115"/>
      <c r="AX76" s="115">
        <v>34</v>
      </c>
      <c r="AY76" s="115">
        <v>35.660797119140625</v>
      </c>
      <c r="AZ76" s="115">
        <v>21</v>
      </c>
      <c r="BA76" s="115"/>
      <c r="BB76" s="115">
        <v>307</v>
      </c>
      <c r="BC76" s="115">
        <v>310.88397216796875</v>
      </c>
      <c r="BD76" s="115">
        <v>7.1999998092651367</v>
      </c>
      <c r="BE76" s="115">
        <v>7.2184138298034668</v>
      </c>
      <c r="BF76" s="115">
        <v>29</v>
      </c>
      <c r="BG76" s="115">
        <v>11</v>
      </c>
      <c r="BH76" s="115">
        <v>11.728302001953125</v>
      </c>
      <c r="BI76" s="115"/>
      <c r="BJ76" s="108">
        <f t="shared" si="4"/>
        <v>17</v>
      </c>
      <c r="BK76" s="115">
        <v>17</v>
      </c>
      <c r="BL76" s="115">
        <v>0</v>
      </c>
      <c r="BM76" s="118"/>
      <c r="BN76" s="108">
        <f t="shared" si="5"/>
        <v>121.29999923706055</v>
      </c>
      <c r="BO76" s="108">
        <v>74</v>
      </c>
      <c r="BP76" s="108">
        <v>47.299999237060547</v>
      </c>
      <c r="BQ76" s="108">
        <v>302</v>
      </c>
      <c r="BR76" s="115">
        <v>92.851997375488281</v>
      </c>
      <c r="BS76" s="115">
        <v>25.954999923706055</v>
      </c>
      <c r="BT76" s="115">
        <v>46.064998626708984</v>
      </c>
      <c r="BU76" s="115">
        <v>43.068000793457031</v>
      </c>
      <c r="BV76" s="115">
        <v>69.099998474121094</v>
      </c>
      <c r="BW76" s="115">
        <v>7</v>
      </c>
      <c r="BX76" s="115">
        <v>13.5</v>
      </c>
      <c r="BY76" s="115">
        <v>29</v>
      </c>
      <c r="BZ76" s="115">
        <v>1.4353304170072079E-2</v>
      </c>
      <c r="CA76" s="115">
        <v>0</v>
      </c>
      <c r="CB76" s="115">
        <v>29.336635589599609</v>
      </c>
      <c r="CC76" s="118"/>
      <c r="CD76" s="115">
        <v>435.4859619140625</v>
      </c>
      <c r="CE76" s="115">
        <v>83.813201904296875</v>
      </c>
      <c r="CF76" s="115">
        <v>29.371223449707031</v>
      </c>
      <c r="CG76" s="115">
        <v>35.338191986083984</v>
      </c>
      <c r="CH76" s="115">
        <v>302.43890380859375</v>
      </c>
      <c r="CI76" s="115">
        <v>107.95835876464844</v>
      </c>
      <c r="CJ76" s="115">
        <v>52.400531768798828</v>
      </c>
      <c r="CK76" s="115">
        <v>59.834136962890625</v>
      </c>
      <c r="CL76" s="116">
        <v>43.321323394775391</v>
      </c>
      <c r="CM76" s="117">
        <v>283.01480102539063</v>
      </c>
      <c r="CN76" s="115">
        <v>102.37095642089844</v>
      </c>
      <c r="CO76" s="115">
        <v>88.829780578613281</v>
      </c>
      <c r="CP76" s="115">
        <v>83.351593017578125</v>
      </c>
      <c r="CQ76" s="115">
        <v>0</v>
      </c>
      <c r="CR76" s="115">
        <v>62.108066558837891</v>
      </c>
      <c r="CS76" s="115">
        <v>10.761276245117188</v>
      </c>
      <c r="CT76" s="115">
        <v>50.254924774169922</v>
      </c>
      <c r="CU76" s="115">
        <v>69.018013000488281</v>
      </c>
      <c r="CV76" s="116">
        <v>88.399658203125</v>
      </c>
      <c r="CW76" s="117">
        <v>2</v>
      </c>
      <c r="CX76" s="115">
        <v>430</v>
      </c>
      <c r="CY76" s="115">
        <v>202.13887023925781</v>
      </c>
      <c r="CZ76" s="115">
        <v>58.261642456054688</v>
      </c>
      <c r="DA76" s="115">
        <v>21.956785202026367</v>
      </c>
      <c r="DB76" s="115">
        <v>36.299346923828125</v>
      </c>
      <c r="DC76" s="115">
        <v>88.674850463867188</v>
      </c>
      <c r="DD76" s="115">
        <v>115</v>
      </c>
      <c r="DE76" s="115">
        <v>190</v>
      </c>
      <c r="DF76" s="115">
        <v>127.19896697998047</v>
      </c>
      <c r="DG76" s="115">
        <v>89.895858764648438</v>
      </c>
      <c r="DH76" s="115">
        <v>64.042037963867188</v>
      </c>
      <c r="DI76" s="120">
        <v>40.165740966796875</v>
      </c>
      <c r="DJ76" s="119">
        <v>241</v>
      </c>
      <c r="DK76" s="115">
        <v>139.7030029296875</v>
      </c>
      <c r="DL76" s="115">
        <v>28.160999298095703</v>
      </c>
      <c r="DM76" s="115">
        <v>57.962001800537109</v>
      </c>
      <c r="DN76" s="115">
        <v>53.896999359130859</v>
      </c>
      <c r="DO76" s="116">
        <v>113.52618408203125</v>
      </c>
      <c r="DP76" s="117">
        <v>16.822999954223633</v>
      </c>
      <c r="DQ76" s="115"/>
      <c r="DR76" s="117">
        <v>67</v>
      </c>
      <c r="DS76" s="120">
        <v>50.900001525878906</v>
      </c>
      <c r="DT76" s="119">
        <v>13</v>
      </c>
      <c r="DU76" s="115"/>
      <c r="DV76" s="115">
        <v>174</v>
      </c>
      <c r="DW76" s="115">
        <v>164.03367614746094</v>
      </c>
      <c r="DX76" s="117">
        <v>11</v>
      </c>
      <c r="DY76" s="120"/>
      <c r="DZ76" s="119">
        <v>50</v>
      </c>
      <c r="EA76" s="115">
        <v>3</v>
      </c>
      <c r="EB76" s="115">
        <v>0</v>
      </c>
      <c r="EC76" s="115">
        <v>1</v>
      </c>
      <c r="ED76" s="115">
        <v>301.70001220703125</v>
      </c>
      <c r="EE76" s="121">
        <v>67.5</v>
      </c>
      <c r="EF76" s="121">
        <v>67.883335113525391</v>
      </c>
      <c r="EG76" s="121">
        <v>68.996666590372726</v>
      </c>
      <c r="EH76" t="s">
        <v>263</v>
      </c>
    </row>
    <row r="77" spans="1:138" x14ac:dyDescent="0.3">
      <c r="A77" s="226">
        <f t="shared" si="3"/>
        <v>46020.05069444461</v>
      </c>
      <c r="B77" s="115">
        <v>299</v>
      </c>
      <c r="C77" s="115">
        <v>53.494998931884766</v>
      </c>
      <c r="D77" s="115">
        <v>101.10900115966797</v>
      </c>
      <c r="E77" s="115">
        <v>21.940000534057617</v>
      </c>
      <c r="F77" s="115">
        <v>39.792392730712891</v>
      </c>
      <c r="G77" s="116">
        <v>19.791999816894531</v>
      </c>
      <c r="H77" s="117">
        <v>338</v>
      </c>
      <c r="I77" s="115">
        <v>309</v>
      </c>
      <c r="J77" s="115">
        <v>68.875999450683594</v>
      </c>
      <c r="K77" s="115">
        <v>62.737380981445313</v>
      </c>
      <c r="L77" s="115">
        <v>49.479999542236328</v>
      </c>
      <c r="M77" s="115">
        <v>14.02400016784668</v>
      </c>
      <c r="N77" s="115">
        <v>17.367000579833984</v>
      </c>
      <c r="O77" s="115">
        <v>20</v>
      </c>
      <c r="P77" s="115">
        <v>0</v>
      </c>
      <c r="Q77" s="115">
        <v>20.982099533081055</v>
      </c>
      <c r="R77" s="115">
        <v>22.996875762939453</v>
      </c>
      <c r="S77" s="115">
        <v>22.266218185424805</v>
      </c>
      <c r="T77" s="115">
        <v>9</v>
      </c>
      <c r="U77" s="115">
        <v>9</v>
      </c>
      <c r="V77" s="117">
        <v>1045</v>
      </c>
      <c r="W77" s="115">
        <v>34.851028442382813</v>
      </c>
      <c r="X77" s="115">
        <v>37.095001220703125</v>
      </c>
      <c r="Y77" s="115">
        <v>7.5060000419616699</v>
      </c>
      <c r="Z77" s="115">
        <v>0</v>
      </c>
      <c r="AA77" s="115">
        <v>28.72599983215332</v>
      </c>
      <c r="AB77" s="115">
        <v>0</v>
      </c>
      <c r="AC77" s="115">
        <v>63.891742706298828</v>
      </c>
      <c r="AD77" s="115">
        <v>6.1069998741149902</v>
      </c>
      <c r="AE77" s="115">
        <v>0</v>
      </c>
      <c r="AF77" s="115">
        <v>90.701583862304688</v>
      </c>
      <c r="AG77" s="115">
        <v>0</v>
      </c>
      <c r="AH77" s="115">
        <v>71.494781494140625</v>
      </c>
      <c r="AI77" s="115">
        <v>18.129999160766602</v>
      </c>
      <c r="AJ77" s="115">
        <v>29.264678955078125</v>
      </c>
      <c r="AK77" s="115">
        <v>47.290504455566406</v>
      </c>
      <c r="AL77" s="115">
        <v>58.668998718261719</v>
      </c>
      <c r="AM77" s="118">
        <v>59.672000885009766</v>
      </c>
      <c r="AN77" s="117">
        <v>143.9375</v>
      </c>
      <c r="AO77" s="119">
        <v>76</v>
      </c>
      <c r="AP77" s="115">
        <v>74.067520141601563</v>
      </c>
      <c r="AQ77" s="115">
        <v>47.466461181640625</v>
      </c>
      <c r="AR77" s="115">
        <v>82</v>
      </c>
      <c r="AS77" s="115"/>
      <c r="AT77" s="115">
        <v>121</v>
      </c>
      <c r="AU77" s="115"/>
      <c r="AV77" s="115">
        <v>91</v>
      </c>
      <c r="AW77" s="115"/>
      <c r="AX77" s="115">
        <v>33</v>
      </c>
      <c r="AY77" s="115">
        <v>36.073604583740234</v>
      </c>
      <c r="AZ77" s="115">
        <v>21</v>
      </c>
      <c r="BA77" s="115"/>
      <c r="BB77" s="115">
        <v>308</v>
      </c>
      <c r="BC77" s="115">
        <v>310.88992309570313</v>
      </c>
      <c r="BD77" s="115">
        <v>7.1999998092651367</v>
      </c>
      <c r="BE77" s="115">
        <v>7.251197338104248</v>
      </c>
      <c r="BF77" s="115">
        <v>29</v>
      </c>
      <c r="BG77" s="115">
        <v>11</v>
      </c>
      <c r="BH77" s="115">
        <v>11.735084533691406</v>
      </c>
      <c r="BI77" s="115"/>
      <c r="BJ77" s="108">
        <f t="shared" si="4"/>
        <v>17</v>
      </c>
      <c r="BK77" s="115">
        <v>17</v>
      </c>
      <c r="BL77" s="115">
        <v>0</v>
      </c>
      <c r="BM77" s="118"/>
      <c r="BN77" s="108">
        <f t="shared" si="5"/>
        <v>122</v>
      </c>
      <c r="BO77" s="108">
        <v>74</v>
      </c>
      <c r="BP77" s="108">
        <v>48</v>
      </c>
      <c r="BQ77" s="108">
        <v>305</v>
      </c>
      <c r="BR77" s="115">
        <v>89.685997009277344</v>
      </c>
      <c r="BS77" s="115">
        <v>26.464000701904297</v>
      </c>
      <c r="BT77" s="115">
        <v>44.333999633789063</v>
      </c>
      <c r="BU77" s="115">
        <v>43.068000793457031</v>
      </c>
      <c r="BV77" s="115">
        <v>69.699996948242188</v>
      </c>
      <c r="BW77" s="115">
        <v>6.6999998092651367</v>
      </c>
      <c r="BX77" s="115">
        <v>13.5</v>
      </c>
      <c r="BY77" s="115">
        <v>29</v>
      </c>
      <c r="BZ77" s="115">
        <v>1.5195649117231369E-2</v>
      </c>
      <c r="CA77" s="115">
        <v>0</v>
      </c>
      <c r="CB77" s="115">
        <v>29.250297546386719</v>
      </c>
      <c r="CC77" s="118"/>
      <c r="CD77" s="115">
        <v>432.83639526367188</v>
      </c>
      <c r="CE77" s="115">
        <v>82.924049377441406</v>
      </c>
      <c r="CF77" s="115">
        <v>28.362619400024414</v>
      </c>
      <c r="CG77" s="115">
        <v>35.338191986083984</v>
      </c>
      <c r="CH77" s="115">
        <v>302.134765625</v>
      </c>
      <c r="CI77" s="115">
        <v>109.47934722900391</v>
      </c>
      <c r="CJ77" s="115">
        <v>52.916412353515625</v>
      </c>
      <c r="CK77" s="115">
        <v>59.963787078857422</v>
      </c>
      <c r="CL77" s="116">
        <v>43.961597442626953</v>
      </c>
      <c r="CM77" s="117">
        <v>248.35951232910156</v>
      </c>
      <c r="CN77" s="115">
        <v>77.736160278320313</v>
      </c>
      <c r="CO77" s="115">
        <v>88.780166625976563</v>
      </c>
      <c r="CP77" s="115">
        <v>78.5218505859375</v>
      </c>
      <c r="CQ77" s="115">
        <v>0</v>
      </c>
      <c r="CR77" s="115">
        <v>60.596466064453125</v>
      </c>
      <c r="CS77" s="115">
        <v>12.490766525268555</v>
      </c>
      <c r="CT77" s="115">
        <v>51.800365447998047</v>
      </c>
      <c r="CU77" s="115">
        <v>69.539886474609375</v>
      </c>
      <c r="CV77" s="116">
        <v>87.494255065917969</v>
      </c>
      <c r="CW77" s="117">
        <v>5</v>
      </c>
      <c r="CX77" s="115">
        <v>430</v>
      </c>
      <c r="CY77" s="115">
        <v>202.35780334472656</v>
      </c>
      <c r="CZ77" s="115">
        <v>60.554630279541016</v>
      </c>
      <c r="DA77" s="115">
        <v>22.606666564941406</v>
      </c>
      <c r="DB77" s="115">
        <v>39.102672576904297</v>
      </c>
      <c r="DC77" s="115">
        <v>89.667594909667969</v>
      </c>
      <c r="DD77" s="115">
        <v>97</v>
      </c>
      <c r="DE77" s="115">
        <v>190</v>
      </c>
      <c r="DF77" s="115">
        <v>127.54222106933594</v>
      </c>
      <c r="DG77" s="115">
        <v>89.903388977050781</v>
      </c>
      <c r="DH77" s="115">
        <v>63.786323547363281</v>
      </c>
      <c r="DI77" s="120">
        <v>39.44146728515625</v>
      </c>
      <c r="DJ77" s="119">
        <v>242</v>
      </c>
      <c r="DK77" s="115">
        <v>138.94000244140625</v>
      </c>
      <c r="DL77" s="115">
        <v>27.820999145507813</v>
      </c>
      <c r="DM77" s="115">
        <v>58.668998718261719</v>
      </c>
      <c r="DN77" s="115">
        <v>52.306999206542969</v>
      </c>
      <c r="DO77" s="116">
        <v>113.01019287109375</v>
      </c>
      <c r="DP77" s="117">
        <v>16.680999755859375</v>
      </c>
      <c r="DQ77" s="115"/>
      <c r="DR77" s="117">
        <v>67</v>
      </c>
      <c r="DS77" s="120">
        <v>50.400001525878906</v>
      </c>
      <c r="DT77" s="119">
        <v>13</v>
      </c>
      <c r="DU77" s="115"/>
      <c r="DV77" s="115">
        <v>172</v>
      </c>
      <c r="DW77" s="115">
        <v>164.03367614746094</v>
      </c>
      <c r="DX77" s="117">
        <v>10</v>
      </c>
      <c r="DY77" s="120"/>
      <c r="DZ77" s="119">
        <v>48</v>
      </c>
      <c r="EA77" s="115">
        <v>3</v>
      </c>
      <c r="EB77" s="115">
        <v>0</v>
      </c>
      <c r="EC77" s="115">
        <v>1</v>
      </c>
      <c r="ED77" s="115">
        <v>303.89999389648438</v>
      </c>
      <c r="EE77" s="121">
        <v>5.5999999046325684</v>
      </c>
      <c r="EF77" s="121">
        <v>5.6333332061767578</v>
      </c>
      <c r="EG77" s="121">
        <v>5.7833333889643352</v>
      </c>
      <c r="EH77" t="s">
        <v>264</v>
      </c>
    </row>
    <row r="78" spans="1:138" x14ac:dyDescent="0.3">
      <c r="A78" s="226">
        <f t="shared" si="3"/>
        <v>46020.051388889056</v>
      </c>
      <c r="B78" s="115">
        <v>297</v>
      </c>
      <c r="C78" s="115">
        <v>54.512001037597656</v>
      </c>
      <c r="D78" s="115">
        <v>100.99500274658203</v>
      </c>
      <c r="E78" s="115">
        <v>21.60099983215332</v>
      </c>
      <c r="F78" s="115">
        <v>38.472515106201172</v>
      </c>
      <c r="G78" s="116">
        <v>19.791999816894531</v>
      </c>
      <c r="H78" s="117">
        <v>347</v>
      </c>
      <c r="I78" s="115">
        <v>316</v>
      </c>
      <c r="J78" s="115">
        <v>74.530998229980469</v>
      </c>
      <c r="K78" s="115">
        <v>68.185905456542969</v>
      </c>
      <c r="L78" s="115">
        <v>48.243000030517578</v>
      </c>
      <c r="M78" s="115">
        <v>13.909999847412109</v>
      </c>
      <c r="N78" s="115">
        <v>17.302999496459961</v>
      </c>
      <c r="O78" s="115">
        <v>19</v>
      </c>
      <c r="P78" s="115">
        <v>0</v>
      </c>
      <c r="Q78" s="115">
        <v>19.545501708984375</v>
      </c>
      <c r="R78" s="115">
        <v>21</v>
      </c>
      <c r="S78" s="115">
        <v>21.87580680847168</v>
      </c>
      <c r="T78" s="115">
        <v>9</v>
      </c>
      <c r="U78" s="115">
        <v>9</v>
      </c>
      <c r="V78" s="117">
        <v>1022</v>
      </c>
      <c r="W78" s="115">
        <v>33.307872772216797</v>
      </c>
      <c r="X78" s="115">
        <v>37.095001220703125</v>
      </c>
      <c r="Y78" s="115">
        <v>7.5060000419616699</v>
      </c>
      <c r="Z78" s="115">
        <v>0</v>
      </c>
      <c r="AA78" s="115">
        <v>26.916999816894531</v>
      </c>
      <c r="AB78" s="115">
        <v>0</v>
      </c>
      <c r="AC78" s="115">
        <v>62.265350341796875</v>
      </c>
      <c r="AD78" s="115">
        <v>6.1069998741149902</v>
      </c>
      <c r="AE78" s="115">
        <v>0</v>
      </c>
      <c r="AF78" s="115">
        <v>89.744552612304688</v>
      </c>
      <c r="AG78" s="115">
        <v>0</v>
      </c>
      <c r="AH78" s="115">
        <v>74.0250244140625</v>
      </c>
      <c r="AI78" s="115">
        <v>16.604000091552734</v>
      </c>
      <c r="AJ78" s="115">
        <v>26.533124923706055</v>
      </c>
      <c r="AK78" s="115">
        <v>48.613449096679688</v>
      </c>
      <c r="AL78" s="115">
        <v>57.431999206542969</v>
      </c>
      <c r="AM78" s="118">
        <v>58.337001800537109</v>
      </c>
      <c r="AN78" s="117">
        <v>143.9375</v>
      </c>
      <c r="AO78" s="119">
        <v>76</v>
      </c>
      <c r="AP78" s="115">
        <v>74.137855529785156</v>
      </c>
      <c r="AQ78" s="115">
        <v>48.674522399902344</v>
      </c>
      <c r="AR78" s="115">
        <v>83</v>
      </c>
      <c r="AS78" s="115"/>
      <c r="AT78" s="115">
        <v>122</v>
      </c>
      <c r="AU78" s="115"/>
      <c r="AV78" s="115">
        <v>90</v>
      </c>
      <c r="AW78" s="115"/>
      <c r="AX78" s="115">
        <v>34</v>
      </c>
      <c r="AY78" s="115">
        <v>36.073604583740234</v>
      </c>
      <c r="AZ78" s="115">
        <v>21</v>
      </c>
      <c r="BA78" s="115"/>
      <c r="BB78" s="115">
        <v>306</v>
      </c>
      <c r="BC78" s="115">
        <v>310.82537841796875</v>
      </c>
      <c r="BD78" s="115">
        <v>7.1999998092651367</v>
      </c>
      <c r="BE78" s="115">
        <v>7.2380108833312988</v>
      </c>
      <c r="BF78" s="115">
        <v>29</v>
      </c>
      <c r="BG78" s="115">
        <v>11</v>
      </c>
      <c r="BH78" s="115">
        <v>11.681042671203613</v>
      </c>
      <c r="BI78" s="115"/>
      <c r="BJ78" s="108">
        <f t="shared" si="4"/>
        <v>17</v>
      </c>
      <c r="BK78" s="115">
        <v>17</v>
      </c>
      <c r="BL78" s="115">
        <v>0</v>
      </c>
      <c r="BM78" s="118"/>
      <c r="BN78" s="108">
        <f t="shared" si="5"/>
        <v>123</v>
      </c>
      <c r="BO78" s="108">
        <v>75</v>
      </c>
      <c r="BP78" s="108">
        <v>48</v>
      </c>
      <c r="BQ78" s="108">
        <v>309</v>
      </c>
      <c r="BR78" s="115">
        <v>94.209999084472656</v>
      </c>
      <c r="BS78" s="115">
        <v>26.464000701904297</v>
      </c>
      <c r="BT78" s="115">
        <v>42.602001190185547</v>
      </c>
      <c r="BU78" s="115">
        <v>42.75</v>
      </c>
      <c r="BV78" s="115">
        <v>69.900001525878906</v>
      </c>
      <c r="BW78" s="115">
        <v>6.5</v>
      </c>
      <c r="BX78" s="115">
        <v>13.5</v>
      </c>
      <c r="BY78" s="115">
        <v>28</v>
      </c>
      <c r="BZ78" s="115">
        <v>1.5540875494480133E-2</v>
      </c>
      <c r="CA78" s="115">
        <v>0</v>
      </c>
      <c r="CB78" s="115">
        <v>29.396987915039063</v>
      </c>
      <c r="CC78" s="118"/>
      <c r="CD78" s="115">
        <v>407.23226928710938</v>
      </c>
      <c r="CE78" s="115">
        <v>55.826923370361328</v>
      </c>
      <c r="CF78" s="115">
        <v>28.925485610961914</v>
      </c>
      <c r="CG78" s="115">
        <v>35.338191986083984</v>
      </c>
      <c r="CH78" s="115">
        <v>302.6905517578125</v>
      </c>
      <c r="CI78" s="115">
        <v>108.14932250976563</v>
      </c>
      <c r="CJ78" s="115">
        <v>56.550052642822266</v>
      </c>
      <c r="CK78" s="115">
        <v>59.109046936035156</v>
      </c>
      <c r="CL78" s="116">
        <v>43.961597442626953</v>
      </c>
      <c r="CM78" s="117">
        <v>259.80130004882813</v>
      </c>
      <c r="CN78" s="115">
        <v>86.374031066894531</v>
      </c>
      <c r="CO78" s="115">
        <v>87.732345581054688</v>
      </c>
      <c r="CP78" s="115">
        <v>81.065948486328125</v>
      </c>
      <c r="CQ78" s="115">
        <v>0</v>
      </c>
      <c r="CR78" s="115">
        <v>60.503372192382813</v>
      </c>
      <c r="CS78" s="115">
        <v>11.910038948059082</v>
      </c>
      <c r="CT78" s="115">
        <v>48.818321228027344</v>
      </c>
      <c r="CU78" s="115">
        <v>70.260421752929688</v>
      </c>
      <c r="CV78" s="116">
        <v>88.588340759277344</v>
      </c>
      <c r="CW78" s="117">
        <v>5</v>
      </c>
      <c r="CX78" s="115">
        <v>434</v>
      </c>
      <c r="CY78" s="115">
        <v>204.32356262207031</v>
      </c>
      <c r="CZ78" s="115">
        <v>59.259872436523438</v>
      </c>
      <c r="DA78" s="115">
        <v>22.075922012329102</v>
      </c>
      <c r="DB78" s="115">
        <v>40.614791870117188</v>
      </c>
      <c r="DC78" s="115">
        <v>90.6910400390625</v>
      </c>
      <c r="DD78" s="115">
        <v>102</v>
      </c>
      <c r="DE78" s="115">
        <v>193</v>
      </c>
      <c r="DF78" s="115">
        <v>125.94819641113281</v>
      </c>
      <c r="DG78" s="115">
        <v>89.903388977050781</v>
      </c>
      <c r="DH78" s="115">
        <v>62.329433441162109</v>
      </c>
      <c r="DI78" s="120">
        <v>41.405170440673828</v>
      </c>
      <c r="DJ78" s="119">
        <v>242</v>
      </c>
      <c r="DK78" s="115">
        <v>139.95700073242188</v>
      </c>
      <c r="DL78" s="115">
        <v>30.64900016784668</v>
      </c>
      <c r="DM78" s="115">
        <v>58.668998718261719</v>
      </c>
      <c r="DN78" s="115">
        <v>52.306999206542969</v>
      </c>
      <c r="DO78" s="116">
        <v>113.39975738525391</v>
      </c>
      <c r="DP78" s="117">
        <v>17.38800048828125</v>
      </c>
      <c r="DQ78" s="115"/>
      <c r="DR78" s="117">
        <v>67</v>
      </c>
      <c r="DS78" s="120">
        <v>47.099998474121094</v>
      </c>
      <c r="DT78" s="119">
        <v>13</v>
      </c>
      <c r="DU78" s="115"/>
      <c r="DV78" s="115">
        <v>172</v>
      </c>
      <c r="DW78" s="115">
        <v>164.61701965332031</v>
      </c>
      <c r="DX78" s="117">
        <v>10</v>
      </c>
      <c r="DY78" s="120"/>
      <c r="DZ78" s="119">
        <v>49</v>
      </c>
      <c r="EA78" s="115">
        <v>3</v>
      </c>
      <c r="EB78" s="115">
        <v>0</v>
      </c>
      <c r="EC78" s="115">
        <v>1</v>
      </c>
      <c r="ED78" s="115">
        <v>306.79998779296875</v>
      </c>
      <c r="EE78" s="121">
        <v>13.399999618530273</v>
      </c>
      <c r="EF78" s="121">
        <v>13.433333079020182</v>
      </c>
      <c r="EG78" s="121">
        <v>13.563333336512247</v>
      </c>
      <c r="EH78" t="s">
        <v>265</v>
      </c>
    </row>
    <row r="79" spans="1:138" x14ac:dyDescent="0.3">
      <c r="A79" s="226">
        <f t="shared" si="3"/>
        <v>46020.052083333503</v>
      </c>
      <c r="B79" s="115">
        <v>293</v>
      </c>
      <c r="C79" s="115">
        <v>51.233001708984375</v>
      </c>
      <c r="D79" s="115">
        <v>101.56099700927734</v>
      </c>
      <c r="E79" s="115">
        <v>20.583000183105469</v>
      </c>
      <c r="F79" s="115">
        <v>36.245342254638672</v>
      </c>
      <c r="G79" s="116">
        <v>20.243999481201172</v>
      </c>
      <c r="H79" s="117">
        <v>347</v>
      </c>
      <c r="I79" s="115">
        <v>317</v>
      </c>
      <c r="J79" s="115">
        <v>73.172996520996094</v>
      </c>
      <c r="K79" s="115">
        <v>68.568023681640625</v>
      </c>
      <c r="L79" s="115">
        <v>47.181999206542969</v>
      </c>
      <c r="M79" s="115">
        <v>13.909999847412109</v>
      </c>
      <c r="N79" s="115">
        <v>16.540000915527344</v>
      </c>
      <c r="O79" s="115">
        <v>19</v>
      </c>
      <c r="P79" s="115">
        <v>0</v>
      </c>
      <c r="Q79" s="115">
        <v>19.206840515136719</v>
      </c>
      <c r="R79" s="115">
        <v>21</v>
      </c>
      <c r="S79" s="115">
        <v>20.385408401489258</v>
      </c>
      <c r="T79" s="115">
        <v>9</v>
      </c>
      <c r="U79" s="115">
        <v>9</v>
      </c>
      <c r="V79" s="117">
        <v>1023</v>
      </c>
      <c r="W79" s="115">
        <v>32.781085968017578</v>
      </c>
      <c r="X79" s="115">
        <v>37.773998260498047</v>
      </c>
      <c r="Y79" s="115">
        <v>8.0150003433227539</v>
      </c>
      <c r="Z79" s="115">
        <v>0</v>
      </c>
      <c r="AA79" s="115">
        <v>28.160999298095703</v>
      </c>
      <c r="AB79" s="115">
        <v>0</v>
      </c>
      <c r="AC79" s="115">
        <v>60.663219451904297</v>
      </c>
      <c r="AD79" s="115">
        <v>6.3610000610351563</v>
      </c>
      <c r="AE79" s="115">
        <v>0</v>
      </c>
      <c r="AF79" s="115">
        <v>89.135955810546875</v>
      </c>
      <c r="AG79" s="115">
        <v>0</v>
      </c>
      <c r="AH79" s="115">
        <v>76.691413879394531</v>
      </c>
      <c r="AI79" s="115">
        <v>18.194000244140625</v>
      </c>
      <c r="AJ79" s="115">
        <v>26.842342376708984</v>
      </c>
      <c r="AK79" s="115">
        <v>48.780227661132813</v>
      </c>
      <c r="AL79" s="115">
        <v>57.962001800537109</v>
      </c>
      <c r="AM79" s="118">
        <v>59.417999267578125</v>
      </c>
      <c r="AN79" s="117">
        <v>144.25</v>
      </c>
      <c r="AO79" s="119">
        <v>79</v>
      </c>
      <c r="AP79" s="115">
        <v>74.368011474609375</v>
      </c>
      <c r="AQ79" s="115">
        <v>49.673103332519531</v>
      </c>
      <c r="AR79" s="115">
        <v>83</v>
      </c>
      <c r="AS79" s="115"/>
      <c r="AT79" s="115">
        <v>122</v>
      </c>
      <c r="AU79" s="115"/>
      <c r="AV79" s="115">
        <v>90</v>
      </c>
      <c r="AW79" s="115"/>
      <c r="AX79" s="115">
        <v>34</v>
      </c>
      <c r="AY79" s="115">
        <v>36.228435516357422</v>
      </c>
      <c r="AZ79" s="115">
        <v>20</v>
      </c>
      <c r="BA79" s="115"/>
      <c r="BB79" s="115">
        <v>305</v>
      </c>
      <c r="BC79" s="115">
        <v>309.30905151367188</v>
      </c>
      <c r="BD79" s="115">
        <v>7.1999998092651367</v>
      </c>
      <c r="BE79" s="115">
        <v>7.2234992980957031</v>
      </c>
      <c r="BF79" s="115">
        <v>29</v>
      </c>
      <c r="BG79" s="115">
        <v>11</v>
      </c>
      <c r="BH79" s="115">
        <v>11.681042671203613</v>
      </c>
      <c r="BI79" s="115"/>
      <c r="BJ79" s="108">
        <f t="shared" si="4"/>
        <v>18</v>
      </c>
      <c r="BK79" s="115">
        <v>18</v>
      </c>
      <c r="BL79" s="115">
        <v>0</v>
      </c>
      <c r="BM79" s="118"/>
      <c r="BN79" s="108">
        <f t="shared" si="5"/>
        <v>122.20000076293945</v>
      </c>
      <c r="BO79" s="108">
        <v>74</v>
      </c>
      <c r="BP79" s="108">
        <v>48.200000762939453</v>
      </c>
      <c r="BQ79" s="108">
        <v>304</v>
      </c>
      <c r="BR79" s="115">
        <v>88.555000305175781</v>
      </c>
      <c r="BS79" s="115">
        <v>27.73699951171875</v>
      </c>
      <c r="BT79" s="115">
        <v>46.757999420166016</v>
      </c>
      <c r="BU79" s="115">
        <v>43.958999633789063</v>
      </c>
      <c r="BV79" s="115">
        <v>70.199996948242188</v>
      </c>
      <c r="BW79" s="115">
        <v>6.5999999046325684</v>
      </c>
      <c r="BX79" s="115">
        <v>13.600000381469727</v>
      </c>
      <c r="BY79" s="115">
        <v>28</v>
      </c>
      <c r="BZ79" s="115">
        <v>1.0949129238724709E-2</v>
      </c>
      <c r="CA79" s="115">
        <v>0</v>
      </c>
      <c r="CB79" s="115">
        <v>29.314714431762695</v>
      </c>
      <c r="CC79" s="118"/>
      <c r="CD79" s="115">
        <v>401.45132446289063</v>
      </c>
      <c r="CE79" s="115">
        <v>45.385425567626953</v>
      </c>
      <c r="CF79" s="115">
        <v>28.942293167114258</v>
      </c>
      <c r="CG79" s="115">
        <v>35.338191986083984</v>
      </c>
      <c r="CH79" s="115">
        <v>302.54168701171875</v>
      </c>
      <c r="CI79" s="115">
        <v>105.76374816894531</v>
      </c>
      <c r="CJ79" s="115">
        <v>50.283054351806641</v>
      </c>
      <c r="CK79" s="115">
        <v>59.293743133544922</v>
      </c>
      <c r="CL79" s="116">
        <v>44.504833221435547</v>
      </c>
      <c r="CM79" s="117">
        <v>263.67425537109375</v>
      </c>
      <c r="CN79" s="115">
        <v>86.248252868652344</v>
      </c>
      <c r="CO79" s="115">
        <v>88.305351257324219</v>
      </c>
      <c r="CP79" s="115">
        <v>84.235511779785156</v>
      </c>
      <c r="CQ79" s="115">
        <v>0</v>
      </c>
      <c r="CR79" s="115">
        <v>59.961170196533203</v>
      </c>
      <c r="CS79" s="115">
        <v>11.298749923706055</v>
      </c>
      <c r="CT79" s="115">
        <v>49.890571594238281</v>
      </c>
      <c r="CU79" s="115">
        <v>68.489242553710938</v>
      </c>
      <c r="CV79" s="116">
        <v>89.834175109863281</v>
      </c>
      <c r="CW79" s="117">
        <v>5</v>
      </c>
      <c r="CX79" s="115">
        <v>434</v>
      </c>
      <c r="CY79" s="115">
        <v>205.91279602050781</v>
      </c>
      <c r="CZ79" s="115">
        <v>59.550815582275391</v>
      </c>
      <c r="DA79" s="115">
        <v>20.860342025756836</v>
      </c>
      <c r="DB79" s="115">
        <v>40.283672332763672</v>
      </c>
      <c r="DC79" s="115">
        <v>89.093711853027344</v>
      </c>
      <c r="DD79" s="115">
        <v>95</v>
      </c>
      <c r="DE79" s="115">
        <v>192</v>
      </c>
      <c r="DF79" s="115">
        <v>125.52843475341797</v>
      </c>
      <c r="DG79" s="115">
        <v>92.740211486816406</v>
      </c>
      <c r="DH79" s="115">
        <v>63.622291564941406</v>
      </c>
      <c r="DI79" s="120">
        <v>41.112075805664063</v>
      </c>
      <c r="DJ79" s="119">
        <v>242</v>
      </c>
      <c r="DK79" s="115">
        <v>142.24800109863281</v>
      </c>
      <c r="DL79" s="115">
        <v>29.631000518798828</v>
      </c>
      <c r="DM79" s="115">
        <v>58.668998718261719</v>
      </c>
      <c r="DN79" s="115">
        <v>53.543998718261719</v>
      </c>
      <c r="DO79" s="116">
        <v>113.73084259033203</v>
      </c>
      <c r="DP79" s="117">
        <v>16.709999084472656</v>
      </c>
      <c r="DQ79" s="115"/>
      <c r="DR79" s="117">
        <v>67</v>
      </c>
      <c r="DS79" s="120">
        <v>48.400001525878906</v>
      </c>
      <c r="DT79" s="119">
        <v>13</v>
      </c>
      <c r="DU79" s="115"/>
      <c r="DV79" s="115">
        <v>175</v>
      </c>
      <c r="DW79" s="115">
        <v>165.34353637695313</v>
      </c>
      <c r="DX79" s="117">
        <v>11</v>
      </c>
      <c r="DY79" s="120"/>
      <c r="DZ79" s="119">
        <v>49</v>
      </c>
      <c r="EA79" s="115">
        <v>3</v>
      </c>
      <c r="EB79" s="115">
        <v>0</v>
      </c>
      <c r="EC79" s="115">
        <v>1</v>
      </c>
      <c r="ED79" s="115">
        <v>304.89999389648438</v>
      </c>
      <c r="EE79" s="121">
        <v>27</v>
      </c>
      <c r="EF79" s="121">
        <v>27</v>
      </c>
      <c r="EG79" s="121">
        <v>28.283333333333335</v>
      </c>
      <c r="EH79" t="s">
        <v>236</v>
      </c>
    </row>
    <row r="80" spans="1:138" x14ac:dyDescent="0.3">
      <c r="A80" s="226">
        <f t="shared" si="3"/>
        <v>46020.05277777795</v>
      </c>
      <c r="B80" s="115">
        <v>288</v>
      </c>
      <c r="C80" s="115">
        <v>53.041999816894531</v>
      </c>
      <c r="D80" s="115">
        <v>99.977996826171875</v>
      </c>
      <c r="E80" s="115">
        <v>19.565000534057617</v>
      </c>
      <c r="F80" s="115">
        <v>34.850101470947266</v>
      </c>
      <c r="G80" s="116">
        <v>19.451999664306641</v>
      </c>
      <c r="H80" s="117">
        <v>349</v>
      </c>
      <c r="I80" s="115">
        <v>315</v>
      </c>
      <c r="J80" s="115">
        <v>68.536003112792969</v>
      </c>
      <c r="K80" s="115">
        <v>67.859100341796875</v>
      </c>
      <c r="L80" s="115">
        <v>46.828998565673828</v>
      </c>
      <c r="M80" s="115">
        <v>14.13700008392334</v>
      </c>
      <c r="N80" s="115">
        <v>17.493999481201172</v>
      </c>
      <c r="O80" s="115">
        <v>18</v>
      </c>
      <c r="P80" s="115">
        <v>0</v>
      </c>
      <c r="Q80" s="115">
        <v>18.506418228149414</v>
      </c>
      <c r="R80" s="115">
        <v>21</v>
      </c>
      <c r="S80" s="115">
        <v>21.119375228881836</v>
      </c>
      <c r="T80" s="115">
        <v>9</v>
      </c>
      <c r="U80" s="115">
        <v>9</v>
      </c>
      <c r="V80" s="117">
        <v>1027</v>
      </c>
      <c r="W80" s="115">
        <v>32.087665557861328</v>
      </c>
      <c r="X80" s="115">
        <v>36.191001892089844</v>
      </c>
      <c r="Y80" s="115">
        <v>8.0150003433227539</v>
      </c>
      <c r="Z80" s="115">
        <v>0</v>
      </c>
      <c r="AA80" s="115">
        <v>29.405000686645508</v>
      </c>
      <c r="AB80" s="115">
        <v>0</v>
      </c>
      <c r="AC80" s="115">
        <v>61.870552062988281</v>
      </c>
      <c r="AD80" s="115">
        <v>6.1069998741149902</v>
      </c>
      <c r="AE80" s="115">
        <v>0</v>
      </c>
      <c r="AF80" s="115">
        <v>89.311393737792969</v>
      </c>
      <c r="AG80" s="115">
        <v>0</v>
      </c>
      <c r="AH80" s="115">
        <v>74.587654113769531</v>
      </c>
      <c r="AI80" s="115">
        <v>16.47599983215332</v>
      </c>
      <c r="AJ80" s="115">
        <v>26.13609504699707</v>
      </c>
      <c r="AK80" s="115">
        <v>49.501026153564453</v>
      </c>
      <c r="AL80" s="115">
        <v>58.845001220703125</v>
      </c>
      <c r="AM80" s="118">
        <v>59.481998443603516</v>
      </c>
      <c r="AN80" s="117">
        <v>145.3125</v>
      </c>
      <c r="AO80" s="119">
        <v>78</v>
      </c>
      <c r="AP80" s="115">
        <v>74.730491638183594</v>
      </c>
      <c r="AQ80" s="115">
        <v>49.441497802734375</v>
      </c>
      <c r="AR80" s="115">
        <v>82</v>
      </c>
      <c r="AS80" s="115"/>
      <c r="AT80" s="115">
        <v>121</v>
      </c>
      <c r="AU80" s="115"/>
      <c r="AV80" s="115">
        <v>92</v>
      </c>
      <c r="AW80" s="115"/>
      <c r="AX80" s="115">
        <v>35</v>
      </c>
      <c r="AY80" s="115">
        <v>37.007320404052734</v>
      </c>
      <c r="AZ80" s="115">
        <v>20</v>
      </c>
      <c r="BA80" s="115"/>
      <c r="BB80" s="115">
        <v>305</v>
      </c>
      <c r="BC80" s="115">
        <v>308.26541137695313</v>
      </c>
      <c r="BD80" s="115">
        <v>7.1999998092651367</v>
      </c>
      <c r="BE80" s="115">
        <v>7.222254753112793</v>
      </c>
      <c r="BF80" s="115">
        <v>30</v>
      </c>
      <c r="BG80" s="115">
        <v>11</v>
      </c>
      <c r="BH80" s="115">
        <v>11.744285583496094</v>
      </c>
      <c r="BI80" s="115"/>
      <c r="BJ80" s="108">
        <f t="shared" si="4"/>
        <v>17</v>
      </c>
      <c r="BK80" s="115">
        <v>17</v>
      </c>
      <c r="BL80" s="115">
        <v>0</v>
      </c>
      <c r="BM80" s="118"/>
      <c r="BN80" s="108">
        <f t="shared" si="5"/>
        <v>123</v>
      </c>
      <c r="BO80" s="108">
        <v>74</v>
      </c>
      <c r="BP80" s="108">
        <v>49</v>
      </c>
      <c r="BQ80" s="108">
        <v>304</v>
      </c>
      <c r="BR80" s="115">
        <v>90.704002380371094</v>
      </c>
      <c r="BS80" s="115">
        <v>25.701000213623047</v>
      </c>
      <c r="BT80" s="115">
        <v>43.98699951171875</v>
      </c>
      <c r="BU80" s="115">
        <v>42.813999176025391</v>
      </c>
      <c r="BV80" s="115">
        <v>67.800003051757813</v>
      </c>
      <c r="BW80" s="115">
        <v>6.6999998092651367</v>
      </c>
      <c r="BX80" s="115">
        <v>13.600000381469727</v>
      </c>
      <c r="BY80" s="115">
        <v>27</v>
      </c>
      <c r="BZ80" s="115">
        <v>1.408636849373579E-2</v>
      </c>
      <c r="CA80" s="115">
        <v>0</v>
      </c>
      <c r="CB80" s="115">
        <v>29.4149169921875</v>
      </c>
      <c r="CC80" s="118"/>
      <c r="CD80" s="115">
        <v>411.68795776367188</v>
      </c>
      <c r="CE80" s="115">
        <v>51.527610778808594</v>
      </c>
      <c r="CF80" s="115">
        <v>29.091392517089844</v>
      </c>
      <c r="CG80" s="115">
        <v>35.338191986083984</v>
      </c>
      <c r="CH80" s="115">
        <v>302.89910888671875</v>
      </c>
      <c r="CI80" s="115">
        <v>107.36370086669922</v>
      </c>
      <c r="CJ80" s="115">
        <v>51.943897247314453</v>
      </c>
      <c r="CK80" s="115">
        <v>60.677635192871094</v>
      </c>
      <c r="CL80" s="116">
        <v>43.985843658447266</v>
      </c>
      <c r="CM80" s="117">
        <v>265.06192016601563</v>
      </c>
      <c r="CN80" s="115">
        <v>86.640739440917969</v>
      </c>
      <c r="CO80" s="115">
        <v>88.249267578125</v>
      </c>
      <c r="CP80" s="115">
        <v>87.657638549804688</v>
      </c>
      <c r="CQ80" s="115">
        <v>0</v>
      </c>
      <c r="CR80" s="115">
        <v>61.722492218017578</v>
      </c>
      <c r="CS80" s="115">
        <v>11.718183517456055</v>
      </c>
      <c r="CT80" s="115">
        <v>49.141716003417969</v>
      </c>
      <c r="CU80" s="115">
        <v>68.039581298828125</v>
      </c>
      <c r="CV80" s="116">
        <v>90.737228393554688</v>
      </c>
      <c r="CW80" s="117">
        <v>3</v>
      </c>
      <c r="CX80" s="115">
        <v>434</v>
      </c>
      <c r="CY80" s="115">
        <v>201.04057312011719</v>
      </c>
      <c r="CZ80" s="115">
        <v>62.709747314453125</v>
      </c>
      <c r="DA80" s="115">
        <v>21.73796272277832</v>
      </c>
      <c r="DB80" s="115">
        <v>41.146820068359375</v>
      </c>
      <c r="DC80" s="115">
        <v>87.47967529296875</v>
      </c>
      <c r="DD80" s="115">
        <v>99</v>
      </c>
      <c r="DE80" s="115">
        <v>191</v>
      </c>
      <c r="DF80" s="115">
        <v>126.30305480957031</v>
      </c>
      <c r="DG80" s="115">
        <v>94.26702880859375</v>
      </c>
      <c r="DH80" s="115">
        <v>63.953994750976563</v>
      </c>
      <c r="DI80" s="120">
        <v>40.707996368408203</v>
      </c>
      <c r="DJ80" s="119">
        <v>250</v>
      </c>
      <c r="DK80" s="115">
        <v>145.30099487304688</v>
      </c>
      <c r="DL80" s="115">
        <v>30.309999465942383</v>
      </c>
      <c r="DM80" s="115">
        <v>58.845001220703125</v>
      </c>
      <c r="DN80" s="115">
        <v>56.194999694824219</v>
      </c>
      <c r="DO80" s="116">
        <v>114.68417358398438</v>
      </c>
      <c r="DP80" s="117">
        <v>16.256999969482422</v>
      </c>
      <c r="DQ80" s="115"/>
      <c r="DR80" s="117">
        <v>67</v>
      </c>
      <c r="DS80" s="120">
        <v>47</v>
      </c>
      <c r="DT80" s="119">
        <v>13</v>
      </c>
      <c r="DU80" s="115"/>
      <c r="DV80" s="115">
        <v>175</v>
      </c>
      <c r="DW80" s="115">
        <v>165.03947448730469</v>
      </c>
      <c r="DX80" s="117">
        <v>11</v>
      </c>
      <c r="DY80" s="120"/>
      <c r="DZ80" s="119">
        <v>49</v>
      </c>
      <c r="EA80" s="115">
        <v>3</v>
      </c>
      <c r="EB80" s="115">
        <v>0</v>
      </c>
      <c r="EC80" s="115">
        <v>1</v>
      </c>
      <c r="ED80" s="115">
        <v>309.70001220703125</v>
      </c>
      <c r="EE80" s="121">
        <v>1.0949129238724709E-2</v>
      </c>
      <c r="EF80" s="121">
        <v>1.206351692477862E-2</v>
      </c>
      <c r="EG80" s="121">
        <v>1.4105707903703054E-2</v>
      </c>
      <c r="EH80" t="s">
        <v>231</v>
      </c>
    </row>
    <row r="81" spans="1:138" x14ac:dyDescent="0.3">
      <c r="A81" s="226">
        <f t="shared" si="3"/>
        <v>46020.053472222397</v>
      </c>
      <c r="B81" s="115">
        <v>288</v>
      </c>
      <c r="C81" s="115">
        <v>55.077999114990234</v>
      </c>
      <c r="D81" s="115">
        <v>101.22200012207031</v>
      </c>
      <c r="E81" s="115">
        <v>20.469999313354492</v>
      </c>
      <c r="F81" s="115">
        <v>38.189731597900391</v>
      </c>
      <c r="G81" s="116">
        <v>19.339000701904297</v>
      </c>
      <c r="H81" s="117">
        <v>343</v>
      </c>
      <c r="I81" s="115">
        <v>313</v>
      </c>
      <c r="J81" s="115">
        <v>67.066001892089844</v>
      </c>
      <c r="K81" s="115">
        <v>68.103408813476563</v>
      </c>
      <c r="L81" s="115">
        <v>47.535999298095703</v>
      </c>
      <c r="M81" s="115">
        <v>14.02400016784668</v>
      </c>
      <c r="N81" s="115">
        <v>18.003000259399414</v>
      </c>
      <c r="O81" s="115">
        <v>18</v>
      </c>
      <c r="P81" s="115">
        <v>0</v>
      </c>
      <c r="Q81" s="115">
        <v>18.506418228149414</v>
      </c>
      <c r="R81" s="115">
        <v>22.003124237060547</v>
      </c>
      <c r="S81" s="115">
        <v>21.119375228881836</v>
      </c>
      <c r="T81" s="115">
        <v>9</v>
      </c>
      <c r="U81" s="115">
        <v>9</v>
      </c>
      <c r="V81" s="117">
        <v>1021</v>
      </c>
      <c r="W81" s="115">
        <v>33.881202697753906</v>
      </c>
      <c r="X81" s="115">
        <v>36.643001556396484</v>
      </c>
      <c r="Y81" s="115">
        <v>8.3970003128051758</v>
      </c>
      <c r="Z81" s="115">
        <v>0</v>
      </c>
      <c r="AA81" s="115">
        <v>29.969999313354492</v>
      </c>
      <c r="AB81" s="115">
        <v>0</v>
      </c>
      <c r="AC81" s="115">
        <v>60.769241333007813</v>
      </c>
      <c r="AD81" s="115">
        <v>6.1069998741149902</v>
      </c>
      <c r="AE81" s="115">
        <v>0</v>
      </c>
      <c r="AF81" s="115">
        <v>87.824851989746094</v>
      </c>
      <c r="AG81" s="115">
        <v>0</v>
      </c>
      <c r="AH81" s="115">
        <v>75.129554748535156</v>
      </c>
      <c r="AI81" s="115">
        <v>19.084999084472656</v>
      </c>
      <c r="AJ81" s="115">
        <v>26.916229248046875</v>
      </c>
      <c r="AK81" s="115">
        <v>47.584388732910156</v>
      </c>
      <c r="AL81" s="115">
        <v>56.902000427246094</v>
      </c>
      <c r="AM81" s="118">
        <v>57.508998870849609</v>
      </c>
      <c r="AN81" s="117">
        <v>136.3125</v>
      </c>
      <c r="AO81" s="119">
        <v>75</v>
      </c>
      <c r="AP81" s="115">
        <v>73.724983215332031</v>
      </c>
      <c r="AQ81" s="115">
        <v>46.602012634277344</v>
      </c>
      <c r="AR81" s="115">
        <v>83</v>
      </c>
      <c r="AS81" s="115"/>
      <c r="AT81" s="115">
        <v>121</v>
      </c>
      <c r="AU81" s="115"/>
      <c r="AV81" s="115">
        <v>99</v>
      </c>
      <c r="AW81" s="115"/>
      <c r="AX81" s="115">
        <v>35</v>
      </c>
      <c r="AY81" s="115">
        <v>36.64404296875</v>
      </c>
      <c r="AZ81" s="115">
        <v>21</v>
      </c>
      <c r="BA81" s="115"/>
      <c r="BB81" s="115">
        <v>306</v>
      </c>
      <c r="BC81" s="115">
        <v>309.33255004882813</v>
      </c>
      <c r="BD81" s="115">
        <v>7.1999998092651367</v>
      </c>
      <c r="BE81" s="115">
        <v>7.2010593414306641</v>
      </c>
      <c r="BF81" s="115">
        <v>30</v>
      </c>
      <c r="BG81" s="115">
        <v>11</v>
      </c>
      <c r="BH81" s="115">
        <v>11.74565601348877</v>
      </c>
      <c r="BI81" s="115"/>
      <c r="BJ81" s="108">
        <f t="shared" si="4"/>
        <v>16</v>
      </c>
      <c r="BK81" s="115">
        <v>16</v>
      </c>
      <c r="BL81" s="115">
        <v>0</v>
      </c>
      <c r="BM81" s="118"/>
      <c r="BN81" s="108">
        <f t="shared" si="5"/>
        <v>124</v>
      </c>
      <c r="BO81" s="108">
        <v>75</v>
      </c>
      <c r="BP81" s="108">
        <v>49</v>
      </c>
      <c r="BQ81" s="108">
        <v>304</v>
      </c>
      <c r="BR81" s="115">
        <v>90.13800048828125</v>
      </c>
      <c r="BS81" s="115">
        <v>26.718999862670898</v>
      </c>
      <c r="BT81" s="115">
        <v>47.104999542236328</v>
      </c>
      <c r="BU81" s="115">
        <v>42.178001403808594</v>
      </c>
      <c r="BV81" s="115">
        <v>68.5</v>
      </c>
      <c r="BW81" s="115">
        <v>6.5</v>
      </c>
      <c r="BX81" s="115">
        <v>13.699999809265137</v>
      </c>
      <c r="BY81" s="115">
        <v>29</v>
      </c>
      <c r="BZ81" s="115">
        <v>1.3541804626584053E-2</v>
      </c>
      <c r="CA81" s="115">
        <v>0</v>
      </c>
      <c r="CB81" s="115">
        <v>29.540664672851563</v>
      </c>
      <c r="CC81" s="118"/>
      <c r="CD81" s="115">
        <v>398.91940307617188</v>
      </c>
      <c r="CE81" s="115">
        <v>50.043014526367188</v>
      </c>
      <c r="CF81" s="115">
        <v>29.039348602294922</v>
      </c>
      <c r="CG81" s="115">
        <v>35.338191986083984</v>
      </c>
      <c r="CH81" s="115">
        <v>302.13314819335938</v>
      </c>
      <c r="CI81" s="115">
        <v>105.30850219726563</v>
      </c>
      <c r="CJ81" s="115">
        <v>51.10479736328125</v>
      </c>
      <c r="CK81" s="115">
        <v>60.294662475585938</v>
      </c>
      <c r="CL81" s="116">
        <v>41.924289703369141</v>
      </c>
      <c r="CM81" s="117">
        <v>262.600341796875</v>
      </c>
      <c r="CN81" s="115">
        <v>84.919929504394531</v>
      </c>
      <c r="CO81" s="115">
        <v>87.254295349121094</v>
      </c>
      <c r="CP81" s="115">
        <v>87.362442016601563</v>
      </c>
      <c r="CQ81" s="115">
        <v>0</v>
      </c>
      <c r="CR81" s="115">
        <v>60.989738464355469</v>
      </c>
      <c r="CS81" s="115">
        <v>11.624736785888672</v>
      </c>
      <c r="CT81" s="115">
        <v>46.813907623291016</v>
      </c>
      <c r="CU81" s="115">
        <v>67.825332641601563</v>
      </c>
      <c r="CV81" s="116">
        <v>85.886390686035156</v>
      </c>
      <c r="CW81" s="117">
        <v>3</v>
      </c>
      <c r="CX81" s="115">
        <v>431</v>
      </c>
      <c r="CY81" s="115">
        <v>200.01072692871094</v>
      </c>
      <c r="CZ81" s="115">
        <v>62.797077178955078</v>
      </c>
      <c r="DA81" s="115">
        <v>21.520490646362305</v>
      </c>
      <c r="DB81" s="115">
        <v>40.067844390869141</v>
      </c>
      <c r="DC81" s="115">
        <v>88.633293151855469</v>
      </c>
      <c r="DD81" s="115">
        <v>109</v>
      </c>
      <c r="DE81" s="115">
        <v>191</v>
      </c>
      <c r="DF81" s="115">
        <v>126.29570770263672</v>
      </c>
      <c r="DG81" s="115">
        <v>90.142494201660156</v>
      </c>
      <c r="DH81" s="115">
        <v>62.059150695800781</v>
      </c>
      <c r="DI81" s="120">
        <v>42.985408782958984</v>
      </c>
      <c r="DJ81" s="119">
        <v>246</v>
      </c>
      <c r="DK81" s="115">
        <v>139.95700073242188</v>
      </c>
      <c r="DL81" s="115">
        <v>30.309999465942383</v>
      </c>
      <c r="DM81" s="115">
        <v>56.194999694824219</v>
      </c>
      <c r="DN81" s="115">
        <v>55.487998962402344</v>
      </c>
      <c r="DO81" s="116">
        <v>113.0146484375</v>
      </c>
      <c r="DP81" s="117">
        <v>16.256999969482422</v>
      </c>
      <c r="DQ81" s="115"/>
      <c r="DR81" s="117">
        <v>67</v>
      </c>
      <c r="DS81" s="120">
        <v>46.799999237060547</v>
      </c>
      <c r="DT81" s="119">
        <v>13</v>
      </c>
      <c r="DU81" s="115"/>
      <c r="DV81" s="115">
        <v>169</v>
      </c>
      <c r="DW81" s="115">
        <v>164.56103515625</v>
      </c>
      <c r="DX81" s="117">
        <v>10</v>
      </c>
      <c r="DY81" s="120"/>
      <c r="DZ81" s="119">
        <v>48</v>
      </c>
      <c r="EA81" s="115">
        <v>3</v>
      </c>
      <c r="EB81" s="115">
        <v>0</v>
      </c>
      <c r="EC81" s="115">
        <v>2</v>
      </c>
      <c r="ED81" s="115">
        <v>304.60000610351563</v>
      </c>
      <c r="EE81" s="121">
        <v>0</v>
      </c>
      <c r="EF81" s="121">
        <v>0</v>
      </c>
      <c r="EG81" s="121">
        <v>0.11666666666666667</v>
      </c>
      <c r="EH81" t="s">
        <v>235</v>
      </c>
    </row>
    <row r="82" spans="1:138" x14ac:dyDescent="0.3">
      <c r="A82" s="226">
        <f t="shared" si="3"/>
        <v>46020.054166666843</v>
      </c>
      <c r="B82" s="115">
        <v>290</v>
      </c>
      <c r="C82" s="115">
        <v>54.173000335693359</v>
      </c>
      <c r="D82" s="115">
        <v>100.31700134277344</v>
      </c>
      <c r="E82" s="115">
        <v>21.035999298095703</v>
      </c>
      <c r="F82" s="115">
        <v>36.5582275390625</v>
      </c>
      <c r="G82" s="116">
        <v>18.886999130249023</v>
      </c>
      <c r="H82" s="117">
        <v>347</v>
      </c>
      <c r="I82" s="115">
        <v>318</v>
      </c>
      <c r="J82" s="115">
        <v>68.083999633789063</v>
      </c>
      <c r="K82" s="115">
        <v>69.258949279785156</v>
      </c>
      <c r="L82" s="115">
        <v>48.949001312255859</v>
      </c>
      <c r="M82" s="115">
        <v>13.909999847412109</v>
      </c>
      <c r="N82" s="115">
        <v>17.430999755859375</v>
      </c>
      <c r="O82" s="115">
        <v>18</v>
      </c>
      <c r="P82" s="115">
        <v>0</v>
      </c>
      <c r="Q82" s="115">
        <v>18.374057769775391</v>
      </c>
      <c r="R82" s="115">
        <v>21</v>
      </c>
      <c r="S82" s="115">
        <v>21.107391357421875</v>
      </c>
      <c r="T82" s="115">
        <v>9</v>
      </c>
      <c r="U82" s="115">
        <v>9</v>
      </c>
      <c r="V82" s="117">
        <v>1023</v>
      </c>
      <c r="W82" s="115">
        <v>33.881202697753906</v>
      </c>
      <c r="X82" s="115">
        <v>35.060001373291016</v>
      </c>
      <c r="Y82" s="115">
        <v>8.7150001525878906</v>
      </c>
      <c r="Z82" s="115">
        <v>0</v>
      </c>
      <c r="AA82" s="115">
        <v>26.690000534057617</v>
      </c>
      <c r="AB82" s="115">
        <v>0</v>
      </c>
      <c r="AC82" s="115">
        <v>61.198585510253906</v>
      </c>
      <c r="AD82" s="115">
        <v>6.1069998741149902</v>
      </c>
      <c r="AE82" s="115">
        <v>0</v>
      </c>
      <c r="AF82" s="115">
        <v>89.016616821289063</v>
      </c>
      <c r="AG82" s="115">
        <v>0</v>
      </c>
      <c r="AH82" s="115">
        <v>75.149124145507813</v>
      </c>
      <c r="AI82" s="115">
        <v>18.829999923706055</v>
      </c>
      <c r="AJ82" s="115">
        <v>28.400527954101563</v>
      </c>
      <c r="AK82" s="115">
        <v>49.971511840820313</v>
      </c>
      <c r="AL82" s="115">
        <v>57.784999847412109</v>
      </c>
      <c r="AM82" s="118">
        <v>58.018001556396484</v>
      </c>
      <c r="AN82" s="117">
        <v>138.75</v>
      </c>
      <c r="AO82" s="119">
        <v>74</v>
      </c>
      <c r="AP82" s="115">
        <v>74.28314208984375</v>
      </c>
      <c r="AQ82" s="115">
        <v>46.861648559570313</v>
      </c>
      <c r="AR82" s="115">
        <v>84</v>
      </c>
      <c r="AS82" s="115"/>
      <c r="AT82" s="115">
        <v>121</v>
      </c>
      <c r="AU82" s="115"/>
      <c r="AV82" s="115">
        <v>99</v>
      </c>
      <c r="AW82" s="115"/>
      <c r="AX82" s="115">
        <v>35</v>
      </c>
      <c r="AY82" s="115">
        <v>36.888660430908203</v>
      </c>
      <c r="AZ82" s="115">
        <v>20</v>
      </c>
      <c r="BA82" s="115"/>
      <c r="BB82" s="115">
        <v>305</v>
      </c>
      <c r="BC82" s="115">
        <v>310.05355834960938</v>
      </c>
      <c r="BD82" s="115">
        <v>7.1999998092651367</v>
      </c>
      <c r="BE82" s="115">
        <v>7.2161469459533691</v>
      </c>
      <c r="BF82" s="115">
        <v>30</v>
      </c>
      <c r="BG82" s="115">
        <v>11</v>
      </c>
      <c r="BH82" s="115">
        <v>11.624263763427734</v>
      </c>
      <c r="BI82" s="115"/>
      <c r="BJ82" s="108">
        <f t="shared" si="4"/>
        <v>17</v>
      </c>
      <c r="BK82" s="115">
        <v>17</v>
      </c>
      <c r="BL82" s="115">
        <v>0</v>
      </c>
      <c r="BM82" s="118"/>
      <c r="BN82" s="108">
        <f t="shared" si="5"/>
        <v>124</v>
      </c>
      <c r="BO82" s="108">
        <v>75</v>
      </c>
      <c r="BP82" s="108">
        <v>49</v>
      </c>
      <c r="BQ82" s="108">
        <v>301</v>
      </c>
      <c r="BR82" s="115">
        <v>88.329002380371094</v>
      </c>
      <c r="BS82" s="115">
        <v>25.445999145507813</v>
      </c>
      <c r="BT82" s="115">
        <v>46.411998748779297</v>
      </c>
      <c r="BU82" s="115">
        <v>42.305000305175781</v>
      </c>
      <c r="BV82" s="115">
        <v>69.800003051757813</v>
      </c>
      <c r="BW82" s="115">
        <v>6.5</v>
      </c>
      <c r="BX82" s="115">
        <v>13.600000381469727</v>
      </c>
      <c r="BY82" s="115">
        <v>28</v>
      </c>
      <c r="BZ82" s="115">
        <v>1.4805668964982033E-2</v>
      </c>
      <c r="CA82" s="115">
        <v>0</v>
      </c>
      <c r="CB82" s="115">
        <v>29.505163192749023</v>
      </c>
      <c r="CC82" s="118"/>
      <c r="CD82" s="115">
        <v>408.76150512695313</v>
      </c>
      <c r="CE82" s="115">
        <v>50.043014526367188</v>
      </c>
      <c r="CF82" s="115">
        <v>29.070613861083984</v>
      </c>
      <c r="CG82" s="115">
        <v>35.338191986083984</v>
      </c>
      <c r="CH82" s="115">
        <v>303.313720703125</v>
      </c>
      <c r="CI82" s="115">
        <v>107.53456878662109</v>
      </c>
      <c r="CJ82" s="115">
        <v>50.863471984863281</v>
      </c>
      <c r="CK82" s="115">
        <v>60.928482055664063</v>
      </c>
      <c r="CL82" s="116">
        <v>40.536777496337891</v>
      </c>
      <c r="CM82" s="117">
        <v>267.0589599609375</v>
      </c>
      <c r="CN82" s="115">
        <v>84.577384948730469</v>
      </c>
      <c r="CO82" s="115">
        <v>89.23193359375</v>
      </c>
      <c r="CP82" s="115">
        <v>87.050926208496094</v>
      </c>
      <c r="CQ82" s="115">
        <v>0</v>
      </c>
      <c r="CR82" s="115">
        <v>60.421432495117188</v>
      </c>
      <c r="CS82" s="115">
        <v>10.561065673828125</v>
      </c>
      <c r="CT82" s="115">
        <v>43.196662902832031</v>
      </c>
      <c r="CU82" s="115">
        <v>65.112518310546875</v>
      </c>
      <c r="CV82" s="116">
        <v>84.651985168457031</v>
      </c>
      <c r="CW82" s="117">
        <v>4</v>
      </c>
      <c r="CX82" s="115">
        <v>427</v>
      </c>
      <c r="CY82" s="115">
        <v>199.98348999023438</v>
      </c>
      <c r="CZ82" s="115">
        <v>59.966213226318359</v>
      </c>
      <c r="DA82" s="115">
        <v>21.132932662963867</v>
      </c>
      <c r="DB82" s="115">
        <v>39.244251251220703</v>
      </c>
      <c r="DC82" s="115">
        <v>89.82745361328125</v>
      </c>
      <c r="DD82" s="115">
        <v>109</v>
      </c>
      <c r="DE82" s="115">
        <v>189</v>
      </c>
      <c r="DF82" s="115">
        <v>125.90818023681641</v>
      </c>
      <c r="DG82" s="115">
        <v>90.213233947753906</v>
      </c>
      <c r="DH82" s="115">
        <v>63.926097869873047</v>
      </c>
      <c r="DI82" s="120">
        <v>43.116447448730469</v>
      </c>
      <c r="DJ82" s="119">
        <v>235</v>
      </c>
      <c r="DK82" s="115">
        <v>138.68499755859375</v>
      </c>
      <c r="DL82" s="115">
        <v>29.291999816894531</v>
      </c>
      <c r="DM82" s="115">
        <v>56.194999694824219</v>
      </c>
      <c r="DN82" s="115">
        <v>53.896999359130859</v>
      </c>
      <c r="DO82" s="116">
        <v>113.00519561767578</v>
      </c>
      <c r="DP82" s="117">
        <v>16.39900016784668</v>
      </c>
      <c r="DQ82" s="115"/>
      <c r="DR82" s="117">
        <v>67</v>
      </c>
      <c r="DS82" s="120">
        <v>47.5</v>
      </c>
      <c r="DT82" s="119">
        <v>13</v>
      </c>
      <c r="DU82" s="115"/>
      <c r="DV82" s="115">
        <v>171</v>
      </c>
      <c r="DW82" s="115">
        <v>164.56103515625</v>
      </c>
      <c r="DX82" s="117">
        <v>10</v>
      </c>
      <c r="DY82" s="120"/>
      <c r="DZ82" s="119">
        <v>47</v>
      </c>
      <c r="EA82" s="115">
        <v>3</v>
      </c>
      <c r="EB82" s="115">
        <v>0</v>
      </c>
      <c r="EC82" s="115">
        <v>1</v>
      </c>
      <c r="ED82" s="115">
        <v>303.89999389648438</v>
      </c>
      <c r="EE82" s="121">
        <v>28.997251510620117</v>
      </c>
      <c r="EF82" s="121">
        <v>29.029293696085613</v>
      </c>
      <c r="EG82" s="121">
        <v>29.171509997049967</v>
      </c>
      <c r="EH82" t="s">
        <v>233</v>
      </c>
    </row>
    <row r="83" spans="1:138" x14ac:dyDescent="0.3">
      <c r="A83" s="226">
        <f t="shared" si="3"/>
        <v>46020.05486111129</v>
      </c>
      <c r="B83" s="115">
        <v>291</v>
      </c>
      <c r="C83" s="115">
        <v>53.041999816894531</v>
      </c>
      <c r="D83" s="115">
        <v>100.43000030517578</v>
      </c>
      <c r="E83" s="115">
        <v>22.732000350952148</v>
      </c>
      <c r="F83" s="115">
        <v>40.033576965332031</v>
      </c>
      <c r="G83" s="116">
        <v>19</v>
      </c>
      <c r="H83" s="117">
        <v>351</v>
      </c>
      <c r="I83" s="115">
        <v>313</v>
      </c>
      <c r="J83" s="115">
        <v>67.745002746582031</v>
      </c>
      <c r="K83" s="115">
        <v>68.258255004882813</v>
      </c>
      <c r="L83" s="115">
        <v>46.652000427246094</v>
      </c>
      <c r="M83" s="115">
        <v>14.47599983215332</v>
      </c>
      <c r="N83" s="115">
        <v>16.731000900268555</v>
      </c>
      <c r="O83" s="115">
        <v>18</v>
      </c>
      <c r="P83" s="115">
        <v>0</v>
      </c>
      <c r="Q83" s="115">
        <v>18.261968612670898</v>
      </c>
      <c r="R83" s="115">
        <v>19.996875762939453</v>
      </c>
      <c r="S83" s="115">
        <v>19.850164413452148</v>
      </c>
      <c r="T83" s="115">
        <v>9</v>
      </c>
      <c r="U83" s="115">
        <v>9</v>
      </c>
      <c r="V83" s="117">
        <v>1022</v>
      </c>
      <c r="W83" s="115">
        <v>34.35302734375</v>
      </c>
      <c r="X83" s="115">
        <v>33.702999114990234</v>
      </c>
      <c r="Y83" s="115">
        <v>8.7150001525878906</v>
      </c>
      <c r="Z83" s="115">
        <v>0</v>
      </c>
      <c r="AA83" s="115">
        <v>31.326999664306641</v>
      </c>
      <c r="AB83" s="115">
        <v>0</v>
      </c>
      <c r="AC83" s="115">
        <v>61.598346710205078</v>
      </c>
      <c r="AD83" s="115">
        <v>6.3610000610351563</v>
      </c>
      <c r="AE83" s="115">
        <v>0</v>
      </c>
      <c r="AF83" s="115">
        <v>90.5218505859375</v>
      </c>
      <c r="AG83" s="115">
        <v>0</v>
      </c>
      <c r="AH83" s="115">
        <v>73.710426330566406</v>
      </c>
      <c r="AI83" s="115">
        <v>18.638999938964844</v>
      </c>
      <c r="AJ83" s="115">
        <v>27.439640045166016</v>
      </c>
      <c r="AK83" s="115">
        <v>49.185066223144531</v>
      </c>
      <c r="AL83" s="115">
        <v>56.194999694824219</v>
      </c>
      <c r="AM83" s="118">
        <v>58.654998779296875</v>
      </c>
      <c r="AN83" s="117">
        <v>135.9375</v>
      </c>
      <c r="AO83" s="119">
        <v>74</v>
      </c>
      <c r="AP83" s="115">
        <v>73.526779174804688</v>
      </c>
      <c r="AQ83" s="115">
        <v>46.799465179443359</v>
      </c>
      <c r="AR83" s="115">
        <v>84</v>
      </c>
      <c r="AS83" s="115"/>
      <c r="AT83" s="115">
        <v>121</v>
      </c>
      <c r="AU83" s="115"/>
      <c r="AV83" s="115">
        <v>99</v>
      </c>
      <c r="AW83" s="115"/>
      <c r="AX83" s="115">
        <v>34</v>
      </c>
      <c r="AY83" s="115">
        <v>36.215721130371094</v>
      </c>
      <c r="AZ83" s="115">
        <v>19</v>
      </c>
      <c r="BA83" s="115"/>
      <c r="BB83" s="115">
        <v>305</v>
      </c>
      <c r="BC83" s="115">
        <v>308.67385864257813</v>
      </c>
      <c r="BD83" s="115">
        <v>7.3000001907348633</v>
      </c>
      <c r="BE83" s="115">
        <v>7.3422870635986328</v>
      </c>
      <c r="BF83" s="115">
        <v>30</v>
      </c>
      <c r="BG83" s="115">
        <v>11</v>
      </c>
      <c r="BH83" s="115">
        <v>11.624263763427734</v>
      </c>
      <c r="BI83" s="115"/>
      <c r="BJ83" s="108">
        <f t="shared" si="4"/>
        <v>17</v>
      </c>
      <c r="BK83" s="115">
        <v>17</v>
      </c>
      <c r="BL83" s="115">
        <v>0</v>
      </c>
      <c r="BM83" s="118"/>
      <c r="BN83" s="108">
        <f t="shared" si="5"/>
        <v>124</v>
      </c>
      <c r="BO83" s="108">
        <v>75</v>
      </c>
      <c r="BP83" s="108">
        <v>49</v>
      </c>
      <c r="BQ83" s="108">
        <v>301</v>
      </c>
      <c r="BR83" s="115">
        <v>89.458999633789063</v>
      </c>
      <c r="BS83" s="115">
        <v>25.954999923706055</v>
      </c>
      <c r="BT83" s="115">
        <v>45.0260009765625</v>
      </c>
      <c r="BU83" s="115">
        <v>43.005001068115234</v>
      </c>
      <c r="BV83" s="115">
        <v>69.5</v>
      </c>
      <c r="BW83" s="115">
        <v>6.4000000953674316</v>
      </c>
      <c r="BX83" s="115">
        <v>13.600000381469727</v>
      </c>
      <c r="BY83" s="115">
        <v>28</v>
      </c>
      <c r="BZ83" s="115">
        <v>1.4158313162624836E-2</v>
      </c>
      <c r="CA83" s="115">
        <v>0</v>
      </c>
      <c r="CB83" s="115">
        <v>29.743173599243164</v>
      </c>
      <c r="CC83" s="118"/>
      <c r="CD83" s="115">
        <v>398.89642333984375</v>
      </c>
      <c r="CE83" s="115">
        <v>50.449878692626953</v>
      </c>
      <c r="CF83" s="115">
        <v>28.497608184814453</v>
      </c>
      <c r="CG83" s="115">
        <v>35.338191986083984</v>
      </c>
      <c r="CH83" s="115">
        <v>302.8092041015625</v>
      </c>
      <c r="CI83" s="115">
        <v>109.57763671875</v>
      </c>
      <c r="CJ83" s="115">
        <v>53.966190338134766</v>
      </c>
      <c r="CK83" s="115">
        <v>60.485206604003906</v>
      </c>
      <c r="CL83" s="116">
        <v>41.354236602783203</v>
      </c>
      <c r="CM83" s="117">
        <v>262.7333984375</v>
      </c>
      <c r="CN83" s="115">
        <v>81.774124145507813</v>
      </c>
      <c r="CO83" s="115">
        <v>89.067558288574219</v>
      </c>
      <c r="CP83" s="115">
        <v>87.28643798828125</v>
      </c>
      <c r="CQ83" s="115">
        <v>0</v>
      </c>
      <c r="CR83" s="115">
        <v>59.779659271240234</v>
      </c>
      <c r="CS83" s="115">
        <v>10.793756484985352</v>
      </c>
      <c r="CT83" s="115">
        <v>44.761123657226563</v>
      </c>
      <c r="CU83" s="115">
        <v>65.985214233398438</v>
      </c>
      <c r="CV83" s="116">
        <v>84.651985168457031</v>
      </c>
      <c r="CW83" s="117">
        <v>1</v>
      </c>
      <c r="CX83" s="115">
        <v>429</v>
      </c>
      <c r="CY83" s="115">
        <v>203.83638000488281</v>
      </c>
      <c r="CZ83" s="115">
        <v>60.061901092529297</v>
      </c>
      <c r="DA83" s="115">
        <v>21.546731948852539</v>
      </c>
      <c r="DB83" s="115">
        <v>38.320518493652344</v>
      </c>
      <c r="DC83" s="115">
        <v>90.396713256835938</v>
      </c>
      <c r="DD83" s="115">
        <v>107</v>
      </c>
      <c r="DE83" s="115">
        <v>188</v>
      </c>
      <c r="DF83" s="115">
        <v>127.22605133056641</v>
      </c>
      <c r="DG83" s="115">
        <v>96.723075866699219</v>
      </c>
      <c r="DH83" s="115">
        <v>65.402374267578125</v>
      </c>
      <c r="DI83" s="120">
        <v>42.299713134765625</v>
      </c>
      <c r="DJ83" s="119">
        <v>240</v>
      </c>
      <c r="DK83" s="115">
        <v>139.44900512695313</v>
      </c>
      <c r="DL83" s="115">
        <v>26.916999816894531</v>
      </c>
      <c r="DM83" s="115">
        <v>58.138999938964844</v>
      </c>
      <c r="DN83" s="115">
        <v>51.599998474121094</v>
      </c>
      <c r="DO83" s="116">
        <v>114.08285522460938</v>
      </c>
      <c r="DP83" s="117">
        <v>17.274999618530273</v>
      </c>
      <c r="DQ83" s="115"/>
      <c r="DR83" s="117">
        <v>67</v>
      </c>
      <c r="DS83" s="120">
        <v>40.599998474121094</v>
      </c>
      <c r="DT83" s="119">
        <v>13</v>
      </c>
      <c r="DU83" s="115"/>
      <c r="DV83" s="115">
        <v>172</v>
      </c>
      <c r="DW83" s="115">
        <v>165.28353881835938</v>
      </c>
      <c r="DX83" s="117">
        <v>10</v>
      </c>
      <c r="DY83" s="120"/>
      <c r="DZ83" s="119">
        <v>48</v>
      </c>
      <c r="EA83" s="115">
        <v>3</v>
      </c>
      <c r="EB83" s="115">
        <v>0</v>
      </c>
      <c r="EC83" s="115">
        <v>1</v>
      </c>
      <c r="ED83" s="115">
        <v>314</v>
      </c>
      <c r="EE83" s="121">
        <v>0</v>
      </c>
      <c r="EF83" s="121" t="e">
        <v>#NUM!</v>
      </c>
      <c r="EG83" s="121" t="e">
        <v>#DIV/0!</v>
      </c>
      <c r="EH83" t="s">
        <v>18</v>
      </c>
    </row>
    <row r="84" spans="1:138" x14ac:dyDescent="0.3">
      <c r="A84" s="226">
        <f t="shared" si="3"/>
        <v>46020.055555555737</v>
      </c>
      <c r="B84" s="115">
        <v>291</v>
      </c>
      <c r="C84" s="115">
        <v>50.327999114990234</v>
      </c>
      <c r="D84" s="115">
        <v>100.20400238037109</v>
      </c>
      <c r="E84" s="115">
        <v>22.280000686645508</v>
      </c>
      <c r="F84" s="115">
        <v>39.683914184570313</v>
      </c>
      <c r="G84" s="116">
        <v>19.451999664306641</v>
      </c>
      <c r="H84" s="117">
        <v>346</v>
      </c>
      <c r="I84" s="115">
        <v>307</v>
      </c>
      <c r="J84" s="115">
        <v>66.726997375488281</v>
      </c>
      <c r="K84" s="115">
        <v>68.262924194335938</v>
      </c>
      <c r="L84" s="115">
        <v>47.888999938964844</v>
      </c>
      <c r="M84" s="115">
        <v>14.02400016784668</v>
      </c>
      <c r="N84" s="115">
        <v>17.621000289916992</v>
      </c>
      <c r="O84" s="115">
        <v>18</v>
      </c>
      <c r="P84" s="115">
        <v>0</v>
      </c>
      <c r="Q84" s="115">
        <v>18.261968612670898</v>
      </c>
      <c r="R84" s="115">
        <v>19.996875762939453</v>
      </c>
      <c r="S84" s="115">
        <v>20.358694076538086</v>
      </c>
      <c r="T84" s="115">
        <v>9</v>
      </c>
      <c r="U84" s="115">
        <v>9</v>
      </c>
      <c r="V84" s="117">
        <v>1009</v>
      </c>
      <c r="W84" s="115">
        <v>32.836254119873047</v>
      </c>
      <c r="X84" s="115">
        <v>34.381000518798828</v>
      </c>
      <c r="Y84" s="115">
        <v>9.1599998474121094</v>
      </c>
      <c r="Z84" s="115">
        <v>0</v>
      </c>
      <c r="AA84" s="115">
        <v>31.214000701904297</v>
      </c>
      <c r="AB84" s="115">
        <v>0</v>
      </c>
      <c r="AC84" s="115">
        <v>62.70648193359375</v>
      </c>
      <c r="AD84" s="115">
        <v>5.8520002365112305</v>
      </c>
      <c r="AE84" s="115">
        <v>0</v>
      </c>
      <c r="AF84" s="115">
        <v>91.640350341796875</v>
      </c>
      <c r="AG84" s="115">
        <v>0</v>
      </c>
      <c r="AH84" s="115">
        <v>75.165718078613281</v>
      </c>
      <c r="AI84" s="115">
        <v>18.257999420166016</v>
      </c>
      <c r="AJ84" s="115">
        <v>26.360372543334961</v>
      </c>
      <c r="AK84" s="115">
        <v>48.257038116455078</v>
      </c>
      <c r="AL84" s="115">
        <v>55.133998870849609</v>
      </c>
      <c r="AM84" s="118">
        <v>56.810001373291016</v>
      </c>
      <c r="AN84" s="117">
        <v>131.75</v>
      </c>
      <c r="AO84" s="119">
        <v>74</v>
      </c>
      <c r="AP84" s="115">
        <v>72.321212768554688</v>
      </c>
      <c r="AQ84" s="115">
        <v>44.120471954345703</v>
      </c>
      <c r="AR84" s="115">
        <v>84</v>
      </c>
      <c r="AS84" s="115"/>
      <c r="AT84" s="115">
        <v>120</v>
      </c>
      <c r="AU84" s="115"/>
      <c r="AV84" s="115">
        <v>91</v>
      </c>
      <c r="AW84" s="115"/>
      <c r="AX84" s="115">
        <v>34</v>
      </c>
      <c r="AY84" s="115">
        <v>36.215721130371094</v>
      </c>
      <c r="AZ84" s="115">
        <v>20</v>
      </c>
      <c r="BA84" s="115"/>
      <c r="BB84" s="115">
        <v>307</v>
      </c>
      <c r="BC84" s="115">
        <v>308.67385864257813</v>
      </c>
      <c r="BD84" s="115">
        <v>7.1999998092651367</v>
      </c>
      <c r="BE84" s="115">
        <v>7.2915854454040527</v>
      </c>
      <c r="BF84" s="115">
        <v>30</v>
      </c>
      <c r="BG84" s="115">
        <v>11</v>
      </c>
      <c r="BH84" s="115">
        <v>11.693158149719238</v>
      </c>
      <c r="BI84" s="115"/>
      <c r="BJ84" s="108">
        <f t="shared" si="4"/>
        <v>17</v>
      </c>
      <c r="BK84" s="115">
        <v>17</v>
      </c>
      <c r="BL84" s="115">
        <v>0</v>
      </c>
      <c r="BM84" s="118"/>
      <c r="BN84" s="108">
        <f t="shared" si="5"/>
        <v>124.20000076293945</v>
      </c>
      <c r="BO84" s="108">
        <v>75</v>
      </c>
      <c r="BP84" s="108">
        <v>49.200000762939453</v>
      </c>
      <c r="BQ84" s="108">
        <v>303</v>
      </c>
      <c r="BR84" s="115">
        <v>87.650001525878906</v>
      </c>
      <c r="BS84" s="115">
        <v>26.464000701904297</v>
      </c>
      <c r="BT84" s="115">
        <v>47.104999542236328</v>
      </c>
      <c r="BU84" s="115">
        <v>42.75</v>
      </c>
      <c r="BV84" s="115">
        <v>68.699996948242188</v>
      </c>
      <c r="BW84" s="115">
        <v>6.5</v>
      </c>
      <c r="BX84" s="115">
        <v>13.699999809265137</v>
      </c>
      <c r="BY84" s="115">
        <v>28</v>
      </c>
      <c r="BZ84" s="115">
        <v>1.4911049045622349E-2</v>
      </c>
      <c r="CA84" s="115">
        <v>0</v>
      </c>
      <c r="CB84" s="115">
        <v>29.287826538085938</v>
      </c>
      <c r="CC84" s="118"/>
      <c r="CD84" s="115">
        <v>405.15362548828125</v>
      </c>
      <c r="CE84" s="115">
        <v>48.340938568115234</v>
      </c>
      <c r="CF84" s="115">
        <v>28.735708236694336</v>
      </c>
      <c r="CG84" s="115">
        <v>35.338191986083984</v>
      </c>
      <c r="CH84" s="115">
        <v>302.87136840820313</v>
      </c>
      <c r="CI84" s="115">
        <v>99.93023681640625</v>
      </c>
      <c r="CJ84" s="115">
        <v>51.882137298583984</v>
      </c>
      <c r="CK84" s="115">
        <v>55.864925384521484</v>
      </c>
      <c r="CL84" s="116">
        <v>42.419155120849609</v>
      </c>
      <c r="CM84" s="117">
        <v>260.74343872070313</v>
      </c>
      <c r="CN84" s="115">
        <v>81.525398254394531</v>
      </c>
      <c r="CO84" s="115">
        <v>88.9105224609375</v>
      </c>
      <c r="CP84" s="115">
        <v>84.68255615234375</v>
      </c>
      <c r="CQ84" s="115">
        <v>0</v>
      </c>
      <c r="CR84" s="115">
        <v>59.8355712890625</v>
      </c>
      <c r="CS84" s="115">
        <v>10.568005561828613</v>
      </c>
      <c r="CT84" s="115">
        <v>42.710639953613281</v>
      </c>
      <c r="CU84" s="115">
        <v>65.571060180664063</v>
      </c>
      <c r="CV84" s="116">
        <v>82.785575866699219</v>
      </c>
      <c r="CW84" s="117">
        <v>1</v>
      </c>
      <c r="CX84" s="115">
        <v>436</v>
      </c>
      <c r="CY84" s="115">
        <v>201.9564208984375</v>
      </c>
      <c r="CZ84" s="115">
        <v>58.669189453125</v>
      </c>
      <c r="DA84" s="115">
        <v>23.253135681152344</v>
      </c>
      <c r="DB84" s="115">
        <v>39.383087158203125</v>
      </c>
      <c r="DC84" s="115">
        <v>91.978904724121094</v>
      </c>
      <c r="DD84" s="115">
        <v>120</v>
      </c>
      <c r="DE84" s="115">
        <v>191</v>
      </c>
      <c r="DF84" s="115">
        <v>129.98275756835938</v>
      </c>
      <c r="DG84" s="115">
        <v>95.008163452148438</v>
      </c>
      <c r="DH84" s="115">
        <v>64.125160217285156</v>
      </c>
      <c r="DI84" s="120">
        <v>42.833599090576172</v>
      </c>
      <c r="DJ84" s="119">
        <v>242</v>
      </c>
      <c r="DK84" s="115">
        <v>138.94000244140625</v>
      </c>
      <c r="DL84" s="115">
        <v>26.916999816894531</v>
      </c>
      <c r="DM84" s="115">
        <v>57.608001708984375</v>
      </c>
      <c r="DN84" s="115">
        <v>52.659999847412109</v>
      </c>
      <c r="DO84" s="116">
        <v>115.21733093261719</v>
      </c>
      <c r="DP84" s="117">
        <v>16.936000823974609</v>
      </c>
      <c r="DQ84" s="115"/>
      <c r="DR84" s="117">
        <v>67</v>
      </c>
      <c r="DS84" s="120">
        <v>38.700000762939453</v>
      </c>
      <c r="DT84" s="119">
        <v>13</v>
      </c>
      <c r="DU84" s="115"/>
      <c r="DV84" s="115">
        <v>174</v>
      </c>
      <c r="DW84" s="115">
        <v>164.29763793945313</v>
      </c>
      <c r="DX84" s="117">
        <v>10</v>
      </c>
      <c r="DY84" s="120"/>
      <c r="DZ84" s="119">
        <v>47</v>
      </c>
      <c r="EA84" s="115">
        <v>3</v>
      </c>
      <c r="EB84" s="115">
        <v>0</v>
      </c>
      <c r="EC84" s="115">
        <v>1</v>
      </c>
      <c r="ED84" s="115">
        <v>314.79998779296875</v>
      </c>
      <c r="EE84" s="121">
        <v>325.96859741210938</v>
      </c>
      <c r="EF84" s="121">
        <v>327.62211608886719</v>
      </c>
      <c r="EG84" s="121">
        <v>332.46124877929685</v>
      </c>
      <c r="EH84" t="s">
        <v>266</v>
      </c>
    </row>
    <row r="85" spans="1:138" x14ac:dyDescent="0.3">
      <c r="A85" s="226">
        <f t="shared" si="3"/>
        <v>46020.056250000183</v>
      </c>
      <c r="B85" s="115">
        <v>291</v>
      </c>
      <c r="C85" s="115">
        <v>50.215000152587891</v>
      </c>
      <c r="D85" s="115">
        <v>99.977996826171875</v>
      </c>
      <c r="E85" s="115">
        <v>21.714000701904297</v>
      </c>
      <c r="F85" s="115">
        <v>41.700069427490234</v>
      </c>
      <c r="G85" s="116">
        <v>18.886999130249023</v>
      </c>
      <c r="H85" s="117">
        <v>343</v>
      </c>
      <c r="I85" s="115">
        <v>307</v>
      </c>
      <c r="J85" s="115">
        <v>64.691001892089844</v>
      </c>
      <c r="K85" s="115">
        <v>67.330299377441406</v>
      </c>
      <c r="L85" s="115">
        <v>45.769001007080078</v>
      </c>
      <c r="M85" s="115">
        <v>14.13700008392334</v>
      </c>
      <c r="N85" s="115">
        <v>17.621000289916992</v>
      </c>
      <c r="O85" s="115">
        <v>19</v>
      </c>
      <c r="P85" s="115">
        <v>0</v>
      </c>
      <c r="Q85" s="115">
        <v>19.01873779296875</v>
      </c>
      <c r="R85" s="115">
        <v>16.996875762939453</v>
      </c>
      <c r="S85" s="115">
        <v>17.5401611328125</v>
      </c>
      <c r="T85" s="115">
        <v>9</v>
      </c>
      <c r="U85" s="115">
        <v>9</v>
      </c>
      <c r="V85" s="117">
        <v>1008</v>
      </c>
      <c r="W85" s="115">
        <v>31.421491622924805</v>
      </c>
      <c r="X85" s="115">
        <v>34.493999481201172</v>
      </c>
      <c r="Y85" s="115">
        <v>9.1599998474121094</v>
      </c>
      <c r="Z85" s="115">
        <v>0</v>
      </c>
      <c r="AA85" s="115">
        <v>25.785999298095703</v>
      </c>
      <c r="AB85" s="115">
        <v>0</v>
      </c>
      <c r="AC85" s="115">
        <v>62.714504241943359</v>
      </c>
      <c r="AD85" s="115">
        <v>6.1069998741149902</v>
      </c>
      <c r="AE85" s="115">
        <v>0</v>
      </c>
      <c r="AF85" s="115">
        <v>89.577957153320313</v>
      </c>
      <c r="AG85" s="115">
        <v>0</v>
      </c>
      <c r="AH85" s="115">
        <v>75.313102722167969</v>
      </c>
      <c r="AI85" s="115">
        <v>17.493999481201172</v>
      </c>
      <c r="AJ85" s="115">
        <v>28.319635391235352</v>
      </c>
      <c r="AK85" s="115">
        <v>48.671768188476563</v>
      </c>
      <c r="AL85" s="115">
        <v>56.548000335693359</v>
      </c>
      <c r="AM85" s="118">
        <v>57.700000762939453</v>
      </c>
      <c r="AN85" s="117">
        <v>131.75</v>
      </c>
      <c r="AO85" s="119">
        <v>72</v>
      </c>
      <c r="AP85" s="115">
        <v>71.950492858886719</v>
      </c>
      <c r="AQ85" s="115">
        <v>43.911300659179688</v>
      </c>
      <c r="AR85" s="115">
        <v>85</v>
      </c>
      <c r="AS85" s="115"/>
      <c r="AT85" s="115">
        <v>121</v>
      </c>
      <c r="AU85" s="115"/>
      <c r="AV85" s="115">
        <v>91</v>
      </c>
      <c r="AW85" s="115"/>
      <c r="AX85" s="115">
        <v>34</v>
      </c>
      <c r="AY85" s="115">
        <v>36.471576690673828</v>
      </c>
      <c r="AZ85" s="115">
        <v>20</v>
      </c>
      <c r="BA85" s="115"/>
      <c r="BB85" s="115">
        <v>306</v>
      </c>
      <c r="BC85" s="115">
        <v>308.9918212890625</v>
      </c>
      <c r="BD85" s="115">
        <v>7.0999999046325684</v>
      </c>
      <c r="BE85" s="115">
        <v>7.2560710906982422</v>
      </c>
      <c r="BF85" s="115">
        <v>30</v>
      </c>
      <c r="BG85" s="115">
        <v>11</v>
      </c>
      <c r="BH85" s="115">
        <v>11.606369972229004</v>
      </c>
      <c r="BI85" s="115"/>
      <c r="BJ85" s="108">
        <f t="shared" si="4"/>
        <v>17</v>
      </c>
      <c r="BK85" s="115">
        <v>17</v>
      </c>
      <c r="BL85" s="115">
        <v>0</v>
      </c>
      <c r="BM85" s="118"/>
      <c r="BN85" s="108">
        <f t="shared" si="5"/>
        <v>124</v>
      </c>
      <c r="BO85" s="108">
        <v>75</v>
      </c>
      <c r="BP85" s="108">
        <v>49</v>
      </c>
      <c r="BQ85" s="108">
        <v>295</v>
      </c>
      <c r="BR85" s="115">
        <v>85.726997375488281</v>
      </c>
      <c r="BS85" s="115">
        <v>25.954999923706055</v>
      </c>
      <c r="BT85" s="115">
        <v>44.333999633789063</v>
      </c>
      <c r="BU85" s="115">
        <v>42.178001403808594</v>
      </c>
      <c r="BV85" s="115">
        <v>68.800003051757813</v>
      </c>
      <c r="BW85" s="115">
        <v>6.5</v>
      </c>
      <c r="BX85" s="115">
        <v>13.5</v>
      </c>
      <c r="BY85" s="115">
        <v>28</v>
      </c>
      <c r="BZ85" s="115">
        <v>1.2709681876003742E-2</v>
      </c>
      <c r="CA85" s="115">
        <v>1</v>
      </c>
      <c r="CB85" s="115">
        <v>29.241771697998047</v>
      </c>
      <c r="CC85" s="118"/>
      <c r="CD85" s="115">
        <v>396.71713256835938</v>
      </c>
      <c r="CE85" s="115">
        <v>48.081386566162109</v>
      </c>
      <c r="CF85" s="115">
        <v>28.967363357543945</v>
      </c>
      <c r="CG85" s="115">
        <v>35.338191986083984</v>
      </c>
      <c r="CH85" s="115">
        <v>301.77044677734375</v>
      </c>
      <c r="CI85" s="115">
        <v>101.286376953125</v>
      </c>
      <c r="CJ85" s="115">
        <v>50.736465454101563</v>
      </c>
      <c r="CK85" s="115">
        <v>56.063827514648438</v>
      </c>
      <c r="CL85" s="116">
        <v>42.567085266113281</v>
      </c>
      <c r="CM85" s="117">
        <v>256.408447265625</v>
      </c>
      <c r="CN85" s="115">
        <v>80.045768737792969</v>
      </c>
      <c r="CO85" s="115">
        <v>88.648902893066406</v>
      </c>
      <c r="CP85" s="115">
        <v>81.523246765136719</v>
      </c>
      <c r="CQ85" s="115">
        <v>0</v>
      </c>
      <c r="CR85" s="115">
        <v>63.035560607910156</v>
      </c>
      <c r="CS85" s="115">
        <v>10.758131980895996</v>
      </c>
      <c r="CT85" s="115">
        <v>44.913875579833984</v>
      </c>
      <c r="CU85" s="115">
        <v>63.212848663330078</v>
      </c>
      <c r="CV85" s="116">
        <v>83.336273193359375</v>
      </c>
      <c r="CW85" s="117">
        <v>2</v>
      </c>
      <c r="CX85" s="115">
        <v>433</v>
      </c>
      <c r="CY85" s="115">
        <v>201.97499084472656</v>
      </c>
      <c r="CZ85" s="115">
        <v>57.18475341796875</v>
      </c>
      <c r="DA85" s="115">
        <v>21.850053787231445</v>
      </c>
      <c r="DB85" s="115">
        <v>41.123760223388672</v>
      </c>
      <c r="DC85" s="115">
        <v>90.536064147949219</v>
      </c>
      <c r="DD85" s="115">
        <v>111</v>
      </c>
      <c r="DE85" s="115">
        <v>190</v>
      </c>
      <c r="DF85" s="115">
        <v>128.695068359375</v>
      </c>
      <c r="DG85" s="115">
        <v>93.685569763183594</v>
      </c>
      <c r="DH85" s="115">
        <v>63.450294494628906</v>
      </c>
      <c r="DI85" s="120">
        <v>42.946907043457031</v>
      </c>
      <c r="DJ85" s="119">
        <v>236</v>
      </c>
      <c r="DK85" s="115">
        <v>137.9219970703125</v>
      </c>
      <c r="DL85" s="115">
        <v>29.291999816894531</v>
      </c>
      <c r="DM85" s="115">
        <v>55.311000823974609</v>
      </c>
      <c r="DN85" s="115">
        <v>53.721000671386719</v>
      </c>
      <c r="DO85" s="116">
        <v>112.82017517089844</v>
      </c>
      <c r="DP85" s="117">
        <v>16.08799934387207</v>
      </c>
      <c r="DQ85" s="115"/>
      <c r="DR85" s="117">
        <v>67</v>
      </c>
      <c r="DS85" s="120">
        <v>38</v>
      </c>
      <c r="DT85" s="119">
        <v>13</v>
      </c>
      <c r="DU85" s="115"/>
      <c r="DV85" s="115">
        <v>171</v>
      </c>
      <c r="DW85" s="115">
        <v>164.47869873046875</v>
      </c>
      <c r="DX85" s="117">
        <v>11</v>
      </c>
      <c r="DY85" s="120"/>
      <c r="DZ85" s="119">
        <v>48</v>
      </c>
      <c r="EA85" s="115">
        <v>3</v>
      </c>
      <c r="EB85" s="115">
        <v>0</v>
      </c>
      <c r="EC85" s="115">
        <v>1</v>
      </c>
      <c r="ED85" s="115">
        <v>310.39999389648438</v>
      </c>
      <c r="EE85" s="121">
        <v>27.197916030883789</v>
      </c>
      <c r="EF85" s="121">
        <v>27.570171356201172</v>
      </c>
      <c r="EG85" s="121">
        <v>29.284590752919517</v>
      </c>
      <c r="EH85" t="s">
        <v>192</v>
      </c>
    </row>
    <row r="86" spans="1:138" x14ac:dyDescent="0.3">
      <c r="A86" s="226">
        <f t="shared" si="3"/>
        <v>46020.05694444463</v>
      </c>
      <c r="B86" s="115">
        <v>285</v>
      </c>
      <c r="C86" s="115">
        <v>51.910999298095703</v>
      </c>
      <c r="D86" s="115">
        <v>100.09100341796875</v>
      </c>
      <c r="E86" s="115">
        <v>18.208000183105469</v>
      </c>
      <c r="F86" s="115">
        <v>38.497848510742188</v>
      </c>
      <c r="G86" s="116">
        <v>19.339000701904297</v>
      </c>
      <c r="H86" s="117">
        <v>328</v>
      </c>
      <c r="I86" s="115">
        <v>294</v>
      </c>
      <c r="J86" s="115">
        <v>63.560001373291016</v>
      </c>
      <c r="K86" s="115">
        <v>66.639030456542969</v>
      </c>
      <c r="L86" s="115">
        <v>46.828998565673828</v>
      </c>
      <c r="M86" s="115">
        <v>14.36299991607666</v>
      </c>
      <c r="N86" s="115">
        <v>17.430999755859375</v>
      </c>
      <c r="O86" s="115">
        <v>22</v>
      </c>
      <c r="P86" s="115">
        <v>0</v>
      </c>
      <c r="Q86" s="115">
        <v>21.075412750244141</v>
      </c>
      <c r="R86" s="115">
        <v>18</v>
      </c>
      <c r="S86" s="115">
        <v>17.918001174926758</v>
      </c>
      <c r="T86" s="115">
        <v>9</v>
      </c>
      <c r="U86" s="115">
        <v>9</v>
      </c>
      <c r="V86" s="117">
        <v>1008</v>
      </c>
      <c r="W86" s="115">
        <v>30.031309127807617</v>
      </c>
      <c r="X86" s="115">
        <v>33.929000854492188</v>
      </c>
      <c r="Y86" s="115">
        <v>8.9060001373291016</v>
      </c>
      <c r="Z86" s="115">
        <v>0</v>
      </c>
      <c r="AA86" s="115">
        <v>31.666999816894531</v>
      </c>
      <c r="AB86" s="115">
        <v>0</v>
      </c>
      <c r="AC86" s="115">
        <v>63.244560241699219</v>
      </c>
      <c r="AD86" s="115">
        <v>5.8520002365112305</v>
      </c>
      <c r="AE86" s="115">
        <v>0</v>
      </c>
      <c r="AF86" s="115">
        <v>88.865036010742188</v>
      </c>
      <c r="AG86" s="115">
        <v>0</v>
      </c>
      <c r="AH86" s="115">
        <v>69.778427124023438</v>
      </c>
      <c r="AI86" s="115">
        <v>17.684999465942383</v>
      </c>
      <c r="AJ86" s="115">
        <v>24.222723007202148</v>
      </c>
      <c r="AK86" s="115">
        <v>47.136096954345703</v>
      </c>
      <c r="AL86" s="115">
        <v>56.902000427246094</v>
      </c>
      <c r="AM86" s="118">
        <v>56.428001403808594</v>
      </c>
      <c r="AN86" s="117">
        <v>135.875</v>
      </c>
      <c r="AO86" s="119">
        <v>75</v>
      </c>
      <c r="AP86" s="115">
        <v>71.994613647460938</v>
      </c>
      <c r="AQ86" s="115">
        <v>47.310924530029297</v>
      </c>
      <c r="AR86" s="115">
        <v>85</v>
      </c>
      <c r="AS86" s="115"/>
      <c r="AT86" s="115">
        <v>122</v>
      </c>
      <c r="AU86" s="115"/>
      <c r="AV86" s="115">
        <v>70</v>
      </c>
      <c r="AW86" s="115"/>
      <c r="AX86" s="115">
        <v>35</v>
      </c>
      <c r="AY86" s="115">
        <v>36.272563934326172</v>
      </c>
      <c r="AZ86" s="115">
        <v>20</v>
      </c>
      <c r="BA86" s="115"/>
      <c r="BB86" s="115">
        <v>305</v>
      </c>
      <c r="BC86" s="115">
        <v>310.74465942382813</v>
      </c>
      <c r="BD86" s="115">
        <v>7.0999999046325684</v>
      </c>
      <c r="BE86" s="115">
        <v>7.2483696937561035</v>
      </c>
      <c r="BF86" s="115">
        <v>30</v>
      </c>
      <c r="BG86" s="115">
        <v>11</v>
      </c>
      <c r="BH86" s="115">
        <v>11.558113098144531</v>
      </c>
      <c r="BI86" s="115"/>
      <c r="BJ86" s="108">
        <f t="shared" si="4"/>
        <v>17</v>
      </c>
      <c r="BK86" s="115">
        <v>17</v>
      </c>
      <c r="BL86" s="115">
        <v>0</v>
      </c>
      <c r="BM86" s="118"/>
      <c r="BN86" s="108">
        <f t="shared" si="5"/>
        <v>123</v>
      </c>
      <c r="BO86" s="108">
        <v>74</v>
      </c>
      <c r="BP86" s="108">
        <v>49</v>
      </c>
      <c r="BQ86" s="108">
        <v>295</v>
      </c>
      <c r="BR86" s="115">
        <v>86.292999267578125</v>
      </c>
      <c r="BS86" s="115">
        <v>25.954999923706055</v>
      </c>
      <c r="BT86" s="115">
        <v>44.680000305175781</v>
      </c>
      <c r="BU86" s="115">
        <v>41.796001434326172</v>
      </c>
      <c r="BV86" s="115">
        <v>69.199996948242188</v>
      </c>
      <c r="BW86" s="115">
        <v>6.5999999046325684</v>
      </c>
      <c r="BX86" s="115">
        <v>13.5</v>
      </c>
      <c r="BY86" s="115">
        <v>28</v>
      </c>
      <c r="BZ86" s="115">
        <v>1.2709681876003742E-2</v>
      </c>
      <c r="CA86" s="115">
        <v>0</v>
      </c>
      <c r="CB86" s="115">
        <v>29.215484619140625</v>
      </c>
      <c r="CC86" s="118"/>
      <c r="CD86" s="115">
        <v>391.91632080078125</v>
      </c>
      <c r="CE86" s="115">
        <v>45.655292510986328</v>
      </c>
      <c r="CF86" s="115">
        <v>27.709964752197266</v>
      </c>
      <c r="CG86" s="115">
        <v>35.338191986083984</v>
      </c>
      <c r="CH86" s="115">
        <v>301.77850341796875</v>
      </c>
      <c r="CI86" s="115">
        <v>99.37322998046875</v>
      </c>
      <c r="CJ86" s="115">
        <v>47.787895202636719</v>
      </c>
      <c r="CK86" s="115">
        <v>56.339439392089844</v>
      </c>
      <c r="CL86" s="116">
        <v>42.754997253417969</v>
      </c>
      <c r="CM86" s="117">
        <v>260.76937866210938</v>
      </c>
      <c r="CN86" s="115">
        <v>81.958328247070313</v>
      </c>
      <c r="CO86" s="115">
        <v>88.495010375976563</v>
      </c>
      <c r="CP86" s="115">
        <v>85.5474853515625</v>
      </c>
      <c r="CQ86" s="115">
        <v>0</v>
      </c>
      <c r="CR86" s="115">
        <v>64.590408325195313</v>
      </c>
      <c r="CS86" s="115">
        <v>10.725624084472656</v>
      </c>
      <c r="CT86" s="115">
        <v>47.036567687988281</v>
      </c>
      <c r="CU86" s="115">
        <v>63.715732574462891</v>
      </c>
      <c r="CV86" s="116">
        <v>84.760223388671875</v>
      </c>
      <c r="CW86" s="117">
        <v>2</v>
      </c>
      <c r="CX86" s="115">
        <v>424</v>
      </c>
      <c r="CY86" s="115">
        <v>200.24093627929688</v>
      </c>
      <c r="CZ86" s="115">
        <v>56.531810760498047</v>
      </c>
      <c r="DA86" s="115">
        <v>21.818935394287109</v>
      </c>
      <c r="DB86" s="115">
        <v>39.167018890380859</v>
      </c>
      <c r="DC86" s="115">
        <v>89.867347717285156</v>
      </c>
      <c r="DD86" s="115">
        <v>96</v>
      </c>
      <c r="DE86" s="115">
        <v>190</v>
      </c>
      <c r="DF86" s="115">
        <v>129.9510498046875</v>
      </c>
      <c r="DG86" s="115">
        <v>91.3460693359375</v>
      </c>
      <c r="DH86" s="115">
        <v>62.033481597900391</v>
      </c>
      <c r="DI86" s="120">
        <v>41.52569580078125</v>
      </c>
      <c r="DJ86" s="119">
        <v>236</v>
      </c>
      <c r="DK86" s="115">
        <v>137.9219970703125</v>
      </c>
      <c r="DL86" s="115">
        <v>25.107000350952148</v>
      </c>
      <c r="DM86" s="115">
        <v>56.548000335693359</v>
      </c>
      <c r="DN86" s="115">
        <v>53.896999359130859</v>
      </c>
      <c r="DO86" s="116">
        <v>113.93700408935547</v>
      </c>
      <c r="DP86" s="117">
        <v>16.85099983215332</v>
      </c>
      <c r="DQ86" s="115"/>
      <c r="DR86" s="117">
        <v>67</v>
      </c>
      <c r="DS86" s="120">
        <v>37.700000762939453</v>
      </c>
      <c r="DT86" s="119">
        <v>13</v>
      </c>
      <c r="DU86" s="115"/>
      <c r="DV86" s="115">
        <v>171</v>
      </c>
      <c r="DW86" s="115">
        <v>164.33871459960938</v>
      </c>
      <c r="DX86" s="117">
        <v>11</v>
      </c>
      <c r="DY86" s="120"/>
      <c r="DZ86" s="119">
        <v>48</v>
      </c>
      <c r="EA86" s="115">
        <v>3</v>
      </c>
      <c r="EB86" s="115">
        <v>0</v>
      </c>
      <c r="EC86" s="115">
        <v>1</v>
      </c>
      <c r="ED86" s="115">
        <v>304.79998779296875</v>
      </c>
      <c r="EE86" s="121">
        <v>15.608991622924805</v>
      </c>
      <c r="EF86" s="121">
        <v>15.7897580464681</v>
      </c>
      <c r="EG86" s="121">
        <v>16.682582251230876</v>
      </c>
      <c r="EH86" t="s">
        <v>653</v>
      </c>
    </row>
    <row r="87" spans="1:138" x14ac:dyDescent="0.3">
      <c r="A87" s="226">
        <f t="shared" si="3"/>
        <v>46020.057638889077</v>
      </c>
      <c r="B87" s="115">
        <v>287</v>
      </c>
      <c r="C87" s="115">
        <v>54.060001373291016</v>
      </c>
      <c r="D87" s="115">
        <v>99.977996826171875</v>
      </c>
      <c r="E87" s="115">
        <v>19.339000701904297</v>
      </c>
      <c r="F87" s="115">
        <v>41.029582977294922</v>
      </c>
      <c r="G87" s="116">
        <v>19.451999664306641</v>
      </c>
      <c r="H87" s="117">
        <v>326</v>
      </c>
      <c r="I87" s="115">
        <v>291</v>
      </c>
      <c r="J87" s="115">
        <v>64.916999816894531</v>
      </c>
      <c r="K87" s="115">
        <v>68.964035034179688</v>
      </c>
      <c r="L87" s="115">
        <v>48.066001892089844</v>
      </c>
      <c r="M87" s="115">
        <v>13.796999931335449</v>
      </c>
      <c r="N87" s="115">
        <v>16.413000106811523</v>
      </c>
      <c r="O87" s="115">
        <v>18</v>
      </c>
      <c r="P87" s="115">
        <v>0</v>
      </c>
      <c r="Q87" s="115">
        <v>20.823465347290039</v>
      </c>
      <c r="R87" s="115">
        <v>19.996875762939453</v>
      </c>
      <c r="S87" s="115">
        <v>19.869110107421875</v>
      </c>
      <c r="T87" s="115">
        <v>9</v>
      </c>
      <c r="U87" s="115">
        <v>9</v>
      </c>
      <c r="V87" s="117">
        <v>1010</v>
      </c>
      <c r="W87" s="115">
        <v>31.374731063842773</v>
      </c>
      <c r="X87" s="115">
        <v>35.737998962402344</v>
      </c>
      <c r="Y87" s="115">
        <v>9.2239999771118164</v>
      </c>
      <c r="Z87" s="115">
        <v>0</v>
      </c>
      <c r="AA87" s="115">
        <v>31.326999664306641</v>
      </c>
      <c r="AB87" s="115">
        <v>0</v>
      </c>
      <c r="AC87" s="115">
        <v>61.975879669189453</v>
      </c>
      <c r="AD87" s="115">
        <v>5.8520002365112305</v>
      </c>
      <c r="AE87" s="115">
        <v>0</v>
      </c>
      <c r="AF87" s="115">
        <v>89.400306701660156</v>
      </c>
      <c r="AG87" s="115">
        <v>0</v>
      </c>
      <c r="AH87" s="115">
        <v>68.849380493164063</v>
      </c>
      <c r="AI87" s="115">
        <v>18.003000259399414</v>
      </c>
      <c r="AJ87" s="115">
        <v>25.291669845581055</v>
      </c>
      <c r="AK87" s="115">
        <v>47.580295562744141</v>
      </c>
      <c r="AL87" s="115">
        <v>57.784999847412109</v>
      </c>
      <c r="AM87" s="118">
        <v>56.810001373291016</v>
      </c>
      <c r="AN87" s="117">
        <v>135.875</v>
      </c>
      <c r="AO87" s="119">
        <v>75</v>
      </c>
      <c r="AP87" s="115">
        <v>71.994613647460938</v>
      </c>
      <c r="AQ87" s="115">
        <v>48.380306243896484</v>
      </c>
      <c r="AR87" s="115">
        <v>85</v>
      </c>
      <c r="AS87" s="115"/>
      <c r="AT87" s="115">
        <v>123</v>
      </c>
      <c r="AU87" s="115"/>
      <c r="AV87" s="115">
        <v>70</v>
      </c>
      <c r="AW87" s="115"/>
      <c r="AX87" s="115">
        <v>32</v>
      </c>
      <c r="AY87" s="115">
        <v>35.429195404052734</v>
      </c>
      <c r="AZ87" s="115">
        <v>21</v>
      </c>
      <c r="BA87" s="115"/>
      <c r="BB87" s="115">
        <v>305</v>
      </c>
      <c r="BC87" s="115">
        <v>310.42816162109375</v>
      </c>
      <c r="BD87" s="115">
        <v>7.0999999046325684</v>
      </c>
      <c r="BE87" s="115">
        <v>7.220665454864502</v>
      </c>
      <c r="BF87" s="115">
        <v>30</v>
      </c>
      <c r="BG87" s="115">
        <v>11</v>
      </c>
      <c r="BH87" s="115">
        <v>11.558113098144531</v>
      </c>
      <c r="BI87" s="115"/>
      <c r="BJ87" s="108">
        <f t="shared" si="4"/>
        <v>17</v>
      </c>
      <c r="BK87" s="115">
        <v>17</v>
      </c>
      <c r="BL87" s="115">
        <v>0</v>
      </c>
      <c r="BM87" s="118"/>
      <c r="BN87" s="108">
        <f t="shared" si="5"/>
        <v>123</v>
      </c>
      <c r="BO87" s="108">
        <v>74</v>
      </c>
      <c r="BP87" s="108">
        <v>49</v>
      </c>
      <c r="BQ87" s="108">
        <v>306</v>
      </c>
      <c r="BR87" s="115">
        <v>85.275001525878906</v>
      </c>
      <c r="BS87" s="115">
        <v>27.228000640869141</v>
      </c>
      <c r="BT87" s="115">
        <v>46.757999420166016</v>
      </c>
      <c r="BU87" s="115">
        <v>42.050998687744141</v>
      </c>
      <c r="BV87" s="115">
        <v>68.900001525878906</v>
      </c>
      <c r="BW87" s="115">
        <v>6.5999999046325684</v>
      </c>
      <c r="BX87" s="115">
        <v>13.5</v>
      </c>
      <c r="BY87" s="115">
        <v>28</v>
      </c>
      <c r="BZ87" s="115">
        <v>1.4107163064181805E-2</v>
      </c>
      <c r="CA87" s="115">
        <v>0</v>
      </c>
      <c r="CB87" s="115">
        <v>29.166904449462891</v>
      </c>
      <c r="CC87" s="118"/>
      <c r="CD87" s="115">
        <v>393.30401611328125</v>
      </c>
      <c r="CE87" s="115">
        <v>45.602909088134766</v>
      </c>
      <c r="CF87" s="115">
        <v>28.216789245605469</v>
      </c>
      <c r="CG87" s="115">
        <v>35.338191986083984</v>
      </c>
      <c r="CH87" s="115">
        <v>301.96163940429688</v>
      </c>
      <c r="CI87" s="115">
        <v>95.70989990234375</v>
      </c>
      <c r="CJ87" s="115">
        <v>45.155296325683594</v>
      </c>
      <c r="CK87" s="115">
        <v>54.940013885498047</v>
      </c>
      <c r="CL87" s="116">
        <v>41.769134521484375</v>
      </c>
      <c r="CM87" s="117">
        <v>251.94589233398438</v>
      </c>
      <c r="CN87" s="115">
        <v>80.040176391601563</v>
      </c>
      <c r="CO87" s="115">
        <v>88.386077880859375</v>
      </c>
      <c r="CP87" s="115">
        <v>78.901695251464844</v>
      </c>
      <c r="CQ87" s="115">
        <v>0</v>
      </c>
      <c r="CR87" s="115">
        <v>59.887363433837891</v>
      </c>
      <c r="CS87" s="115">
        <v>10.357912063598633</v>
      </c>
      <c r="CT87" s="115">
        <v>47.370826721191406</v>
      </c>
      <c r="CU87" s="115">
        <v>64.004531860351563</v>
      </c>
      <c r="CV87" s="116">
        <v>84.825141906738281</v>
      </c>
      <c r="CW87" s="117">
        <v>2</v>
      </c>
      <c r="CX87" s="115">
        <v>435</v>
      </c>
      <c r="CY87" s="115">
        <v>201.10458374023438</v>
      </c>
      <c r="CZ87" s="115">
        <v>56.707836151123047</v>
      </c>
      <c r="DA87" s="115">
        <v>22.938331604003906</v>
      </c>
      <c r="DB87" s="115">
        <v>38.882846832275391</v>
      </c>
      <c r="DC87" s="115">
        <v>90.336936950683594</v>
      </c>
      <c r="DD87" s="115">
        <v>96</v>
      </c>
      <c r="DE87" s="115">
        <v>190</v>
      </c>
      <c r="DF87" s="115">
        <v>131.22804260253906</v>
      </c>
      <c r="DG87" s="115">
        <v>94.697486877441406</v>
      </c>
      <c r="DH87" s="115">
        <v>61.750213623046875</v>
      </c>
      <c r="DI87" s="120">
        <v>43.043228149414063</v>
      </c>
      <c r="DJ87" s="119">
        <v>242</v>
      </c>
      <c r="DK87" s="115">
        <v>137.9219970703125</v>
      </c>
      <c r="DL87" s="115">
        <v>27.030000686645508</v>
      </c>
      <c r="DM87" s="115">
        <v>58.492000579833984</v>
      </c>
      <c r="DN87" s="115">
        <v>53.896999359130859</v>
      </c>
      <c r="DO87" s="116">
        <v>116.01661682128906</v>
      </c>
      <c r="DP87" s="117">
        <v>16.256999969482422</v>
      </c>
      <c r="DQ87" s="115"/>
      <c r="DR87" s="117">
        <v>67</v>
      </c>
      <c r="DS87" s="120">
        <v>40.5</v>
      </c>
      <c r="DT87" s="119">
        <v>13</v>
      </c>
      <c r="DU87" s="115"/>
      <c r="DV87" s="115">
        <v>171</v>
      </c>
      <c r="DW87" s="115">
        <v>165.01640319824219</v>
      </c>
      <c r="DX87" s="117">
        <v>11</v>
      </c>
      <c r="DY87" s="120"/>
      <c r="DZ87" s="119">
        <v>49</v>
      </c>
      <c r="EA87" s="115">
        <v>3</v>
      </c>
      <c r="EB87" s="115">
        <v>0</v>
      </c>
      <c r="EC87" s="115">
        <v>1</v>
      </c>
      <c r="ED87" s="115">
        <v>312.20001220703125</v>
      </c>
      <c r="EE87" s="121">
        <v>35.338191986083984</v>
      </c>
      <c r="EF87" s="121">
        <v>35.338191986083984</v>
      </c>
      <c r="EG87" s="121">
        <v>35.338191986083984</v>
      </c>
      <c r="EH87" t="s">
        <v>237</v>
      </c>
    </row>
    <row r="88" spans="1:138" x14ac:dyDescent="0.3">
      <c r="A88" s="226">
        <f t="shared" si="3"/>
        <v>46020.058333333523</v>
      </c>
      <c r="B88" s="115">
        <v>288</v>
      </c>
      <c r="C88" s="115">
        <v>55.529998779296875</v>
      </c>
      <c r="D88" s="115">
        <v>99.977996826171875</v>
      </c>
      <c r="E88" s="115">
        <v>21.375</v>
      </c>
      <c r="F88" s="115">
        <v>37.053752899169922</v>
      </c>
      <c r="G88" s="116">
        <v>18.547000885009766</v>
      </c>
      <c r="H88" s="117">
        <v>329</v>
      </c>
      <c r="I88" s="115">
        <v>295</v>
      </c>
      <c r="J88" s="115">
        <v>68.76300048828125</v>
      </c>
      <c r="K88" s="115">
        <v>67.244842529296875</v>
      </c>
      <c r="L88" s="115">
        <v>49.125999450683594</v>
      </c>
      <c r="M88" s="115">
        <v>14.13700008392334</v>
      </c>
      <c r="N88" s="115">
        <v>17.558000564575195</v>
      </c>
      <c r="O88" s="115">
        <v>19</v>
      </c>
      <c r="P88" s="115">
        <v>0</v>
      </c>
      <c r="Q88" s="115">
        <v>19.013656616210938</v>
      </c>
      <c r="R88" s="115">
        <v>19.996875762939453</v>
      </c>
      <c r="S88" s="115">
        <v>19.789913177490234</v>
      </c>
      <c r="T88" s="115">
        <v>2</v>
      </c>
      <c r="U88" s="115">
        <v>2</v>
      </c>
      <c r="V88" s="117">
        <v>1011</v>
      </c>
      <c r="W88" s="115">
        <v>32.429859161376953</v>
      </c>
      <c r="X88" s="115">
        <v>34.720001220703125</v>
      </c>
      <c r="Y88" s="115">
        <v>8.3330001831054688</v>
      </c>
      <c r="Z88" s="115">
        <v>0</v>
      </c>
      <c r="AA88" s="115">
        <v>31.10099983215332</v>
      </c>
      <c r="AB88" s="115">
        <v>0</v>
      </c>
      <c r="AC88" s="115">
        <v>61.972877502441406</v>
      </c>
      <c r="AD88" s="115">
        <v>6.1069998741149902</v>
      </c>
      <c r="AE88" s="115">
        <v>0</v>
      </c>
      <c r="AF88" s="115">
        <v>88.986320495605469</v>
      </c>
      <c r="AG88" s="115">
        <v>0</v>
      </c>
      <c r="AH88" s="115">
        <v>70.232315063476563</v>
      </c>
      <c r="AI88" s="115">
        <v>16.349000930786133</v>
      </c>
      <c r="AJ88" s="115">
        <v>24.675027847290039</v>
      </c>
      <c r="AK88" s="115">
        <v>48.192180633544922</v>
      </c>
      <c r="AL88" s="115">
        <v>56.370998382568359</v>
      </c>
      <c r="AM88" s="118">
        <v>57.255001068115234</v>
      </c>
      <c r="AN88" s="117">
        <v>138</v>
      </c>
      <c r="AO88" s="119">
        <v>73</v>
      </c>
      <c r="AP88" s="115">
        <v>71.208808898925781</v>
      </c>
      <c r="AQ88" s="115">
        <v>46.474155426025391</v>
      </c>
      <c r="AR88" s="115">
        <v>82</v>
      </c>
      <c r="AS88" s="115"/>
      <c r="AT88" s="115">
        <v>123</v>
      </c>
      <c r="AU88" s="115"/>
      <c r="AV88" s="115">
        <v>75</v>
      </c>
      <c r="AW88" s="115"/>
      <c r="AX88" s="115">
        <v>32</v>
      </c>
      <c r="AY88" s="115">
        <v>34.507717132568359</v>
      </c>
      <c r="AZ88" s="115">
        <v>21</v>
      </c>
      <c r="BA88" s="115"/>
      <c r="BB88" s="115">
        <v>305</v>
      </c>
      <c r="BC88" s="115">
        <v>310.7386474609375</v>
      </c>
      <c r="BD88" s="115">
        <v>7.0999999046325684</v>
      </c>
      <c r="BE88" s="115">
        <v>7.1897158622741699</v>
      </c>
      <c r="BF88" s="115">
        <v>30</v>
      </c>
      <c r="BG88" s="115">
        <v>11</v>
      </c>
      <c r="BH88" s="115">
        <v>11.783492088317871</v>
      </c>
      <c r="BI88" s="115"/>
      <c r="BJ88" s="108">
        <f t="shared" si="4"/>
        <v>17</v>
      </c>
      <c r="BK88" s="115">
        <v>17</v>
      </c>
      <c r="BL88" s="115">
        <v>0</v>
      </c>
      <c r="BM88" s="118"/>
      <c r="BN88" s="108">
        <f t="shared" si="5"/>
        <v>123</v>
      </c>
      <c r="BO88" s="108">
        <v>74</v>
      </c>
      <c r="BP88" s="108">
        <v>49</v>
      </c>
      <c r="BQ88" s="108">
        <v>296</v>
      </c>
      <c r="BR88" s="115">
        <v>84.370002746582031</v>
      </c>
      <c r="BS88" s="115">
        <v>27.228000640869141</v>
      </c>
      <c r="BT88" s="115">
        <v>45.0260009765625</v>
      </c>
      <c r="BU88" s="115">
        <v>41.98699951171875</v>
      </c>
      <c r="BV88" s="115">
        <v>69.300003051757813</v>
      </c>
      <c r="BW88" s="115">
        <v>6.6999998092651367</v>
      </c>
      <c r="BX88" s="115">
        <v>13.5</v>
      </c>
      <c r="BY88" s="115">
        <v>28</v>
      </c>
      <c r="BZ88" s="115">
        <v>1.3448570854961872E-2</v>
      </c>
      <c r="CA88" s="115">
        <v>0</v>
      </c>
      <c r="CB88" s="115">
        <v>29.233003616333008</v>
      </c>
      <c r="CC88" s="118"/>
      <c r="CD88" s="115">
        <v>397.251220703125</v>
      </c>
      <c r="CE88" s="115">
        <v>48.653636932373047</v>
      </c>
      <c r="CF88" s="115">
        <v>28.614130020141602</v>
      </c>
      <c r="CG88" s="115">
        <v>35.338191986083984</v>
      </c>
      <c r="CH88" s="115">
        <v>302.2532958984375</v>
      </c>
      <c r="CI88" s="115">
        <v>91.608268737792969</v>
      </c>
      <c r="CJ88" s="115">
        <v>42.00897216796875</v>
      </c>
      <c r="CK88" s="115">
        <v>55.898468017578125</v>
      </c>
      <c r="CL88" s="116">
        <v>41.154224395751953</v>
      </c>
      <c r="CM88" s="117">
        <v>257.23538208007813</v>
      </c>
      <c r="CN88" s="115">
        <v>79.820976257324219</v>
      </c>
      <c r="CO88" s="115">
        <v>89.920356750488281</v>
      </c>
      <c r="CP88" s="115">
        <v>83.266387939453125</v>
      </c>
      <c r="CQ88" s="115">
        <v>0</v>
      </c>
      <c r="CR88" s="115">
        <v>59.319339752197266</v>
      </c>
      <c r="CS88" s="115">
        <v>10.654550552368164</v>
      </c>
      <c r="CT88" s="115">
        <v>47.861873626708984</v>
      </c>
      <c r="CU88" s="115">
        <v>61.466415405273438</v>
      </c>
      <c r="CV88" s="116">
        <v>84.080520629882813</v>
      </c>
      <c r="CW88" s="117">
        <v>3</v>
      </c>
      <c r="CX88" s="115">
        <v>434</v>
      </c>
      <c r="CY88" s="115">
        <v>203.739990234375</v>
      </c>
      <c r="CZ88" s="115">
        <v>58.620819091796875</v>
      </c>
      <c r="DA88" s="115">
        <v>21.162530899047852</v>
      </c>
      <c r="DB88" s="115">
        <v>39.674900054931641</v>
      </c>
      <c r="DC88" s="115">
        <v>91.941268920898438</v>
      </c>
      <c r="DD88" s="115">
        <v>101</v>
      </c>
      <c r="DE88" s="115">
        <v>190</v>
      </c>
      <c r="DF88" s="115">
        <v>129.1181640625</v>
      </c>
      <c r="DG88" s="115">
        <v>89.4217529296875</v>
      </c>
      <c r="DH88" s="115">
        <v>63.192665100097656</v>
      </c>
      <c r="DI88" s="120">
        <v>40.162883758544922</v>
      </c>
      <c r="DJ88" s="119">
        <v>242</v>
      </c>
      <c r="DK88" s="115">
        <v>137.9219970703125</v>
      </c>
      <c r="DL88" s="115">
        <v>24.089000701904297</v>
      </c>
      <c r="DM88" s="115">
        <v>58.492000579833984</v>
      </c>
      <c r="DN88" s="115">
        <v>55.311000823974609</v>
      </c>
      <c r="DO88" s="116">
        <v>111.53398132324219</v>
      </c>
      <c r="DP88" s="117">
        <v>16.256999969482422</v>
      </c>
      <c r="DQ88" s="115"/>
      <c r="DR88" s="117">
        <v>67</v>
      </c>
      <c r="DS88" s="120">
        <v>40.299999237060547</v>
      </c>
      <c r="DT88" s="119">
        <v>13</v>
      </c>
      <c r="DU88" s="115"/>
      <c r="DV88" s="115">
        <v>171</v>
      </c>
      <c r="DW88" s="115">
        <v>164.22140502929688</v>
      </c>
      <c r="DX88" s="117">
        <v>11</v>
      </c>
      <c r="DY88" s="120"/>
      <c r="DZ88" s="119">
        <v>49</v>
      </c>
      <c r="EA88" s="115">
        <v>3</v>
      </c>
      <c r="EB88" s="115">
        <v>0</v>
      </c>
      <c r="EC88" s="115">
        <v>1</v>
      </c>
      <c r="ED88" s="115">
        <v>302</v>
      </c>
      <c r="EE88" s="121">
        <v>268.83416748046875</v>
      </c>
      <c r="EF88" s="121">
        <v>269.38116455078125</v>
      </c>
      <c r="EG88" s="121">
        <v>271.51519063313805</v>
      </c>
      <c r="EH88" t="s">
        <v>239</v>
      </c>
    </row>
    <row r="89" spans="1:138" x14ac:dyDescent="0.3">
      <c r="A89" s="226">
        <f t="shared" ref="A89:A152" si="6">A88 + TIME(,1,)</f>
        <v>46020.05902777797</v>
      </c>
      <c r="B89" s="115">
        <v>281</v>
      </c>
      <c r="C89" s="115">
        <v>53.041999816894531</v>
      </c>
      <c r="D89" s="115">
        <v>100.31700134277344</v>
      </c>
      <c r="E89" s="115">
        <v>22.280000686645508</v>
      </c>
      <c r="F89" s="115">
        <v>37.996788024902344</v>
      </c>
      <c r="G89" s="116">
        <v>18.77400016784668</v>
      </c>
      <c r="H89" s="117">
        <v>329</v>
      </c>
      <c r="I89" s="115">
        <v>295</v>
      </c>
      <c r="J89" s="115">
        <v>66.161003112792969</v>
      </c>
      <c r="K89" s="115">
        <v>67.569412231445313</v>
      </c>
      <c r="L89" s="115">
        <v>49.303001403808594</v>
      </c>
      <c r="M89" s="115">
        <v>13.684000015258789</v>
      </c>
      <c r="N89" s="115">
        <v>17.812000274658203</v>
      </c>
      <c r="O89" s="115">
        <v>19</v>
      </c>
      <c r="P89" s="115">
        <v>0</v>
      </c>
      <c r="Q89" s="115">
        <v>19.013656616210938</v>
      </c>
      <c r="R89" s="115">
        <v>19.996875762939453</v>
      </c>
      <c r="S89" s="115">
        <v>19.789913177490234</v>
      </c>
      <c r="T89" s="115">
        <v>0</v>
      </c>
      <c r="U89" s="115">
        <v>0</v>
      </c>
      <c r="V89" s="117">
        <v>1002</v>
      </c>
      <c r="W89" s="115">
        <v>32.364467620849609</v>
      </c>
      <c r="X89" s="115">
        <v>35.398998260498047</v>
      </c>
      <c r="Y89" s="115">
        <v>8.3330001831054688</v>
      </c>
      <c r="Z89" s="115">
        <v>0</v>
      </c>
      <c r="AA89" s="115">
        <v>30.423000335693359</v>
      </c>
      <c r="AB89" s="115">
        <v>0</v>
      </c>
      <c r="AC89" s="115">
        <v>62.155990600585938</v>
      </c>
      <c r="AD89" s="115">
        <v>6.3610000610351563</v>
      </c>
      <c r="AE89" s="115">
        <v>0</v>
      </c>
      <c r="AF89" s="115">
        <v>87.998703002929688</v>
      </c>
      <c r="AG89" s="115">
        <v>0</v>
      </c>
      <c r="AH89" s="115">
        <v>71.271446228027344</v>
      </c>
      <c r="AI89" s="115">
        <v>16.666999816894531</v>
      </c>
      <c r="AJ89" s="115">
        <v>27.328762054443359</v>
      </c>
      <c r="AK89" s="115">
        <v>47.021533966064453</v>
      </c>
      <c r="AL89" s="115">
        <v>57.077999114990234</v>
      </c>
      <c r="AM89" s="118">
        <v>57.063999176025391</v>
      </c>
      <c r="AN89" s="117">
        <v>137.3125</v>
      </c>
      <c r="AO89" s="119">
        <v>73</v>
      </c>
      <c r="AP89" s="115">
        <v>71.651329040527344</v>
      </c>
      <c r="AQ89" s="115">
        <v>47.086498260498047</v>
      </c>
      <c r="AR89" s="115">
        <v>82</v>
      </c>
      <c r="AS89" s="115"/>
      <c r="AT89" s="115">
        <v>123</v>
      </c>
      <c r="AU89" s="115"/>
      <c r="AV89" s="115">
        <v>80</v>
      </c>
      <c r="AW89" s="115"/>
      <c r="AX89" s="115">
        <v>32</v>
      </c>
      <c r="AY89" s="115">
        <v>34.505393981933594</v>
      </c>
      <c r="AZ89" s="115">
        <v>20</v>
      </c>
      <c r="BA89" s="115"/>
      <c r="BB89" s="115">
        <v>305</v>
      </c>
      <c r="BC89" s="115">
        <v>309.52822875976563</v>
      </c>
      <c r="BD89" s="115">
        <v>7.0999999046325684</v>
      </c>
      <c r="BE89" s="115">
        <v>7.1762137413024902</v>
      </c>
      <c r="BF89" s="115">
        <v>30</v>
      </c>
      <c r="BG89" s="115">
        <v>11</v>
      </c>
      <c r="BH89" s="115">
        <v>11.783492088317871</v>
      </c>
      <c r="BI89" s="115"/>
      <c r="BJ89" s="108">
        <f t="shared" si="4"/>
        <v>17</v>
      </c>
      <c r="BK89" s="115">
        <v>17</v>
      </c>
      <c r="BL89" s="115">
        <v>0</v>
      </c>
      <c r="BM89" s="118"/>
      <c r="BN89" s="108">
        <f t="shared" si="5"/>
        <v>123</v>
      </c>
      <c r="BO89" s="108">
        <v>74</v>
      </c>
      <c r="BP89" s="108">
        <v>49</v>
      </c>
      <c r="BQ89" s="108">
        <v>298</v>
      </c>
      <c r="BR89" s="115">
        <v>88.101997375488281</v>
      </c>
      <c r="BS89" s="115">
        <v>25.445999145507813</v>
      </c>
      <c r="BT89" s="115">
        <v>45.373001098632813</v>
      </c>
      <c r="BU89" s="115">
        <v>41.541999816894531</v>
      </c>
      <c r="BV89" s="115">
        <v>68.800003051757813</v>
      </c>
      <c r="BW89" s="115">
        <v>6.5999999046325684</v>
      </c>
      <c r="BX89" s="115">
        <v>13.5</v>
      </c>
      <c r="BY89" s="115">
        <v>29</v>
      </c>
      <c r="BZ89" s="115">
        <v>1.4906954951584339E-2</v>
      </c>
      <c r="CA89" s="115">
        <v>0</v>
      </c>
      <c r="CB89" s="115">
        <v>29.210592269897461</v>
      </c>
      <c r="CC89" s="118"/>
      <c r="CD89" s="115">
        <v>397.56390380859375</v>
      </c>
      <c r="CE89" s="115">
        <v>45.228828430175781</v>
      </c>
      <c r="CF89" s="115">
        <v>28.640779495239258</v>
      </c>
      <c r="CG89" s="115">
        <v>35.338191986083984</v>
      </c>
      <c r="CH89" s="115">
        <v>302.260986328125</v>
      </c>
      <c r="CI89" s="115">
        <v>91.956489562988281</v>
      </c>
      <c r="CJ89" s="115">
        <v>42.475975036621094</v>
      </c>
      <c r="CK89" s="115">
        <v>54.423332214355469</v>
      </c>
      <c r="CL89" s="116">
        <v>40.148876190185547</v>
      </c>
      <c r="CM89" s="117">
        <v>258.14447021484375</v>
      </c>
      <c r="CN89" s="115">
        <v>82.344474792480469</v>
      </c>
      <c r="CO89" s="115">
        <v>89.407249450683594</v>
      </c>
      <c r="CP89" s="115">
        <v>83.338050842285156</v>
      </c>
      <c r="CQ89" s="115">
        <v>0</v>
      </c>
      <c r="CR89" s="115">
        <v>59.592159271240234</v>
      </c>
      <c r="CS89" s="115">
        <v>11.354286193847656</v>
      </c>
      <c r="CT89" s="115">
        <v>49.501209259033203</v>
      </c>
      <c r="CU89" s="115">
        <v>60.396217346191406</v>
      </c>
      <c r="CV89" s="116">
        <v>83.743370056152344</v>
      </c>
      <c r="CW89" s="117">
        <v>4</v>
      </c>
      <c r="CX89" s="115">
        <v>426</v>
      </c>
      <c r="CY89" s="115">
        <v>201.90266418457031</v>
      </c>
      <c r="CZ89" s="115">
        <v>59.979000091552734</v>
      </c>
      <c r="DA89" s="115">
        <v>21.15235710144043</v>
      </c>
      <c r="DB89" s="115">
        <v>39.392047882080078</v>
      </c>
      <c r="DC89" s="115">
        <v>91.550605773925781</v>
      </c>
      <c r="DD89" s="115">
        <v>98</v>
      </c>
      <c r="DE89" s="115">
        <v>189</v>
      </c>
      <c r="DF89" s="115">
        <v>127.05136871337891</v>
      </c>
      <c r="DG89" s="115">
        <v>88.872444152832031</v>
      </c>
      <c r="DH89" s="115">
        <v>63.087009429931641</v>
      </c>
      <c r="DI89" s="120">
        <v>40.932174682617188</v>
      </c>
      <c r="DJ89" s="119">
        <v>242</v>
      </c>
      <c r="DK89" s="115">
        <v>140.21200561523438</v>
      </c>
      <c r="DL89" s="115">
        <v>29.405000686645508</v>
      </c>
      <c r="DM89" s="115">
        <v>56.370998382568359</v>
      </c>
      <c r="DN89" s="115">
        <v>53.191001892089844</v>
      </c>
      <c r="DO89" s="116">
        <v>113.93448638916016</v>
      </c>
      <c r="DP89" s="117">
        <v>16.031000137329102</v>
      </c>
      <c r="DQ89" s="115"/>
      <c r="DR89" s="117">
        <v>67</v>
      </c>
      <c r="DS89" s="120">
        <v>40.299999237060547</v>
      </c>
      <c r="DT89" s="119">
        <v>13</v>
      </c>
      <c r="DU89" s="115"/>
      <c r="DV89" s="115">
        <v>175</v>
      </c>
      <c r="DW89" s="115">
        <v>164.09219360351563</v>
      </c>
      <c r="DX89" s="117">
        <v>11</v>
      </c>
      <c r="DY89" s="120"/>
      <c r="DZ89" s="119">
        <v>49</v>
      </c>
      <c r="EA89" s="115">
        <v>3</v>
      </c>
      <c r="EB89" s="115">
        <v>0</v>
      </c>
      <c r="EC89" s="115">
        <v>1</v>
      </c>
      <c r="ED89" s="115">
        <v>302.5</v>
      </c>
      <c r="EE89" s="121">
        <v>69.872039794921875</v>
      </c>
      <c r="EF89" s="121">
        <v>72.746972401936844</v>
      </c>
      <c r="EG89" s="121">
        <v>77.171879704793298</v>
      </c>
      <c r="EH89" t="s">
        <v>267</v>
      </c>
    </row>
    <row r="90" spans="1:138" x14ac:dyDescent="0.3">
      <c r="A90" s="226">
        <f t="shared" si="6"/>
        <v>46020.059722222417</v>
      </c>
      <c r="B90" s="115">
        <v>282</v>
      </c>
      <c r="C90" s="115">
        <v>55.304000854492188</v>
      </c>
      <c r="D90" s="115">
        <v>99.863998413085938</v>
      </c>
      <c r="E90" s="115">
        <v>21.940000534057617</v>
      </c>
      <c r="F90" s="115">
        <v>37.842826843261719</v>
      </c>
      <c r="G90" s="116">
        <v>19.339000701904297</v>
      </c>
      <c r="H90" s="117">
        <v>327</v>
      </c>
      <c r="I90" s="115">
        <v>300</v>
      </c>
      <c r="J90" s="115">
        <v>64.01300048828125</v>
      </c>
      <c r="K90" s="115">
        <v>68.110679626464844</v>
      </c>
      <c r="L90" s="115">
        <v>51.599998474121094</v>
      </c>
      <c r="M90" s="115">
        <v>14.02400016784668</v>
      </c>
      <c r="N90" s="115">
        <v>17.493999481201172</v>
      </c>
      <c r="O90" s="115">
        <v>18</v>
      </c>
      <c r="P90" s="115">
        <v>0</v>
      </c>
      <c r="Q90" s="115">
        <v>21.111591339111328</v>
      </c>
      <c r="R90" s="115">
        <v>19.996875762939453</v>
      </c>
      <c r="S90" s="115">
        <v>20.56147575378418</v>
      </c>
      <c r="T90" s="115">
        <v>0</v>
      </c>
      <c r="U90" s="115">
        <v>0</v>
      </c>
      <c r="V90" s="117">
        <v>1011</v>
      </c>
      <c r="W90" s="115">
        <v>32.794479370117188</v>
      </c>
      <c r="X90" s="115">
        <v>34.041999816894531</v>
      </c>
      <c r="Y90" s="115">
        <v>7.4429998397827148</v>
      </c>
      <c r="Z90" s="115">
        <v>0</v>
      </c>
      <c r="AA90" s="115">
        <v>29.743999481201172</v>
      </c>
      <c r="AB90" s="115">
        <v>0</v>
      </c>
      <c r="AC90" s="115">
        <v>61.655067443847656</v>
      </c>
      <c r="AD90" s="115">
        <v>6.1069998741149902</v>
      </c>
      <c r="AE90" s="115">
        <v>0</v>
      </c>
      <c r="AF90" s="115">
        <v>88.716346740722656</v>
      </c>
      <c r="AG90" s="115">
        <v>0</v>
      </c>
      <c r="AH90" s="115">
        <v>70.878868103027344</v>
      </c>
      <c r="AI90" s="115">
        <v>17.749000549316406</v>
      </c>
      <c r="AJ90" s="115">
        <v>27.449041366577148</v>
      </c>
      <c r="AK90" s="115">
        <v>47.277336120605469</v>
      </c>
      <c r="AL90" s="115">
        <v>57.962001800537109</v>
      </c>
      <c r="AM90" s="118">
        <v>56.300998687744141</v>
      </c>
      <c r="AN90" s="117">
        <v>137.9375</v>
      </c>
      <c r="AO90" s="119">
        <v>75</v>
      </c>
      <c r="AP90" s="115">
        <v>72.520584106445313</v>
      </c>
      <c r="AQ90" s="115">
        <v>48.015132904052734</v>
      </c>
      <c r="AR90" s="115">
        <v>80</v>
      </c>
      <c r="AS90" s="115"/>
      <c r="AT90" s="115">
        <v>123</v>
      </c>
      <c r="AU90" s="115"/>
      <c r="AV90" s="115">
        <v>80</v>
      </c>
      <c r="AW90" s="115"/>
      <c r="AX90" s="115">
        <v>34</v>
      </c>
      <c r="AY90" s="115">
        <v>35.680126190185547</v>
      </c>
      <c r="AZ90" s="115">
        <v>19</v>
      </c>
      <c r="BA90" s="115"/>
      <c r="BB90" s="115">
        <v>302</v>
      </c>
      <c r="BC90" s="115">
        <v>309.89682006835938</v>
      </c>
      <c r="BD90" s="115">
        <v>7.0999999046325684</v>
      </c>
      <c r="BE90" s="115">
        <v>7.1617107391357422</v>
      </c>
      <c r="BF90" s="115">
        <v>30</v>
      </c>
      <c r="BG90" s="115">
        <v>11</v>
      </c>
      <c r="BH90" s="115">
        <v>11.709856033325195</v>
      </c>
      <c r="BI90" s="115"/>
      <c r="BJ90" s="108">
        <f t="shared" si="4"/>
        <v>16</v>
      </c>
      <c r="BK90" s="115">
        <v>16</v>
      </c>
      <c r="BL90" s="115">
        <v>0</v>
      </c>
      <c r="BM90" s="118"/>
      <c r="BN90" s="108">
        <f t="shared" si="5"/>
        <v>123</v>
      </c>
      <c r="BO90" s="108">
        <v>74</v>
      </c>
      <c r="BP90" s="108">
        <v>49</v>
      </c>
      <c r="BQ90" s="108">
        <v>299</v>
      </c>
      <c r="BR90" s="115">
        <v>88.101997375488281</v>
      </c>
      <c r="BS90" s="115">
        <v>26.718999862670898</v>
      </c>
      <c r="BT90" s="115">
        <v>46.064998626708984</v>
      </c>
      <c r="BU90" s="115">
        <v>42.178001403808594</v>
      </c>
      <c r="BV90" s="115">
        <v>68.599998474121094</v>
      </c>
      <c r="BW90" s="115">
        <v>6.5</v>
      </c>
      <c r="BX90" s="115">
        <v>13.5</v>
      </c>
      <c r="BY90" s="115">
        <v>29</v>
      </c>
      <c r="BZ90" s="115">
        <v>1.5182408504188061E-2</v>
      </c>
      <c r="CA90" s="115">
        <v>21</v>
      </c>
      <c r="CB90" s="115">
        <v>29.210592269897461</v>
      </c>
      <c r="CC90" s="118"/>
      <c r="CD90" s="115">
        <v>395.75149536132813</v>
      </c>
      <c r="CE90" s="115">
        <v>45.764659881591797</v>
      </c>
      <c r="CF90" s="115">
        <v>27.579219818115234</v>
      </c>
      <c r="CG90" s="115">
        <v>35.338191986083984</v>
      </c>
      <c r="CH90" s="115">
        <v>301.37933349609375</v>
      </c>
      <c r="CI90" s="115">
        <v>92.679389953613281</v>
      </c>
      <c r="CJ90" s="115">
        <v>42.528514862060547</v>
      </c>
      <c r="CK90" s="115">
        <v>55.036865234375</v>
      </c>
      <c r="CL90" s="116">
        <v>39.751300811767578</v>
      </c>
      <c r="CM90" s="117">
        <v>247.80271911621094</v>
      </c>
      <c r="CN90" s="115">
        <v>79.256690979003906</v>
      </c>
      <c r="CO90" s="115">
        <v>88.530647277832031</v>
      </c>
      <c r="CP90" s="115">
        <v>76.880485534667969</v>
      </c>
      <c r="CQ90" s="115">
        <v>0</v>
      </c>
      <c r="CR90" s="115">
        <v>57.350418090820313</v>
      </c>
      <c r="CS90" s="115">
        <v>10.526767730712891</v>
      </c>
      <c r="CT90" s="115">
        <v>47.688247680664063</v>
      </c>
      <c r="CU90" s="115">
        <v>57.451904296875</v>
      </c>
      <c r="CV90" s="116">
        <v>81.219596862792969</v>
      </c>
      <c r="CW90" s="117">
        <v>3</v>
      </c>
      <c r="CX90" s="115">
        <v>428</v>
      </c>
      <c r="CY90" s="115">
        <v>200.66258239746094</v>
      </c>
      <c r="CZ90" s="115">
        <v>58.055999755859375</v>
      </c>
      <c r="DA90" s="115">
        <v>21.593633651733398</v>
      </c>
      <c r="DB90" s="115">
        <v>39.440052032470703</v>
      </c>
      <c r="DC90" s="115">
        <v>91.161643981933594</v>
      </c>
      <c r="DD90" s="115">
        <v>104</v>
      </c>
      <c r="DE90" s="115">
        <v>187</v>
      </c>
      <c r="DF90" s="115">
        <v>125.6741943359375</v>
      </c>
      <c r="DG90" s="115">
        <v>88.872444152832031</v>
      </c>
      <c r="DH90" s="115">
        <v>64.036293029785156</v>
      </c>
      <c r="DI90" s="120">
        <v>42.151554107666016</v>
      </c>
      <c r="DJ90" s="119">
        <v>241</v>
      </c>
      <c r="DK90" s="115">
        <v>140.21200561523438</v>
      </c>
      <c r="DL90" s="115">
        <v>26.464000701904297</v>
      </c>
      <c r="DM90" s="115">
        <v>56.370998382568359</v>
      </c>
      <c r="DN90" s="115">
        <v>54.604000091552734</v>
      </c>
      <c r="DO90" s="116">
        <v>112.95716857910156</v>
      </c>
      <c r="DP90" s="117">
        <v>16.003000259399414</v>
      </c>
      <c r="DQ90" s="115"/>
      <c r="DR90" s="117">
        <v>67</v>
      </c>
      <c r="DS90" s="120">
        <v>40.299999237060547</v>
      </c>
      <c r="DT90" s="119">
        <v>13</v>
      </c>
      <c r="DU90" s="115"/>
      <c r="DV90" s="115">
        <v>172</v>
      </c>
      <c r="DW90" s="115">
        <v>164.32890319824219</v>
      </c>
      <c r="DX90" s="117">
        <v>10</v>
      </c>
      <c r="DY90" s="120"/>
      <c r="DZ90" s="119">
        <v>48</v>
      </c>
      <c r="EA90" s="115">
        <v>3</v>
      </c>
      <c r="EB90" s="115">
        <v>0</v>
      </c>
      <c r="EC90" s="115">
        <v>2</v>
      </c>
      <c r="ED90" s="115">
        <v>303.70001220703125</v>
      </c>
      <c r="EE90" s="121">
        <v>29.697189331054688</v>
      </c>
      <c r="EF90" s="121">
        <v>30.093846003214519</v>
      </c>
      <c r="EG90" s="121">
        <v>32.77827132542928</v>
      </c>
      <c r="EH90" t="s">
        <v>77</v>
      </c>
    </row>
    <row r="91" spans="1:138" x14ac:dyDescent="0.3">
      <c r="A91" s="226">
        <f t="shared" si="6"/>
        <v>46020.060416666864</v>
      </c>
      <c r="B91" s="115">
        <v>289</v>
      </c>
      <c r="C91" s="115">
        <v>51.118999481201172</v>
      </c>
      <c r="D91" s="115">
        <v>99.863998413085938</v>
      </c>
      <c r="E91" s="115">
        <v>22.166999816894531</v>
      </c>
      <c r="F91" s="115">
        <v>40.081287384033203</v>
      </c>
      <c r="G91" s="116">
        <v>18.886999130249023</v>
      </c>
      <c r="H91" s="117">
        <v>327</v>
      </c>
      <c r="I91" s="115">
        <v>295</v>
      </c>
      <c r="J91" s="115">
        <v>66.275001525878906</v>
      </c>
      <c r="K91" s="115">
        <v>66.392066955566406</v>
      </c>
      <c r="L91" s="115">
        <v>50.362998962402344</v>
      </c>
      <c r="M91" s="115">
        <v>13.684000015258789</v>
      </c>
      <c r="N91" s="115">
        <v>17.176000595092773</v>
      </c>
      <c r="O91" s="115">
        <v>18</v>
      </c>
      <c r="P91" s="115">
        <v>0</v>
      </c>
      <c r="Q91" s="115">
        <v>19.210563659667969</v>
      </c>
      <c r="R91" s="115">
        <v>19.003124237060547</v>
      </c>
      <c r="S91" s="115">
        <v>19.116531372070313</v>
      </c>
      <c r="T91" s="115">
        <v>0</v>
      </c>
      <c r="U91" s="115">
        <v>0</v>
      </c>
      <c r="V91" s="117">
        <v>1003</v>
      </c>
      <c r="W91" s="115">
        <v>33.219211578369141</v>
      </c>
      <c r="X91" s="115">
        <v>33.589000701904297</v>
      </c>
      <c r="Y91" s="115">
        <v>7.5060000419616699</v>
      </c>
      <c r="Z91" s="115">
        <v>0</v>
      </c>
      <c r="AA91" s="115">
        <v>27.368999481201172</v>
      </c>
      <c r="AB91" s="115">
        <v>0</v>
      </c>
      <c r="AC91" s="115">
        <v>61.160243988037109</v>
      </c>
      <c r="AD91" s="115">
        <v>5.8520002365112305</v>
      </c>
      <c r="AE91" s="115">
        <v>0</v>
      </c>
      <c r="AF91" s="115">
        <v>88.858970642089844</v>
      </c>
      <c r="AG91" s="115">
        <v>0</v>
      </c>
      <c r="AH91" s="115">
        <v>70.99029541015625</v>
      </c>
      <c r="AI91" s="115">
        <v>18.066999435424805</v>
      </c>
      <c r="AJ91" s="115">
        <v>24.161201477050781</v>
      </c>
      <c r="AK91" s="115">
        <v>47.04095458984375</v>
      </c>
      <c r="AL91" s="115">
        <v>57.962001800537109</v>
      </c>
      <c r="AM91" s="118">
        <v>57.955001831054688</v>
      </c>
      <c r="AN91" s="117">
        <v>135.25</v>
      </c>
      <c r="AO91" s="119">
        <v>74</v>
      </c>
      <c r="AP91" s="115">
        <v>71.885292053222656</v>
      </c>
      <c r="AQ91" s="115">
        <v>45.149497985839844</v>
      </c>
      <c r="AR91" s="115">
        <v>79</v>
      </c>
      <c r="AS91" s="115"/>
      <c r="AT91" s="115">
        <v>122</v>
      </c>
      <c r="AU91" s="115"/>
      <c r="AV91" s="115">
        <v>80</v>
      </c>
      <c r="AW91" s="115"/>
      <c r="AX91" s="115">
        <v>34</v>
      </c>
      <c r="AY91" s="115">
        <v>35.789421081542969</v>
      </c>
      <c r="AZ91" s="115">
        <v>20</v>
      </c>
      <c r="BA91" s="115"/>
      <c r="BB91" s="115">
        <v>307</v>
      </c>
      <c r="BC91" s="115">
        <v>311.3944091796875</v>
      </c>
      <c r="BD91" s="115">
        <v>7</v>
      </c>
      <c r="BE91" s="115">
        <v>7.1362366676330566</v>
      </c>
      <c r="BF91" s="115">
        <v>29</v>
      </c>
      <c r="BG91" s="115">
        <v>11</v>
      </c>
      <c r="BH91" s="115">
        <v>11.580952644348145</v>
      </c>
      <c r="BI91" s="115"/>
      <c r="BJ91" s="108">
        <f t="shared" si="4"/>
        <v>16</v>
      </c>
      <c r="BK91" s="115">
        <v>16</v>
      </c>
      <c r="BL91" s="115">
        <v>0</v>
      </c>
      <c r="BM91" s="118"/>
      <c r="BN91" s="108">
        <f t="shared" si="5"/>
        <v>124</v>
      </c>
      <c r="BO91" s="108">
        <v>75</v>
      </c>
      <c r="BP91" s="108">
        <v>49</v>
      </c>
      <c r="BQ91" s="108">
        <v>298</v>
      </c>
      <c r="BR91" s="115">
        <v>88.214996337890625</v>
      </c>
      <c r="BS91" s="115">
        <v>27.73699951171875</v>
      </c>
      <c r="BT91" s="115">
        <v>43.98699951171875</v>
      </c>
      <c r="BU91" s="115">
        <v>42.495998382568359</v>
      </c>
      <c r="BV91" s="115">
        <v>69.400001525878906</v>
      </c>
      <c r="BW91" s="115">
        <v>6.5</v>
      </c>
      <c r="BX91" s="115">
        <v>13.5</v>
      </c>
      <c r="BY91" s="115">
        <v>29</v>
      </c>
      <c r="BZ91" s="115">
        <v>19.658803939819336</v>
      </c>
      <c r="CA91" s="115">
        <v>19</v>
      </c>
      <c r="CB91" s="115">
        <v>29.495004653930664</v>
      </c>
      <c r="CC91" s="118"/>
      <c r="CD91" s="115">
        <v>397.88748168945313</v>
      </c>
      <c r="CE91" s="115">
        <v>45.057918548583984</v>
      </c>
      <c r="CF91" s="115">
        <v>29.424152374267578</v>
      </c>
      <c r="CG91" s="115">
        <v>35.338191986083984</v>
      </c>
      <c r="CH91" s="115">
        <v>302.07244873046875</v>
      </c>
      <c r="CI91" s="115">
        <v>95.47503662109375</v>
      </c>
      <c r="CJ91" s="115">
        <v>43.278373718261719</v>
      </c>
      <c r="CK91" s="115">
        <v>56.671550750732422</v>
      </c>
      <c r="CL91" s="116">
        <v>40.290870666503906</v>
      </c>
      <c r="CM91" s="117">
        <v>247.63038635253906</v>
      </c>
      <c r="CN91" s="115">
        <v>76.76580810546875</v>
      </c>
      <c r="CO91" s="115">
        <v>88.621261596679688</v>
      </c>
      <c r="CP91" s="115">
        <v>76.159614562988281</v>
      </c>
      <c r="CQ91" s="115">
        <v>0</v>
      </c>
      <c r="CR91" s="115">
        <v>56.305736541748047</v>
      </c>
      <c r="CS91" s="115">
        <v>10.81917667388916</v>
      </c>
      <c r="CT91" s="115">
        <v>45.288173675537109</v>
      </c>
      <c r="CU91" s="115">
        <v>56.236522674560547</v>
      </c>
      <c r="CV91" s="116">
        <v>82.196357727050781</v>
      </c>
      <c r="CW91" s="117">
        <v>3</v>
      </c>
      <c r="CX91" s="115">
        <v>428</v>
      </c>
      <c r="CY91" s="115">
        <v>199.59164428710938</v>
      </c>
      <c r="CZ91" s="115">
        <v>59.890220642089844</v>
      </c>
      <c r="DA91" s="115">
        <v>21.323741912841797</v>
      </c>
      <c r="DB91" s="115">
        <v>40.952728271484375</v>
      </c>
      <c r="DC91" s="115">
        <v>91.360260009765625</v>
      </c>
      <c r="DD91" s="115">
        <v>94</v>
      </c>
      <c r="DE91" s="115">
        <v>189</v>
      </c>
      <c r="DF91" s="115">
        <v>124.84857940673828</v>
      </c>
      <c r="DG91" s="115">
        <v>87.608627319335938</v>
      </c>
      <c r="DH91" s="115">
        <v>62.313304901123047</v>
      </c>
      <c r="DI91" s="120">
        <v>40.845794677734375</v>
      </c>
      <c r="DJ91" s="119">
        <v>245</v>
      </c>
      <c r="DK91" s="115">
        <v>142.24800109863281</v>
      </c>
      <c r="DL91" s="115">
        <v>26.464000701904297</v>
      </c>
      <c r="DM91" s="115">
        <v>60.78900146484375</v>
      </c>
      <c r="DN91" s="115">
        <v>56.018001556396484</v>
      </c>
      <c r="DO91" s="116">
        <v>113.04639434814453</v>
      </c>
      <c r="DP91" s="117">
        <v>16.738000869750977</v>
      </c>
      <c r="DQ91" s="115"/>
      <c r="DR91" s="117">
        <v>67</v>
      </c>
      <c r="DS91" s="120">
        <v>39.900001525878906</v>
      </c>
      <c r="DT91" s="119">
        <v>13</v>
      </c>
      <c r="DU91" s="115"/>
      <c r="DV91" s="115">
        <v>170</v>
      </c>
      <c r="DW91" s="115">
        <v>165.00117492675781</v>
      </c>
      <c r="DX91" s="117">
        <v>10</v>
      </c>
      <c r="DY91" s="120"/>
      <c r="DZ91" s="119">
        <v>48</v>
      </c>
      <c r="EA91" s="115">
        <v>3</v>
      </c>
      <c r="EB91" s="115">
        <v>0</v>
      </c>
      <c r="EC91" s="115">
        <v>1</v>
      </c>
      <c r="ED91" s="115">
        <v>296.60000610351563</v>
      </c>
      <c r="EE91" s="121">
        <v>44.270195007324219</v>
      </c>
      <c r="EF91" s="121">
        <v>45.075057983398438</v>
      </c>
      <c r="EG91" s="121">
        <v>47.314433924357097</v>
      </c>
      <c r="EH91" t="s">
        <v>78</v>
      </c>
    </row>
    <row r="92" spans="1:138" x14ac:dyDescent="0.3">
      <c r="A92" s="226">
        <f t="shared" si="6"/>
        <v>46020.06111111131</v>
      </c>
      <c r="B92" s="115">
        <v>288</v>
      </c>
      <c r="C92" s="115">
        <v>50.327999114990234</v>
      </c>
      <c r="D92" s="115">
        <v>100.43000030517578</v>
      </c>
      <c r="E92" s="115">
        <v>19.113000869750977</v>
      </c>
      <c r="F92" s="115">
        <v>40.081287384033203</v>
      </c>
      <c r="G92" s="116">
        <v>19.565000534057617</v>
      </c>
      <c r="H92" s="117">
        <v>328</v>
      </c>
      <c r="I92" s="115">
        <v>295</v>
      </c>
      <c r="J92" s="115">
        <v>66.161003112792969</v>
      </c>
      <c r="K92" s="115">
        <v>65.463272094726563</v>
      </c>
      <c r="L92" s="115">
        <v>49.833000183105469</v>
      </c>
      <c r="M92" s="115">
        <v>13.909999847412109</v>
      </c>
      <c r="N92" s="115">
        <v>16.031000137329102</v>
      </c>
      <c r="O92" s="115">
        <v>19</v>
      </c>
      <c r="P92" s="115">
        <v>0</v>
      </c>
      <c r="Q92" s="115">
        <v>18.862033843994141</v>
      </c>
      <c r="R92" s="115">
        <v>19.996875762939453</v>
      </c>
      <c r="S92" s="115">
        <v>19.39954948425293</v>
      </c>
      <c r="T92" s="115">
        <v>0</v>
      </c>
      <c r="U92" s="115">
        <v>0</v>
      </c>
      <c r="V92" s="117">
        <v>1008</v>
      </c>
      <c r="W92" s="115">
        <v>32.044391632080078</v>
      </c>
      <c r="X92" s="115">
        <v>34.606998443603516</v>
      </c>
      <c r="Y92" s="115">
        <v>7.7610001564025879</v>
      </c>
      <c r="Z92" s="115">
        <v>0</v>
      </c>
      <c r="AA92" s="115">
        <v>30.875</v>
      </c>
      <c r="AB92" s="115">
        <v>0</v>
      </c>
      <c r="AC92" s="115">
        <v>60.882072448730469</v>
      </c>
      <c r="AD92" s="115">
        <v>5.8520002365112305</v>
      </c>
      <c r="AE92" s="115">
        <v>0</v>
      </c>
      <c r="AF92" s="115">
        <v>87.894485473632813</v>
      </c>
      <c r="AG92" s="115">
        <v>0</v>
      </c>
      <c r="AH92" s="115">
        <v>69.077499389648438</v>
      </c>
      <c r="AI92" s="115">
        <v>18.066999435424805</v>
      </c>
      <c r="AJ92" s="115">
        <v>26.822263717651367</v>
      </c>
      <c r="AK92" s="115">
        <v>47.679332733154297</v>
      </c>
      <c r="AL92" s="115">
        <v>55.487998962402344</v>
      </c>
      <c r="AM92" s="118">
        <v>54.456001281738281</v>
      </c>
      <c r="AN92" s="117">
        <v>135.6875</v>
      </c>
      <c r="AO92" s="119">
        <v>74</v>
      </c>
      <c r="AP92" s="115">
        <v>73.100563049316406</v>
      </c>
      <c r="AQ92" s="115">
        <v>45.299613952636719</v>
      </c>
      <c r="AR92" s="115">
        <v>81</v>
      </c>
      <c r="AS92" s="115"/>
      <c r="AT92" s="115">
        <v>122</v>
      </c>
      <c r="AU92" s="115"/>
      <c r="AV92" s="115">
        <v>80</v>
      </c>
      <c r="AW92" s="115"/>
      <c r="AX92" s="115">
        <v>33</v>
      </c>
      <c r="AY92" s="115">
        <v>35.686206817626953</v>
      </c>
      <c r="AZ92" s="115">
        <v>20</v>
      </c>
      <c r="BA92" s="115"/>
      <c r="BB92" s="115">
        <v>305</v>
      </c>
      <c r="BC92" s="115">
        <v>308.51626586914063</v>
      </c>
      <c r="BD92" s="115">
        <v>7</v>
      </c>
      <c r="BE92" s="115">
        <v>7.1362366676330566</v>
      </c>
      <c r="BF92" s="115">
        <v>29</v>
      </c>
      <c r="BG92" s="115">
        <v>11</v>
      </c>
      <c r="BH92" s="115">
        <v>11.477598190307617</v>
      </c>
      <c r="BI92" s="115"/>
      <c r="BJ92" s="108">
        <f t="shared" si="4"/>
        <v>17</v>
      </c>
      <c r="BK92" s="115">
        <v>17</v>
      </c>
      <c r="BL92" s="115">
        <v>0</v>
      </c>
      <c r="BM92" s="118"/>
      <c r="BN92" s="108">
        <f t="shared" si="5"/>
        <v>123</v>
      </c>
      <c r="BO92" s="108">
        <v>74</v>
      </c>
      <c r="BP92" s="108">
        <v>49</v>
      </c>
      <c r="BQ92" s="108">
        <v>297</v>
      </c>
      <c r="BR92" s="115">
        <v>87.76300048828125</v>
      </c>
      <c r="BS92" s="115">
        <v>26.972999572753906</v>
      </c>
      <c r="BT92" s="115">
        <v>43.294998168945313</v>
      </c>
      <c r="BU92" s="115">
        <v>42.558998107910156</v>
      </c>
      <c r="BV92" s="115">
        <v>69.5</v>
      </c>
      <c r="BW92" s="115">
        <v>6.5</v>
      </c>
      <c r="BX92" s="115">
        <v>13.5</v>
      </c>
      <c r="BY92" s="115">
        <v>28</v>
      </c>
      <c r="BZ92" s="115">
        <v>19.966337203979492</v>
      </c>
      <c r="CA92" s="115">
        <v>19</v>
      </c>
      <c r="CB92" s="115">
        <v>29.315273284912109</v>
      </c>
      <c r="CC92" s="118"/>
      <c r="CD92" s="115">
        <v>394.925048828125</v>
      </c>
      <c r="CE92" s="115">
        <v>47.853275299072266</v>
      </c>
      <c r="CF92" s="115">
        <v>27.931600570678711</v>
      </c>
      <c r="CG92" s="115">
        <v>35.338191986083984</v>
      </c>
      <c r="CH92" s="115">
        <v>302.15325927734375</v>
      </c>
      <c r="CI92" s="115">
        <v>96.367919921875</v>
      </c>
      <c r="CJ92" s="115">
        <v>44.852943420410156</v>
      </c>
      <c r="CK92" s="115">
        <v>54.883602142333984</v>
      </c>
      <c r="CL92" s="116">
        <v>40.07476806640625</v>
      </c>
      <c r="CM92" s="117">
        <v>251.25485229492188</v>
      </c>
      <c r="CN92" s="115">
        <v>77.910758972167969</v>
      </c>
      <c r="CO92" s="115">
        <v>88.781044006347656</v>
      </c>
      <c r="CP92" s="115">
        <v>80.058341979980469</v>
      </c>
      <c r="CQ92" s="115">
        <v>0</v>
      </c>
      <c r="CR92" s="115">
        <v>56.028167724609375</v>
      </c>
      <c r="CS92" s="115">
        <v>10.144126892089844</v>
      </c>
      <c r="CT92" s="115">
        <v>44.851470947265625</v>
      </c>
      <c r="CU92" s="115">
        <v>55.184097290039063</v>
      </c>
      <c r="CV92" s="116">
        <v>82.38641357421875</v>
      </c>
      <c r="CW92" s="117">
        <v>5</v>
      </c>
      <c r="CX92" s="115">
        <v>430</v>
      </c>
      <c r="CY92" s="115">
        <v>199.52949523925781</v>
      </c>
      <c r="CZ92" s="115">
        <v>58.474025726318359</v>
      </c>
      <c r="DA92" s="115">
        <v>23.301849365234375</v>
      </c>
      <c r="DB92" s="115">
        <v>39.804164886474609</v>
      </c>
      <c r="DC92" s="115">
        <v>87.829292297363281</v>
      </c>
      <c r="DD92" s="115">
        <v>90</v>
      </c>
      <c r="DE92" s="115">
        <v>188</v>
      </c>
      <c r="DF92" s="115">
        <v>124.29586791992188</v>
      </c>
      <c r="DG92" s="115">
        <v>87.371322631835938</v>
      </c>
      <c r="DH92" s="115">
        <v>62.129356384277344</v>
      </c>
      <c r="DI92" s="120">
        <v>40.880950927734375</v>
      </c>
      <c r="DJ92" s="119">
        <v>247</v>
      </c>
      <c r="DK92" s="115">
        <v>148.86399841308594</v>
      </c>
      <c r="DL92" s="115">
        <v>28.5</v>
      </c>
      <c r="DM92" s="115">
        <v>62.733001708984375</v>
      </c>
      <c r="DN92" s="115">
        <v>57.431999206542969</v>
      </c>
      <c r="DO92" s="116">
        <v>112.37781524658203</v>
      </c>
      <c r="DP92" s="117">
        <v>16.39900016784668</v>
      </c>
      <c r="DQ92" s="115"/>
      <c r="DR92" s="117">
        <v>67</v>
      </c>
      <c r="DS92" s="120">
        <v>38.900001525878906</v>
      </c>
      <c r="DT92" s="119">
        <v>13</v>
      </c>
      <c r="DU92" s="115"/>
      <c r="DV92" s="115">
        <v>174</v>
      </c>
      <c r="DW92" s="115">
        <v>164.68026733398438</v>
      </c>
      <c r="DX92" s="117">
        <v>11</v>
      </c>
      <c r="DY92" s="120"/>
      <c r="DZ92" s="119">
        <v>50</v>
      </c>
      <c r="EA92" s="115">
        <v>3</v>
      </c>
      <c r="EB92" s="115">
        <v>0</v>
      </c>
      <c r="EC92" s="115">
        <v>1</v>
      </c>
      <c r="ED92" s="115">
        <v>298.89999389648438</v>
      </c>
      <c r="EE92" s="121">
        <v>21.488065719604492</v>
      </c>
      <c r="EF92" s="121">
        <v>22.222202301025391</v>
      </c>
      <c r="EG92" s="121">
        <v>24.062316449483237</v>
      </c>
      <c r="EH92" t="s">
        <v>241</v>
      </c>
    </row>
    <row r="93" spans="1:138" x14ac:dyDescent="0.3">
      <c r="A93" s="226">
        <f t="shared" si="6"/>
        <v>46020.061805555757</v>
      </c>
      <c r="B93" s="115">
        <v>284</v>
      </c>
      <c r="C93" s="115">
        <v>49.988998413085938</v>
      </c>
      <c r="D93" s="115">
        <v>99.63800048828125</v>
      </c>
      <c r="E93" s="115">
        <v>21.714000701904297</v>
      </c>
      <c r="F93" s="115">
        <v>40.146255493164063</v>
      </c>
      <c r="G93" s="116">
        <v>19.22599983215332</v>
      </c>
      <c r="H93" s="117">
        <v>324</v>
      </c>
      <c r="I93" s="115">
        <v>296</v>
      </c>
      <c r="J93" s="115">
        <v>66.161003112792969</v>
      </c>
      <c r="K93" s="115">
        <v>66.467796325683594</v>
      </c>
      <c r="L93" s="115">
        <v>47.006000518798828</v>
      </c>
      <c r="M93" s="115">
        <v>13.571000099182129</v>
      </c>
      <c r="N93" s="115">
        <v>16.922000885009766</v>
      </c>
      <c r="O93" s="115">
        <v>17</v>
      </c>
      <c r="P93" s="115">
        <v>0</v>
      </c>
      <c r="Q93" s="115">
        <v>17.730876922607422</v>
      </c>
      <c r="R93" s="115">
        <v>18</v>
      </c>
      <c r="S93" s="115">
        <v>19.443531036376953</v>
      </c>
      <c r="T93" s="115">
        <v>0</v>
      </c>
      <c r="U93" s="115">
        <v>0</v>
      </c>
      <c r="V93" s="117">
        <v>1003</v>
      </c>
      <c r="W93" s="115">
        <v>31.991607666015625</v>
      </c>
      <c r="X93" s="115">
        <v>32.910999298095703</v>
      </c>
      <c r="Y93" s="115">
        <v>7.315000057220459</v>
      </c>
      <c r="Z93" s="115">
        <v>0</v>
      </c>
      <c r="AA93" s="115">
        <v>28.613000869750977</v>
      </c>
      <c r="AB93" s="115">
        <v>0</v>
      </c>
      <c r="AC93" s="115">
        <v>61.150432586669922</v>
      </c>
      <c r="AD93" s="115">
        <v>6.1069998741149902</v>
      </c>
      <c r="AE93" s="115">
        <v>0</v>
      </c>
      <c r="AF93" s="115">
        <v>88.075851440429688</v>
      </c>
      <c r="AG93" s="115">
        <v>0</v>
      </c>
      <c r="AH93" s="115">
        <v>69.017356872558594</v>
      </c>
      <c r="AI93" s="115">
        <v>21.120000839233398</v>
      </c>
      <c r="AJ93" s="115">
        <v>26.978204727172852</v>
      </c>
      <c r="AK93" s="115">
        <v>47.681972503662109</v>
      </c>
      <c r="AL93" s="115">
        <v>55.840999603271484</v>
      </c>
      <c r="AM93" s="118">
        <v>55.091999053955078</v>
      </c>
      <c r="AN93" s="117">
        <v>137.4375</v>
      </c>
      <c r="AO93" s="119">
        <v>72</v>
      </c>
      <c r="AP93" s="115">
        <v>70.893783569335938</v>
      </c>
      <c r="AQ93" s="115">
        <v>47.686222076416016</v>
      </c>
      <c r="AR93" s="115">
        <v>81</v>
      </c>
      <c r="AS93" s="115"/>
      <c r="AT93" s="115">
        <v>122</v>
      </c>
      <c r="AU93" s="115"/>
      <c r="AV93" s="115">
        <v>73</v>
      </c>
      <c r="AW93" s="115"/>
      <c r="AX93" s="115">
        <v>33</v>
      </c>
      <c r="AY93" s="115">
        <v>34.888576507568359</v>
      </c>
      <c r="AZ93" s="115">
        <v>20</v>
      </c>
      <c r="BA93" s="115"/>
      <c r="BB93" s="115">
        <v>304</v>
      </c>
      <c r="BC93" s="115">
        <v>307.5338134765625</v>
      </c>
      <c r="BD93" s="115">
        <v>7.0999999046325684</v>
      </c>
      <c r="BE93" s="115">
        <v>7.1346983909606934</v>
      </c>
      <c r="BF93" s="115">
        <v>30</v>
      </c>
      <c r="BG93" s="115">
        <v>11</v>
      </c>
      <c r="BH93" s="115">
        <v>11.477598190307617</v>
      </c>
      <c r="BI93" s="115"/>
      <c r="BJ93" s="108">
        <f t="shared" si="4"/>
        <v>17</v>
      </c>
      <c r="BK93" s="115">
        <v>17</v>
      </c>
      <c r="BL93" s="115">
        <v>0</v>
      </c>
      <c r="BM93" s="118"/>
      <c r="BN93" s="108">
        <f t="shared" si="5"/>
        <v>123</v>
      </c>
      <c r="BO93" s="108">
        <v>74</v>
      </c>
      <c r="BP93" s="108">
        <v>49</v>
      </c>
      <c r="BQ93" s="108">
        <v>297</v>
      </c>
      <c r="BR93" s="115">
        <v>87.76300048828125</v>
      </c>
      <c r="BS93" s="115">
        <v>26.718999862670898</v>
      </c>
      <c r="BT93" s="115">
        <v>41.562999725341797</v>
      </c>
      <c r="BU93" s="115">
        <v>42.178001403808594</v>
      </c>
      <c r="BV93" s="115">
        <v>69.599998474121094</v>
      </c>
      <c r="BW93" s="115">
        <v>6.5999999046325684</v>
      </c>
      <c r="BX93" s="115">
        <v>13.5</v>
      </c>
      <c r="BY93" s="115">
        <v>27</v>
      </c>
      <c r="BZ93" s="115">
        <v>19.932355880737305</v>
      </c>
      <c r="CA93" s="115">
        <v>18</v>
      </c>
      <c r="CB93" s="115">
        <v>29.171428680419922</v>
      </c>
      <c r="CC93" s="118"/>
      <c r="CD93" s="115">
        <v>394.925048828125</v>
      </c>
      <c r="CE93" s="115">
        <v>44.597782135009766</v>
      </c>
      <c r="CF93" s="115">
        <v>27.285722732543945</v>
      </c>
      <c r="CG93" s="115">
        <v>35.338191986083984</v>
      </c>
      <c r="CH93" s="115">
        <v>301.4278564453125</v>
      </c>
      <c r="CI93" s="115">
        <v>98.529617309570313</v>
      </c>
      <c r="CJ93" s="115">
        <v>47.111995697021484</v>
      </c>
      <c r="CK93" s="115">
        <v>55.786956787109375</v>
      </c>
      <c r="CL93" s="116">
        <v>40.066017150878906</v>
      </c>
      <c r="CM93" s="117">
        <v>250.37075805664063</v>
      </c>
      <c r="CN93" s="115">
        <v>78.215377807617188</v>
      </c>
      <c r="CO93" s="115">
        <v>88.230339050292969</v>
      </c>
      <c r="CP93" s="115">
        <v>79.035842895507813</v>
      </c>
      <c r="CQ93" s="115">
        <v>0</v>
      </c>
      <c r="CR93" s="115">
        <v>56.263008117675781</v>
      </c>
      <c r="CS93" s="115">
        <v>10.116757392883301</v>
      </c>
      <c r="CT93" s="115">
        <v>45.294647216796875</v>
      </c>
      <c r="CU93" s="115">
        <v>57.766769409179688</v>
      </c>
      <c r="CV93" s="116">
        <v>81.56732177734375</v>
      </c>
      <c r="CW93" s="117">
        <v>2</v>
      </c>
      <c r="CX93" s="115">
        <v>424</v>
      </c>
      <c r="CY93" s="115">
        <v>196.87220764160156</v>
      </c>
      <c r="CZ93" s="115">
        <v>58.1280517578125</v>
      </c>
      <c r="DA93" s="115">
        <v>24.763645172119141</v>
      </c>
      <c r="DB93" s="115">
        <v>39.435367584228516</v>
      </c>
      <c r="DC93" s="115">
        <v>86.76025390625</v>
      </c>
      <c r="DD93" s="115">
        <v>100</v>
      </c>
      <c r="DE93" s="115">
        <v>187</v>
      </c>
      <c r="DF93" s="115">
        <v>124.29586791992188</v>
      </c>
      <c r="DG93" s="115">
        <v>89.42596435546875</v>
      </c>
      <c r="DH93" s="115">
        <v>60.880565643310547</v>
      </c>
      <c r="DI93" s="120">
        <v>41.515926361083984</v>
      </c>
      <c r="DJ93" s="119">
        <v>244</v>
      </c>
      <c r="DK93" s="115">
        <v>143.77400207519531</v>
      </c>
      <c r="DL93" s="115">
        <v>28.160999298095703</v>
      </c>
      <c r="DM93" s="115">
        <v>61.319000244140625</v>
      </c>
      <c r="DN93" s="115">
        <v>53.896999359130859</v>
      </c>
      <c r="DO93" s="116">
        <v>113.71608734130859</v>
      </c>
      <c r="DP93" s="117">
        <v>16.031000137329102</v>
      </c>
      <c r="DQ93" s="115"/>
      <c r="DR93" s="117">
        <v>67</v>
      </c>
      <c r="DS93" s="120">
        <v>38.299999237060547</v>
      </c>
      <c r="DT93" s="119">
        <v>12</v>
      </c>
      <c r="DU93" s="115"/>
      <c r="DV93" s="115">
        <v>173</v>
      </c>
      <c r="DW93" s="115">
        <v>164.48934936523438</v>
      </c>
      <c r="DX93" s="117">
        <v>10</v>
      </c>
      <c r="DY93" s="120"/>
      <c r="DZ93" s="119">
        <v>47</v>
      </c>
      <c r="EA93" s="115">
        <v>3</v>
      </c>
      <c r="EB93" s="115">
        <v>0</v>
      </c>
      <c r="EC93" s="115">
        <v>1</v>
      </c>
      <c r="ED93" s="115">
        <v>299</v>
      </c>
      <c r="EE93" s="121">
        <v>143.88200378417969</v>
      </c>
      <c r="EF93" s="121">
        <v>147.71922810872397</v>
      </c>
      <c r="EG93" s="121">
        <v>164.21879196166992</v>
      </c>
      <c r="EH93" t="s">
        <v>268</v>
      </c>
    </row>
    <row r="94" spans="1:138" x14ac:dyDescent="0.3">
      <c r="A94" s="226">
        <f t="shared" si="6"/>
        <v>46020.062500000204</v>
      </c>
      <c r="B94" s="115">
        <v>280</v>
      </c>
      <c r="C94" s="115">
        <v>53.946998596191406</v>
      </c>
      <c r="D94" s="115">
        <v>100.54299926757813</v>
      </c>
      <c r="E94" s="115">
        <v>20.131000518798828</v>
      </c>
      <c r="F94" s="115">
        <v>39.392990112304688</v>
      </c>
      <c r="G94" s="116">
        <v>18.77400016784668</v>
      </c>
      <c r="H94" s="117">
        <v>321</v>
      </c>
      <c r="I94" s="115">
        <v>291</v>
      </c>
      <c r="J94" s="115">
        <v>67.066001892089844</v>
      </c>
      <c r="K94" s="115">
        <v>65.384414672851563</v>
      </c>
      <c r="L94" s="115">
        <v>47.006000518798828</v>
      </c>
      <c r="M94" s="115">
        <v>12.892999649047852</v>
      </c>
      <c r="N94" s="115">
        <v>16.413000106811523</v>
      </c>
      <c r="O94" s="115">
        <v>17</v>
      </c>
      <c r="P94" s="115">
        <v>0</v>
      </c>
      <c r="Q94" s="115">
        <v>17.845308303833008</v>
      </c>
      <c r="R94" s="115">
        <v>21</v>
      </c>
      <c r="S94" s="115">
        <v>20.645933151245117</v>
      </c>
      <c r="T94" s="115">
        <v>0</v>
      </c>
      <c r="U94" s="115">
        <v>0</v>
      </c>
      <c r="V94" s="117">
        <v>1004</v>
      </c>
      <c r="W94" s="115">
        <v>31.713268280029297</v>
      </c>
      <c r="X94" s="115">
        <v>33.929000854492188</v>
      </c>
      <c r="Y94" s="115">
        <v>7.4429998397827148</v>
      </c>
      <c r="Z94" s="115">
        <v>0</v>
      </c>
      <c r="AA94" s="115">
        <v>28.951999664306641</v>
      </c>
      <c r="AB94" s="115">
        <v>0</v>
      </c>
      <c r="AC94" s="115">
        <v>62.709690093994141</v>
      </c>
      <c r="AD94" s="115">
        <v>6.3610000610351563</v>
      </c>
      <c r="AE94" s="115">
        <v>0</v>
      </c>
      <c r="AF94" s="115">
        <v>88.328704833984375</v>
      </c>
      <c r="AG94" s="115">
        <v>0</v>
      </c>
      <c r="AH94" s="115">
        <v>72.405082702636719</v>
      </c>
      <c r="AI94" s="115">
        <v>15.012999534606934</v>
      </c>
      <c r="AJ94" s="115">
        <v>27.330289840698242</v>
      </c>
      <c r="AK94" s="115">
        <v>46.847858428955078</v>
      </c>
      <c r="AL94" s="115">
        <v>57.784999847412109</v>
      </c>
      <c r="AM94" s="118">
        <v>56.110000610351563</v>
      </c>
      <c r="AN94" s="117">
        <v>139.1875</v>
      </c>
      <c r="AO94" s="119">
        <v>76</v>
      </c>
      <c r="AP94" s="115">
        <v>71.032623291015625</v>
      </c>
      <c r="AQ94" s="115">
        <v>48.905570983886719</v>
      </c>
      <c r="AR94" s="115">
        <v>81</v>
      </c>
      <c r="AS94" s="115"/>
      <c r="AT94" s="115">
        <v>123</v>
      </c>
      <c r="AU94" s="115"/>
      <c r="AV94" s="115">
        <v>73</v>
      </c>
      <c r="AW94" s="115"/>
      <c r="AX94" s="115">
        <v>32</v>
      </c>
      <c r="AY94" s="115">
        <v>35.071689605712891</v>
      </c>
      <c r="AZ94" s="115">
        <v>18</v>
      </c>
      <c r="BA94" s="115"/>
      <c r="BB94" s="115">
        <v>304</v>
      </c>
      <c r="BC94" s="115">
        <v>308.82070922851563</v>
      </c>
      <c r="BD94" s="115">
        <v>7.1999998092651367</v>
      </c>
      <c r="BE94" s="115">
        <v>7.2042498588562012</v>
      </c>
      <c r="BF94" s="115">
        <v>30</v>
      </c>
      <c r="BG94" s="115">
        <v>11</v>
      </c>
      <c r="BH94" s="115">
        <v>11.714845657348633</v>
      </c>
      <c r="BI94" s="115"/>
      <c r="BJ94" s="108">
        <f t="shared" si="4"/>
        <v>16</v>
      </c>
      <c r="BK94" s="115">
        <v>16</v>
      </c>
      <c r="BL94" s="115">
        <v>0</v>
      </c>
      <c r="BM94" s="118"/>
      <c r="BN94" s="108">
        <f t="shared" si="5"/>
        <v>122</v>
      </c>
      <c r="BO94" s="108">
        <v>73</v>
      </c>
      <c r="BP94" s="108">
        <v>49</v>
      </c>
      <c r="BQ94" s="108">
        <v>293</v>
      </c>
      <c r="BR94" s="115">
        <v>83.464996337890625</v>
      </c>
      <c r="BS94" s="115">
        <v>26.718999862670898</v>
      </c>
      <c r="BT94" s="115">
        <v>43.98699951171875</v>
      </c>
      <c r="BU94" s="115">
        <v>41.478000640869141</v>
      </c>
      <c r="BV94" s="115">
        <v>69.199996948242188</v>
      </c>
      <c r="BW94" s="115">
        <v>6.5</v>
      </c>
      <c r="BX94" s="115">
        <v>13.5</v>
      </c>
      <c r="BY94" s="115">
        <v>27</v>
      </c>
      <c r="BZ94" s="115">
        <v>19.911338806152344</v>
      </c>
      <c r="CA94" s="115">
        <v>19</v>
      </c>
      <c r="CB94" s="115">
        <v>29.080877304077148</v>
      </c>
      <c r="CC94" s="118"/>
      <c r="CD94" s="115">
        <v>391.73617553710938</v>
      </c>
      <c r="CE94" s="115">
        <v>45.2239990234375</v>
      </c>
      <c r="CF94" s="115">
        <v>28.174596786499023</v>
      </c>
      <c r="CG94" s="115">
        <v>35.338191986083984</v>
      </c>
      <c r="CH94" s="115">
        <v>301.67880249023438</v>
      </c>
      <c r="CI94" s="115">
        <v>97.545425415039063</v>
      </c>
      <c r="CJ94" s="115">
        <v>45.696651458740234</v>
      </c>
      <c r="CK94" s="115">
        <v>54.982032775878906</v>
      </c>
      <c r="CL94" s="116">
        <v>39.676837921142578</v>
      </c>
      <c r="CM94" s="117">
        <v>250.37075805664063</v>
      </c>
      <c r="CN94" s="115">
        <v>77.756546020507813</v>
      </c>
      <c r="CO94" s="115">
        <v>89.744606018066406</v>
      </c>
      <c r="CP94" s="115">
        <v>78.207901000976563</v>
      </c>
      <c r="CQ94" s="115">
        <v>0</v>
      </c>
      <c r="CR94" s="115">
        <v>55.409286499023438</v>
      </c>
      <c r="CS94" s="115">
        <v>9.9613428115844727</v>
      </c>
      <c r="CT94" s="115">
        <v>46.006538391113281</v>
      </c>
      <c r="CU94" s="115">
        <v>59.124965667724609</v>
      </c>
      <c r="CV94" s="116">
        <v>84.233901977539063</v>
      </c>
      <c r="CW94" s="117">
        <v>2</v>
      </c>
      <c r="CX94" s="115">
        <v>421</v>
      </c>
      <c r="CY94" s="115">
        <v>193.50587463378906</v>
      </c>
      <c r="CZ94" s="115">
        <v>58.573280334472656</v>
      </c>
      <c r="DA94" s="115">
        <v>22.538557052612305</v>
      </c>
      <c r="DB94" s="115">
        <v>40.032878875732422</v>
      </c>
      <c r="DC94" s="115">
        <v>87.045059204101563</v>
      </c>
      <c r="DD94" s="115">
        <v>100</v>
      </c>
      <c r="DE94" s="115">
        <v>189</v>
      </c>
      <c r="DF94" s="115">
        <v>124.91177368164063</v>
      </c>
      <c r="DG94" s="115">
        <v>87.299392700195313</v>
      </c>
      <c r="DH94" s="115">
        <v>60.589340209960938</v>
      </c>
      <c r="DI94" s="120">
        <v>42.257854461669922</v>
      </c>
      <c r="DJ94" s="119">
        <v>244</v>
      </c>
      <c r="DK94" s="115">
        <v>139.19400024414063</v>
      </c>
      <c r="DL94" s="115">
        <v>27.820999145507813</v>
      </c>
      <c r="DM94" s="115">
        <v>56.194999694824219</v>
      </c>
      <c r="DN94" s="115">
        <v>54.428001403808594</v>
      </c>
      <c r="DO94" s="116">
        <v>112.74372100830078</v>
      </c>
      <c r="DP94" s="117">
        <v>16.031000137329102</v>
      </c>
      <c r="DQ94" s="115"/>
      <c r="DR94" s="117">
        <v>67</v>
      </c>
      <c r="DS94" s="120">
        <v>39</v>
      </c>
      <c r="DT94" s="119">
        <v>12</v>
      </c>
      <c r="DU94" s="115"/>
      <c r="DV94" s="115">
        <v>175</v>
      </c>
      <c r="DW94" s="115">
        <v>164.35855102539063</v>
      </c>
      <c r="DX94" s="117">
        <v>10</v>
      </c>
      <c r="DY94" s="120"/>
      <c r="DZ94" s="119">
        <v>48</v>
      </c>
      <c r="EA94" s="115">
        <v>3</v>
      </c>
      <c r="EB94" s="115">
        <v>0</v>
      </c>
      <c r="EC94" s="115">
        <v>1</v>
      </c>
      <c r="ED94" s="115">
        <v>297</v>
      </c>
      <c r="EE94" s="121">
        <v>36.585983276367188</v>
      </c>
      <c r="EF94" s="121">
        <v>40.06707445780436</v>
      </c>
      <c r="EG94" s="121">
        <v>52.666149711608888</v>
      </c>
      <c r="EH94" t="s">
        <v>193</v>
      </c>
    </row>
    <row r="95" spans="1:138" x14ac:dyDescent="0.3">
      <c r="A95" s="226">
        <f t="shared" si="6"/>
        <v>46020.06319444465</v>
      </c>
      <c r="B95" s="115">
        <v>279</v>
      </c>
      <c r="C95" s="115">
        <v>53.041999816894531</v>
      </c>
      <c r="D95" s="115">
        <v>99.63800048828125</v>
      </c>
      <c r="E95" s="115">
        <v>20.583000183105469</v>
      </c>
      <c r="F95" s="115">
        <v>40.909347534179688</v>
      </c>
      <c r="G95" s="116">
        <v>18.77400016784668</v>
      </c>
      <c r="H95" s="117">
        <v>321</v>
      </c>
      <c r="I95" s="115">
        <v>294</v>
      </c>
      <c r="J95" s="115">
        <v>66.613998413085938</v>
      </c>
      <c r="K95" s="115">
        <v>66.90234375</v>
      </c>
      <c r="L95" s="115">
        <v>44.532001495361328</v>
      </c>
      <c r="M95" s="115">
        <v>12.439999580383301</v>
      </c>
      <c r="N95" s="115">
        <v>18.066999435424805</v>
      </c>
      <c r="O95" s="115">
        <v>20</v>
      </c>
      <c r="P95" s="115">
        <v>0</v>
      </c>
      <c r="Q95" s="115">
        <v>20.0882568359375</v>
      </c>
      <c r="R95" s="115">
        <v>18</v>
      </c>
      <c r="S95" s="115">
        <v>18.870847702026367</v>
      </c>
      <c r="T95" s="115">
        <v>0</v>
      </c>
      <c r="U95" s="115">
        <v>0</v>
      </c>
      <c r="V95" s="117">
        <v>996</v>
      </c>
      <c r="W95" s="115">
        <v>32.131778717041016</v>
      </c>
      <c r="X95" s="115">
        <v>33.137001037597656</v>
      </c>
      <c r="Y95" s="115">
        <v>7.2519998550415039</v>
      </c>
      <c r="Z95" s="115">
        <v>0</v>
      </c>
      <c r="AA95" s="115">
        <v>31.666999816894531</v>
      </c>
      <c r="AB95" s="115">
        <v>0</v>
      </c>
      <c r="AC95" s="115">
        <v>61.697395324707031</v>
      </c>
      <c r="AD95" s="115">
        <v>6.1069998741149902</v>
      </c>
      <c r="AE95" s="115">
        <v>0</v>
      </c>
      <c r="AF95" s="115">
        <v>88.040138244628906</v>
      </c>
      <c r="AG95" s="115">
        <v>0</v>
      </c>
      <c r="AH95" s="115">
        <v>73.305625915527344</v>
      </c>
      <c r="AI95" s="115">
        <v>18.385000228881836</v>
      </c>
      <c r="AJ95" s="115">
        <v>27.814769744873047</v>
      </c>
      <c r="AK95" s="115">
        <v>46.931472778320313</v>
      </c>
      <c r="AL95" s="115">
        <v>56.370998382568359</v>
      </c>
      <c r="AM95" s="118">
        <v>57.127998352050781</v>
      </c>
      <c r="AN95" s="117">
        <v>137.3125</v>
      </c>
      <c r="AO95" s="119">
        <v>74</v>
      </c>
      <c r="AP95" s="115">
        <v>72.397514343261719</v>
      </c>
      <c r="AQ95" s="115">
        <v>46.693443298339844</v>
      </c>
      <c r="AR95" s="115">
        <v>81</v>
      </c>
      <c r="AS95" s="115"/>
      <c r="AT95" s="115">
        <v>123</v>
      </c>
      <c r="AU95" s="115"/>
      <c r="AV95" s="115">
        <v>72</v>
      </c>
      <c r="AW95" s="115"/>
      <c r="AX95" s="115">
        <v>32</v>
      </c>
      <c r="AY95" s="115">
        <v>34.89105224609375</v>
      </c>
      <c r="AZ95" s="115">
        <v>18</v>
      </c>
      <c r="BA95" s="115"/>
      <c r="BB95" s="115">
        <v>303</v>
      </c>
      <c r="BC95" s="115">
        <v>308.46487426757813</v>
      </c>
      <c r="BD95" s="115">
        <v>7.0999999046325684</v>
      </c>
      <c r="BE95" s="115">
        <v>7.142326831817627</v>
      </c>
      <c r="BF95" s="115">
        <v>30</v>
      </c>
      <c r="BG95" s="115">
        <v>11</v>
      </c>
      <c r="BH95" s="115">
        <v>11.77094554901123</v>
      </c>
      <c r="BI95" s="115"/>
      <c r="BJ95" s="108">
        <f t="shared" si="4"/>
        <v>17</v>
      </c>
      <c r="BK95" s="115">
        <v>17</v>
      </c>
      <c r="BL95" s="115">
        <v>0</v>
      </c>
      <c r="BM95" s="118"/>
      <c r="BN95" s="108">
        <f t="shared" si="5"/>
        <v>121.20000076293945</v>
      </c>
      <c r="BO95" s="108">
        <v>73</v>
      </c>
      <c r="BP95" s="108">
        <v>48.200000762939453</v>
      </c>
      <c r="BQ95" s="108">
        <v>293</v>
      </c>
      <c r="BR95" s="115">
        <v>82.333999633789063</v>
      </c>
      <c r="BS95" s="115">
        <v>25.954999923706055</v>
      </c>
      <c r="BT95" s="115">
        <v>45.373001098632813</v>
      </c>
      <c r="BU95" s="115">
        <v>41.159999847412109</v>
      </c>
      <c r="BV95" s="115">
        <v>69.300003051757813</v>
      </c>
      <c r="BW95" s="115">
        <v>6.5</v>
      </c>
      <c r="BX95" s="115">
        <v>13.600000381469727</v>
      </c>
      <c r="BY95" s="115">
        <v>27</v>
      </c>
      <c r="BZ95" s="115">
        <v>19.911338806152344</v>
      </c>
      <c r="CA95" s="115">
        <v>19</v>
      </c>
      <c r="CB95" s="115">
        <v>29.110349655151367</v>
      </c>
      <c r="CC95" s="118"/>
      <c r="CD95" s="115">
        <v>391.11431884765625</v>
      </c>
      <c r="CE95" s="115">
        <v>45.213111877441406</v>
      </c>
      <c r="CF95" s="115">
        <v>27.62501335144043</v>
      </c>
      <c r="CG95" s="115">
        <v>35.338191986083984</v>
      </c>
      <c r="CH95" s="115">
        <v>302.1837158203125</v>
      </c>
      <c r="CI95" s="115">
        <v>95.766220092773438</v>
      </c>
      <c r="CJ95" s="115">
        <v>42.926479339599609</v>
      </c>
      <c r="CK95" s="115">
        <v>54.982032775878906</v>
      </c>
      <c r="CL95" s="116">
        <v>40.292373657226563</v>
      </c>
      <c r="CM95" s="117">
        <v>253.77532958984375</v>
      </c>
      <c r="CN95" s="115">
        <v>78.953224182128906</v>
      </c>
      <c r="CO95" s="115">
        <v>89.6644287109375</v>
      </c>
      <c r="CP95" s="115">
        <v>81.976638793945313</v>
      </c>
      <c r="CQ95" s="115">
        <v>0</v>
      </c>
      <c r="CR95" s="115">
        <v>55.547683715820313</v>
      </c>
      <c r="CS95" s="115">
        <v>9.9148597717285156</v>
      </c>
      <c r="CT95" s="115">
        <v>43.162204742431641</v>
      </c>
      <c r="CU95" s="115">
        <v>61.023097991943359</v>
      </c>
      <c r="CV95" s="116">
        <v>85.748161315917969</v>
      </c>
      <c r="CW95" s="117">
        <v>3</v>
      </c>
      <c r="CX95" s="115">
        <v>419</v>
      </c>
      <c r="CY95" s="115">
        <v>194.16429138183594</v>
      </c>
      <c r="CZ95" s="115">
        <v>58.523757934570313</v>
      </c>
      <c r="DA95" s="115">
        <v>23.021171569824219</v>
      </c>
      <c r="DB95" s="115">
        <v>40.081718444824219</v>
      </c>
      <c r="DC95" s="115">
        <v>86.610763549804688</v>
      </c>
      <c r="DD95" s="115">
        <v>102</v>
      </c>
      <c r="DE95" s="115">
        <v>189</v>
      </c>
      <c r="DF95" s="115">
        <v>124.49553680419922</v>
      </c>
      <c r="DG95" s="115">
        <v>92.192153930664063</v>
      </c>
      <c r="DH95" s="115">
        <v>61.122013092041016</v>
      </c>
      <c r="DI95" s="120">
        <v>43.553325653076172</v>
      </c>
      <c r="DJ95" s="119">
        <v>239</v>
      </c>
      <c r="DK95" s="115">
        <v>139.44900512695313</v>
      </c>
      <c r="DL95" s="115">
        <v>25.785999298095703</v>
      </c>
      <c r="DM95" s="115">
        <v>56.548000335693359</v>
      </c>
      <c r="DN95" s="115">
        <v>54.074001312255859</v>
      </c>
      <c r="DO95" s="116">
        <v>112.31158447265625</v>
      </c>
      <c r="DP95" s="117">
        <v>16.229000091552734</v>
      </c>
      <c r="DQ95" s="115"/>
      <c r="DR95" s="117">
        <v>67</v>
      </c>
      <c r="DS95" s="120">
        <v>39.5</v>
      </c>
      <c r="DT95" s="119">
        <v>13</v>
      </c>
      <c r="DU95" s="115"/>
      <c r="DV95" s="115">
        <v>172</v>
      </c>
      <c r="DW95" s="115">
        <v>164.21580505371094</v>
      </c>
      <c r="DX95" s="117">
        <v>11</v>
      </c>
      <c r="DY95" s="120"/>
      <c r="DZ95" s="119">
        <v>47</v>
      </c>
      <c r="EA95" s="115">
        <v>3</v>
      </c>
      <c r="EB95" s="115">
        <v>0</v>
      </c>
      <c r="EC95" s="115">
        <v>1</v>
      </c>
      <c r="ED95" s="115">
        <v>304.29998779296875</v>
      </c>
      <c r="EE95" s="121">
        <v>46.293003082275391</v>
      </c>
      <c r="EF95" s="121">
        <v>47.675957361857094</v>
      </c>
      <c r="EG95" s="121">
        <v>49.302287928263347</v>
      </c>
      <c r="EH95" t="s">
        <v>84</v>
      </c>
    </row>
    <row r="96" spans="1:138" x14ac:dyDescent="0.3">
      <c r="A96" s="226">
        <f t="shared" si="6"/>
        <v>46020.063888889097</v>
      </c>
      <c r="B96" s="115">
        <v>281</v>
      </c>
      <c r="C96" s="115">
        <v>52.590000152587891</v>
      </c>
      <c r="D96" s="115">
        <v>99.977996826171875</v>
      </c>
      <c r="E96" s="115">
        <v>22.732000350952148</v>
      </c>
      <c r="F96" s="115">
        <v>41.990619659423828</v>
      </c>
      <c r="G96" s="116">
        <v>19.565000534057617</v>
      </c>
      <c r="H96" s="117">
        <v>322</v>
      </c>
      <c r="I96" s="115">
        <v>291</v>
      </c>
      <c r="J96" s="115">
        <v>67.066001892089844</v>
      </c>
      <c r="K96" s="115">
        <v>69.429603576660156</v>
      </c>
      <c r="L96" s="115">
        <v>47.535999298095703</v>
      </c>
      <c r="M96" s="115">
        <v>13.232000350952148</v>
      </c>
      <c r="N96" s="115">
        <v>16.794000625610352</v>
      </c>
      <c r="O96" s="115">
        <v>19</v>
      </c>
      <c r="P96" s="115">
        <v>0</v>
      </c>
      <c r="Q96" s="115">
        <v>18.258255004882813</v>
      </c>
      <c r="R96" s="115">
        <v>19.003124237060547</v>
      </c>
      <c r="S96" s="115">
        <v>19.483800888061523</v>
      </c>
      <c r="T96" s="115">
        <v>0</v>
      </c>
      <c r="U96" s="115">
        <v>0</v>
      </c>
      <c r="V96" s="117">
        <v>1003</v>
      </c>
      <c r="W96" s="115">
        <v>32.729320526123047</v>
      </c>
      <c r="X96" s="115">
        <v>33.137001037597656</v>
      </c>
      <c r="Y96" s="115">
        <v>7.8880000114440918</v>
      </c>
      <c r="Z96" s="115">
        <v>0</v>
      </c>
      <c r="AA96" s="115">
        <v>25.559000015258789</v>
      </c>
      <c r="AB96" s="115">
        <v>0</v>
      </c>
      <c r="AC96" s="115">
        <v>62.522171020507813</v>
      </c>
      <c r="AD96" s="115">
        <v>6.1069998741149902</v>
      </c>
      <c r="AE96" s="115">
        <v>0</v>
      </c>
      <c r="AF96" s="115">
        <v>90.279685974121094</v>
      </c>
      <c r="AG96" s="115">
        <v>0</v>
      </c>
      <c r="AH96" s="115">
        <v>70.030281066894531</v>
      </c>
      <c r="AI96" s="115">
        <v>17.749000549316406</v>
      </c>
      <c r="AJ96" s="115">
        <v>26.418766021728516</v>
      </c>
      <c r="AK96" s="115">
        <v>46.931472778320313</v>
      </c>
      <c r="AL96" s="115">
        <v>56.548000335693359</v>
      </c>
      <c r="AM96" s="118">
        <v>57.955001831054688</v>
      </c>
      <c r="AN96" s="117">
        <v>131.6875</v>
      </c>
      <c r="AO96" s="119">
        <v>71</v>
      </c>
      <c r="AP96" s="115">
        <v>71.229827880859375</v>
      </c>
      <c r="AQ96" s="115">
        <v>44.263515472412109</v>
      </c>
      <c r="AR96" s="115">
        <v>81</v>
      </c>
      <c r="AS96" s="115"/>
      <c r="AT96" s="115">
        <v>123</v>
      </c>
      <c r="AU96" s="115"/>
      <c r="AV96" s="115">
        <v>72</v>
      </c>
      <c r="AW96" s="115"/>
      <c r="AX96" s="115">
        <v>32</v>
      </c>
      <c r="AY96" s="115">
        <v>34.568019866943359</v>
      </c>
      <c r="AZ96" s="115">
        <v>18</v>
      </c>
      <c r="BA96" s="115"/>
      <c r="BB96" s="115">
        <v>305</v>
      </c>
      <c r="BC96" s="115">
        <v>310.33355712890625</v>
      </c>
      <c r="BD96" s="115">
        <v>7.0999999046325684</v>
      </c>
      <c r="BE96" s="115">
        <v>7.1279959678649902</v>
      </c>
      <c r="BF96" s="115">
        <v>31</v>
      </c>
      <c r="BG96" s="115">
        <v>11</v>
      </c>
      <c r="BH96" s="115">
        <v>11.512574195861816</v>
      </c>
      <c r="BI96" s="115"/>
      <c r="BJ96" s="108">
        <f t="shared" si="4"/>
        <v>17</v>
      </c>
      <c r="BK96" s="115">
        <v>17</v>
      </c>
      <c r="BL96" s="115">
        <v>0</v>
      </c>
      <c r="BM96" s="118"/>
      <c r="BN96" s="108">
        <f t="shared" si="5"/>
        <v>123</v>
      </c>
      <c r="BO96" s="108">
        <v>74</v>
      </c>
      <c r="BP96" s="108">
        <v>49</v>
      </c>
      <c r="BQ96" s="108">
        <v>290</v>
      </c>
      <c r="BR96" s="115">
        <v>83.125999450683594</v>
      </c>
      <c r="BS96" s="115">
        <v>24.683000564575195</v>
      </c>
      <c r="BT96" s="115">
        <v>45.0260009765625</v>
      </c>
      <c r="BU96" s="115">
        <v>41.351001739501953</v>
      </c>
      <c r="BV96" s="115">
        <v>68.300003051757813</v>
      </c>
      <c r="BW96" s="115">
        <v>6.3000001907348633</v>
      </c>
      <c r="BX96" s="115">
        <v>13.699999809265137</v>
      </c>
      <c r="BY96" s="115">
        <v>30</v>
      </c>
      <c r="BZ96" s="115">
        <v>19.930877685546875</v>
      </c>
      <c r="CA96" s="115">
        <v>19</v>
      </c>
      <c r="CB96" s="115">
        <v>29.374416351318359</v>
      </c>
      <c r="CC96" s="118"/>
      <c r="CD96" s="115">
        <v>397.42068481445313</v>
      </c>
      <c r="CE96" s="115">
        <v>46.449150085449219</v>
      </c>
      <c r="CF96" s="115">
        <v>26.823371887207031</v>
      </c>
      <c r="CG96" s="115">
        <v>35.338191986083984</v>
      </c>
      <c r="CH96" s="115">
        <v>301.7196044921875</v>
      </c>
      <c r="CI96" s="115">
        <v>97.763595581054688</v>
      </c>
      <c r="CJ96" s="115">
        <v>44.296707153320313</v>
      </c>
      <c r="CK96" s="115">
        <v>56.524791717529297</v>
      </c>
      <c r="CL96" s="116">
        <v>40.259666442871094</v>
      </c>
      <c r="CM96" s="117">
        <v>254.44735717773438</v>
      </c>
      <c r="CN96" s="115">
        <v>79.402793884277344</v>
      </c>
      <c r="CO96" s="115">
        <v>87.084678649902344</v>
      </c>
      <c r="CP96" s="115">
        <v>81.924308776855469</v>
      </c>
      <c r="CQ96" s="115">
        <v>0</v>
      </c>
      <c r="CR96" s="115">
        <v>54.9757080078125</v>
      </c>
      <c r="CS96" s="115">
        <v>10.055373191833496</v>
      </c>
      <c r="CT96" s="115">
        <v>44.223285675048828</v>
      </c>
      <c r="CU96" s="115">
        <v>56.167228698730469</v>
      </c>
      <c r="CV96" s="116">
        <v>86.259361267089844</v>
      </c>
      <c r="CW96" s="117">
        <v>6</v>
      </c>
      <c r="CX96" s="115">
        <v>420</v>
      </c>
      <c r="CY96" s="115">
        <v>198.08592224121094</v>
      </c>
      <c r="CZ96" s="115">
        <v>59.828887939453125</v>
      </c>
      <c r="DA96" s="115">
        <v>21.839826583862305</v>
      </c>
      <c r="DB96" s="115">
        <v>37.4915771484375</v>
      </c>
      <c r="DC96" s="115">
        <v>85.905014038085938</v>
      </c>
      <c r="DD96" s="115">
        <v>106</v>
      </c>
      <c r="DE96" s="115">
        <v>186</v>
      </c>
      <c r="DF96" s="115">
        <v>123.68289947509766</v>
      </c>
      <c r="DG96" s="115">
        <v>91.801116943359375</v>
      </c>
      <c r="DH96" s="115">
        <v>61.747428894042969</v>
      </c>
      <c r="DI96" s="120">
        <v>42.662002563476563</v>
      </c>
      <c r="DJ96" s="119">
        <v>240</v>
      </c>
      <c r="DK96" s="115">
        <v>142.50199890136719</v>
      </c>
      <c r="DL96" s="115">
        <v>27.368999481201172</v>
      </c>
      <c r="DM96" s="115">
        <v>57.431999206542969</v>
      </c>
      <c r="DN96" s="115">
        <v>53.721000671386719</v>
      </c>
      <c r="DO96" s="116">
        <v>112.25806427001953</v>
      </c>
      <c r="DP96" s="117">
        <v>16.454999923706055</v>
      </c>
      <c r="DQ96" s="115"/>
      <c r="DR96" s="117">
        <v>67</v>
      </c>
      <c r="DS96" s="120">
        <v>38.299999237060547</v>
      </c>
      <c r="DT96" s="119">
        <v>13</v>
      </c>
      <c r="DU96" s="115"/>
      <c r="DV96" s="115">
        <v>172</v>
      </c>
      <c r="DW96" s="115">
        <v>163.76927185058594</v>
      </c>
      <c r="DX96" s="117">
        <v>12</v>
      </c>
      <c r="DY96" s="120"/>
      <c r="DZ96" s="119">
        <v>47</v>
      </c>
      <c r="EA96" s="115">
        <v>3</v>
      </c>
      <c r="EB96" s="115">
        <v>0</v>
      </c>
      <c r="EC96" s="115">
        <v>1</v>
      </c>
      <c r="ED96" s="115">
        <v>298.70001220703125</v>
      </c>
      <c r="EE96" s="121">
        <v>51.128192901611328</v>
      </c>
      <c r="EF96" s="121">
        <v>52.455803553263344</v>
      </c>
      <c r="EG96" s="121">
        <v>55.324314626057941</v>
      </c>
      <c r="EH96" t="s">
        <v>85</v>
      </c>
    </row>
    <row r="97" spans="1:138" x14ac:dyDescent="0.3">
      <c r="A97" s="226">
        <f t="shared" si="6"/>
        <v>46020.064583333544</v>
      </c>
      <c r="B97" s="115">
        <v>280</v>
      </c>
      <c r="C97" s="115">
        <v>53.268001556396484</v>
      </c>
      <c r="D97" s="115">
        <v>99.525001525878906</v>
      </c>
      <c r="E97" s="115">
        <v>20.809000015258789</v>
      </c>
      <c r="F97" s="115">
        <v>41.775581359863281</v>
      </c>
      <c r="G97" s="116">
        <v>19.565000534057617</v>
      </c>
      <c r="H97" s="117">
        <v>326</v>
      </c>
      <c r="I97" s="115">
        <v>297</v>
      </c>
      <c r="J97" s="115">
        <v>67.518997192382813</v>
      </c>
      <c r="K97" s="115">
        <v>68.916923522949219</v>
      </c>
      <c r="L97" s="115">
        <v>46.828998565673828</v>
      </c>
      <c r="M97" s="115">
        <v>14.13700008392334</v>
      </c>
      <c r="N97" s="115">
        <v>17.684999465942383</v>
      </c>
      <c r="O97" s="115">
        <v>19</v>
      </c>
      <c r="P97" s="115">
        <v>0</v>
      </c>
      <c r="Q97" s="115">
        <v>19.923374176025391</v>
      </c>
      <c r="R97" s="115">
        <v>19.996875762939453</v>
      </c>
      <c r="S97" s="115">
        <v>19.354223251342773</v>
      </c>
      <c r="T97" s="115">
        <v>0</v>
      </c>
      <c r="U97" s="115">
        <v>0</v>
      </c>
      <c r="V97" s="117">
        <v>992</v>
      </c>
      <c r="W97" s="115">
        <v>31.530471801757813</v>
      </c>
      <c r="X97" s="115">
        <v>32.345001220703125</v>
      </c>
      <c r="Y97" s="115">
        <v>8.0150003433227539</v>
      </c>
      <c r="Z97" s="115">
        <v>0</v>
      </c>
      <c r="AA97" s="115">
        <v>25.559000015258789</v>
      </c>
      <c r="AB97" s="115">
        <v>0</v>
      </c>
      <c r="AC97" s="115">
        <v>60.138690948486328</v>
      </c>
      <c r="AD97" s="115">
        <v>6.1069998741149902</v>
      </c>
      <c r="AE97" s="115">
        <v>0</v>
      </c>
      <c r="AF97" s="115">
        <v>89.325363159179688</v>
      </c>
      <c r="AG97" s="115">
        <v>0</v>
      </c>
      <c r="AH97" s="115">
        <v>71.170799255371094</v>
      </c>
      <c r="AI97" s="115">
        <v>17.048999786376953</v>
      </c>
      <c r="AJ97" s="115">
        <v>27.805313110351563</v>
      </c>
      <c r="AK97" s="115">
        <v>46.166896820068359</v>
      </c>
      <c r="AL97" s="115">
        <v>57.608001708984375</v>
      </c>
      <c r="AM97" s="118">
        <v>56.110000610351563</v>
      </c>
      <c r="AN97" s="117">
        <v>132.3125</v>
      </c>
      <c r="AO97" s="119">
        <v>72</v>
      </c>
      <c r="AP97" s="115">
        <v>71.287857055664063</v>
      </c>
      <c r="AQ97" s="115">
        <v>45.536972045898438</v>
      </c>
      <c r="AR97" s="115">
        <v>83</v>
      </c>
      <c r="AS97" s="115"/>
      <c r="AT97" s="115">
        <v>122</v>
      </c>
      <c r="AU97" s="115"/>
      <c r="AV97" s="115">
        <v>75</v>
      </c>
      <c r="AW97" s="115"/>
      <c r="AX97" s="115">
        <v>32</v>
      </c>
      <c r="AY97" s="115">
        <v>33.908462524414063</v>
      </c>
      <c r="AZ97" s="115">
        <v>19</v>
      </c>
      <c r="BA97" s="115"/>
      <c r="BB97" s="115">
        <v>302</v>
      </c>
      <c r="BC97" s="115">
        <v>309.170166015625</v>
      </c>
      <c r="BD97" s="115">
        <v>7.0999999046325684</v>
      </c>
      <c r="BE97" s="115">
        <v>7.1123523712158203</v>
      </c>
      <c r="BF97" s="115">
        <v>31</v>
      </c>
      <c r="BG97" s="115">
        <v>11</v>
      </c>
      <c r="BH97" s="115">
        <v>11.509150505065918</v>
      </c>
      <c r="BI97" s="115"/>
      <c r="BJ97" s="108">
        <f t="shared" si="4"/>
        <v>16</v>
      </c>
      <c r="BK97" s="115">
        <v>16</v>
      </c>
      <c r="BL97" s="115">
        <v>0</v>
      </c>
      <c r="BM97" s="118"/>
      <c r="BN97" s="108">
        <f t="shared" si="5"/>
        <v>123</v>
      </c>
      <c r="BO97" s="108">
        <v>74</v>
      </c>
      <c r="BP97" s="108">
        <v>49</v>
      </c>
      <c r="BQ97" s="108">
        <v>290</v>
      </c>
      <c r="BR97" s="115">
        <v>84.935997009277344</v>
      </c>
      <c r="BS97" s="115">
        <v>25.445999145507813</v>
      </c>
      <c r="BT97" s="115">
        <v>46.064998626708984</v>
      </c>
      <c r="BU97" s="115">
        <v>41.159999847412109</v>
      </c>
      <c r="BV97" s="115">
        <v>68.900001525878906</v>
      </c>
      <c r="BW97" s="115">
        <v>6.4000000953674316</v>
      </c>
      <c r="BX97" s="115">
        <v>13.899999618530273</v>
      </c>
      <c r="BY97" s="115">
        <v>27</v>
      </c>
      <c r="BZ97" s="115">
        <v>19.90302848815918</v>
      </c>
      <c r="CA97" s="115">
        <v>19</v>
      </c>
      <c r="CB97" s="115">
        <v>29.227617263793945</v>
      </c>
      <c r="CC97" s="118"/>
      <c r="CD97" s="115">
        <v>391.14596557617188</v>
      </c>
      <c r="CE97" s="115">
        <v>41.513927459716797</v>
      </c>
      <c r="CF97" s="115">
        <v>26.532257080078125</v>
      </c>
      <c r="CG97" s="115">
        <v>35.338191986083984</v>
      </c>
      <c r="CH97" s="115">
        <v>301.73895263671875</v>
      </c>
      <c r="CI97" s="115">
        <v>90.670341491699219</v>
      </c>
      <c r="CJ97" s="115">
        <v>41.900928497314453</v>
      </c>
      <c r="CK97" s="115">
        <v>54.423923492431641</v>
      </c>
      <c r="CL97" s="116">
        <v>40.715023040771484</v>
      </c>
      <c r="CM97" s="117">
        <v>254.54319763183594</v>
      </c>
      <c r="CN97" s="115">
        <v>79.68756103515625</v>
      </c>
      <c r="CO97" s="115">
        <v>87.703819274902344</v>
      </c>
      <c r="CP97" s="115">
        <v>82.053787231445313</v>
      </c>
      <c r="CQ97" s="115">
        <v>0</v>
      </c>
      <c r="CR97" s="115">
        <v>57.027557373046875</v>
      </c>
      <c r="CS97" s="115">
        <v>9.9140996932983398</v>
      </c>
      <c r="CT97" s="115">
        <v>44.565380096435547</v>
      </c>
      <c r="CU97" s="115">
        <v>57.399715423583984</v>
      </c>
      <c r="CV97" s="116">
        <v>82.090644836425781</v>
      </c>
      <c r="CW97" s="117">
        <v>4</v>
      </c>
      <c r="CX97" s="115">
        <v>420</v>
      </c>
      <c r="CY97" s="115">
        <v>197.34663391113281</v>
      </c>
      <c r="CZ97" s="115">
        <v>58.38958740234375</v>
      </c>
      <c r="DA97" s="115">
        <v>21.303577423095703</v>
      </c>
      <c r="DB97" s="115">
        <v>35.215457916259766</v>
      </c>
      <c r="DC97" s="115">
        <v>87.263984680175781</v>
      </c>
      <c r="DD97" s="115">
        <v>102</v>
      </c>
      <c r="DE97" s="115">
        <v>186</v>
      </c>
      <c r="DF97" s="115">
        <v>122.81588745117188</v>
      </c>
      <c r="DG97" s="115">
        <v>90.752365112304688</v>
      </c>
      <c r="DH97" s="115">
        <v>61.649311065673828</v>
      </c>
      <c r="DI97" s="120">
        <v>40.904815673828125</v>
      </c>
      <c r="DJ97" s="119">
        <v>223</v>
      </c>
      <c r="DK97" s="115">
        <v>122.14499664306641</v>
      </c>
      <c r="DL97" s="115">
        <v>27.820999145507813</v>
      </c>
      <c r="DM97" s="115">
        <v>42.410999298095703</v>
      </c>
      <c r="DN97" s="115">
        <v>52.484001159667969</v>
      </c>
      <c r="DO97" s="116">
        <v>112.21774291992188</v>
      </c>
      <c r="DP97" s="117">
        <v>16.256999969482422</v>
      </c>
      <c r="DQ97" s="115"/>
      <c r="DR97" s="117">
        <v>67</v>
      </c>
      <c r="DS97" s="120">
        <v>38.200000762939453</v>
      </c>
      <c r="DT97" s="119">
        <v>13</v>
      </c>
      <c r="DU97" s="115"/>
      <c r="DV97" s="115">
        <v>173</v>
      </c>
      <c r="DW97" s="115">
        <v>164.24252319335938</v>
      </c>
      <c r="DX97" s="117">
        <v>10</v>
      </c>
      <c r="DY97" s="120"/>
      <c r="DZ97" s="119">
        <v>47</v>
      </c>
      <c r="EA97" s="115">
        <v>3</v>
      </c>
      <c r="EB97" s="115">
        <v>0</v>
      </c>
      <c r="EC97" s="115">
        <v>1</v>
      </c>
      <c r="ED97" s="115">
        <v>297.89999389648438</v>
      </c>
      <c r="EE97" s="121">
        <v>0</v>
      </c>
      <c r="EF97" s="121">
        <v>0</v>
      </c>
      <c r="EG97" s="121">
        <v>0</v>
      </c>
      <c r="EH97" t="s">
        <v>86</v>
      </c>
    </row>
    <row r="98" spans="1:138" x14ac:dyDescent="0.3">
      <c r="A98" s="226">
        <f t="shared" si="6"/>
        <v>46020.065277777991</v>
      </c>
      <c r="B98" s="115">
        <v>280</v>
      </c>
      <c r="C98" s="115">
        <v>50.779998779296875</v>
      </c>
      <c r="D98" s="115">
        <v>99.63800048828125</v>
      </c>
      <c r="E98" s="115">
        <v>22.732000350952148</v>
      </c>
      <c r="F98" s="115">
        <v>37.621841430664063</v>
      </c>
      <c r="G98" s="116">
        <v>20.469999313354492</v>
      </c>
      <c r="H98" s="117">
        <v>330</v>
      </c>
      <c r="I98" s="115">
        <v>296</v>
      </c>
      <c r="J98" s="115">
        <v>70.346000671386719</v>
      </c>
      <c r="K98" s="115">
        <v>69.04144287109375</v>
      </c>
      <c r="L98" s="115">
        <v>47.712001800537109</v>
      </c>
      <c r="M98" s="115">
        <v>13.571000099182129</v>
      </c>
      <c r="N98" s="115">
        <v>16.47599983215332</v>
      </c>
      <c r="O98" s="115">
        <v>18</v>
      </c>
      <c r="P98" s="115">
        <v>0</v>
      </c>
      <c r="Q98" s="115">
        <v>19.308586120605469</v>
      </c>
      <c r="R98" s="115">
        <v>18</v>
      </c>
      <c r="S98" s="115">
        <v>18.528926849365234</v>
      </c>
      <c r="T98" s="115">
        <v>9</v>
      </c>
      <c r="U98" s="115">
        <v>9</v>
      </c>
      <c r="V98" s="117">
        <v>1000</v>
      </c>
      <c r="W98" s="115">
        <v>31.203008651733398</v>
      </c>
      <c r="X98" s="115">
        <v>33.137001037597656</v>
      </c>
      <c r="Y98" s="115">
        <v>7.379000186920166</v>
      </c>
      <c r="Z98" s="115">
        <v>0</v>
      </c>
      <c r="AA98" s="115">
        <v>26.804000854492188</v>
      </c>
      <c r="AB98" s="115">
        <v>0</v>
      </c>
      <c r="AC98" s="115">
        <v>60.007339477539063</v>
      </c>
      <c r="AD98" s="115">
        <v>6.1069998741149902</v>
      </c>
      <c r="AE98" s="115">
        <v>0</v>
      </c>
      <c r="AF98" s="115">
        <v>88.709861755371094</v>
      </c>
      <c r="AG98" s="115">
        <v>0</v>
      </c>
      <c r="AH98" s="115">
        <v>70.499153137207031</v>
      </c>
      <c r="AI98" s="115">
        <v>16.285999298095703</v>
      </c>
      <c r="AJ98" s="115">
        <v>25.460041046142578</v>
      </c>
      <c r="AK98" s="115">
        <v>45.211559295654297</v>
      </c>
      <c r="AL98" s="115">
        <v>57.784999847412109</v>
      </c>
      <c r="AM98" s="118">
        <v>60.626998901367188</v>
      </c>
      <c r="AN98" s="117">
        <v>137</v>
      </c>
      <c r="AO98" s="119">
        <v>73</v>
      </c>
      <c r="AP98" s="115">
        <v>71.803916931152344</v>
      </c>
      <c r="AQ98" s="115">
        <v>45.127384185791016</v>
      </c>
      <c r="AR98" s="115">
        <v>83</v>
      </c>
      <c r="AS98" s="115"/>
      <c r="AT98" s="115">
        <v>122</v>
      </c>
      <c r="AU98" s="115"/>
      <c r="AV98" s="115">
        <v>84</v>
      </c>
      <c r="AW98" s="115"/>
      <c r="AX98" s="115">
        <v>33</v>
      </c>
      <c r="AY98" s="115">
        <v>33.963424682617188</v>
      </c>
      <c r="AZ98" s="115">
        <v>21</v>
      </c>
      <c r="BA98" s="115"/>
      <c r="BB98" s="115">
        <v>302</v>
      </c>
      <c r="BC98" s="115">
        <v>303.94012451171875</v>
      </c>
      <c r="BD98" s="115">
        <v>7.0999999046325684</v>
      </c>
      <c r="BE98" s="115">
        <v>7.1053376197814941</v>
      </c>
      <c r="BF98" s="115">
        <v>30</v>
      </c>
      <c r="BG98" s="115">
        <v>11</v>
      </c>
      <c r="BH98" s="115">
        <v>11.493088722229004</v>
      </c>
      <c r="BI98" s="115"/>
      <c r="BJ98" s="108">
        <f t="shared" si="4"/>
        <v>16</v>
      </c>
      <c r="BK98" s="115">
        <v>16</v>
      </c>
      <c r="BL98" s="115">
        <v>0</v>
      </c>
      <c r="BM98" s="118"/>
      <c r="BN98" s="108">
        <f t="shared" si="5"/>
        <v>123</v>
      </c>
      <c r="BO98" s="108">
        <v>74</v>
      </c>
      <c r="BP98" s="108">
        <v>49</v>
      </c>
      <c r="BQ98" s="108">
        <v>296</v>
      </c>
      <c r="BR98" s="115">
        <v>87.875999450683594</v>
      </c>
      <c r="BS98" s="115">
        <v>25.701000213623047</v>
      </c>
      <c r="BT98" s="115">
        <v>45.0260009765625</v>
      </c>
      <c r="BU98" s="115">
        <v>40.333000183105469</v>
      </c>
      <c r="BV98" s="115">
        <v>69.400001525878906</v>
      </c>
      <c r="BW98" s="115">
        <v>6.4000000953674316</v>
      </c>
      <c r="BX98" s="115">
        <v>13.800000190734863</v>
      </c>
      <c r="BY98" s="115">
        <v>28</v>
      </c>
      <c r="BZ98" s="115">
        <v>19.890045166015625</v>
      </c>
      <c r="CA98" s="115">
        <v>19</v>
      </c>
      <c r="CB98" s="115">
        <v>29.351385116577148</v>
      </c>
      <c r="CC98" s="118"/>
      <c r="CD98" s="115">
        <v>392.76080322265625</v>
      </c>
      <c r="CE98" s="115">
        <v>40.143360137939453</v>
      </c>
      <c r="CF98" s="115">
        <v>26.871400833129883</v>
      </c>
      <c r="CG98" s="115">
        <v>35.338191986083984</v>
      </c>
      <c r="CH98" s="115">
        <v>301.5919189453125</v>
      </c>
      <c r="CI98" s="115">
        <v>94.527435302734375</v>
      </c>
      <c r="CJ98" s="115">
        <v>44.033927917480469</v>
      </c>
      <c r="CK98" s="115">
        <v>55.181045532226563</v>
      </c>
      <c r="CL98" s="116">
        <v>40.946872711181641</v>
      </c>
      <c r="CM98" s="117">
        <v>254.04449462890625</v>
      </c>
      <c r="CN98" s="115">
        <v>79.607749938964844</v>
      </c>
      <c r="CO98" s="115">
        <v>88.222923278808594</v>
      </c>
      <c r="CP98" s="115">
        <v>81.713371276855469</v>
      </c>
      <c r="CQ98" s="115">
        <v>0</v>
      </c>
      <c r="CR98" s="115">
        <v>57.330741882324219</v>
      </c>
      <c r="CS98" s="115">
        <v>9.9014902114868164</v>
      </c>
      <c r="CT98" s="115">
        <v>43.256404876708984</v>
      </c>
      <c r="CU98" s="115">
        <v>57.745792388916016</v>
      </c>
      <c r="CV98" s="116">
        <v>77.826736450195313</v>
      </c>
      <c r="CW98" s="117">
        <v>3</v>
      </c>
      <c r="CX98" s="115">
        <v>414</v>
      </c>
      <c r="CY98" s="115">
        <v>200.34135437011719</v>
      </c>
      <c r="CZ98" s="115">
        <v>55.651004791259766</v>
      </c>
      <c r="DA98" s="115">
        <v>21.731916427612305</v>
      </c>
      <c r="DB98" s="115">
        <v>36.208911895751953</v>
      </c>
      <c r="DC98" s="115">
        <v>86.89495849609375</v>
      </c>
      <c r="DD98" s="115">
        <v>89</v>
      </c>
      <c r="DE98" s="115">
        <v>188</v>
      </c>
      <c r="DF98" s="115">
        <v>122.388427734375</v>
      </c>
      <c r="DG98" s="115">
        <v>90.882522583007813</v>
      </c>
      <c r="DH98" s="115">
        <v>62.276477813720703</v>
      </c>
      <c r="DI98" s="120">
        <v>40.757045745849609</v>
      </c>
      <c r="DJ98" s="119">
        <v>226</v>
      </c>
      <c r="DK98" s="115">
        <v>125.4530029296875</v>
      </c>
      <c r="DL98" s="115">
        <v>28.613000869750977</v>
      </c>
      <c r="DM98" s="115">
        <v>41.703998565673828</v>
      </c>
      <c r="DN98" s="115">
        <v>53.191001892089844</v>
      </c>
      <c r="DO98" s="116">
        <v>111.53224182128906</v>
      </c>
      <c r="DP98" s="117">
        <v>16.031000137329102</v>
      </c>
      <c r="DQ98" s="115"/>
      <c r="DR98" s="117">
        <v>67</v>
      </c>
      <c r="DS98" s="120">
        <v>37.200000762939453</v>
      </c>
      <c r="DT98" s="119">
        <v>13</v>
      </c>
      <c r="DU98" s="115"/>
      <c r="DV98" s="115">
        <v>174</v>
      </c>
      <c r="DW98" s="115">
        <v>164.28842163085938</v>
      </c>
      <c r="DX98" s="117">
        <v>11</v>
      </c>
      <c r="DY98" s="120"/>
      <c r="DZ98" s="119">
        <v>47</v>
      </c>
      <c r="EA98" s="115">
        <v>3</v>
      </c>
      <c r="EB98" s="115">
        <v>0</v>
      </c>
      <c r="EC98" s="115">
        <v>1</v>
      </c>
      <c r="ED98" s="115">
        <v>297.20001220703125</v>
      </c>
      <c r="EE98" s="121">
        <v>46.165599822998047</v>
      </c>
      <c r="EF98" s="121">
        <v>46.668845494588219</v>
      </c>
      <c r="EG98" s="121">
        <v>48.088500849405925</v>
      </c>
      <c r="EH98" t="s">
        <v>269</v>
      </c>
    </row>
    <row r="99" spans="1:138" x14ac:dyDescent="0.3">
      <c r="A99" s="226">
        <f t="shared" si="6"/>
        <v>46020.065972222437</v>
      </c>
      <c r="B99" s="115">
        <v>281</v>
      </c>
      <c r="C99" s="115">
        <v>49.535999298095703</v>
      </c>
      <c r="D99" s="115">
        <v>99.863998413085938</v>
      </c>
      <c r="E99" s="115">
        <v>22.280000686645508</v>
      </c>
      <c r="F99" s="115">
        <v>39.871334075927734</v>
      </c>
      <c r="G99" s="116">
        <v>18.886999130249023</v>
      </c>
      <c r="H99" s="117">
        <v>326</v>
      </c>
      <c r="I99" s="115">
        <v>295</v>
      </c>
      <c r="J99" s="115">
        <v>68.536003112792969</v>
      </c>
      <c r="K99" s="115">
        <v>69.108840942382813</v>
      </c>
      <c r="L99" s="115">
        <v>46.298999786376953</v>
      </c>
      <c r="M99" s="115">
        <v>14.02400016784668</v>
      </c>
      <c r="N99" s="115">
        <v>16.985000610351563</v>
      </c>
      <c r="O99" s="115">
        <v>18</v>
      </c>
      <c r="P99" s="115">
        <v>0</v>
      </c>
      <c r="Q99" s="115">
        <v>18.027509689331055</v>
      </c>
      <c r="R99" s="115">
        <v>19.003124237060547</v>
      </c>
      <c r="S99" s="115">
        <v>19.183969497680664</v>
      </c>
      <c r="T99" s="115">
        <v>9</v>
      </c>
      <c r="U99" s="115">
        <v>9</v>
      </c>
      <c r="V99" s="117">
        <v>984</v>
      </c>
      <c r="W99" s="115">
        <v>30.90498161315918</v>
      </c>
      <c r="X99" s="115">
        <v>32.910999298095703</v>
      </c>
      <c r="Y99" s="115">
        <v>6.9970002174377441</v>
      </c>
      <c r="Z99" s="115">
        <v>0</v>
      </c>
      <c r="AA99" s="115">
        <v>24.541999816894531</v>
      </c>
      <c r="AB99" s="115">
        <v>0</v>
      </c>
      <c r="AC99" s="115">
        <v>60.669334411621094</v>
      </c>
      <c r="AD99" s="115">
        <v>6.1069998741149902</v>
      </c>
      <c r="AE99" s="115">
        <v>0</v>
      </c>
      <c r="AF99" s="115">
        <v>90.666862487792969</v>
      </c>
      <c r="AG99" s="115">
        <v>0</v>
      </c>
      <c r="AH99" s="115">
        <v>73.606292724609375</v>
      </c>
      <c r="AI99" s="115">
        <v>16.031000137329102</v>
      </c>
      <c r="AJ99" s="115">
        <v>24.25628662109375</v>
      </c>
      <c r="AK99" s="115">
        <v>45.70953369140625</v>
      </c>
      <c r="AL99" s="115">
        <v>56.370998382568359</v>
      </c>
      <c r="AM99" s="118">
        <v>58.082000732421875</v>
      </c>
      <c r="AN99" s="117">
        <v>137</v>
      </c>
      <c r="AO99" s="119">
        <v>73</v>
      </c>
      <c r="AP99" s="115">
        <v>73.3673095703125</v>
      </c>
      <c r="AQ99" s="115">
        <v>46.734210968017578</v>
      </c>
      <c r="AR99" s="115">
        <v>83</v>
      </c>
      <c r="AS99" s="115"/>
      <c r="AT99" s="115">
        <v>122</v>
      </c>
      <c r="AU99" s="115"/>
      <c r="AV99" s="115">
        <v>83</v>
      </c>
      <c r="AW99" s="115"/>
      <c r="AX99" s="115">
        <v>32</v>
      </c>
      <c r="AY99" s="115">
        <v>33.963424682617188</v>
      </c>
      <c r="AZ99" s="115">
        <v>20</v>
      </c>
      <c r="BA99" s="115"/>
      <c r="BB99" s="115">
        <v>302</v>
      </c>
      <c r="BC99" s="115">
        <v>303.30838012695313</v>
      </c>
      <c r="BD99" s="115">
        <v>7.0999999046325684</v>
      </c>
      <c r="BE99" s="115">
        <v>7.1004457473754883</v>
      </c>
      <c r="BF99" s="115">
        <v>30</v>
      </c>
      <c r="BG99" s="115">
        <v>11</v>
      </c>
      <c r="BH99" s="115">
        <v>11.425060272216797</v>
      </c>
      <c r="BI99" s="115"/>
      <c r="BJ99" s="108">
        <f t="shared" si="4"/>
        <v>17</v>
      </c>
      <c r="BK99" s="115">
        <v>17</v>
      </c>
      <c r="BL99" s="115">
        <v>0</v>
      </c>
      <c r="BM99" s="118"/>
      <c r="BN99" s="108">
        <f t="shared" si="5"/>
        <v>123</v>
      </c>
      <c r="BO99" s="108">
        <v>74</v>
      </c>
      <c r="BP99" s="108">
        <v>49</v>
      </c>
      <c r="BQ99" s="108">
        <v>297</v>
      </c>
      <c r="BR99" s="115">
        <v>89.685997009277344</v>
      </c>
      <c r="BS99" s="115">
        <v>26.464000701904297</v>
      </c>
      <c r="BT99" s="115">
        <v>45.373001098632813</v>
      </c>
      <c r="BU99" s="115">
        <v>40.777999877929688</v>
      </c>
      <c r="BV99" s="115">
        <v>69.599998474121094</v>
      </c>
      <c r="BW99" s="115">
        <v>6.4000000953674316</v>
      </c>
      <c r="BX99" s="115">
        <v>13.800000190734863</v>
      </c>
      <c r="BY99" s="115">
        <v>28</v>
      </c>
      <c r="BZ99" s="115">
        <v>19.898515701293945</v>
      </c>
      <c r="CA99" s="115">
        <v>19</v>
      </c>
      <c r="CB99" s="115">
        <v>29.49675178527832</v>
      </c>
      <c r="CC99" s="118"/>
      <c r="CD99" s="115">
        <v>396.24020385742188</v>
      </c>
      <c r="CE99" s="115">
        <v>40.560337066650391</v>
      </c>
      <c r="CF99" s="115">
        <v>27.532232284545898</v>
      </c>
      <c r="CG99" s="115">
        <v>35.338191986083984</v>
      </c>
      <c r="CH99" s="115">
        <v>300.9747314453125</v>
      </c>
      <c r="CI99" s="115">
        <v>95.612037658691406</v>
      </c>
      <c r="CJ99" s="115">
        <v>44.684726715087891</v>
      </c>
      <c r="CK99" s="115">
        <v>54.295413970947266</v>
      </c>
      <c r="CL99" s="116">
        <v>40.191947937011719</v>
      </c>
      <c r="CM99" s="117">
        <v>251.33427429199219</v>
      </c>
      <c r="CN99" s="115">
        <v>81.665756225585938</v>
      </c>
      <c r="CO99" s="115">
        <v>87.260528564453125</v>
      </c>
      <c r="CP99" s="115">
        <v>78.256515502929688</v>
      </c>
      <c r="CQ99" s="115">
        <v>0</v>
      </c>
      <c r="CR99" s="115">
        <v>58.345195770263672</v>
      </c>
      <c r="CS99" s="115">
        <v>9.9561014175415039</v>
      </c>
      <c r="CT99" s="115">
        <v>40.819854736328125</v>
      </c>
      <c r="CU99" s="115">
        <v>58.430595397949219</v>
      </c>
      <c r="CV99" s="116">
        <v>75.589706420898438</v>
      </c>
      <c r="CW99" s="117">
        <v>3</v>
      </c>
      <c r="CX99" s="115">
        <v>415</v>
      </c>
      <c r="CY99" s="115">
        <v>196.67620849609375</v>
      </c>
      <c r="CZ99" s="115">
        <v>56.563804626464844</v>
      </c>
      <c r="DA99" s="115">
        <v>21.664342880249023</v>
      </c>
      <c r="DB99" s="115">
        <v>35.41949462890625</v>
      </c>
      <c r="DC99" s="115">
        <v>89.216033935546875</v>
      </c>
      <c r="DD99" s="115">
        <v>100</v>
      </c>
      <c r="DE99" s="115">
        <v>189</v>
      </c>
      <c r="DF99" s="115">
        <v>123.51372528076172</v>
      </c>
      <c r="DG99" s="115">
        <v>88.235893249511719</v>
      </c>
      <c r="DH99" s="115">
        <v>60.933731079101563</v>
      </c>
      <c r="DI99" s="120">
        <v>42.707004547119141</v>
      </c>
      <c r="DJ99" s="119">
        <v>226</v>
      </c>
      <c r="DK99" s="115">
        <v>126.21600341796875</v>
      </c>
      <c r="DL99" s="115">
        <v>27.482000350952148</v>
      </c>
      <c r="DM99" s="115">
        <v>42.588001251220703</v>
      </c>
      <c r="DN99" s="115">
        <v>54.074001312255859</v>
      </c>
      <c r="DO99" s="116">
        <v>111.49716949462891</v>
      </c>
      <c r="DP99" s="117">
        <v>16.08799934387207</v>
      </c>
      <c r="DQ99" s="115"/>
      <c r="DR99" s="117">
        <v>67</v>
      </c>
      <c r="DS99" s="120">
        <v>36.900001525878906</v>
      </c>
      <c r="DT99" s="119">
        <v>13</v>
      </c>
      <c r="DU99" s="115"/>
      <c r="DV99" s="115">
        <v>175</v>
      </c>
      <c r="DW99" s="115">
        <v>163.968505859375</v>
      </c>
      <c r="DX99" s="117">
        <v>11</v>
      </c>
      <c r="DY99" s="120"/>
      <c r="DZ99" s="119">
        <v>47</v>
      </c>
      <c r="EA99" s="115">
        <v>3</v>
      </c>
      <c r="EB99" s="115">
        <v>0</v>
      </c>
      <c r="EC99" s="115">
        <v>1</v>
      </c>
      <c r="ED99" s="115">
        <v>297.39999389648438</v>
      </c>
      <c r="EE99" s="121">
        <v>6.9291858673095703</v>
      </c>
      <c r="EF99" s="121">
        <v>7.2354826927185059</v>
      </c>
      <c r="EG99" s="121">
        <v>7.9165302832921345</v>
      </c>
      <c r="EH99" t="s">
        <v>80</v>
      </c>
    </row>
    <row r="100" spans="1:138" x14ac:dyDescent="0.3">
      <c r="A100" s="226">
        <f t="shared" si="6"/>
        <v>46020.066666666884</v>
      </c>
      <c r="B100" s="115">
        <v>281</v>
      </c>
      <c r="C100" s="115">
        <v>48.858001708984375</v>
      </c>
      <c r="D100" s="115">
        <v>100.09100341796875</v>
      </c>
      <c r="E100" s="115">
        <v>23.636999130249023</v>
      </c>
      <c r="F100" s="115">
        <v>40.49517822265625</v>
      </c>
      <c r="G100" s="116">
        <v>19.451999664306641</v>
      </c>
      <c r="H100" s="117">
        <v>326</v>
      </c>
      <c r="I100" s="115">
        <v>295</v>
      </c>
      <c r="J100" s="115">
        <v>67.518997192382813</v>
      </c>
      <c r="K100" s="115">
        <v>69.1126708984375</v>
      </c>
      <c r="L100" s="115">
        <v>46.298999786376953</v>
      </c>
      <c r="M100" s="115">
        <v>13.796999931335449</v>
      </c>
      <c r="N100" s="115">
        <v>16.794000625610352</v>
      </c>
      <c r="O100" s="115">
        <v>18</v>
      </c>
      <c r="P100" s="115">
        <v>0</v>
      </c>
      <c r="Q100" s="115">
        <v>18.458028793334961</v>
      </c>
      <c r="R100" s="115">
        <v>19.003124237060547</v>
      </c>
      <c r="S100" s="115">
        <v>19.102443695068359</v>
      </c>
      <c r="T100" s="115">
        <v>9</v>
      </c>
      <c r="U100" s="115">
        <v>9</v>
      </c>
      <c r="V100" s="117">
        <v>983</v>
      </c>
      <c r="W100" s="115">
        <v>31.131780624389648</v>
      </c>
      <c r="X100" s="115">
        <v>32.685001373291016</v>
      </c>
      <c r="Y100" s="115">
        <v>7.2519998550415039</v>
      </c>
      <c r="Z100" s="115">
        <v>0</v>
      </c>
      <c r="AA100" s="115">
        <v>26.804000854492188</v>
      </c>
      <c r="AB100" s="115">
        <v>0</v>
      </c>
      <c r="AC100" s="115">
        <v>61.481712341308594</v>
      </c>
      <c r="AD100" s="115">
        <v>6.1069998741149902</v>
      </c>
      <c r="AE100" s="115">
        <v>0</v>
      </c>
      <c r="AF100" s="115">
        <v>92.289077758789063</v>
      </c>
      <c r="AG100" s="115">
        <v>0</v>
      </c>
      <c r="AH100" s="115">
        <v>72.112220764160156</v>
      </c>
      <c r="AI100" s="115">
        <v>15.777000427246094</v>
      </c>
      <c r="AJ100" s="115">
        <v>24.384450912475586</v>
      </c>
      <c r="AK100" s="115">
        <v>45.961246490478516</v>
      </c>
      <c r="AL100" s="115">
        <v>55.665000915527344</v>
      </c>
      <c r="AM100" s="118">
        <v>56.873001098632813</v>
      </c>
      <c r="AN100" s="117">
        <v>136.75</v>
      </c>
      <c r="AO100" s="119">
        <v>74</v>
      </c>
      <c r="AP100" s="115">
        <v>73.047172546386719</v>
      </c>
      <c r="AQ100" s="115">
        <v>46.947219848632813</v>
      </c>
      <c r="AR100" s="115">
        <v>87</v>
      </c>
      <c r="AS100" s="115"/>
      <c r="AT100" s="115">
        <v>122</v>
      </c>
      <c r="AU100" s="115"/>
      <c r="AV100" s="115">
        <v>83</v>
      </c>
      <c r="AW100" s="115"/>
      <c r="AX100" s="115">
        <v>33</v>
      </c>
      <c r="AY100" s="115">
        <v>35.445072174072266</v>
      </c>
      <c r="AZ100" s="115">
        <v>20</v>
      </c>
      <c r="BA100" s="115"/>
      <c r="BB100" s="115">
        <v>304</v>
      </c>
      <c r="BC100" s="115">
        <v>304.29940795898438</v>
      </c>
      <c r="BD100" s="115">
        <v>6.9000000953674316</v>
      </c>
      <c r="BE100" s="115">
        <v>7.0598254203796387</v>
      </c>
      <c r="BF100" s="115">
        <v>29</v>
      </c>
      <c r="BG100" s="115">
        <v>11</v>
      </c>
      <c r="BH100" s="115">
        <v>11.425060272216797</v>
      </c>
      <c r="BI100" s="115"/>
      <c r="BJ100" s="108">
        <f t="shared" si="4"/>
        <v>17</v>
      </c>
      <c r="BK100" s="115">
        <v>17</v>
      </c>
      <c r="BL100" s="115">
        <v>0</v>
      </c>
      <c r="BM100" s="118"/>
      <c r="BN100" s="108">
        <f t="shared" si="5"/>
        <v>123</v>
      </c>
      <c r="BO100" s="108">
        <v>74</v>
      </c>
      <c r="BP100" s="108">
        <v>49</v>
      </c>
      <c r="BQ100" s="108">
        <v>302</v>
      </c>
      <c r="BR100" s="115">
        <v>87.650001525878906</v>
      </c>
      <c r="BS100" s="115">
        <v>26.972999572753906</v>
      </c>
      <c r="BT100" s="115">
        <v>42.602001190185547</v>
      </c>
      <c r="BU100" s="115">
        <v>41.478000640869141</v>
      </c>
      <c r="BV100" s="115">
        <v>69.099998474121094</v>
      </c>
      <c r="BW100" s="115">
        <v>6.3000001907348633</v>
      </c>
      <c r="BX100" s="115">
        <v>13.699999809265137</v>
      </c>
      <c r="BY100" s="115">
        <v>29</v>
      </c>
      <c r="BZ100" s="115">
        <v>19.890682220458984</v>
      </c>
      <c r="CA100" s="115">
        <v>19</v>
      </c>
      <c r="CB100" s="115">
        <v>29.49675178527832</v>
      </c>
      <c r="CC100" s="118"/>
      <c r="CD100" s="115">
        <v>416.34573364257813</v>
      </c>
      <c r="CE100" s="115">
        <v>69.377861022949219</v>
      </c>
      <c r="CF100" s="115">
        <v>26.671072006225586</v>
      </c>
      <c r="CG100" s="115">
        <v>35.338191986083984</v>
      </c>
      <c r="CH100" s="115">
        <v>299.9793701171875</v>
      </c>
      <c r="CI100" s="115">
        <v>91.840736389160156</v>
      </c>
      <c r="CJ100" s="115">
        <v>41.577915191650391</v>
      </c>
      <c r="CK100" s="115">
        <v>53.825580596923828</v>
      </c>
      <c r="CL100" s="116">
        <v>39.682765960693359</v>
      </c>
      <c r="CM100" s="117">
        <v>251.63014221191406</v>
      </c>
      <c r="CN100" s="115">
        <v>78.479736328125</v>
      </c>
      <c r="CO100" s="115">
        <v>88.618637084960938</v>
      </c>
      <c r="CP100" s="115">
        <v>79.675285339355469</v>
      </c>
      <c r="CQ100" s="115">
        <v>0</v>
      </c>
      <c r="CR100" s="115">
        <v>59.804706573486328</v>
      </c>
      <c r="CS100" s="115">
        <v>11.001983642578125</v>
      </c>
      <c r="CT100" s="115">
        <v>41.200973510742188</v>
      </c>
      <c r="CU100" s="115">
        <v>59.140918731689453</v>
      </c>
      <c r="CV100" s="116">
        <v>76.780937194824219</v>
      </c>
      <c r="CW100" s="117">
        <v>3</v>
      </c>
      <c r="CX100" s="115">
        <v>415</v>
      </c>
      <c r="CY100" s="115">
        <v>194.92237854003906</v>
      </c>
      <c r="CZ100" s="115">
        <v>56.80511474609375</v>
      </c>
      <c r="DA100" s="115">
        <v>20.901670455932617</v>
      </c>
      <c r="DB100" s="115">
        <v>35.778041839599609</v>
      </c>
      <c r="DC100" s="115">
        <v>87.130630493164063</v>
      </c>
      <c r="DD100" s="115">
        <v>99</v>
      </c>
      <c r="DE100" s="115">
        <v>187</v>
      </c>
      <c r="DF100" s="115">
        <v>123.52452087402344</v>
      </c>
      <c r="DG100" s="115">
        <v>87.487937927246094</v>
      </c>
      <c r="DH100" s="115">
        <v>60.082347869873047</v>
      </c>
      <c r="DI100" s="120">
        <v>42.423770904541016</v>
      </c>
      <c r="DJ100" s="119">
        <v>225</v>
      </c>
      <c r="DK100" s="115">
        <v>123.16300201416016</v>
      </c>
      <c r="DL100" s="115">
        <v>25.89900016784668</v>
      </c>
      <c r="DM100" s="115">
        <v>42.057998657226563</v>
      </c>
      <c r="DN100" s="115">
        <v>53.367000579833984</v>
      </c>
      <c r="DO100" s="116">
        <v>111.75200653076172</v>
      </c>
      <c r="DP100" s="117">
        <v>16.738000869750977</v>
      </c>
      <c r="DQ100" s="115"/>
      <c r="DR100" s="117">
        <v>67</v>
      </c>
      <c r="DS100" s="120">
        <v>35.900001525878906</v>
      </c>
      <c r="DT100" s="119">
        <v>13</v>
      </c>
      <c r="DU100" s="115"/>
      <c r="DV100" s="115">
        <v>173</v>
      </c>
      <c r="DW100" s="115">
        <v>164.54315185546875</v>
      </c>
      <c r="DX100" s="117">
        <v>10</v>
      </c>
      <c r="DY100" s="120"/>
      <c r="DZ100" s="119">
        <v>47</v>
      </c>
      <c r="EA100" s="115">
        <v>3</v>
      </c>
      <c r="EB100" s="115">
        <v>0</v>
      </c>
      <c r="EC100" s="115">
        <v>1</v>
      </c>
      <c r="ED100" s="115">
        <v>296.60000610351563</v>
      </c>
      <c r="EE100" s="121">
        <v>25.689416885375977</v>
      </c>
      <c r="EF100" s="121">
        <v>27.443450609842937</v>
      </c>
      <c r="EG100" s="121">
        <v>29.929259618123371</v>
      </c>
      <c r="EH100" t="s">
        <v>81</v>
      </c>
    </row>
    <row r="101" spans="1:138" x14ac:dyDescent="0.3">
      <c r="A101" s="226">
        <f t="shared" si="6"/>
        <v>46020.067361111331</v>
      </c>
      <c r="B101" s="115">
        <v>286</v>
      </c>
      <c r="C101" s="115">
        <v>56.660999298095703</v>
      </c>
      <c r="D101" s="115">
        <v>100.54299926757813</v>
      </c>
      <c r="E101" s="115">
        <v>19.565000534057617</v>
      </c>
      <c r="F101" s="115">
        <v>40.546894073486328</v>
      </c>
      <c r="G101" s="116">
        <v>20.131000518798828</v>
      </c>
      <c r="H101" s="117">
        <v>322</v>
      </c>
      <c r="I101" s="115">
        <v>297</v>
      </c>
      <c r="J101" s="115">
        <v>67.291999816894531</v>
      </c>
      <c r="K101" s="115">
        <v>67.926116943359375</v>
      </c>
      <c r="L101" s="115">
        <v>44.708000183105469</v>
      </c>
      <c r="M101" s="115">
        <v>13.571000099182129</v>
      </c>
      <c r="N101" s="115">
        <v>17.430999755859375</v>
      </c>
      <c r="O101" s="115">
        <v>20</v>
      </c>
      <c r="P101" s="115">
        <v>0</v>
      </c>
      <c r="Q101" s="115">
        <v>20.563230514526367</v>
      </c>
      <c r="R101" s="115">
        <v>18</v>
      </c>
      <c r="S101" s="115">
        <v>17.183719635009766</v>
      </c>
      <c r="T101" s="115">
        <v>9</v>
      </c>
      <c r="U101" s="115">
        <v>9</v>
      </c>
      <c r="V101" s="117">
        <v>982</v>
      </c>
      <c r="W101" s="115">
        <v>31.595914840698242</v>
      </c>
      <c r="X101" s="115">
        <v>32.231998443603516</v>
      </c>
      <c r="Y101" s="115">
        <v>7.570000171661377</v>
      </c>
      <c r="Z101" s="115">
        <v>0</v>
      </c>
      <c r="AA101" s="115">
        <v>26.916999816894531</v>
      </c>
      <c r="AB101" s="115">
        <v>0</v>
      </c>
      <c r="AC101" s="115">
        <v>60.145526885986328</v>
      </c>
      <c r="AD101" s="115">
        <v>6.1069998741149902</v>
      </c>
      <c r="AE101" s="115">
        <v>0</v>
      </c>
      <c r="AF101" s="115">
        <v>89.38824462890625</v>
      </c>
      <c r="AG101" s="115">
        <v>0</v>
      </c>
      <c r="AH101" s="115">
        <v>72.939140319824219</v>
      </c>
      <c r="AI101" s="115">
        <v>15.331000328063965</v>
      </c>
      <c r="AJ101" s="115">
        <v>23.339591979980469</v>
      </c>
      <c r="AK101" s="115">
        <v>46.047489166259766</v>
      </c>
      <c r="AL101" s="115">
        <v>55.487998962402344</v>
      </c>
      <c r="AM101" s="118">
        <v>56.173999786376953</v>
      </c>
      <c r="AN101" s="117">
        <v>135</v>
      </c>
      <c r="AO101" s="119">
        <v>73</v>
      </c>
      <c r="AP101" s="115">
        <v>72.374954223632813</v>
      </c>
      <c r="AQ101" s="115">
        <v>44.666271209716797</v>
      </c>
      <c r="AR101" s="115">
        <v>82</v>
      </c>
      <c r="AS101" s="115"/>
      <c r="AT101" s="115">
        <v>122</v>
      </c>
      <c r="AU101" s="115"/>
      <c r="AV101" s="115">
        <v>76</v>
      </c>
      <c r="AW101" s="115"/>
      <c r="AX101" s="115">
        <v>32</v>
      </c>
      <c r="AY101" s="115">
        <v>33.855602264404297</v>
      </c>
      <c r="AZ101" s="115">
        <v>19</v>
      </c>
      <c r="BA101" s="115"/>
      <c r="BB101" s="115">
        <v>305</v>
      </c>
      <c r="BC101" s="115">
        <v>304.29940795898438</v>
      </c>
      <c r="BD101" s="115">
        <v>6.9000000953674316</v>
      </c>
      <c r="BE101" s="115">
        <v>7.0119996070861816</v>
      </c>
      <c r="BF101" s="115">
        <v>29</v>
      </c>
      <c r="BG101" s="115">
        <v>11</v>
      </c>
      <c r="BH101" s="115">
        <v>11.755953788757324</v>
      </c>
      <c r="BI101" s="115"/>
      <c r="BJ101" s="108">
        <f t="shared" si="4"/>
        <v>17</v>
      </c>
      <c r="BK101" s="115">
        <v>17</v>
      </c>
      <c r="BL101" s="115">
        <v>0</v>
      </c>
      <c r="BM101" s="118"/>
      <c r="BN101" s="108">
        <f t="shared" si="5"/>
        <v>124</v>
      </c>
      <c r="BO101" s="108">
        <v>75</v>
      </c>
      <c r="BP101" s="108">
        <v>49</v>
      </c>
      <c r="BQ101" s="108">
        <v>295</v>
      </c>
      <c r="BR101" s="115">
        <v>87.650001525878906</v>
      </c>
      <c r="BS101" s="115">
        <v>24.173999786376953</v>
      </c>
      <c r="BT101" s="115">
        <v>43.294998168945313</v>
      </c>
      <c r="BU101" s="115">
        <v>41.222999572753906</v>
      </c>
      <c r="BV101" s="115">
        <v>69</v>
      </c>
      <c r="BW101" s="115">
        <v>6.3000001907348633</v>
      </c>
      <c r="BX101" s="115">
        <v>13.5</v>
      </c>
      <c r="BY101" s="115">
        <v>29</v>
      </c>
      <c r="BZ101" s="115">
        <v>19.890682220458984</v>
      </c>
      <c r="CA101" s="115">
        <v>19</v>
      </c>
      <c r="CB101" s="115">
        <v>29.456924438476563</v>
      </c>
      <c r="CC101" s="118"/>
      <c r="CD101" s="115">
        <v>414.02865600585938</v>
      </c>
      <c r="CE101" s="115">
        <v>69.17071533203125</v>
      </c>
      <c r="CF101" s="115">
        <v>25.738681793212891</v>
      </c>
      <c r="CG101" s="115">
        <v>35.338191986083984</v>
      </c>
      <c r="CH101" s="115">
        <v>295.91781616210938</v>
      </c>
      <c r="CI101" s="115">
        <v>93.035270690917969</v>
      </c>
      <c r="CJ101" s="115">
        <v>41.341053009033203</v>
      </c>
      <c r="CK101" s="115">
        <v>52.749385833740234</v>
      </c>
      <c r="CL101" s="116">
        <v>40.665283203125</v>
      </c>
      <c r="CM101" s="117">
        <v>256.3038330078125</v>
      </c>
      <c r="CN101" s="115">
        <v>80.260360717773438</v>
      </c>
      <c r="CO101" s="115">
        <v>88.889823913574219</v>
      </c>
      <c r="CP101" s="115">
        <v>80.931129455566406</v>
      </c>
      <c r="CQ101" s="115">
        <v>0</v>
      </c>
      <c r="CR101" s="115">
        <v>57.675567626953125</v>
      </c>
      <c r="CS101" s="115">
        <v>11.395998001098633</v>
      </c>
      <c r="CT101" s="115">
        <v>38.340972900390625</v>
      </c>
      <c r="CU101" s="115">
        <v>58.644950866699219</v>
      </c>
      <c r="CV101" s="116">
        <v>81.282821655273438</v>
      </c>
      <c r="CW101" s="117">
        <v>11</v>
      </c>
      <c r="CX101" s="115">
        <v>407</v>
      </c>
      <c r="CY101" s="115">
        <v>194.92237854003906</v>
      </c>
      <c r="CZ101" s="115">
        <v>56.80511474609375</v>
      </c>
      <c r="DA101" s="115">
        <v>20.911899566650391</v>
      </c>
      <c r="DB101" s="115">
        <v>36.396797180175781</v>
      </c>
      <c r="DC101" s="115">
        <v>87.015869140625</v>
      </c>
      <c r="DD101" s="115">
        <v>93</v>
      </c>
      <c r="DE101" s="115">
        <v>187</v>
      </c>
      <c r="DF101" s="115">
        <v>121.88714599609375</v>
      </c>
      <c r="DG101" s="115">
        <v>87.994476318359375</v>
      </c>
      <c r="DH101" s="115">
        <v>60.84185791015625</v>
      </c>
      <c r="DI101" s="120">
        <v>41.393924713134766</v>
      </c>
      <c r="DJ101" s="119">
        <v>224</v>
      </c>
      <c r="DK101" s="115">
        <v>123.16300201416016</v>
      </c>
      <c r="DL101" s="115">
        <v>26.916999816894531</v>
      </c>
      <c r="DM101" s="115">
        <v>41.351001739501953</v>
      </c>
      <c r="DN101" s="115">
        <v>53.367000579833984</v>
      </c>
      <c r="DO101" s="116">
        <v>111.58269500732422</v>
      </c>
      <c r="DP101" s="117">
        <v>16.256999969482422</v>
      </c>
      <c r="DQ101" s="115"/>
      <c r="DR101" s="117">
        <v>67</v>
      </c>
      <c r="DS101" s="120">
        <v>37</v>
      </c>
      <c r="DT101" s="119">
        <v>13</v>
      </c>
      <c r="DU101" s="115"/>
      <c r="DV101" s="115">
        <v>176</v>
      </c>
      <c r="DW101" s="115">
        <v>163.62673950195313</v>
      </c>
      <c r="DX101" s="117">
        <v>10</v>
      </c>
      <c r="DY101" s="120"/>
      <c r="DZ101" s="119">
        <v>48</v>
      </c>
      <c r="EA101" s="115">
        <v>3</v>
      </c>
      <c r="EB101" s="115">
        <v>0</v>
      </c>
      <c r="EC101" s="115">
        <v>1</v>
      </c>
      <c r="ED101" s="115">
        <v>297.10000610351563</v>
      </c>
      <c r="EE101" s="121">
        <v>35.176795959472656</v>
      </c>
      <c r="EF101" s="121">
        <v>36.497505187988281</v>
      </c>
      <c r="EG101" s="121">
        <v>39.337095642089842</v>
      </c>
      <c r="EH101" t="s">
        <v>82</v>
      </c>
    </row>
    <row r="102" spans="1:138" x14ac:dyDescent="0.3">
      <c r="A102" s="226">
        <f t="shared" si="6"/>
        <v>46020.068055555777</v>
      </c>
      <c r="B102" s="115">
        <v>284</v>
      </c>
      <c r="C102" s="115">
        <v>56.887001037597656</v>
      </c>
      <c r="D102" s="115">
        <v>101.22200012207031</v>
      </c>
      <c r="E102" s="115">
        <v>20.469999313354492</v>
      </c>
      <c r="F102" s="115">
        <v>40.282577514648438</v>
      </c>
      <c r="G102" s="116">
        <v>19.22599983215332</v>
      </c>
      <c r="H102" s="117">
        <v>322</v>
      </c>
      <c r="I102" s="115">
        <v>294</v>
      </c>
      <c r="J102" s="115">
        <v>69.101997375488281</v>
      </c>
      <c r="K102" s="115">
        <v>67.5069580078125</v>
      </c>
      <c r="L102" s="115">
        <v>44.532001495361328</v>
      </c>
      <c r="M102" s="115">
        <v>14.02400016784668</v>
      </c>
      <c r="N102" s="115">
        <v>17.621000289916992</v>
      </c>
      <c r="O102" s="115">
        <v>18</v>
      </c>
      <c r="P102" s="115">
        <v>0</v>
      </c>
      <c r="Q102" s="115">
        <v>19.434812545776367</v>
      </c>
      <c r="R102" s="115">
        <v>15</v>
      </c>
      <c r="S102" s="115">
        <v>16.958185195922852</v>
      </c>
      <c r="T102" s="115">
        <v>9</v>
      </c>
      <c r="U102" s="115">
        <v>9</v>
      </c>
      <c r="V102" s="117">
        <v>982</v>
      </c>
      <c r="W102" s="115">
        <v>31.443328857421875</v>
      </c>
      <c r="X102" s="115">
        <v>31.780000686645508</v>
      </c>
      <c r="Y102" s="115">
        <v>8.3970003128051758</v>
      </c>
      <c r="Z102" s="115">
        <v>0</v>
      </c>
      <c r="AA102" s="115">
        <v>29.631000518798828</v>
      </c>
      <c r="AB102" s="115">
        <v>0</v>
      </c>
      <c r="AC102" s="115">
        <v>59.287017822265625</v>
      </c>
      <c r="AD102" s="115">
        <v>6.1069998741149902</v>
      </c>
      <c r="AE102" s="115">
        <v>0</v>
      </c>
      <c r="AF102" s="115">
        <v>87.971641540527344</v>
      </c>
      <c r="AG102" s="115">
        <v>0</v>
      </c>
      <c r="AH102" s="115">
        <v>72.242546081542969</v>
      </c>
      <c r="AI102" s="115">
        <v>19.020999908447266</v>
      </c>
      <c r="AJ102" s="115">
        <v>23.993879318237305</v>
      </c>
      <c r="AK102" s="115">
        <v>46.331577301025391</v>
      </c>
      <c r="AL102" s="115">
        <v>53.543998718261719</v>
      </c>
      <c r="AM102" s="118">
        <v>54.391998291015625</v>
      </c>
      <c r="AN102" s="117">
        <v>132.125</v>
      </c>
      <c r="AO102" s="119">
        <v>72</v>
      </c>
      <c r="AP102" s="115">
        <v>72.460296630859375</v>
      </c>
      <c r="AQ102" s="115">
        <v>45.317588806152344</v>
      </c>
      <c r="AR102" s="115">
        <v>80</v>
      </c>
      <c r="AS102" s="115"/>
      <c r="AT102" s="115">
        <v>122</v>
      </c>
      <c r="AU102" s="115"/>
      <c r="AV102" s="115">
        <v>74</v>
      </c>
      <c r="AW102" s="115"/>
      <c r="AX102" s="115">
        <v>31</v>
      </c>
      <c r="AY102" s="115">
        <v>33.855602264404297</v>
      </c>
      <c r="AZ102" s="115">
        <v>18</v>
      </c>
      <c r="BA102" s="115"/>
      <c r="BB102" s="115">
        <v>303</v>
      </c>
      <c r="BC102" s="115">
        <v>301.81524658203125</v>
      </c>
      <c r="BD102" s="115">
        <v>7</v>
      </c>
      <c r="BE102" s="115">
        <v>7.0852794647216797</v>
      </c>
      <c r="BF102" s="115">
        <v>30</v>
      </c>
      <c r="BG102" s="115">
        <v>11</v>
      </c>
      <c r="BH102" s="115">
        <v>11.530960083007813</v>
      </c>
      <c r="BI102" s="115"/>
      <c r="BJ102" s="108">
        <f t="shared" si="4"/>
        <v>16</v>
      </c>
      <c r="BK102" s="115">
        <v>16</v>
      </c>
      <c r="BL102" s="115">
        <v>0</v>
      </c>
      <c r="BM102" s="118"/>
      <c r="BN102" s="108">
        <f t="shared" si="5"/>
        <v>123</v>
      </c>
      <c r="BO102" s="108">
        <v>74</v>
      </c>
      <c r="BP102" s="108">
        <v>49</v>
      </c>
      <c r="BQ102" s="108">
        <v>295</v>
      </c>
      <c r="BR102" s="115">
        <v>87.197998046875</v>
      </c>
      <c r="BS102" s="115">
        <v>25.445999145507813</v>
      </c>
      <c r="BT102" s="115">
        <v>42.948001861572266</v>
      </c>
      <c r="BU102" s="115">
        <v>40.841999053955078</v>
      </c>
      <c r="BV102" s="115">
        <v>68.900001525878906</v>
      </c>
      <c r="BW102" s="115">
        <v>6.3000001907348633</v>
      </c>
      <c r="BX102" s="115">
        <v>13.5</v>
      </c>
      <c r="BY102" s="115">
        <v>29</v>
      </c>
      <c r="BZ102" s="115">
        <v>19.860605239868164</v>
      </c>
      <c r="CA102" s="115">
        <v>20</v>
      </c>
      <c r="CB102" s="115">
        <v>29.335762023925781</v>
      </c>
      <c r="CC102" s="118"/>
      <c r="CD102" s="115">
        <v>401.37509155273438</v>
      </c>
      <c r="CE102" s="115">
        <v>68.18560791015625</v>
      </c>
      <c r="CF102" s="115">
        <v>25.372058868408203</v>
      </c>
      <c r="CG102" s="115">
        <v>35.338191986083984</v>
      </c>
      <c r="CH102" s="115">
        <v>289.74154663085938</v>
      </c>
      <c r="CI102" s="115">
        <v>93.555213928222656</v>
      </c>
      <c r="CJ102" s="115">
        <v>44.083442687988281</v>
      </c>
      <c r="CK102" s="115">
        <v>52.925189971923828</v>
      </c>
      <c r="CL102" s="116">
        <v>40.116909027099609</v>
      </c>
      <c r="CM102" s="117">
        <v>250.96424865722656</v>
      </c>
      <c r="CN102" s="115">
        <v>77.426666259765625</v>
      </c>
      <c r="CO102" s="115">
        <v>87.141166687011719</v>
      </c>
      <c r="CP102" s="115">
        <v>80.9244384765625</v>
      </c>
      <c r="CQ102" s="115">
        <v>0</v>
      </c>
      <c r="CR102" s="115">
        <v>58.388633728027344</v>
      </c>
      <c r="CS102" s="115">
        <v>11.477124214172363</v>
      </c>
      <c r="CT102" s="115">
        <v>39.422630310058594</v>
      </c>
      <c r="CU102" s="115">
        <v>57.118759155273438</v>
      </c>
      <c r="CV102" s="116">
        <v>79.428855895996094</v>
      </c>
      <c r="CW102" s="117">
        <v>2</v>
      </c>
      <c r="CX102" s="115">
        <v>417</v>
      </c>
      <c r="CY102" s="115">
        <v>197.07568359375</v>
      </c>
      <c r="CZ102" s="115">
        <v>57.160007476806641</v>
      </c>
      <c r="DA102" s="115">
        <v>21.062076568603516</v>
      </c>
      <c r="DB102" s="115">
        <v>37.917064666748047</v>
      </c>
      <c r="DC102" s="115">
        <v>88.741851806640625</v>
      </c>
      <c r="DD102" s="115">
        <v>100</v>
      </c>
      <c r="DE102" s="115">
        <v>188</v>
      </c>
      <c r="DF102" s="115">
        <v>123.07061767578125</v>
      </c>
      <c r="DG102" s="115">
        <v>91.124382019042969</v>
      </c>
      <c r="DH102" s="115">
        <v>58.056861877441406</v>
      </c>
      <c r="DI102" s="120">
        <v>40.328388214111328</v>
      </c>
      <c r="DJ102" s="119">
        <v>226</v>
      </c>
      <c r="DK102" s="115">
        <v>124.43499755859375</v>
      </c>
      <c r="DL102" s="115">
        <v>26.916999816894531</v>
      </c>
      <c r="DM102" s="115">
        <v>42.588001251220703</v>
      </c>
      <c r="DN102" s="115">
        <v>54.780998229980469</v>
      </c>
      <c r="DO102" s="116">
        <v>111.04888153076172</v>
      </c>
      <c r="DP102" s="117">
        <v>15.692000389099121</v>
      </c>
      <c r="DQ102" s="115"/>
      <c r="DR102" s="117">
        <v>67</v>
      </c>
      <c r="DS102" s="120">
        <v>35.700000762939453</v>
      </c>
      <c r="DT102" s="119">
        <v>13</v>
      </c>
      <c r="DU102" s="115"/>
      <c r="DV102" s="115">
        <v>173</v>
      </c>
      <c r="DW102" s="115">
        <v>164.64402770996094</v>
      </c>
      <c r="DX102" s="117">
        <v>11</v>
      </c>
      <c r="DY102" s="120"/>
      <c r="DZ102" s="119">
        <v>48</v>
      </c>
      <c r="EA102" s="115">
        <v>3</v>
      </c>
      <c r="EB102" s="115">
        <v>0</v>
      </c>
      <c r="EC102" s="115">
        <v>1</v>
      </c>
      <c r="ED102" s="115">
        <v>296.5</v>
      </c>
      <c r="EE102" s="121">
        <v>45.478408813476563</v>
      </c>
      <c r="EF102" s="121">
        <v>46.554774602254234</v>
      </c>
      <c r="EG102" s="121">
        <v>52.239985020955402</v>
      </c>
      <c r="EH102" t="s">
        <v>83</v>
      </c>
    </row>
    <row r="103" spans="1:138" x14ac:dyDescent="0.3">
      <c r="A103" s="226">
        <f t="shared" si="6"/>
        <v>46020.068750000224</v>
      </c>
      <c r="B103" s="115">
        <v>284</v>
      </c>
      <c r="C103" s="115">
        <v>55.529998779296875</v>
      </c>
      <c r="D103" s="115">
        <v>101.10900115966797</v>
      </c>
      <c r="E103" s="115">
        <v>20.583000183105469</v>
      </c>
      <c r="F103" s="115">
        <v>37.259105682373047</v>
      </c>
      <c r="G103" s="116">
        <v>19.113000869750977</v>
      </c>
      <c r="H103" s="117">
        <v>325</v>
      </c>
      <c r="I103" s="115">
        <v>292</v>
      </c>
      <c r="J103" s="115">
        <v>67.745002746582031</v>
      </c>
      <c r="K103" s="115">
        <v>67.82879638671875</v>
      </c>
      <c r="L103" s="115">
        <v>47.006000518798828</v>
      </c>
      <c r="M103" s="115">
        <v>12.892999649047852</v>
      </c>
      <c r="N103" s="115">
        <v>17.558000564575195</v>
      </c>
      <c r="O103" s="115">
        <v>19</v>
      </c>
      <c r="P103" s="115">
        <v>0</v>
      </c>
      <c r="Q103" s="115">
        <v>19.798385620117188</v>
      </c>
      <c r="R103" s="115">
        <v>19.003124237060547</v>
      </c>
      <c r="S103" s="115">
        <v>18.553760528564453</v>
      </c>
      <c r="T103" s="115">
        <v>9</v>
      </c>
      <c r="U103" s="115">
        <v>9</v>
      </c>
      <c r="V103" s="117">
        <v>997</v>
      </c>
      <c r="W103" s="115">
        <v>32.125774383544922</v>
      </c>
      <c r="X103" s="115">
        <v>32.231998443603516</v>
      </c>
      <c r="Y103" s="115">
        <v>7.8239998817443848</v>
      </c>
      <c r="Z103" s="115">
        <v>0</v>
      </c>
      <c r="AA103" s="115">
        <v>29.969999313354492</v>
      </c>
      <c r="AB103" s="115">
        <v>0</v>
      </c>
      <c r="AC103" s="115">
        <v>60.125038146972656</v>
      </c>
      <c r="AD103" s="115">
        <v>6.3610000610351563</v>
      </c>
      <c r="AE103" s="115">
        <v>0</v>
      </c>
      <c r="AF103" s="115">
        <v>87.944625854492188</v>
      </c>
      <c r="AG103" s="115">
        <v>0</v>
      </c>
      <c r="AH103" s="115">
        <v>75.027847290039063</v>
      </c>
      <c r="AI103" s="115">
        <v>20.166000366210938</v>
      </c>
      <c r="AJ103" s="115">
        <v>22.945405960083008</v>
      </c>
      <c r="AK103" s="115">
        <v>46.219482421875</v>
      </c>
      <c r="AL103" s="115">
        <v>53.543998718261719</v>
      </c>
      <c r="AM103" s="118">
        <v>55.791999816894531</v>
      </c>
      <c r="AN103" s="117">
        <v>132.375</v>
      </c>
      <c r="AO103" s="119">
        <v>72</v>
      </c>
      <c r="AP103" s="115">
        <v>72.206077575683594</v>
      </c>
      <c r="AQ103" s="115">
        <v>44.073696136474609</v>
      </c>
      <c r="AR103" s="115">
        <v>79</v>
      </c>
      <c r="AS103" s="115"/>
      <c r="AT103" s="115">
        <v>123</v>
      </c>
      <c r="AU103" s="115"/>
      <c r="AV103" s="115">
        <v>76</v>
      </c>
      <c r="AW103" s="115"/>
      <c r="AX103" s="115">
        <v>33</v>
      </c>
      <c r="AY103" s="115">
        <v>34.775241851806641</v>
      </c>
      <c r="AZ103" s="115">
        <v>19</v>
      </c>
      <c r="BA103" s="115"/>
      <c r="BB103" s="115">
        <v>303</v>
      </c>
      <c r="BC103" s="115">
        <v>302.8704833984375</v>
      </c>
      <c r="BD103" s="115">
        <v>7</v>
      </c>
      <c r="BE103" s="115">
        <v>7.0852794647216797</v>
      </c>
      <c r="BF103" s="115">
        <v>30</v>
      </c>
      <c r="BG103" s="115">
        <v>11</v>
      </c>
      <c r="BH103" s="115">
        <v>11.420799255371094</v>
      </c>
      <c r="BI103" s="115"/>
      <c r="BJ103" s="108">
        <f t="shared" si="4"/>
        <v>16</v>
      </c>
      <c r="BK103" s="115">
        <v>16</v>
      </c>
      <c r="BL103" s="115">
        <v>0</v>
      </c>
      <c r="BM103" s="118"/>
      <c r="BN103" s="108">
        <f t="shared" si="5"/>
        <v>123</v>
      </c>
      <c r="BO103" s="108">
        <v>74</v>
      </c>
      <c r="BP103" s="108">
        <v>49</v>
      </c>
      <c r="BQ103" s="108">
        <v>298</v>
      </c>
      <c r="BR103" s="115">
        <v>86.745002746582031</v>
      </c>
      <c r="BS103" s="115">
        <v>25.701000213623047</v>
      </c>
      <c r="BT103" s="115">
        <v>42.948001861572266</v>
      </c>
      <c r="BU103" s="115">
        <v>41.096000671386719</v>
      </c>
      <c r="BV103" s="115">
        <v>68.800003051757813</v>
      </c>
      <c r="BW103" s="115">
        <v>6.5</v>
      </c>
      <c r="BX103" s="115">
        <v>13.5</v>
      </c>
      <c r="BY103" s="115">
        <v>27</v>
      </c>
      <c r="BZ103" s="115">
        <v>19.900213241577148</v>
      </c>
      <c r="CA103" s="115">
        <v>19</v>
      </c>
      <c r="CB103" s="115">
        <v>29.335762023925781</v>
      </c>
      <c r="CC103" s="118"/>
      <c r="CD103" s="115">
        <v>400.68881225585938</v>
      </c>
      <c r="CE103" s="115">
        <v>68.095687866210938</v>
      </c>
      <c r="CF103" s="115">
        <v>25.242132186889648</v>
      </c>
      <c r="CG103" s="115">
        <v>35.338191986083984</v>
      </c>
      <c r="CH103" s="115">
        <v>288.20086669921875</v>
      </c>
      <c r="CI103" s="115">
        <v>89.985527038574219</v>
      </c>
      <c r="CJ103" s="115">
        <v>42.673831939697266</v>
      </c>
      <c r="CK103" s="115">
        <v>52.896347045898438</v>
      </c>
      <c r="CL103" s="116">
        <v>40.000587463378906</v>
      </c>
      <c r="CM103" s="117">
        <v>252.39512634277344</v>
      </c>
      <c r="CN103" s="115">
        <v>78.793800354003906</v>
      </c>
      <c r="CO103" s="115">
        <v>87.141166687011719</v>
      </c>
      <c r="CP103" s="115">
        <v>78.031120300292969</v>
      </c>
      <c r="CQ103" s="115">
        <v>0</v>
      </c>
      <c r="CR103" s="115">
        <v>55.150188446044922</v>
      </c>
      <c r="CS103" s="115">
        <v>11.301751136779785</v>
      </c>
      <c r="CT103" s="115">
        <v>39.103755950927734</v>
      </c>
      <c r="CU103" s="115">
        <v>60.737220764160156</v>
      </c>
      <c r="CV103" s="116">
        <v>77.613754272460938</v>
      </c>
      <c r="CW103" s="117">
        <v>6</v>
      </c>
      <c r="CX103" s="115">
        <v>421</v>
      </c>
      <c r="CY103" s="115">
        <v>196.77207946777344</v>
      </c>
      <c r="CZ103" s="115">
        <v>58.014610290527344</v>
      </c>
      <c r="DA103" s="115">
        <v>21.41618537902832</v>
      </c>
      <c r="DB103" s="115">
        <v>38.734092712402344</v>
      </c>
      <c r="DC103" s="115">
        <v>88.458786010742188</v>
      </c>
      <c r="DD103" s="115">
        <v>90</v>
      </c>
      <c r="DE103" s="115">
        <v>187</v>
      </c>
      <c r="DF103" s="115">
        <v>122.93816375732422</v>
      </c>
      <c r="DG103" s="115">
        <v>88.166336059570313</v>
      </c>
      <c r="DH103" s="115">
        <v>59.035621643066406</v>
      </c>
      <c r="DI103" s="120">
        <v>40.747524261474609</v>
      </c>
      <c r="DJ103" s="119">
        <v>231</v>
      </c>
      <c r="DK103" s="115">
        <v>128.76100158691406</v>
      </c>
      <c r="DL103" s="115">
        <v>28.5</v>
      </c>
      <c r="DM103" s="115">
        <v>44.708000183105469</v>
      </c>
      <c r="DN103" s="115">
        <v>54.074001312255859</v>
      </c>
      <c r="DO103" s="116">
        <v>111.59731292724609</v>
      </c>
      <c r="DP103" s="117">
        <v>16.143999099731445</v>
      </c>
      <c r="DQ103" s="115"/>
      <c r="DR103" s="117">
        <v>67</v>
      </c>
      <c r="DS103" s="120">
        <v>35.900001525878906</v>
      </c>
      <c r="DT103" s="119">
        <v>13</v>
      </c>
      <c r="DU103" s="115"/>
      <c r="DV103" s="115">
        <v>173</v>
      </c>
      <c r="DW103" s="115">
        <v>164.35015869140625</v>
      </c>
      <c r="DX103" s="117">
        <v>10</v>
      </c>
      <c r="DY103" s="120"/>
      <c r="DZ103" s="119">
        <v>48</v>
      </c>
      <c r="EA103" s="115">
        <v>3</v>
      </c>
      <c r="EB103" s="115">
        <v>0</v>
      </c>
      <c r="EC103" s="115">
        <v>2</v>
      </c>
      <c r="ED103" s="115">
        <v>296.10000610351563</v>
      </c>
      <c r="EE103" s="121">
        <v>0</v>
      </c>
      <c r="EF103" s="121">
        <v>0</v>
      </c>
      <c r="EG103" s="121">
        <v>3.1333333333333333</v>
      </c>
      <c r="EH103" t="s">
        <v>243</v>
      </c>
    </row>
    <row r="104" spans="1:138" x14ac:dyDescent="0.3">
      <c r="A104" s="226">
        <f t="shared" si="6"/>
        <v>46020.069444444671</v>
      </c>
      <c r="B104" s="115">
        <v>280</v>
      </c>
      <c r="C104" s="115">
        <v>52.816001892089844</v>
      </c>
      <c r="D104" s="115">
        <v>101.56099700927734</v>
      </c>
      <c r="E104" s="115">
        <v>20.243999481201172</v>
      </c>
      <c r="F104" s="115">
        <v>36.749485015869141</v>
      </c>
      <c r="G104" s="116">
        <v>19.451999664306641</v>
      </c>
      <c r="H104" s="117">
        <v>326</v>
      </c>
      <c r="I104" s="115">
        <v>293</v>
      </c>
      <c r="J104" s="115">
        <v>70.346000671386719</v>
      </c>
      <c r="K104" s="115">
        <v>64.930938720703125</v>
      </c>
      <c r="L104" s="115">
        <v>45.769001007080078</v>
      </c>
      <c r="M104" s="115">
        <v>12.666000366210938</v>
      </c>
      <c r="N104" s="115">
        <v>17.875999450683594</v>
      </c>
      <c r="O104" s="115">
        <v>19</v>
      </c>
      <c r="P104" s="115">
        <v>0</v>
      </c>
      <c r="Q104" s="115">
        <v>19.705530166625977</v>
      </c>
      <c r="R104" s="115">
        <v>16.996875762939453</v>
      </c>
      <c r="S104" s="115">
        <v>17.91448974609375</v>
      </c>
      <c r="T104" s="115">
        <v>9</v>
      </c>
      <c r="U104" s="115">
        <v>9</v>
      </c>
      <c r="V104" s="117">
        <v>989</v>
      </c>
      <c r="W104" s="115">
        <v>33.497089385986328</v>
      </c>
      <c r="X104" s="115">
        <v>31.326999664306641</v>
      </c>
      <c r="Y104" s="115">
        <v>7.9520001411437988</v>
      </c>
      <c r="Z104" s="115">
        <v>0</v>
      </c>
      <c r="AA104" s="115">
        <v>29.631000518798828</v>
      </c>
      <c r="AB104" s="115">
        <v>0</v>
      </c>
      <c r="AC104" s="115">
        <v>59.096450805664063</v>
      </c>
      <c r="AD104" s="115">
        <v>6.3610000610351563</v>
      </c>
      <c r="AE104" s="115">
        <v>0</v>
      </c>
      <c r="AF104" s="115">
        <v>87.838577270507813</v>
      </c>
      <c r="AG104" s="115">
        <v>0</v>
      </c>
      <c r="AH104" s="115">
        <v>72.268539428710938</v>
      </c>
      <c r="AI104" s="115">
        <v>15.840000152587891</v>
      </c>
      <c r="AJ104" s="115">
        <v>22.945405960083008</v>
      </c>
      <c r="AK104" s="115">
        <v>46.072971343994141</v>
      </c>
      <c r="AL104" s="115">
        <v>54.780998229980469</v>
      </c>
      <c r="AM104" s="118">
        <v>56.046001434326172</v>
      </c>
      <c r="AN104" s="117">
        <v>131.9375</v>
      </c>
      <c r="AO104" s="119">
        <v>73</v>
      </c>
      <c r="AP104" s="115">
        <v>73.294158935546875</v>
      </c>
      <c r="AQ104" s="115">
        <v>44.238975524902344</v>
      </c>
      <c r="AR104" s="115">
        <v>78</v>
      </c>
      <c r="AS104" s="115"/>
      <c r="AT104" s="115">
        <v>123</v>
      </c>
      <c r="AU104" s="115"/>
      <c r="AV104" s="115">
        <v>75</v>
      </c>
      <c r="AW104" s="115"/>
      <c r="AX104" s="115">
        <v>32</v>
      </c>
      <c r="AY104" s="115">
        <v>34.775241851806641</v>
      </c>
      <c r="AZ104" s="115">
        <v>19</v>
      </c>
      <c r="BA104" s="115"/>
      <c r="BB104" s="115">
        <v>304</v>
      </c>
      <c r="BC104" s="115">
        <v>303.04193115234375</v>
      </c>
      <c r="BD104" s="115">
        <v>7</v>
      </c>
      <c r="BE104" s="115">
        <v>7.068671703338623</v>
      </c>
      <c r="BF104" s="115">
        <v>30</v>
      </c>
      <c r="BG104" s="115">
        <v>11</v>
      </c>
      <c r="BH104" s="115">
        <v>11.420799255371094</v>
      </c>
      <c r="BI104" s="115"/>
      <c r="BJ104" s="108">
        <f t="shared" si="4"/>
        <v>16</v>
      </c>
      <c r="BK104" s="115">
        <v>16</v>
      </c>
      <c r="BL104" s="115">
        <v>0</v>
      </c>
      <c r="BM104" s="118"/>
      <c r="BN104" s="108">
        <f t="shared" si="5"/>
        <v>123</v>
      </c>
      <c r="BO104" s="108">
        <v>74</v>
      </c>
      <c r="BP104" s="108">
        <v>49</v>
      </c>
      <c r="BQ104" s="108">
        <v>290</v>
      </c>
      <c r="BR104" s="115">
        <v>85.500999450683594</v>
      </c>
      <c r="BS104" s="115">
        <v>25.445999145507813</v>
      </c>
      <c r="BT104" s="115">
        <v>42.255001068115234</v>
      </c>
      <c r="BU104" s="115">
        <v>40.587001800537109</v>
      </c>
      <c r="BV104" s="115">
        <v>68.900001525878906</v>
      </c>
      <c r="BW104" s="115">
        <v>6.3000001907348633</v>
      </c>
      <c r="BX104" s="115">
        <v>13.5</v>
      </c>
      <c r="BY104" s="115">
        <v>29</v>
      </c>
      <c r="BZ104" s="115">
        <v>19.890296936035156</v>
      </c>
      <c r="CA104" s="115">
        <v>19</v>
      </c>
      <c r="CB104" s="115">
        <v>29.459403991699219</v>
      </c>
      <c r="CC104" s="118"/>
      <c r="CD104" s="115">
        <v>399.19345092773438</v>
      </c>
      <c r="CE104" s="115">
        <v>67.656990051269531</v>
      </c>
      <c r="CF104" s="115">
        <v>25.283485412597656</v>
      </c>
      <c r="CG104" s="115">
        <v>35.338191986083984</v>
      </c>
      <c r="CH104" s="115">
        <v>288.76300048828125</v>
      </c>
      <c r="CI104" s="115">
        <v>93.390235900878906</v>
      </c>
      <c r="CJ104" s="115">
        <v>45.567695617675781</v>
      </c>
      <c r="CK104" s="115">
        <v>53.022541046142578</v>
      </c>
      <c r="CL104" s="116">
        <v>39.769870758056641</v>
      </c>
      <c r="CM104" s="117">
        <v>252.59994506835938</v>
      </c>
      <c r="CN104" s="115">
        <v>81.420852661132813</v>
      </c>
      <c r="CO104" s="115">
        <v>87.038131713867188</v>
      </c>
      <c r="CP104" s="115">
        <v>79.931266784667969</v>
      </c>
      <c r="CQ104" s="115">
        <v>0</v>
      </c>
      <c r="CR104" s="115">
        <v>55.267189025878906</v>
      </c>
      <c r="CS104" s="115">
        <v>10.785807609558105</v>
      </c>
      <c r="CT104" s="115">
        <v>39.205673217773438</v>
      </c>
      <c r="CU104" s="115">
        <v>58.392017364501953</v>
      </c>
      <c r="CV104" s="116">
        <v>78.885185241699219</v>
      </c>
      <c r="CW104" s="117">
        <v>2</v>
      </c>
      <c r="CX104" s="115">
        <v>421</v>
      </c>
      <c r="CY104" s="115">
        <v>195.68392944335938</v>
      </c>
      <c r="CZ104" s="115">
        <v>56.334484100341797</v>
      </c>
      <c r="DA104" s="115">
        <v>21.516435623168945</v>
      </c>
      <c r="DB104" s="115">
        <v>37.875007629394531</v>
      </c>
      <c r="DC104" s="115">
        <v>89.866851806640625</v>
      </c>
      <c r="DD104" s="115">
        <v>97</v>
      </c>
      <c r="DE104" s="115">
        <v>187</v>
      </c>
      <c r="DF104" s="115">
        <v>121.21267700195313</v>
      </c>
      <c r="DG104" s="115">
        <v>88.406097412109375</v>
      </c>
      <c r="DH104" s="115">
        <v>61.415252685546875</v>
      </c>
      <c r="DI104" s="120">
        <v>41.504505157470703</v>
      </c>
      <c r="DJ104" s="119">
        <v>226</v>
      </c>
      <c r="DK104" s="115">
        <v>126.21600341796875</v>
      </c>
      <c r="DL104" s="115">
        <v>26.804000854492188</v>
      </c>
      <c r="DM104" s="115">
        <v>42.941001892089844</v>
      </c>
      <c r="DN104" s="115">
        <v>53.191001892089844</v>
      </c>
      <c r="DO104" s="116">
        <v>113.53260040283203</v>
      </c>
      <c r="DP104" s="117">
        <v>16.115999221801758</v>
      </c>
      <c r="DQ104" s="115"/>
      <c r="DR104" s="117">
        <v>67</v>
      </c>
      <c r="DS104" s="120">
        <v>36.799999237060547</v>
      </c>
      <c r="DT104" s="119">
        <v>13</v>
      </c>
      <c r="DU104" s="115"/>
      <c r="DV104" s="115">
        <v>174</v>
      </c>
      <c r="DW104" s="115">
        <v>164.07846069335938</v>
      </c>
      <c r="DX104" s="117">
        <v>10</v>
      </c>
      <c r="DY104" s="120"/>
      <c r="DZ104" s="119">
        <v>48</v>
      </c>
      <c r="EA104" s="115">
        <v>3</v>
      </c>
      <c r="EB104" s="115">
        <v>0</v>
      </c>
      <c r="EC104" s="115">
        <v>1</v>
      </c>
      <c r="ED104" s="115">
        <v>296.79998779296875</v>
      </c>
      <c r="EE104" s="121">
        <v>284</v>
      </c>
      <c r="EF104" s="121">
        <v>288</v>
      </c>
      <c r="EG104" s="121">
        <v>293.14999999999998</v>
      </c>
      <c r="EH104" t="s">
        <v>246</v>
      </c>
    </row>
    <row r="105" spans="1:138" x14ac:dyDescent="0.3">
      <c r="A105" s="226">
        <f t="shared" si="6"/>
        <v>46020.070138889118</v>
      </c>
      <c r="B105" s="115">
        <v>279</v>
      </c>
      <c r="C105" s="115">
        <v>53.154998779296875</v>
      </c>
      <c r="D105" s="115">
        <v>101.22200012207031</v>
      </c>
      <c r="E105" s="115">
        <v>20.357000350952148</v>
      </c>
      <c r="F105" s="115">
        <v>36.115856170654297</v>
      </c>
      <c r="G105" s="116">
        <v>18.208000183105469</v>
      </c>
      <c r="H105" s="117">
        <v>325</v>
      </c>
      <c r="I105" s="115">
        <v>294</v>
      </c>
      <c r="J105" s="115">
        <v>67.291999816894531</v>
      </c>
      <c r="K105" s="115">
        <v>65.587081909179688</v>
      </c>
      <c r="L105" s="115">
        <v>48.418998718261719</v>
      </c>
      <c r="M105" s="115">
        <v>12.892999649047852</v>
      </c>
      <c r="N105" s="115">
        <v>17.048999786376953</v>
      </c>
      <c r="O105" s="115">
        <v>20</v>
      </c>
      <c r="P105" s="115">
        <v>0</v>
      </c>
      <c r="Q105" s="115">
        <v>19.789279937744141</v>
      </c>
      <c r="R105" s="115">
        <v>16.003124237060547</v>
      </c>
      <c r="S105" s="115">
        <v>17.324827194213867</v>
      </c>
      <c r="T105" s="115">
        <v>9</v>
      </c>
      <c r="U105" s="115">
        <v>9</v>
      </c>
      <c r="V105" s="117">
        <v>989</v>
      </c>
      <c r="W105" s="115">
        <v>31.563570022583008</v>
      </c>
      <c r="X105" s="115">
        <v>32.685001373291016</v>
      </c>
      <c r="Y105" s="115">
        <v>8.7150001525878906</v>
      </c>
      <c r="Z105" s="115">
        <v>0</v>
      </c>
      <c r="AA105" s="115">
        <v>28.5</v>
      </c>
      <c r="AB105" s="115">
        <v>0</v>
      </c>
      <c r="AC105" s="115">
        <v>59.633895874023438</v>
      </c>
      <c r="AD105" s="115">
        <v>6.1069998741149902</v>
      </c>
      <c r="AE105" s="115">
        <v>0</v>
      </c>
      <c r="AF105" s="115">
        <v>89.137718200683594</v>
      </c>
      <c r="AG105" s="115">
        <v>0</v>
      </c>
      <c r="AH105" s="115">
        <v>71.403648376464844</v>
      </c>
      <c r="AI105" s="115">
        <v>16.540000915527344</v>
      </c>
      <c r="AJ105" s="115">
        <v>23.82054328918457</v>
      </c>
      <c r="AK105" s="115">
        <v>46.983428955078125</v>
      </c>
      <c r="AL105" s="115">
        <v>56.018001556396484</v>
      </c>
      <c r="AM105" s="118">
        <v>57.063999176025391</v>
      </c>
      <c r="AN105" s="117">
        <v>138.5625</v>
      </c>
      <c r="AO105" s="119">
        <v>75</v>
      </c>
      <c r="AP105" s="115">
        <v>74.069541931152344</v>
      </c>
      <c r="AQ105" s="115">
        <v>46.814056396484375</v>
      </c>
      <c r="AR105" s="115">
        <v>80</v>
      </c>
      <c r="AS105" s="115"/>
      <c r="AT105" s="115">
        <v>122</v>
      </c>
      <c r="AU105" s="115"/>
      <c r="AV105" s="115">
        <v>76</v>
      </c>
      <c r="AW105" s="115"/>
      <c r="AX105" s="115">
        <v>32</v>
      </c>
      <c r="AY105" s="115">
        <v>35.039348602294922</v>
      </c>
      <c r="AZ105" s="115">
        <v>19</v>
      </c>
      <c r="BA105" s="115"/>
      <c r="BB105" s="115">
        <v>303</v>
      </c>
      <c r="BC105" s="115">
        <v>303.54116821289063</v>
      </c>
      <c r="BD105" s="115">
        <v>7</v>
      </c>
      <c r="BE105" s="115">
        <v>7.0742034912109375</v>
      </c>
      <c r="BF105" s="115">
        <v>30</v>
      </c>
      <c r="BG105" s="115">
        <v>11</v>
      </c>
      <c r="BH105" s="115">
        <v>11.454482078552246</v>
      </c>
      <c r="BI105" s="115"/>
      <c r="BJ105" s="108">
        <f t="shared" si="4"/>
        <v>16</v>
      </c>
      <c r="BK105" s="115">
        <v>16</v>
      </c>
      <c r="BL105" s="115">
        <v>0</v>
      </c>
      <c r="BM105" s="118"/>
      <c r="BN105" s="108">
        <f t="shared" si="5"/>
        <v>123</v>
      </c>
      <c r="BO105" s="108">
        <v>74</v>
      </c>
      <c r="BP105" s="108">
        <v>49</v>
      </c>
      <c r="BQ105" s="108">
        <v>299</v>
      </c>
      <c r="BR105" s="115">
        <v>85.500999450683594</v>
      </c>
      <c r="BS105" s="115">
        <v>25.701000213623047</v>
      </c>
      <c r="BT105" s="115">
        <v>45.0260009765625</v>
      </c>
      <c r="BU105" s="115">
        <v>40.077999114990234</v>
      </c>
      <c r="BV105" s="115">
        <v>68.099998474121094</v>
      </c>
      <c r="BW105" s="115">
        <v>6.4000000953674316</v>
      </c>
      <c r="BX105" s="115">
        <v>13.5</v>
      </c>
      <c r="BY105" s="115">
        <v>29</v>
      </c>
      <c r="BZ105" s="115">
        <v>19.85932731628418</v>
      </c>
      <c r="CA105" s="115">
        <v>19</v>
      </c>
      <c r="CB105" s="115">
        <v>29.814205169677734</v>
      </c>
      <c r="CC105" s="118"/>
      <c r="CD105" s="115">
        <v>403.107666015625</v>
      </c>
      <c r="CE105" s="115">
        <v>69.12164306640625</v>
      </c>
      <c r="CF105" s="115">
        <v>26.025131225585938</v>
      </c>
      <c r="CG105" s="115">
        <v>35.338191986083984</v>
      </c>
      <c r="CH105" s="115">
        <v>288.57821655273438</v>
      </c>
      <c r="CI105" s="115">
        <v>93.818199157714844</v>
      </c>
      <c r="CJ105" s="115">
        <v>44.617359161376953</v>
      </c>
      <c r="CK105" s="115">
        <v>54.581386566162109</v>
      </c>
      <c r="CL105" s="116">
        <v>39.599720001220703</v>
      </c>
      <c r="CM105" s="117">
        <v>250.37274169921875</v>
      </c>
      <c r="CN105" s="115">
        <v>77.898025512695313</v>
      </c>
      <c r="CO105" s="115">
        <v>87.046791076660156</v>
      </c>
      <c r="CP105" s="115">
        <v>81.854484558105469</v>
      </c>
      <c r="CQ105" s="115">
        <v>0</v>
      </c>
      <c r="CR105" s="115">
        <v>56.152603149414063</v>
      </c>
      <c r="CS105" s="115">
        <v>10.79856014251709</v>
      </c>
      <c r="CT105" s="115">
        <v>39.545379638671875</v>
      </c>
      <c r="CU105" s="115">
        <v>55.448493957519531</v>
      </c>
      <c r="CV105" s="116">
        <v>78.176406860351563</v>
      </c>
      <c r="CW105" s="117">
        <v>3</v>
      </c>
      <c r="CX105" s="115">
        <v>417</v>
      </c>
      <c r="CY105" s="115">
        <v>196.03666687011719</v>
      </c>
      <c r="CZ105" s="115">
        <v>56.052909851074219</v>
      </c>
      <c r="DA105" s="115">
        <v>20.902772903442383</v>
      </c>
      <c r="DB105" s="115">
        <v>38.198036193847656</v>
      </c>
      <c r="DC105" s="115">
        <v>87.811988830566406</v>
      </c>
      <c r="DD105" s="115">
        <v>97</v>
      </c>
      <c r="DE105" s="115">
        <v>188</v>
      </c>
      <c r="DF105" s="115">
        <v>119.85507202148438</v>
      </c>
      <c r="DG105" s="115">
        <v>89.206489562988281</v>
      </c>
      <c r="DH105" s="115">
        <v>59.667411804199219</v>
      </c>
      <c r="DI105" s="120">
        <v>43.598751068115234</v>
      </c>
      <c r="DJ105" s="119">
        <v>226</v>
      </c>
      <c r="DK105" s="115">
        <v>125.4530029296875</v>
      </c>
      <c r="DL105" s="115">
        <v>27.368999481201172</v>
      </c>
      <c r="DM105" s="115">
        <v>44.532001495361328</v>
      </c>
      <c r="DN105" s="115">
        <v>50.009998321533203</v>
      </c>
      <c r="DO105" s="116">
        <v>113.90238189697266</v>
      </c>
      <c r="DP105" s="117">
        <v>16.08799934387207</v>
      </c>
      <c r="DQ105" s="115"/>
      <c r="DR105" s="117">
        <v>67</v>
      </c>
      <c r="DS105" s="120">
        <v>35.700000762939453</v>
      </c>
      <c r="DT105" s="119">
        <v>13</v>
      </c>
      <c r="DU105" s="115"/>
      <c r="DV105" s="115">
        <v>173</v>
      </c>
      <c r="DW105" s="115">
        <v>164.30447387695313</v>
      </c>
      <c r="DX105" s="117">
        <v>10</v>
      </c>
      <c r="DY105" s="120"/>
      <c r="DZ105" s="119">
        <v>47</v>
      </c>
      <c r="EA105" s="115">
        <v>3</v>
      </c>
      <c r="EB105" s="115">
        <v>0</v>
      </c>
      <c r="EC105" s="115">
        <v>1</v>
      </c>
      <c r="ED105" s="115">
        <v>294.39999389648438</v>
      </c>
      <c r="EE105" s="121">
        <v>104.98561859130859</v>
      </c>
      <c r="EF105" s="121">
        <v>105.73293685913086</v>
      </c>
      <c r="EG105" s="121">
        <v>107.92376073201497</v>
      </c>
      <c r="EH105" t="s">
        <v>171</v>
      </c>
    </row>
    <row r="106" spans="1:138" x14ac:dyDescent="0.3">
      <c r="A106" s="226">
        <f t="shared" si="6"/>
        <v>46020.070833333564</v>
      </c>
      <c r="B106" s="115">
        <v>283</v>
      </c>
      <c r="C106" s="115">
        <v>47.840000152587891</v>
      </c>
      <c r="D106" s="115">
        <v>102.12599945068359</v>
      </c>
      <c r="E106" s="115">
        <v>20.243999481201172</v>
      </c>
      <c r="F106" s="115">
        <v>36.956005096435547</v>
      </c>
      <c r="G106" s="116">
        <v>20.017999649047852</v>
      </c>
      <c r="H106" s="117">
        <v>322</v>
      </c>
      <c r="I106" s="115">
        <v>293</v>
      </c>
      <c r="J106" s="115">
        <v>67.291999816894531</v>
      </c>
      <c r="K106" s="115">
        <v>64.234519958496094</v>
      </c>
      <c r="L106" s="115">
        <v>48.066001892089844</v>
      </c>
      <c r="M106" s="115">
        <v>13.345000267028809</v>
      </c>
      <c r="N106" s="115">
        <v>18.194000244140625</v>
      </c>
      <c r="O106" s="115">
        <v>19</v>
      </c>
      <c r="P106" s="115">
        <v>0</v>
      </c>
      <c r="Q106" s="115">
        <v>19.246707916259766</v>
      </c>
      <c r="R106" s="115">
        <v>15</v>
      </c>
      <c r="S106" s="115">
        <v>15.488722801208496</v>
      </c>
      <c r="T106" s="115">
        <v>9</v>
      </c>
      <c r="U106" s="115">
        <v>9</v>
      </c>
      <c r="V106" s="117">
        <v>984</v>
      </c>
      <c r="W106" s="115">
        <v>31.563570022583008</v>
      </c>
      <c r="X106" s="115">
        <v>32.910999298095703</v>
      </c>
      <c r="Y106" s="115">
        <v>8.3330001831054688</v>
      </c>
      <c r="Z106" s="115">
        <v>0</v>
      </c>
      <c r="AA106" s="115">
        <v>28.27400016784668</v>
      </c>
      <c r="AB106" s="115">
        <v>0</v>
      </c>
      <c r="AC106" s="115">
        <v>58.916385650634766</v>
      </c>
      <c r="AD106" s="115">
        <v>5.8520002365112305</v>
      </c>
      <c r="AE106" s="115">
        <v>0</v>
      </c>
      <c r="AF106" s="115">
        <v>87.6087646484375</v>
      </c>
      <c r="AG106" s="115">
        <v>0</v>
      </c>
      <c r="AH106" s="115">
        <v>69.559806823730469</v>
      </c>
      <c r="AI106" s="115">
        <v>15.076999664306641</v>
      </c>
      <c r="AJ106" s="115">
        <v>22.342674255371094</v>
      </c>
      <c r="AK106" s="115">
        <v>46.569568634033203</v>
      </c>
      <c r="AL106" s="115">
        <v>57.255001068115234</v>
      </c>
      <c r="AM106" s="118">
        <v>55.091999053955078</v>
      </c>
      <c r="AN106" s="117">
        <v>136.4375</v>
      </c>
      <c r="AO106" s="119">
        <v>74</v>
      </c>
      <c r="AP106" s="115">
        <v>73.340164184570313</v>
      </c>
      <c r="AQ106" s="115">
        <v>46.590087890625</v>
      </c>
      <c r="AR106" s="115">
        <v>80</v>
      </c>
      <c r="AS106" s="115"/>
      <c r="AT106" s="115">
        <v>122</v>
      </c>
      <c r="AU106" s="115"/>
      <c r="AV106" s="115">
        <v>84</v>
      </c>
      <c r="AW106" s="115"/>
      <c r="AX106" s="115">
        <v>32</v>
      </c>
      <c r="AY106" s="115">
        <v>33.827903747558594</v>
      </c>
      <c r="AZ106" s="115">
        <v>19</v>
      </c>
      <c r="BA106" s="115"/>
      <c r="BB106" s="115">
        <v>302</v>
      </c>
      <c r="BC106" s="115">
        <v>303.54116821289063</v>
      </c>
      <c r="BD106" s="115">
        <v>7</v>
      </c>
      <c r="BE106" s="115">
        <v>7.0442829132080078</v>
      </c>
      <c r="BF106" s="115">
        <v>30</v>
      </c>
      <c r="BG106" s="115">
        <v>11</v>
      </c>
      <c r="BH106" s="115">
        <v>11.423376083374023</v>
      </c>
      <c r="BI106" s="115"/>
      <c r="BJ106" s="108">
        <f t="shared" si="4"/>
        <v>16</v>
      </c>
      <c r="BK106" s="115">
        <v>16</v>
      </c>
      <c r="BL106" s="115">
        <v>0</v>
      </c>
      <c r="BM106" s="118"/>
      <c r="BN106" s="108">
        <f t="shared" si="5"/>
        <v>123</v>
      </c>
      <c r="BO106" s="108">
        <v>74</v>
      </c>
      <c r="BP106" s="108">
        <v>49</v>
      </c>
      <c r="BQ106" s="108">
        <v>297</v>
      </c>
      <c r="BR106" s="115">
        <v>85.500999450683594</v>
      </c>
      <c r="BS106" s="115">
        <v>24.937000274658203</v>
      </c>
      <c r="BT106" s="115">
        <v>43.98699951171875</v>
      </c>
      <c r="BU106" s="115">
        <v>40.523998260498047</v>
      </c>
      <c r="BV106" s="115">
        <v>68.5</v>
      </c>
      <c r="BW106" s="115">
        <v>6.5</v>
      </c>
      <c r="BX106" s="115">
        <v>13.5</v>
      </c>
      <c r="BY106" s="115">
        <v>28</v>
      </c>
      <c r="BZ106" s="115">
        <v>19.893320083618164</v>
      </c>
      <c r="CA106" s="115">
        <v>19</v>
      </c>
      <c r="CB106" s="115">
        <v>29.814205169677734</v>
      </c>
      <c r="CC106" s="118"/>
      <c r="CD106" s="115">
        <v>402.23974609375</v>
      </c>
      <c r="CE106" s="115">
        <v>69.201065063476563</v>
      </c>
      <c r="CF106" s="115">
        <v>26.526424407958984</v>
      </c>
      <c r="CG106" s="115">
        <v>35.338191986083984</v>
      </c>
      <c r="CH106" s="115">
        <v>289.09207153320313</v>
      </c>
      <c r="CI106" s="115">
        <v>98.594558715820313</v>
      </c>
      <c r="CJ106" s="115">
        <v>47.026058197021484</v>
      </c>
      <c r="CK106" s="115">
        <v>54.529083251953125</v>
      </c>
      <c r="CL106" s="116">
        <v>40.677562713623047</v>
      </c>
      <c r="CM106" s="117">
        <v>256.58926391601563</v>
      </c>
      <c r="CN106" s="115">
        <v>80.304916381835938</v>
      </c>
      <c r="CO106" s="115">
        <v>87.79705810546875</v>
      </c>
      <c r="CP106" s="115">
        <v>82.378814697265625</v>
      </c>
      <c r="CQ106" s="115">
        <v>0</v>
      </c>
      <c r="CR106" s="115">
        <v>53.69427490234375</v>
      </c>
      <c r="CS106" s="115">
        <v>10.740920066833496</v>
      </c>
      <c r="CT106" s="115">
        <v>41.080478668212891</v>
      </c>
      <c r="CU106" s="115">
        <v>56.112861633300781</v>
      </c>
      <c r="CV106" s="116">
        <v>77.956703186035156</v>
      </c>
      <c r="CW106" s="117">
        <v>4</v>
      </c>
      <c r="CX106" s="115">
        <v>405</v>
      </c>
      <c r="CY106" s="115">
        <v>194.740966796875</v>
      </c>
      <c r="CZ106" s="115">
        <v>53.558101654052734</v>
      </c>
      <c r="DA106" s="115">
        <v>20.54637336730957</v>
      </c>
      <c r="DB106" s="115">
        <v>38.823448181152344</v>
      </c>
      <c r="DC106" s="115">
        <v>88.542724609375</v>
      </c>
      <c r="DD106" s="115">
        <v>96</v>
      </c>
      <c r="DE106" s="115">
        <v>187</v>
      </c>
      <c r="DF106" s="115">
        <v>119.30020904541016</v>
      </c>
      <c r="DG106" s="115">
        <v>89.206489562988281</v>
      </c>
      <c r="DH106" s="115">
        <v>58.324089050292969</v>
      </c>
      <c r="DI106" s="120">
        <v>40.7965087890625</v>
      </c>
      <c r="DJ106" s="119">
        <v>231</v>
      </c>
      <c r="DK106" s="115">
        <v>130.54200744628906</v>
      </c>
      <c r="DL106" s="115">
        <v>28.839000701904297</v>
      </c>
      <c r="DM106" s="115">
        <v>46.474998474121094</v>
      </c>
      <c r="DN106" s="115">
        <v>54.250999450683594</v>
      </c>
      <c r="DO106" s="116">
        <v>112.87712097167969</v>
      </c>
      <c r="DP106" s="117">
        <v>15.918000221252441</v>
      </c>
      <c r="DQ106" s="115"/>
      <c r="DR106" s="117">
        <v>0</v>
      </c>
      <c r="DS106" s="120">
        <v>35.200000762939453</v>
      </c>
      <c r="DT106" s="119">
        <v>12</v>
      </c>
      <c r="DU106" s="115"/>
      <c r="DV106" s="115">
        <v>173</v>
      </c>
      <c r="DW106" s="115">
        <v>163.97621154785156</v>
      </c>
      <c r="DX106" s="117">
        <v>10</v>
      </c>
      <c r="DY106" s="120"/>
      <c r="DZ106" s="119">
        <v>47</v>
      </c>
      <c r="EA106" s="115">
        <v>3</v>
      </c>
      <c r="EB106" s="115">
        <v>0</v>
      </c>
      <c r="EC106" s="115">
        <v>2</v>
      </c>
      <c r="ED106" s="115">
        <v>291.60000610351563</v>
      </c>
      <c r="EE106" s="121">
        <v>44.853599548339844</v>
      </c>
      <c r="EF106" s="121">
        <v>45.316473007202148</v>
      </c>
      <c r="EG106" s="121">
        <v>47.088481267293297</v>
      </c>
      <c r="EH106" t="s">
        <v>88</v>
      </c>
    </row>
    <row r="107" spans="1:138" x14ac:dyDescent="0.3">
      <c r="A107" s="226">
        <f t="shared" si="6"/>
        <v>46020.071527778011</v>
      </c>
      <c r="B107" s="115">
        <v>283</v>
      </c>
      <c r="C107" s="115">
        <v>47.387001037597656</v>
      </c>
      <c r="D107" s="115">
        <v>101.33499908447266</v>
      </c>
      <c r="E107" s="115">
        <v>20.017999649047852</v>
      </c>
      <c r="F107" s="115">
        <v>36.602767944335938</v>
      </c>
      <c r="G107" s="116">
        <v>20.243999481201172</v>
      </c>
      <c r="H107" s="117">
        <v>317</v>
      </c>
      <c r="I107" s="115">
        <v>290</v>
      </c>
      <c r="J107" s="115">
        <v>68.536003112792969</v>
      </c>
      <c r="K107" s="115">
        <v>64.364906311035156</v>
      </c>
      <c r="L107" s="115">
        <v>47.006000518798828</v>
      </c>
      <c r="M107" s="115">
        <v>12.666000366210938</v>
      </c>
      <c r="N107" s="115">
        <v>17.684999465942383</v>
      </c>
      <c r="O107" s="115">
        <v>19</v>
      </c>
      <c r="P107" s="115">
        <v>0</v>
      </c>
      <c r="Q107" s="115">
        <v>19.246707916259766</v>
      </c>
      <c r="R107" s="115">
        <v>15</v>
      </c>
      <c r="S107" s="115">
        <v>14.920510292053223</v>
      </c>
      <c r="T107" s="115">
        <v>9</v>
      </c>
      <c r="U107" s="115">
        <v>9</v>
      </c>
      <c r="V107" s="117">
        <v>984</v>
      </c>
      <c r="W107" s="115">
        <v>31.590639114379883</v>
      </c>
      <c r="X107" s="115">
        <v>32.685001373291016</v>
      </c>
      <c r="Y107" s="115">
        <v>7.4429998397827148</v>
      </c>
      <c r="Z107" s="115">
        <v>0</v>
      </c>
      <c r="AA107" s="115">
        <v>25.785999298095703</v>
      </c>
      <c r="AB107" s="115">
        <v>0</v>
      </c>
      <c r="AC107" s="115">
        <v>58.747032165527344</v>
      </c>
      <c r="AD107" s="115">
        <v>5.8520002365112305</v>
      </c>
      <c r="AE107" s="115">
        <v>0</v>
      </c>
      <c r="AF107" s="115">
        <v>88.251495361328125</v>
      </c>
      <c r="AG107" s="115">
        <v>0</v>
      </c>
      <c r="AH107" s="115">
        <v>68.716529846191406</v>
      </c>
      <c r="AI107" s="115">
        <v>13.550000190734863</v>
      </c>
      <c r="AJ107" s="115">
        <v>22.593845367431641</v>
      </c>
      <c r="AK107" s="115">
        <v>46.362564086914063</v>
      </c>
      <c r="AL107" s="115">
        <v>55.133998870849609</v>
      </c>
      <c r="AM107" s="118">
        <v>55.983001708984375</v>
      </c>
      <c r="AN107" s="117">
        <v>133.5625</v>
      </c>
      <c r="AO107" s="119">
        <v>71</v>
      </c>
      <c r="AP107" s="115">
        <v>73.040878295898438</v>
      </c>
      <c r="AQ107" s="115">
        <v>43.994438171386719</v>
      </c>
      <c r="AR107" s="115">
        <v>80</v>
      </c>
      <c r="AS107" s="115"/>
      <c r="AT107" s="115">
        <v>122</v>
      </c>
      <c r="AU107" s="115"/>
      <c r="AV107" s="115">
        <v>83</v>
      </c>
      <c r="AW107" s="115"/>
      <c r="AX107" s="115">
        <v>32</v>
      </c>
      <c r="AY107" s="115">
        <v>35.092819213867188</v>
      </c>
      <c r="AZ107" s="115">
        <v>19</v>
      </c>
      <c r="BA107" s="115"/>
      <c r="BB107" s="115">
        <v>301</v>
      </c>
      <c r="BC107" s="115">
        <v>301.70867919921875</v>
      </c>
      <c r="BD107" s="115">
        <v>7</v>
      </c>
      <c r="BE107" s="115">
        <v>7.0442829132080078</v>
      </c>
      <c r="BF107" s="115">
        <v>30</v>
      </c>
      <c r="BG107" s="115">
        <v>11</v>
      </c>
      <c r="BH107" s="115">
        <v>11.404380798339844</v>
      </c>
      <c r="BI107" s="115"/>
      <c r="BJ107" s="108">
        <f t="shared" si="4"/>
        <v>17</v>
      </c>
      <c r="BK107" s="115">
        <v>17</v>
      </c>
      <c r="BL107" s="115">
        <v>0</v>
      </c>
      <c r="BM107" s="118"/>
      <c r="BN107" s="108">
        <f t="shared" si="5"/>
        <v>123</v>
      </c>
      <c r="BO107" s="108">
        <v>74</v>
      </c>
      <c r="BP107" s="108">
        <v>49</v>
      </c>
      <c r="BQ107" s="108">
        <v>297</v>
      </c>
      <c r="BR107" s="115">
        <v>84.596000671386719</v>
      </c>
      <c r="BS107" s="115">
        <v>25.191999435424805</v>
      </c>
      <c r="BT107" s="115">
        <v>46.411998748779297</v>
      </c>
      <c r="BU107" s="115">
        <v>40.969001770019531</v>
      </c>
      <c r="BV107" s="115">
        <v>68.900001525878906</v>
      </c>
      <c r="BW107" s="115">
        <v>6.4000000953674316</v>
      </c>
      <c r="BX107" s="115">
        <v>13.5</v>
      </c>
      <c r="BY107" s="115">
        <v>29</v>
      </c>
      <c r="BZ107" s="115">
        <v>19.887557983398438</v>
      </c>
      <c r="CA107" s="115">
        <v>19</v>
      </c>
      <c r="CB107" s="115">
        <v>30.550149917602539</v>
      </c>
      <c r="CC107" s="118"/>
      <c r="CD107" s="115">
        <v>402.5667724609375</v>
      </c>
      <c r="CE107" s="115">
        <v>69.213233947753906</v>
      </c>
      <c r="CF107" s="115">
        <v>25.934261322021484</v>
      </c>
      <c r="CG107" s="115">
        <v>35.338191986083984</v>
      </c>
      <c r="CH107" s="115">
        <v>289.53817749023438</v>
      </c>
      <c r="CI107" s="115">
        <v>97.342666625976563</v>
      </c>
      <c r="CJ107" s="115">
        <v>45.331871032714844</v>
      </c>
      <c r="CK107" s="115">
        <v>55.855995178222656</v>
      </c>
      <c r="CL107" s="116">
        <v>37.763744354248047</v>
      </c>
      <c r="CM107" s="117">
        <v>252.25724792480469</v>
      </c>
      <c r="CN107" s="115">
        <v>79.006591796875</v>
      </c>
      <c r="CO107" s="115">
        <v>86.569610595703125</v>
      </c>
      <c r="CP107" s="115">
        <v>79.3798828125</v>
      </c>
      <c r="CQ107" s="115">
        <v>0</v>
      </c>
      <c r="CR107" s="115">
        <v>54.193912506103516</v>
      </c>
      <c r="CS107" s="115">
        <v>12.124555587768555</v>
      </c>
      <c r="CT107" s="115">
        <v>38.660411834716797</v>
      </c>
      <c r="CU107" s="115">
        <v>56.635143280029297</v>
      </c>
      <c r="CV107" s="116">
        <v>79.410385131835938</v>
      </c>
      <c r="CW107" s="117">
        <v>2</v>
      </c>
      <c r="CX107" s="115">
        <v>409</v>
      </c>
      <c r="CY107" s="115">
        <v>195.3519287109375</v>
      </c>
      <c r="CZ107" s="115">
        <v>56.554580688476563</v>
      </c>
      <c r="DA107" s="115">
        <v>22.449792861938477</v>
      </c>
      <c r="DB107" s="115">
        <v>39.373149871826172</v>
      </c>
      <c r="DC107" s="115">
        <v>89.497367858886719</v>
      </c>
      <c r="DD107" s="115">
        <v>94</v>
      </c>
      <c r="DE107" s="115">
        <v>187</v>
      </c>
      <c r="DF107" s="115">
        <v>119.46675872802734</v>
      </c>
      <c r="DG107" s="115">
        <v>91.508781433105469</v>
      </c>
      <c r="DH107" s="115">
        <v>59.474380493164063</v>
      </c>
      <c r="DI107" s="120">
        <v>40.841217041015625</v>
      </c>
      <c r="DJ107" s="119">
        <v>227</v>
      </c>
      <c r="DK107" s="115">
        <v>124.94400024414063</v>
      </c>
      <c r="DL107" s="115">
        <v>26.125</v>
      </c>
      <c r="DM107" s="115">
        <v>43.118000030517578</v>
      </c>
      <c r="DN107" s="115">
        <v>52.837001800537109</v>
      </c>
      <c r="DO107" s="116">
        <v>113.25107574462891</v>
      </c>
      <c r="DP107" s="117">
        <v>16.201000213623047</v>
      </c>
      <c r="DQ107" s="115"/>
      <c r="DR107" s="117">
        <v>0</v>
      </c>
      <c r="DS107" s="120">
        <v>35.400001525878906</v>
      </c>
      <c r="DT107" s="119">
        <v>13</v>
      </c>
      <c r="DU107" s="115"/>
      <c r="DV107" s="115">
        <v>173</v>
      </c>
      <c r="DW107" s="115">
        <v>164.45442199707031</v>
      </c>
      <c r="DX107" s="117">
        <v>10</v>
      </c>
      <c r="DY107" s="120"/>
      <c r="DZ107" s="119">
        <v>48</v>
      </c>
      <c r="EA107" s="115">
        <v>3</v>
      </c>
      <c r="EB107" s="115">
        <v>0</v>
      </c>
      <c r="EC107" s="115">
        <v>1</v>
      </c>
      <c r="ED107" s="115">
        <v>291.89999389648438</v>
      </c>
      <c r="EE107" s="121">
        <v>18.716035842895508</v>
      </c>
      <c r="EF107" s="121">
        <v>18.927041689554851</v>
      </c>
      <c r="EG107" s="121">
        <v>19.65365810394287</v>
      </c>
      <c r="EH107" t="s">
        <v>89</v>
      </c>
    </row>
    <row r="108" spans="1:138" x14ac:dyDescent="0.3">
      <c r="A108" s="226">
        <f t="shared" si="6"/>
        <v>46020.072222222458</v>
      </c>
      <c r="B108" s="115">
        <v>282</v>
      </c>
      <c r="C108" s="115">
        <v>51.006000518798828</v>
      </c>
      <c r="D108" s="115">
        <v>101.10900115966797</v>
      </c>
      <c r="E108" s="115">
        <v>21.488000869750977</v>
      </c>
      <c r="F108" s="115">
        <v>36.136363983154297</v>
      </c>
      <c r="G108" s="116">
        <v>18.094999313354492</v>
      </c>
      <c r="H108" s="117">
        <v>323</v>
      </c>
      <c r="I108" s="115">
        <v>292</v>
      </c>
      <c r="J108" s="115">
        <v>68.988998413085938</v>
      </c>
      <c r="K108" s="115">
        <v>63.775306701660156</v>
      </c>
      <c r="L108" s="115">
        <v>47.006000518798828</v>
      </c>
      <c r="M108" s="115">
        <v>13.119000434875488</v>
      </c>
      <c r="N108" s="115">
        <v>17.302999496459961</v>
      </c>
      <c r="O108" s="115">
        <v>20</v>
      </c>
      <c r="P108" s="115">
        <v>0</v>
      </c>
      <c r="Q108" s="115">
        <v>20.621738433837891</v>
      </c>
      <c r="R108" s="115">
        <v>16.003124237060547</v>
      </c>
      <c r="S108" s="115">
        <v>15.706469535827637</v>
      </c>
      <c r="T108" s="115">
        <v>9</v>
      </c>
      <c r="U108" s="115">
        <v>9</v>
      </c>
      <c r="V108" s="117">
        <v>986</v>
      </c>
      <c r="W108" s="115">
        <v>32.452701568603516</v>
      </c>
      <c r="X108" s="115">
        <v>32.571998596191406</v>
      </c>
      <c r="Y108" s="115">
        <v>7.6339998245239258</v>
      </c>
      <c r="Z108" s="115">
        <v>0</v>
      </c>
      <c r="AA108" s="115">
        <v>25.559000015258789</v>
      </c>
      <c r="AB108" s="115">
        <v>0</v>
      </c>
      <c r="AC108" s="115">
        <v>59.664035797119141</v>
      </c>
      <c r="AD108" s="115">
        <v>6.1069998741149902</v>
      </c>
      <c r="AE108" s="115">
        <v>0</v>
      </c>
      <c r="AF108" s="115">
        <v>88.708641052246094</v>
      </c>
      <c r="AG108" s="115">
        <v>0</v>
      </c>
      <c r="AH108" s="115">
        <v>70.053260803222656</v>
      </c>
      <c r="AI108" s="115">
        <v>14.821999549865723</v>
      </c>
      <c r="AJ108" s="115">
        <v>24.406597137451172</v>
      </c>
      <c r="AK108" s="115">
        <v>46.280174255371094</v>
      </c>
      <c r="AL108" s="115">
        <v>54.958000183105469</v>
      </c>
      <c r="AM108" s="118">
        <v>55.791999816894531</v>
      </c>
      <c r="AN108" s="117">
        <v>136.25</v>
      </c>
      <c r="AO108" s="119">
        <v>74</v>
      </c>
      <c r="AP108" s="115">
        <v>72.074089050292969</v>
      </c>
      <c r="AQ108" s="115">
        <v>43.759822845458984</v>
      </c>
      <c r="AR108" s="115">
        <v>81</v>
      </c>
      <c r="AS108" s="115"/>
      <c r="AT108" s="115">
        <v>122</v>
      </c>
      <c r="AU108" s="115"/>
      <c r="AV108" s="115">
        <v>84</v>
      </c>
      <c r="AW108" s="115"/>
      <c r="AX108" s="115">
        <v>33</v>
      </c>
      <c r="AY108" s="115">
        <v>34.373317718505859</v>
      </c>
      <c r="AZ108" s="115">
        <v>19</v>
      </c>
      <c r="BA108" s="115"/>
      <c r="BB108" s="115">
        <v>301</v>
      </c>
      <c r="BC108" s="115">
        <v>303.65557861328125</v>
      </c>
      <c r="BD108" s="115">
        <v>7</v>
      </c>
      <c r="BE108" s="115">
        <v>7.059730052947998</v>
      </c>
      <c r="BF108" s="115">
        <v>29</v>
      </c>
      <c r="BG108" s="115">
        <v>11</v>
      </c>
      <c r="BH108" s="115">
        <v>11.404380798339844</v>
      </c>
      <c r="BI108" s="115"/>
      <c r="BJ108" s="108">
        <f t="shared" si="4"/>
        <v>16</v>
      </c>
      <c r="BK108" s="115">
        <v>16</v>
      </c>
      <c r="BL108" s="115">
        <v>0</v>
      </c>
      <c r="BM108" s="118"/>
      <c r="BN108" s="108">
        <f t="shared" si="5"/>
        <v>122</v>
      </c>
      <c r="BO108" s="108">
        <v>73</v>
      </c>
      <c r="BP108" s="108">
        <v>49</v>
      </c>
      <c r="BQ108" s="108">
        <v>288</v>
      </c>
      <c r="BR108" s="115">
        <v>79.846000671386719</v>
      </c>
      <c r="BS108" s="115">
        <v>25.445999145507813</v>
      </c>
      <c r="BT108" s="115">
        <v>46.064998626708984</v>
      </c>
      <c r="BU108" s="115">
        <v>40.206001281738281</v>
      </c>
      <c r="BV108" s="115">
        <v>69.599998474121094</v>
      </c>
      <c r="BW108" s="115">
        <v>6.4000000953674316</v>
      </c>
      <c r="BX108" s="115">
        <v>13.800000190734863</v>
      </c>
      <c r="BY108" s="115">
        <v>29</v>
      </c>
      <c r="BZ108" s="115">
        <v>19.883037567138672</v>
      </c>
      <c r="CA108" s="115">
        <v>19</v>
      </c>
      <c r="CB108" s="115">
        <v>30.550149917602539</v>
      </c>
      <c r="CC108" s="118"/>
      <c r="CD108" s="115">
        <v>399.22836303710938</v>
      </c>
      <c r="CE108" s="115">
        <v>67.144027709960938</v>
      </c>
      <c r="CF108" s="115">
        <v>26.240106582641602</v>
      </c>
      <c r="CG108" s="115">
        <v>35.338191986083984</v>
      </c>
      <c r="CH108" s="115">
        <v>290.08969116210938</v>
      </c>
      <c r="CI108" s="115">
        <v>95.806732177734375</v>
      </c>
      <c r="CJ108" s="115">
        <v>44.970100402832031</v>
      </c>
      <c r="CK108" s="115">
        <v>53.843574523925781</v>
      </c>
      <c r="CL108" s="116">
        <v>37.452953338623047</v>
      </c>
      <c r="CM108" s="117">
        <v>249.47789001464844</v>
      </c>
      <c r="CN108" s="115">
        <v>77.3955078125</v>
      </c>
      <c r="CO108" s="115">
        <v>87.194671630859375</v>
      </c>
      <c r="CP108" s="115">
        <v>79.102493286132813</v>
      </c>
      <c r="CQ108" s="115">
        <v>0</v>
      </c>
      <c r="CR108" s="115">
        <v>54.465141296386719</v>
      </c>
      <c r="CS108" s="115">
        <v>10.376440048217773</v>
      </c>
      <c r="CT108" s="115">
        <v>39.74200439453125</v>
      </c>
      <c r="CU108" s="115">
        <v>52.156276702880859</v>
      </c>
      <c r="CV108" s="116">
        <v>77.929763793945313</v>
      </c>
      <c r="CW108" s="117">
        <v>3</v>
      </c>
      <c r="CX108" s="115">
        <v>421</v>
      </c>
      <c r="CY108" s="115">
        <v>190.71028137207031</v>
      </c>
      <c r="CZ108" s="115">
        <v>59.148799896240234</v>
      </c>
      <c r="DA108" s="115">
        <v>21.819419860839844</v>
      </c>
      <c r="DB108" s="115">
        <v>36.527198791503906</v>
      </c>
      <c r="DC108" s="115">
        <v>87.022010803222656</v>
      </c>
      <c r="DD108" s="115">
        <v>92</v>
      </c>
      <c r="DE108" s="115">
        <v>186</v>
      </c>
      <c r="DF108" s="115">
        <v>118.71200561523438</v>
      </c>
      <c r="DG108" s="115">
        <v>88.460540771484375</v>
      </c>
      <c r="DH108" s="115">
        <v>58.36102294921875</v>
      </c>
      <c r="DI108" s="120">
        <v>41.213939666748047</v>
      </c>
      <c r="DJ108" s="119">
        <v>225</v>
      </c>
      <c r="DK108" s="115">
        <v>124.94400024414063</v>
      </c>
      <c r="DL108" s="115">
        <v>26.125</v>
      </c>
      <c r="DM108" s="115">
        <v>44.000999450683594</v>
      </c>
      <c r="DN108" s="115">
        <v>53.367000579833984</v>
      </c>
      <c r="DO108" s="116">
        <v>112.81458282470703</v>
      </c>
      <c r="DP108" s="117">
        <v>16.059000015258789</v>
      </c>
      <c r="DQ108" s="115"/>
      <c r="DR108" s="117">
        <v>0</v>
      </c>
      <c r="DS108" s="120">
        <v>33.900001525878906</v>
      </c>
      <c r="DT108" s="119">
        <v>13</v>
      </c>
      <c r="DU108" s="115"/>
      <c r="DV108" s="115">
        <v>172</v>
      </c>
      <c r="DW108" s="115">
        <v>164.90817260742188</v>
      </c>
      <c r="DX108" s="117">
        <v>12</v>
      </c>
      <c r="DY108" s="120"/>
      <c r="DZ108" s="119">
        <v>47</v>
      </c>
      <c r="EA108" s="115">
        <v>3</v>
      </c>
      <c r="EB108" s="115">
        <v>0</v>
      </c>
      <c r="EC108" s="115">
        <v>1</v>
      </c>
      <c r="ED108" s="115">
        <v>291</v>
      </c>
      <c r="EE108" s="121">
        <v>26.64805793762207</v>
      </c>
      <c r="EF108" s="121">
        <v>28.194637934366863</v>
      </c>
      <c r="EG108" s="121">
        <v>30.203117815653481</v>
      </c>
      <c r="EH108" t="s">
        <v>90</v>
      </c>
    </row>
    <row r="109" spans="1:138" x14ac:dyDescent="0.3">
      <c r="A109" s="226">
        <f t="shared" si="6"/>
        <v>46020.072916666904</v>
      </c>
      <c r="B109" s="123">
        <v>282</v>
      </c>
      <c r="C109" s="123">
        <v>51.006000518798828</v>
      </c>
      <c r="D109" s="123">
        <v>102.23899841308594</v>
      </c>
      <c r="E109" s="123">
        <v>19.791999816894531</v>
      </c>
      <c r="F109" s="123">
        <v>36.011783599853516</v>
      </c>
      <c r="G109" s="124">
        <v>18.434000015258789</v>
      </c>
      <c r="H109" s="125">
        <v>316</v>
      </c>
      <c r="I109" s="123">
        <v>287</v>
      </c>
      <c r="J109" s="123">
        <v>68.875999450683594</v>
      </c>
      <c r="K109" s="123">
        <v>64.295440673828125</v>
      </c>
      <c r="L109" s="123">
        <v>45.769001007080078</v>
      </c>
      <c r="M109" s="123">
        <v>12.892999649047852</v>
      </c>
      <c r="N109" s="123">
        <v>17.749000549316406</v>
      </c>
      <c r="O109" s="123">
        <v>20</v>
      </c>
      <c r="P109" s="123">
        <v>0</v>
      </c>
      <c r="Q109" s="123">
        <v>19.755840301513672</v>
      </c>
      <c r="R109" s="123">
        <v>16.003124237060547</v>
      </c>
      <c r="S109" s="123">
        <v>16.739667892456055</v>
      </c>
      <c r="T109" s="123">
        <v>9</v>
      </c>
      <c r="U109" s="123">
        <v>9</v>
      </c>
      <c r="V109" s="125">
        <v>996</v>
      </c>
      <c r="W109" s="123">
        <v>31.425754547119141</v>
      </c>
      <c r="X109" s="123">
        <v>32.685001373291016</v>
      </c>
      <c r="Y109" s="123">
        <v>8.4610004425048828</v>
      </c>
      <c r="Z109" s="123">
        <v>0</v>
      </c>
      <c r="AA109" s="123">
        <v>23.52400016784668</v>
      </c>
      <c r="AB109" s="123">
        <v>0</v>
      </c>
      <c r="AC109" s="123">
        <v>59.664035797119141</v>
      </c>
      <c r="AD109" s="123">
        <v>6.1069998741149902</v>
      </c>
      <c r="AE109" s="123">
        <v>0</v>
      </c>
      <c r="AF109" s="123">
        <v>88.677726745605469</v>
      </c>
      <c r="AG109" s="123">
        <v>0</v>
      </c>
      <c r="AH109" s="123">
        <v>66.449455261230469</v>
      </c>
      <c r="AI109" s="123">
        <v>14.821999549865723</v>
      </c>
      <c r="AJ109" s="123">
        <v>26.248453140258789</v>
      </c>
      <c r="AK109" s="123">
        <v>47.736434936523438</v>
      </c>
      <c r="AL109" s="123">
        <v>54.250999450683594</v>
      </c>
      <c r="AM109" s="126">
        <v>57.063999176025391</v>
      </c>
      <c r="AN109" s="125">
        <v>133.5625</v>
      </c>
      <c r="AO109" s="127">
        <v>69</v>
      </c>
      <c r="AP109" s="123">
        <v>71.115028381347656</v>
      </c>
      <c r="AQ109" s="123">
        <v>43.480484008789063</v>
      </c>
      <c r="AR109" s="123">
        <v>81</v>
      </c>
      <c r="AS109" s="123"/>
      <c r="AT109" s="123">
        <v>121</v>
      </c>
      <c r="AU109" s="123"/>
      <c r="AV109" s="123">
        <v>82</v>
      </c>
      <c r="AW109" s="123"/>
      <c r="AX109" s="123">
        <v>31</v>
      </c>
      <c r="AY109" s="123">
        <v>34.529655456542969</v>
      </c>
      <c r="AZ109" s="123">
        <v>19</v>
      </c>
      <c r="BA109" s="123"/>
      <c r="BB109" s="123">
        <v>302</v>
      </c>
      <c r="BC109" s="123">
        <v>299.53521728515625</v>
      </c>
      <c r="BD109" s="123">
        <v>7</v>
      </c>
      <c r="BE109" s="123">
        <v>7.052100658416748</v>
      </c>
      <c r="BF109" s="123">
        <v>29</v>
      </c>
      <c r="BG109" s="123">
        <v>11</v>
      </c>
      <c r="BH109" s="123">
        <v>11.412569999694824</v>
      </c>
      <c r="BI109" s="123"/>
      <c r="BJ109" s="108">
        <f t="shared" si="4"/>
        <v>17</v>
      </c>
      <c r="BK109" s="123">
        <v>17</v>
      </c>
      <c r="BL109" s="123">
        <v>0</v>
      </c>
      <c r="BM109" s="126"/>
      <c r="BN109" s="108">
        <f t="shared" si="5"/>
        <v>122</v>
      </c>
      <c r="BO109" s="108">
        <v>73</v>
      </c>
      <c r="BP109" s="108">
        <v>49</v>
      </c>
      <c r="BQ109" s="108">
        <v>292</v>
      </c>
      <c r="BR109" s="123">
        <v>78.037002563476563</v>
      </c>
      <c r="BS109" s="123">
        <v>25.701000213623047</v>
      </c>
      <c r="BT109" s="123">
        <v>45.0260009765625</v>
      </c>
      <c r="BU109" s="123">
        <v>40.715000152587891</v>
      </c>
      <c r="BV109" s="123">
        <v>69.599998474121094</v>
      </c>
      <c r="BW109" s="123">
        <v>6.4000000953674316</v>
      </c>
      <c r="BX109" s="123">
        <v>13.600000381469727</v>
      </c>
      <c r="BY109" s="123">
        <v>29</v>
      </c>
      <c r="BZ109" s="123">
        <v>19.904361724853516</v>
      </c>
      <c r="CA109" s="123">
        <v>19</v>
      </c>
      <c r="CB109" s="123">
        <v>30.433818817138672</v>
      </c>
      <c r="CC109" s="126"/>
      <c r="CD109" s="123">
        <v>396.37158203125</v>
      </c>
      <c r="CE109" s="123">
        <v>65.662422180175781</v>
      </c>
      <c r="CF109" s="123">
        <v>26.528648376464844</v>
      </c>
      <c r="CG109" s="123">
        <v>35.338191986083984</v>
      </c>
      <c r="CH109" s="123">
        <v>290.27780151367188</v>
      </c>
      <c r="CI109" s="123">
        <v>98.821502685546875</v>
      </c>
      <c r="CJ109" s="123">
        <v>45.965724945068359</v>
      </c>
      <c r="CK109" s="123">
        <v>55.686931610107422</v>
      </c>
      <c r="CL109" s="124">
        <v>37.452953338623047</v>
      </c>
      <c r="CM109" s="125">
        <v>251.35110473632813</v>
      </c>
      <c r="CN109" s="123">
        <v>79.7833251953125</v>
      </c>
      <c r="CO109" s="123">
        <v>87.690017700195313</v>
      </c>
      <c r="CP109" s="123">
        <v>79.647216796875</v>
      </c>
      <c r="CQ109" s="123">
        <v>0</v>
      </c>
      <c r="CR109" s="123">
        <v>54.759052276611328</v>
      </c>
      <c r="CS109" s="123">
        <v>11.185247421264648</v>
      </c>
      <c r="CT109" s="123">
        <v>39.040279388427734</v>
      </c>
      <c r="CU109" s="123">
        <v>50.995510101318359</v>
      </c>
      <c r="CV109" s="124">
        <v>77.374122619628906</v>
      </c>
      <c r="CW109" s="125">
        <v>3</v>
      </c>
      <c r="CX109" s="123">
        <v>414</v>
      </c>
      <c r="CY109" s="123">
        <v>193.80908203125</v>
      </c>
      <c r="CZ109" s="123">
        <v>60.148757934570313</v>
      </c>
      <c r="DA109" s="123">
        <v>22.299091339111328</v>
      </c>
      <c r="DB109" s="123">
        <v>35.965087890625</v>
      </c>
      <c r="DC109" s="123">
        <v>86.078239440917969</v>
      </c>
      <c r="DD109" s="123">
        <v>87</v>
      </c>
      <c r="DE109" s="123">
        <v>187</v>
      </c>
      <c r="DF109" s="123">
        <v>119.77842712402344</v>
      </c>
      <c r="DG109" s="123">
        <v>86.243911743164063</v>
      </c>
      <c r="DH109" s="123">
        <v>56.527538299560547</v>
      </c>
      <c r="DI109" s="128">
        <v>42.580181121826172</v>
      </c>
      <c r="DJ109" s="127">
        <v>222</v>
      </c>
      <c r="DK109" s="123">
        <v>121.88999938964844</v>
      </c>
      <c r="DL109" s="123">
        <v>26.011999130249023</v>
      </c>
      <c r="DM109" s="123">
        <v>39.759998321533203</v>
      </c>
      <c r="DN109" s="123">
        <v>53.191001892089844</v>
      </c>
      <c r="DO109" s="124">
        <v>114.16378784179688</v>
      </c>
      <c r="DP109" s="125">
        <v>15.973999977111816</v>
      </c>
      <c r="DQ109" s="123"/>
      <c r="DR109" s="125">
        <v>0</v>
      </c>
      <c r="DS109" s="128">
        <v>34.400001525878906</v>
      </c>
      <c r="DT109" s="127">
        <v>13</v>
      </c>
      <c r="DU109" s="123"/>
      <c r="DV109" s="123">
        <v>176</v>
      </c>
      <c r="DW109" s="123">
        <v>163.72267150878906</v>
      </c>
      <c r="DX109" s="125">
        <v>11</v>
      </c>
      <c r="DY109" s="128"/>
      <c r="DZ109" s="127">
        <v>48</v>
      </c>
      <c r="EA109" s="123">
        <v>3</v>
      </c>
      <c r="EB109" s="123">
        <v>0</v>
      </c>
      <c r="EC109" s="123">
        <v>1</v>
      </c>
      <c r="ED109" s="123">
        <v>287.20001220703125</v>
      </c>
      <c r="EE109" s="129">
        <v>67.490821838378906</v>
      </c>
      <c r="EF109" s="129">
        <v>68.055023193359375</v>
      </c>
      <c r="EG109" s="129">
        <v>70.221483612060553</v>
      </c>
      <c r="EH109" t="s">
        <v>91</v>
      </c>
    </row>
    <row r="110" spans="1:138" x14ac:dyDescent="0.3">
      <c r="A110" s="226">
        <f t="shared" si="6"/>
        <v>46020.073611111351</v>
      </c>
      <c r="B110" s="123">
        <v>282</v>
      </c>
      <c r="C110" s="123">
        <v>52.816001892089844</v>
      </c>
      <c r="D110" s="123">
        <v>102.91799926757813</v>
      </c>
      <c r="E110" s="123">
        <v>19.677999496459961</v>
      </c>
      <c r="F110" s="123">
        <v>36.011783599853516</v>
      </c>
      <c r="G110" s="124">
        <v>19.113000869750977</v>
      </c>
      <c r="H110" s="125">
        <v>323</v>
      </c>
      <c r="I110" s="123">
        <v>287</v>
      </c>
      <c r="J110" s="123">
        <v>71.363998413085938</v>
      </c>
      <c r="K110" s="123">
        <v>63.056758880615234</v>
      </c>
      <c r="L110" s="123">
        <v>47.888999938964844</v>
      </c>
      <c r="M110" s="123">
        <v>13.458000183105469</v>
      </c>
      <c r="N110" s="123">
        <v>17.048999786376953</v>
      </c>
      <c r="O110" s="123">
        <v>21</v>
      </c>
      <c r="P110" s="123">
        <v>0</v>
      </c>
      <c r="Q110" s="123">
        <v>21.083524703979492</v>
      </c>
      <c r="R110" s="123">
        <v>16.996875762939453</v>
      </c>
      <c r="S110" s="123">
        <v>17.336324691772461</v>
      </c>
      <c r="T110" s="123">
        <v>9</v>
      </c>
      <c r="U110" s="123">
        <v>9</v>
      </c>
      <c r="V110" s="125">
        <v>988</v>
      </c>
      <c r="W110" s="123">
        <v>30.934417724609375</v>
      </c>
      <c r="X110" s="123">
        <v>33.023998260498047</v>
      </c>
      <c r="Y110" s="123">
        <v>7.4429998397827148</v>
      </c>
      <c r="Z110" s="123">
        <v>0</v>
      </c>
      <c r="AA110" s="123">
        <v>24.767999649047852</v>
      </c>
      <c r="AB110" s="123">
        <v>0</v>
      </c>
      <c r="AC110" s="123">
        <v>60.653896331787109</v>
      </c>
      <c r="AD110" s="123">
        <v>6.1069998741149902</v>
      </c>
      <c r="AE110" s="123">
        <v>0</v>
      </c>
      <c r="AF110" s="123">
        <v>88.833419799804688</v>
      </c>
      <c r="AG110" s="123">
        <v>0</v>
      </c>
      <c r="AH110" s="123">
        <v>66.135887145996094</v>
      </c>
      <c r="AI110" s="123">
        <v>15.267999649047852</v>
      </c>
      <c r="AJ110" s="123">
        <v>25.769989013671875</v>
      </c>
      <c r="AK110" s="123">
        <v>47.698326110839844</v>
      </c>
      <c r="AL110" s="123">
        <v>53.543998718261719</v>
      </c>
      <c r="AM110" s="126">
        <v>55.4739990234375</v>
      </c>
      <c r="AN110" s="125">
        <v>134.1875</v>
      </c>
      <c r="AO110" s="127">
        <v>73</v>
      </c>
      <c r="AP110" s="123">
        <v>71.399368286132813</v>
      </c>
      <c r="AQ110" s="123">
        <v>45.731208801269531</v>
      </c>
      <c r="AR110" s="123">
        <v>81</v>
      </c>
      <c r="AS110" s="123"/>
      <c r="AT110" s="123">
        <v>122</v>
      </c>
      <c r="AU110" s="123"/>
      <c r="AV110" s="123">
        <v>76</v>
      </c>
      <c r="AW110" s="123"/>
      <c r="AX110" s="123">
        <v>31</v>
      </c>
      <c r="AY110" s="123">
        <v>34.541423797607422</v>
      </c>
      <c r="AZ110" s="123">
        <v>19</v>
      </c>
      <c r="BA110" s="123"/>
      <c r="BB110" s="123">
        <v>300</v>
      </c>
      <c r="BC110" s="123">
        <v>304.28860473632813</v>
      </c>
      <c r="BD110" s="123">
        <v>7.0999999046325684</v>
      </c>
      <c r="BE110" s="123">
        <v>7.052100658416748</v>
      </c>
      <c r="BF110" s="123">
        <v>30</v>
      </c>
      <c r="BG110" s="123">
        <v>11</v>
      </c>
      <c r="BH110" s="123">
        <v>11.378746032714844</v>
      </c>
      <c r="BI110" s="123"/>
      <c r="BJ110" s="108">
        <f t="shared" si="4"/>
        <v>16</v>
      </c>
      <c r="BK110" s="123">
        <v>16</v>
      </c>
      <c r="BL110" s="123">
        <v>0</v>
      </c>
      <c r="BM110" s="126"/>
      <c r="BN110" s="108">
        <f t="shared" si="5"/>
        <v>122</v>
      </c>
      <c r="BO110" s="108">
        <v>73</v>
      </c>
      <c r="BP110" s="108">
        <v>49</v>
      </c>
      <c r="BQ110" s="108">
        <v>294</v>
      </c>
      <c r="BR110" s="123">
        <v>82.221000671386719</v>
      </c>
      <c r="BS110" s="123">
        <v>25.954999923706055</v>
      </c>
      <c r="BT110" s="123">
        <v>45.0260009765625</v>
      </c>
      <c r="BU110" s="123">
        <v>40.077999114990234</v>
      </c>
      <c r="BV110" s="123">
        <v>68.699996948242188</v>
      </c>
      <c r="BW110" s="123">
        <v>6.4000000953674316</v>
      </c>
      <c r="BX110" s="123">
        <v>13.5</v>
      </c>
      <c r="BY110" s="123">
        <v>31</v>
      </c>
      <c r="BZ110" s="123">
        <v>19.889715194702148</v>
      </c>
      <c r="CA110" s="123">
        <v>20</v>
      </c>
      <c r="CB110" s="123">
        <v>30.3018798828125</v>
      </c>
      <c r="CC110" s="126"/>
      <c r="CD110" s="123">
        <v>404.822021484375</v>
      </c>
      <c r="CE110" s="123">
        <v>69.350761413574219</v>
      </c>
      <c r="CF110" s="123">
        <v>25.636663436889648</v>
      </c>
      <c r="CG110" s="123">
        <v>35.338191986083984</v>
      </c>
      <c r="CH110" s="123">
        <v>290.35601806640625</v>
      </c>
      <c r="CI110" s="123">
        <v>97.076042175292969</v>
      </c>
      <c r="CJ110" s="123">
        <v>46.908641815185547</v>
      </c>
      <c r="CK110" s="123">
        <v>53.838726043701172</v>
      </c>
      <c r="CL110" s="124">
        <v>39.501762390136719</v>
      </c>
      <c r="CM110" s="125">
        <v>255.98367309570313</v>
      </c>
      <c r="CN110" s="123">
        <v>81.075096130371094</v>
      </c>
      <c r="CO110" s="123">
        <v>86.932151794433594</v>
      </c>
      <c r="CP110" s="123">
        <v>82.886283874511719</v>
      </c>
      <c r="CQ110" s="123">
        <v>0</v>
      </c>
      <c r="CR110" s="123">
        <v>56.310630798339844</v>
      </c>
      <c r="CS110" s="123">
        <v>11.317996025085449</v>
      </c>
      <c r="CT110" s="123">
        <v>39.601409912109375</v>
      </c>
      <c r="CU110" s="123">
        <v>48.664512634277344</v>
      </c>
      <c r="CV110" s="124">
        <v>78.189437866210938</v>
      </c>
      <c r="CW110" s="125">
        <v>2</v>
      </c>
      <c r="CX110" s="123">
        <v>417</v>
      </c>
      <c r="CY110" s="123">
        <v>192.87255859375</v>
      </c>
      <c r="CZ110" s="123">
        <v>59.282875061035156</v>
      </c>
      <c r="DA110" s="123">
        <v>22.063999176025391</v>
      </c>
      <c r="DB110" s="123">
        <v>36.517959594726563</v>
      </c>
      <c r="DC110" s="123">
        <v>86.313011169433594</v>
      </c>
      <c r="DD110" s="123">
        <v>84</v>
      </c>
      <c r="DE110" s="123">
        <v>188</v>
      </c>
      <c r="DF110" s="123">
        <v>117.98938751220703</v>
      </c>
      <c r="DG110" s="123">
        <v>84.175605773925781</v>
      </c>
      <c r="DH110" s="123">
        <v>56.331871032714844</v>
      </c>
      <c r="DI110" s="128">
        <v>40.318927764892578</v>
      </c>
      <c r="DJ110" s="127">
        <v>223</v>
      </c>
      <c r="DK110" s="123">
        <v>121.63600158691406</v>
      </c>
      <c r="DL110" s="123">
        <v>25.673000335693359</v>
      </c>
      <c r="DM110" s="123">
        <v>39.759998321533203</v>
      </c>
      <c r="DN110" s="123">
        <v>49.479999542236328</v>
      </c>
      <c r="DO110" s="124">
        <v>115.52375793457031</v>
      </c>
      <c r="DP110" s="125">
        <v>15.748000144958496</v>
      </c>
      <c r="DQ110" s="123"/>
      <c r="DR110" s="125">
        <v>0</v>
      </c>
      <c r="DS110" s="128">
        <v>33.5</v>
      </c>
      <c r="DT110" s="127">
        <v>13</v>
      </c>
      <c r="DU110" s="123"/>
      <c r="DV110" s="123">
        <v>176</v>
      </c>
      <c r="DW110" s="123">
        <v>164.00291442871094</v>
      </c>
      <c r="DX110" s="125">
        <v>11</v>
      </c>
      <c r="DY110" s="128"/>
      <c r="DZ110" s="127">
        <v>47</v>
      </c>
      <c r="EA110" s="123">
        <v>3</v>
      </c>
      <c r="EB110" s="123">
        <v>0</v>
      </c>
      <c r="EC110" s="123">
        <v>1</v>
      </c>
      <c r="ED110" s="123">
        <v>284.10000610351563</v>
      </c>
      <c r="EE110" s="129">
        <v>33</v>
      </c>
      <c r="EF110" s="129">
        <v>38.333333333333336</v>
      </c>
      <c r="EG110" s="129">
        <v>44.85</v>
      </c>
      <c r="EH110" t="s">
        <v>249</v>
      </c>
    </row>
    <row r="111" spans="1:138" x14ac:dyDescent="0.3">
      <c r="A111" s="226">
        <f t="shared" si="6"/>
        <v>46020.074305555798</v>
      </c>
      <c r="B111" s="123">
        <v>280</v>
      </c>
      <c r="C111" s="123">
        <v>51.685001373291016</v>
      </c>
      <c r="D111" s="123">
        <v>100.65599822998047</v>
      </c>
      <c r="E111" s="123">
        <v>21.14900016784668</v>
      </c>
      <c r="F111" s="123">
        <v>38.720287322998047</v>
      </c>
      <c r="G111" s="124">
        <v>19.565000534057617</v>
      </c>
      <c r="H111" s="125">
        <v>322</v>
      </c>
      <c r="I111" s="123">
        <v>292</v>
      </c>
      <c r="J111" s="123">
        <v>71.025001525878906</v>
      </c>
      <c r="K111" s="123">
        <v>64.670921325683594</v>
      </c>
      <c r="L111" s="123">
        <v>48.243000030517578</v>
      </c>
      <c r="M111" s="123">
        <v>13.458000183105469</v>
      </c>
      <c r="N111" s="123">
        <v>17.749000549316406</v>
      </c>
      <c r="O111" s="123">
        <v>21</v>
      </c>
      <c r="P111" s="123">
        <v>0</v>
      </c>
      <c r="Q111" s="123">
        <v>21.083524703979492</v>
      </c>
      <c r="R111" s="123">
        <v>16.003124237060547</v>
      </c>
      <c r="S111" s="123">
        <v>13.505989074707031</v>
      </c>
      <c r="T111" s="123">
        <v>9</v>
      </c>
      <c r="U111" s="123">
        <v>9</v>
      </c>
      <c r="V111" s="125">
        <v>979</v>
      </c>
      <c r="W111" s="123">
        <v>31.230209350585938</v>
      </c>
      <c r="X111" s="123">
        <v>31.440999984741211</v>
      </c>
      <c r="Y111" s="123">
        <v>8.2060003280639648</v>
      </c>
      <c r="Z111" s="123">
        <v>0</v>
      </c>
      <c r="AA111" s="123">
        <v>24.201999664306641</v>
      </c>
      <c r="AB111" s="123">
        <v>0</v>
      </c>
      <c r="AC111" s="123">
        <v>58.998226165771484</v>
      </c>
      <c r="AD111" s="123">
        <v>6.1069998741149902</v>
      </c>
      <c r="AE111" s="123">
        <v>0</v>
      </c>
      <c r="AF111" s="123">
        <v>87.008216857910156</v>
      </c>
      <c r="AG111" s="123">
        <v>0</v>
      </c>
      <c r="AH111" s="123">
        <v>69.060043334960938</v>
      </c>
      <c r="AI111" s="123">
        <v>16.285999298095703</v>
      </c>
      <c r="AJ111" s="123">
        <v>22.347894668579102</v>
      </c>
      <c r="AK111" s="123">
        <v>48.670642852783203</v>
      </c>
      <c r="AL111" s="123">
        <v>56.724998474121094</v>
      </c>
      <c r="AM111" s="126">
        <v>56.681999206542969</v>
      </c>
      <c r="AN111" s="125">
        <v>132.3125</v>
      </c>
      <c r="AO111" s="127">
        <v>72</v>
      </c>
      <c r="AP111" s="123">
        <v>71.3560791015625</v>
      </c>
      <c r="AQ111" s="123">
        <v>43.736431121826172</v>
      </c>
      <c r="AR111" s="123">
        <v>83</v>
      </c>
      <c r="AS111" s="123"/>
      <c r="AT111" s="123">
        <v>122</v>
      </c>
      <c r="AU111" s="123"/>
      <c r="AV111" s="123">
        <v>76</v>
      </c>
      <c r="AW111" s="123"/>
      <c r="AX111" s="123">
        <v>32</v>
      </c>
      <c r="AY111" s="123">
        <v>33.768547058105469</v>
      </c>
      <c r="AZ111" s="123">
        <v>19</v>
      </c>
      <c r="BA111" s="123"/>
      <c r="BB111" s="123">
        <v>301</v>
      </c>
      <c r="BC111" s="123">
        <v>301.2423095703125</v>
      </c>
      <c r="BD111" s="123">
        <v>7</v>
      </c>
      <c r="BE111" s="123">
        <v>7.0442719459533691</v>
      </c>
      <c r="BF111" s="123">
        <v>30</v>
      </c>
      <c r="BG111" s="123">
        <v>11</v>
      </c>
      <c r="BH111" s="123">
        <v>11.481182098388672</v>
      </c>
      <c r="BI111" s="123"/>
      <c r="BJ111" s="108">
        <f t="shared" si="4"/>
        <v>16</v>
      </c>
      <c r="BK111" s="123">
        <v>16</v>
      </c>
      <c r="BL111" s="123">
        <v>0</v>
      </c>
      <c r="BM111" s="126"/>
      <c r="BN111" s="108">
        <f t="shared" si="5"/>
        <v>123</v>
      </c>
      <c r="BO111" s="108">
        <v>74</v>
      </c>
      <c r="BP111" s="108">
        <v>49</v>
      </c>
      <c r="BQ111" s="108">
        <v>288</v>
      </c>
      <c r="BR111" s="123">
        <v>82.446998596191406</v>
      </c>
      <c r="BS111" s="123">
        <v>26.209999084472656</v>
      </c>
      <c r="BT111" s="123">
        <v>46.064998626708984</v>
      </c>
      <c r="BU111" s="123">
        <v>40.077999114990234</v>
      </c>
      <c r="BV111" s="123">
        <v>68.900001525878906</v>
      </c>
      <c r="BW111" s="123">
        <v>6.3000001907348633</v>
      </c>
      <c r="BX111" s="123">
        <v>13.399999618530273</v>
      </c>
      <c r="BY111" s="123">
        <v>29</v>
      </c>
      <c r="BZ111" s="123">
        <v>19.866352081298828</v>
      </c>
      <c r="CA111" s="123">
        <v>19</v>
      </c>
      <c r="CB111" s="123">
        <v>30.219335556030273</v>
      </c>
      <c r="CC111" s="126"/>
      <c r="CD111" s="123">
        <v>397.70407104492188</v>
      </c>
      <c r="CE111" s="123">
        <v>67.089630126953125</v>
      </c>
      <c r="CF111" s="123">
        <v>25.049501419067383</v>
      </c>
      <c r="CG111" s="123">
        <v>35.338191986083984</v>
      </c>
      <c r="CH111" s="123">
        <v>289.88739013671875</v>
      </c>
      <c r="CI111" s="123">
        <v>101.11389923095703</v>
      </c>
      <c r="CJ111" s="123">
        <v>47.803966522216797</v>
      </c>
      <c r="CK111" s="123">
        <v>54.871662139892578</v>
      </c>
      <c r="CL111" s="124">
        <v>38.590366363525391</v>
      </c>
      <c r="CM111" s="125">
        <v>249.3360595703125</v>
      </c>
      <c r="CN111" s="123">
        <v>77.593849182128906</v>
      </c>
      <c r="CO111" s="123">
        <v>87.298316955566406</v>
      </c>
      <c r="CP111" s="123">
        <v>79.791114807128906</v>
      </c>
      <c r="CQ111" s="123">
        <v>0</v>
      </c>
      <c r="CR111" s="123">
        <v>55.497547149658203</v>
      </c>
      <c r="CS111" s="123">
        <v>10.768006324768066</v>
      </c>
      <c r="CT111" s="123">
        <v>41.365131378173828</v>
      </c>
      <c r="CU111" s="123">
        <v>53.619918823242188</v>
      </c>
      <c r="CV111" s="124">
        <v>78.294670104980469</v>
      </c>
      <c r="CW111" s="125">
        <v>0</v>
      </c>
      <c r="CX111" s="123">
        <v>413</v>
      </c>
      <c r="CY111" s="123">
        <v>194.54905700683594</v>
      </c>
      <c r="CZ111" s="123">
        <v>59.976139068603516</v>
      </c>
      <c r="DA111" s="123">
        <v>22.582418441772461</v>
      </c>
      <c r="DB111" s="123">
        <v>38.759502410888672</v>
      </c>
      <c r="DC111" s="123">
        <v>86.885795593261719</v>
      </c>
      <c r="DD111" s="123">
        <v>86</v>
      </c>
      <c r="DE111" s="123">
        <v>186</v>
      </c>
      <c r="DF111" s="123">
        <v>119.10103607177734</v>
      </c>
      <c r="DG111" s="123">
        <v>85.052864074707031</v>
      </c>
      <c r="DH111" s="123">
        <v>58.740150451660156</v>
      </c>
      <c r="DI111" s="128">
        <v>39.061717987060547</v>
      </c>
      <c r="DJ111" s="127">
        <v>228</v>
      </c>
      <c r="DK111" s="123">
        <v>124.68900299072266</v>
      </c>
      <c r="DL111" s="123">
        <v>25.673000335693359</v>
      </c>
      <c r="DM111" s="123">
        <v>41.527000427246094</v>
      </c>
      <c r="DN111" s="123">
        <v>53.721000671386719</v>
      </c>
      <c r="DO111" s="124">
        <v>115.66164398193359</v>
      </c>
      <c r="DP111" s="125">
        <v>15.748000144958496</v>
      </c>
      <c r="DQ111" s="123"/>
      <c r="DR111" s="125">
        <v>0</v>
      </c>
      <c r="DS111" s="128">
        <v>33.700000762939453</v>
      </c>
      <c r="DT111" s="127">
        <v>13</v>
      </c>
      <c r="DU111" s="123"/>
      <c r="DV111" s="123">
        <v>168</v>
      </c>
      <c r="DW111" s="123">
        <v>164.24664306640625</v>
      </c>
      <c r="DX111" s="125">
        <v>12</v>
      </c>
      <c r="DY111" s="128"/>
      <c r="DZ111" s="127">
        <v>48</v>
      </c>
      <c r="EA111" s="123">
        <v>3</v>
      </c>
      <c r="EB111" s="123">
        <v>0</v>
      </c>
      <c r="EC111" s="123">
        <v>1</v>
      </c>
      <c r="ED111" s="123">
        <v>283.60000610351563</v>
      </c>
      <c r="EE111" s="129">
        <v>165</v>
      </c>
      <c r="EF111" s="129">
        <v>166.5</v>
      </c>
      <c r="EG111" s="129">
        <v>168.36666666666667</v>
      </c>
      <c r="EH111" t="s">
        <v>721</v>
      </c>
    </row>
    <row r="112" spans="1:138" x14ac:dyDescent="0.3">
      <c r="A112" s="226">
        <f t="shared" si="6"/>
        <v>46020.075000000244</v>
      </c>
      <c r="B112" s="123">
        <v>282</v>
      </c>
      <c r="C112" s="123">
        <v>47.160999298095703</v>
      </c>
      <c r="D112" s="123">
        <v>100.99500274658203</v>
      </c>
      <c r="E112" s="123">
        <v>23.863000869750977</v>
      </c>
      <c r="F112" s="123">
        <v>38.461936950683594</v>
      </c>
      <c r="G112" s="124">
        <v>18.320999145507813</v>
      </c>
      <c r="H112" s="125">
        <v>322</v>
      </c>
      <c r="I112" s="123">
        <v>288</v>
      </c>
      <c r="J112" s="123">
        <v>69.441001892089844</v>
      </c>
      <c r="K112" s="123">
        <v>64.136947631835938</v>
      </c>
      <c r="L112" s="123">
        <v>46.474998474121094</v>
      </c>
      <c r="M112" s="123">
        <v>13.458000183105469</v>
      </c>
      <c r="N112" s="123">
        <v>16.857999801635742</v>
      </c>
      <c r="O112" s="123">
        <v>22</v>
      </c>
      <c r="P112" s="123">
        <v>0</v>
      </c>
      <c r="Q112" s="123">
        <v>22.297773361206055</v>
      </c>
      <c r="R112" s="123">
        <v>13.003125190734863</v>
      </c>
      <c r="S112" s="123">
        <v>13.505989074707031</v>
      </c>
      <c r="T112" s="123">
        <v>9</v>
      </c>
      <c r="U112" s="123">
        <v>9</v>
      </c>
      <c r="V112" s="125">
        <v>984</v>
      </c>
      <c r="W112" s="123">
        <v>30.109878540039063</v>
      </c>
      <c r="X112" s="123">
        <v>30.988000869750977</v>
      </c>
      <c r="Y112" s="123">
        <v>8.9060001373291016</v>
      </c>
      <c r="Z112" s="123">
        <v>0</v>
      </c>
      <c r="AA112" s="123">
        <v>24.541999816894531</v>
      </c>
      <c r="AB112" s="123">
        <v>0</v>
      </c>
      <c r="AC112" s="123">
        <v>58.698516845703125</v>
      </c>
      <c r="AD112" s="123">
        <v>6.1069998741149902</v>
      </c>
      <c r="AE112" s="123">
        <v>0</v>
      </c>
      <c r="AF112" s="123">
        <v>85.719192504882813</v>
      </c>
      <c r="AG112" s="123">
        <v>0</v>
      </c>
      <c r="AH112" s="123">
        <v>69.317939758300781</v>
      </c>
      <c r="AI112" s="123">
        <v>15.713000297546387</v>
      </c>
      <c r="AJ112" s="123">
        <v>22.347894668579102</v>
      </c>
      <c r="AK112" s="123">
        <v>48.051033020019531</v>
      </c>
      <c r="AL112" s="123">
        <v>57.784999847412109</v>
      </c>
      <c r="AM112" s="126">
        <v>55.091999053955078</v>
      </c>
      <c r="AN112" s="125">
        <v>133.25</v>
      </c>
      <c r="AO112" s="127">
        <v>74</v>
      </c>
      <c r="AP112" s="123">
        <v>71.072174072265625</v>
      </c>
      <c r="AQ112" s="123">
        <v>44.773166656494141</v>
      </c>
      <c r="AR112" s="123">
        <v>81</v>
      </c>
      <c r="AS112" s="123"/>
      <c r="AT112" s="123">
        <v>123</v>
      </c>
      <c r="AU112" s="123"/>
      <c r="AV112" s="123">
        <v>72</v>
      </c>
      <c r="AW112" s="123"/>
      <c r="AX112" s="123">
        <v>32</v>
      </c>
      <c r="AY112" s="123">
        <v>34.2144775390625</v>
      </c>
      <c r="AZ112" s="123">
        <v>19</v>
      </c>
      <c r="BA112" s="123"/>
      <c r="BB112" s="123">
        <v>301</v>
      </c>
      <c r="BC112" s="123">
        <v>298.71160888671875</v>
      </c>
      <c r="BD112" s="123">
        <v>7</v>
      </c>
      <c r="BE112" s="123">
        <v>7.0646476745605469</v>
      </c>
      <c r="BF112" s="123">
        <v>30</v>
      </c>
      <c r="BG112" s="123">
        <v>11</v>
      </c>
      <c r="BH112" s="123">
        <v>11.559325218200684</v>
      </c>
      <c r="BI112" s="123"/>
      <c r="BJ112" s="108">
        <f t="shared" si="4"/>
        <v>16</v>
      </c>
      <c r="BK112" s="123">
        <v>16</v>
      </c>
      <c r="BL112" s="123">
        <v>0</v>
      </c>
      <c r="BM112" s="126"/>
      <c r="BN112" s="108">
        <f t="shared" si="5"/>
        <v>123</v>
      </c>
      <c r="BO112" s="108">
        <v>74</v>
      </c>
      <c r="BP112" s="108">
        <v>49</v>
      </c>
      <c r="BQ112" s="108">
        <v>293</v>
      </c>
      <c r="BR112" s="123">
        <v>82.900001525878906</v>
      </c>
      <c r="BS112" s="123">
        <v>26.718999862670898</v>
      </c>
      <c r="BT112" s="123">
        <v>44.333999633789063</v>
      </c>
      <c r="BU112" s="123">
        <v>39.314998626708984</v>
      </c>
      <c r="BV112" s="123">
        <v>69.099998474121094</v>
      </c>
      <c r="BW112" s="123">
        <v>6.1999998092651367</v>
      </c>
      <c r="BX112" s="123">
        <v>13.600000381469727</v>
      </c>
      <c r="BY112" s="123">
        <v>30</v>
      </c>
      <c r="BZ112" s="123">
        <v>19.910249710083008</v>
      </c>
      <c r="CA112" s="123">
        <v>19</v>
      </c>
      <c r="CB112" s="123">
        <v>29.61442756652832</v>
      </c>
      <c r="CC112" s="126"/>
      <c r="CD112" s="123">
        <v>397.1365966796875</v>
      </c>
      <c r="CE112" s="123">
        <v>67.137580871582031</v>
      </c>
      <c r="CF112" s="123">
        <v>25.049501419067383</v>
      </c>
      <c r="CG112" s="123">
        <v>35.338191986083984</v>
      </c>
      <c r="CH112" s="123">
        <v>289.8875732421875</v>
      </c>
      <c r="CI112" s="123">
        <v>98.420684814453125</v>
      </c>
      <c r="CJ112" s="123">
        <v>47.736934661865234</v>
      </c>
      <c r="CK112" s="123">
        <v>53.95928955078125</v>
      </c>
      <c r="CL112" s="124">
        <v>38.468757629394531</v>
      </c>
      <c r="CM112" s="125">
        <v>251.50747680664063</v>
      </c>
      <c r="CN112" s="123">
        <v>78.483665466308594</v>
      </c>
      <c r="CO112" s="123">
        <v>89.849822998046875</v>
      </c>
      <c r="CP112" s="123">
        <v>79.578948974609375</v>
      </c>
      <c r="CQ112" s="123">
        <v>0</v>
      </c>
      <c r="CR112" s="123">
        <v>54.286273956298828</v>
      </c>
      <c r="CS112" s="123">
        <v>10.839230537414551</v>
      </c>
      <c r="CT112" s="123">
        <v>40.632740020751953</v>
      </c>
      <c r="CU112" s="123">
        <v>52.092750549316406</v>
      </c>
      <c r="CV112" s="124">
        <v>80.18121337890625</v>
      </c>
      <c r="CW112" s="125">
        <v>2</v>
      </c>
      <c r="CX112" s="123">
        <v>420</v>
      </c>
      <c r="CY112" s="123">
        <v>193.9730224609375</v>
      </c>
      <c r="CZ112" s="123">
        <v>58.847431182861328</v>
      </c>
      <c r="DA112" s="123">
        <v>22.544101715087891</v>
      </c>
      <c r="DB112" s="123">
        <v>38.759502410888672</v>
      </c>
      <c r="DC112" s="123">
        <v>86.741874694824219</v>
      </c>
      <c r="DD112" s="123">
        <v>86</v>
      </c>
      <c r="DE112" s="123">
        <v>185</v>
      </c>
      <c r="DF112" s="123">
        <v>118.03667449951172</v>
      </c>
      <c r="DG112" s="123">
        <v>85.052864074707031</v>
      </c>
      <c r="DH112" s="123">
        <v>56.875350952148438</v>
      </c>
      <c r="DI112" s="128">
        <v>39.504459381103516</v>
      </c>
      <c r="DJ112" s="127">
        <v>230</v>
      </c>
      <c r="DK112" s="123">
        <v>123.67099761962891</v>
      </c>
      <c r="DL112" s="123">
        <v>28.839000701904297</v>
      </c>
      <c r="DM112" s="123">
        <v>42.234001159667969</v>
      </c>
      <c r="DN112" s="123">
        <v>48.772998809814453</v>
      </c>
      <c r="DO112" s="124">
        <v>115.57518005371094</v>
      </c>
      <c r="DP112" s="125">
        <v>16.482999801635742</v>
      </c>
      <c r="DQ112" s="123"/>
      <c r="DR112" s="125">
        <v>0</v>
      </c>
      <c r="DS112" s="128">
        <v>34.700000762939453</v>
      </c>
      <c r="DT112" s="127">
        <v>12</v>
      </c>
      <c r="DU112" s="123"/>
      <c r="DV112" s="123">
        <v>172</v>
      </c>
      <c r="DW112" s="123">
        <v>164.61080932617188</v>
      </c>
      <c r="DX112" s="125">
        <v>11</v>
      </c>
      <c r="DY112" s="128"/>
      <c r="DZ112" s="127">
        <v>48</v>
      </c>
      <c r="EA112" s="123">
        <v>3</v>
      </c>
      <c r="EB112" s="123">
        <v>0</v>
      </c>
      <c r="EC112" s="123">
        <v>1</v>
      </c>
      <c r="ED112" s="123">
        <v>284.60000610351563</v>
      </c>
      <c r="EE112" s="129">
        <v>94.973640441894531</v>
      </c>
      <c r="EF112" s="129">
        <v>95.368634541829422</v>
      </c>
      <c r="EG112" s="129">
        <v>97.251313527425125</v>
      </c>
      <c r="EH112" t="s">
        <v>92</v>
      </c>
    </row>
    <row r="113" spans="1:138" x14ac:dyDescent="0.3">
      <c r="A113" s="226">
        <f t="shared" si="6"/>
        <v>46020.075694444691</v>
      </c>
      <c r="B113" s="123">
        <v>280</v>
      </c>
      <c r="C113" s="123">
        <v>47.5</v>
      </c>
      <c r="D113" s="123">
        <v>100.99500274658203</v>
      </c>
      <c r="E113" s="123">
        <v>24.993999481201172</v>
      </c>
      <c r="F113" s="123">
        <v>37.830360412597656</v>
      </c>
      <c r="G113" s="124">
        <v>18.886999130249023</v>
      </c>
      <c r="H113" s="125">
        <v>321</v>
      </c>
      <c r="I113" s="123">
        <v>288</v>
      </c>
      <c r="J113" s="123">
        <v>68.196998596191406</v>
      </c>
      <c r="K113" s="123">
        <v>63.405006408691406</v>
      </c>
      <c r="L113" s="123">
        <v>46.652000427246094</v>
      </c>
      <c r="M113" s="123">
        <v>13.232000350952148</v>
      </c>
      <c r="N113" s="123">
        <v>17.430999755859375</v>
      </c>
      <c r="O113" s="123">
        <v>22</v>
      </c>
      <c r="P113" s="123">
        <v>0</v>
      </c>
      <c r="Q113" s="123">
        <v>21.799812316894531</v>
      </c>
      <c r="R113" s="123">
        <v>15</v>
      </c>
      <c r="S113" s="123">
        <v>13.660126686096191</v>
      </c>
      <c r="T113" s="123">
        <v>0</v>
      </c>
      <c r="U113" s="123">
        <v>0</v>
      </c>
      <c r="V113" s="125">
        <v>985</v>
      </c>
      <c r="W113" s="123">
        <v>29.840946197509766</v>
      </c>
      <c r="X113" s="123">
        <v>31.666999816894531</v>
      </c>
      <c r="Y113" s="123">
        <v>8.5240001678466797</v>
      </c>
      <c r="Z113" s="123">
        <v>0</v>
      </c>
      <c r="AA113" s="123">
        <v>24.089000701904297</v>
      </c>
      <c r="AB113" s="123">
        <v>0</v>
      </c>
      <c r="AC113" s="123">
        <v>58.312324523925781</v>
      </c>
      <c r="AD113" s="123">
        <v>6.1069998741149902</v>
      </c>
      <c r="AE113" s="123">
        <v>0</v>
      </c>
      <c r="AF113" s="123">
        <v>85.160270690917969</v>
      </c>
      <c r="AG113" s="123">
        <v>0</v>
      </c>
      <c r="AH113" s="123">
        <v>66.5926513671875</v>
      </c>
      <c r="AI113" s="123">
        <v>14.821999549865723</v>
      </c>
      <c r="AJ113" s="123">
        <v>23.904239654541016</v>
      </c>
      <c r="AK113" s="123">
        <v>47.749347686767578</v>
      </c>
      <c r="AL113" s="123">
        <v>56.548000335693359</v>
      </c>
      <c r="AM113" s="126">
        <v>54.13800048828125</v>
      </c>
      <c r="AN113" s="125">
        <v>133.25</v>
      </c>
      <c r="AO113" s="127">
        <v>72</v>
      </c>
      <c r="AP113" s="123">
        <v>69.986053466796875</v>
      </c>
      <c r="AQ113" s="123">
        <v>45.102027893066406</v>
      </c>
      <c r="AR113" s="123">
        <v>81</v>
      </c>
      <c r="AS113" s="123"/>
      <c r="AT113" s="123">
        <v>123</v>
      </c>
      <c r="AU113" s="123"/>
      <c r="AV113" s="123">
        <v>72</v>
      </c>
      <c r="AW113" s="123"/>
      <c r="AX113" s="123">
        <v>31</v>
      </c>
      <c r="AY113" s="123">
        <v>33.887901306152344</v>
      </c>
      <c r="AZ113" s="123">
        <v>18</v>
      </c>
      <c r="BA113" s="123"/>
      <c r="BB113" s="123">
        <v>301</v>
      </c>
      <c r="BC113" s="123">
        <v>298.71160888671875</v>
      </c>
      <c r="BD113" s="123">
        <v>7.1999998092651367</v>
      </c>
      <c r="BE113" s="123">
        <v>7.176790714263916</v>
      </c>
      <c r="BF113" s="123">
        <v>30</v>
      </c>
      <c r="BG113" s="123">
        <v>11</v>
      </c>
      <c r="BH113" s="123">
        <v>11.371852874755859</v>
      </c>
      <c r="BI113" s="123"/>
      <c r="BJ113" s="108">
        <f t="shared" si="4"/>
        <v>17</v>
      </c>
      <c r="BK113" s="123">
        <v>17</v>
      </c>
      <c r="BL113" s="123">
        <v>0</v>
      </c>
      <c r="BM113" s="126"/>
      <c r="BN113" s="108">
        <f t="shared" si="5"/>
        <v>123</v>
      </c>
      <c r="BO113" s="108">
        <v>74</v>
      </c>
      <c r="BP113" s="108">
        <v>49</v>
      </c>
      <c r="BQ113" s="108">
        <v>293</v>
      </c>
      <c r="BR113" s="123">
        <v>83.464996337890625</v>
      </c>
      <c r="BS113" s="123">
        <v>26.209999084472656</v>
      </c>
      <c r="BT113" s="123">
        <v>46.064998626708984</v>
      </c>
      <c r="BU113" s="123">
        <v>40.333000183105469</v>
      </c>
      <c r="BV113" s="123">
        <v>68.900001525878906</v>
      </c>
      <c r="BW113" s="123">
        <v>6.3000001907348633</v>
      </c>
      <c r="BX113" s="123">
        <v>13.800000190734863</v>
      </c>
      <c r="BY113" s="123">
        <v>29</v>
      </c>
      <c r="BZ113" s="123">
        <v>19.920063018798828</v>
      </c>
      <c r="CA113" s="123">
        <v>19</v>
      </c>
      <c r="CB113" s="123">
        <v>29.42402458190918</v>
      </c>
      <c r="CC113" s="126"/>
      <c r="CD113" s="123">
        <v>406.78359985351563</v>
      </c>
      <c r="CE113" s="123">
        <v>67.147979736328125</v>
      </c>
      <c r="CF113" s="123">
        <v>25.134120941162109</v>
      </c>
      <c r="CG113" s="123">
        <v>35.338191986083984</v>
      </c>
      <c r="CH113" s="123">
        <v>289.58236694335938</v>
      </c>
      <c r="CI113" s="123">
        <v>97.194923400878906</v>
      </c>
      <c r="CJ113" s="123">
        <v>47.787807464599609</v>
      </c>
      <c r="CK113" s="123">
        <v>54.502628326416016</v>
      </c>
      <c r="CL113" s="124">
        <v>38.297542572021484</v>
      </c>
      <c r="CM113" s="125">
        <v>247.93502807617188</v>
      </c>
      <c r="CN113" s="123">
        <v>76.443405151367188</v>
      </c>
      <c r="CO113" s="123">
        <v>89.846961975097656</v>
      </c>
      <c r="CP113" s="123">
        <v>76.988662719726563</v>
      </c>
      <c r="CQ113" s="123">
        <v>0</v>
      </c>
      <c r="CR113" s="123">
        <v>53.731903076171875</v>
      </c>
      <c r="CS113" s="123">
        <v>12.055665016174316</v>
      </c>
      <c r="CT113" s="123">
        <v>40.861209869384766</v>
      </c>
      <c r="CU113" s="123">
        <v>52.159080505371094</v>
      </c>
      <c r="CV113" s="124">
        <v>78.271476745605469</v>
      </c>
      <c r="CW113" s="125">
        <v>2</v>
      </c>
      <c r="CX113" s="123">
        <v>412</v>
      </c>
      <c r="CY113" s="123">
        <v>192.8826904296875</v>
      </c>
      <c r="CZ113" s="123">
        <v>57.034679412841797</v>
      </c>
      <c r="DA113" s="123">
        <v>20.626312255859375</v>
      </c>
      <c r="DB113" s="123">
        <v>35.585968017578125</v>
      </c>
      <c r="DC113" s="123">
        <v>87.097366333007813</v>
      </c>
      <c r="DD113" s="123">
        <v>84</v>
      </c>
      <c r="DE113" s="123">
        <v>187</v>
      </c>
      <c r="DF113" s="123">
        <v>116.33245849609375</v>
      </c>
      <c r="DG113" s="123">
        <v>88.423583984375</v>
      </c>
      <c r="DH113" s="123">
        <v>57.194301605224609</v>
      </c>
      <c r="DI113" s="128">
        <v>37.651275634765625</v>
      </c>
      <c r="DJ113" s="127">
        <v>224</v>
      </c>
      <c r="DK113" s="123">
        <v>120.87200164794922</v>
      </c>
      <c r="DL113" s="123">
        <v>28.048000335693359</v>
      </c>
      <c r="DM113" s="123">
        <v>40.997001647949219</v>
      </c>
      <c r="DN113" s="123">
        <v>48.772998809814453</v>
      </c>
      <c r="DO113" s="124">
        <v>116.52344512939453</v>
      </c>
      <c r="DP113" s="125">
        <v>15.918000221252441</v>
      </c>
      <c r="DQ113" s="123"/>
      <c r="DR113" s="125">
        <v>0</v>
      </c>
      <c r="DS113" s="128">
        <v>36.099998474121094</v>
      </c>
      <c r="DT113" s="127">
        <v>13</v>
      </c>
      <c r="DU113" s="123"/>
      <c r="DV113" s="123">
        <v>173</v>
      </c>
      <c r="DW113" s="123">
        <v>164.61080932617188</v>
      </c>
      <c r="DX113" s="125">
        <v>11</v>
      </c>
      <c r="DY113" s="128"/>
      <c r="DZ113" s="127">
        <v>47</v>
      </c>
      <c r="EA113" s="123">
        <v>3</v>
      </c>
      <c r="EB113" s="123">
        <v>0</v>
      </c>
      <c r="EC113" s="123">
        <v>1</v>
      </c>
      <c r="ED113" s="123">
        <v>282.79998779296875</v>
      </c>
      <c r="EE113" s="129">
        <v>58.340904235839844</v>
      </c>
      <c r="EF113" s="129">
        <v>60.744429906209312</v>
      </c>
      <c r="EG113" s="129">
        <v>62.650705464680989</v>
      </c>
      <c r="EH113" t="s">
        <v>93</v>
      </c>
    </row>
    <row r="114" spans="1:138" x14ac:dyDescent="0.3">
      <c r="A114" s="226">
        <f t="shared" si="6"/>
        <v>46020.076388889138</v>
      </c>
      <c r="B114" s="123">
        <v>281</v>
      </c>
      <c r="C114" s="123">
        <v>51.346000671386719</v>
      </c>
      <c r="D114" s="123">
        <v>101.67400360107422</v>
      </c>
      <c r="E114" s="123">
        <v>21.826999664306641</v>
      </c>
      <c r="F114" s="123">
        <v>36.661739349365234</v>
      </c>
      <c r="G114" s="124">
        <v>19.113000869750977</v>
      </c>
      <c r="H114" s="125">
        <v>318</v>
      </c>
      <c r="I114" s="123">
        <v>289</v>
      </c>
      <c r="J114" s="123">
        <v>69.214996337890625</v>
      </c>
      <c r="K114" s="123">
        <v>63.652744293212891</v>
      </c>
      <c r="L114" s="123">
        <v>46.474998474121094</v>
      </c>
      <c r="M114" s="123">
        <v>13.345000267028809</v>
      </c>
      <c r="N114" s="123">
        <v>17.493999481201172</v>
      </c>
      <c r="O114" s="123">
        <v>22</v>
      </c>
      <c r="P114" s="123">
        <v>0</v>
      </c>
      <c r="Q114" s="123">
        <v>22.399633407592773</v>
      </c>
      <c r="R114" s="123">
        <v>13.003125190734863</v>
      </c>
      <c r="S114" s="123">
        <v>13.660126686096191</v>
      </c>
      <c r="T114" s="123">
        <v>0</v>
      </c>
      <c r="U114" s="123">
        <v>0</v>
      </c>
      <c r="V114" s="125">
        <v>985</v>
      </c>
      <c r="W114" s="123">
        <v>29.298826217651367</v>
      </c>
      <c r="X114" s="123">
        <v>30.535999298095703</v>
      </c>
      <c r="Y114" s="123">
        <v>7.9520001411437988</v>
      </c>
      <c r="Z114" s="123">
        <v>0</v>
      </c>
      <c r="AA114" s="123">
        <v>27.256000518798828</v>
      </c>
      <c r="AB114" s="123">
        <v>0</v>
      </c>
      <c r="AC114" s="123">
        <v>59.045356750488281</v>
      </c>
      <c r="AD114" s="123">
        <v>6.1069998741149902</v>
      </c>
      <c r="AE114" s="123">
        <v>0</v>
      </c>
      <c r="AF114" s="123">
        <v>87.335792541503906</v>
      </c>
      <c r="AG114" s="123">
        <v>0</v>
      </c>
      <c r="AH114" s="123">
        <v>65.630035400390625</v>
      </c>
      <c r="AI114" s="123">
        <v>14.059000015258789</v>
      </c>
      <c r="AJ114" s="123">
        <v>24.906322479248047</v>
      </c>
      <c r="AK114" s="123">
        <v>47.053230285644531</v>
      </c>
      <c r="AL114" s="123">
        <v>55.665000915527344</v>
      </c>
      <c r="AM114" s="126">
        <v>55.854999542236328</v>
      </c>
      <c r="AN114" s="125">
        <v>130.875</v>
      </c>
      <c r="AO114" s="127">
        <v>71</v>
      </c>
      <c r="AP114" s="123">
        <v>69.059730529785156</v>
      </c>
      <c r="AQ114" s="123">
        <v>43.573093414306641</v>
      </c>
      <c r="AR114" s="123">
        <v>84</v>
      </c>
      <c r="AS114" s="123"/>
      <c r="AT114" s="123">
        <v>122</v>
      </c>
      <c r="AU114" s="123"/>
      <c r="AV114" s="123">
        <v>79</v>
      </c>
      <c r="AW114" s="123"/>
      <c r="AX114" s="123">
        <v>33</v>
      </c>
      <c r="AY114" s="123">
        <v>34.086959838867188</v>
      </c>
      <c r="AZ114" s="123">
        <v>18</v>
      </c>
      <c r="BA114" s="123"/>
      <c r="BB114" s="123">
        <v>301</v>
      </c>
      <c r="BC114" s="123">
        <v>300.1416015625</v>
      </c>
      <c r="BD114" s="123">
        <v>7.0999999046325684</v>
      </c>
      <c r="BE114" s="123">
        <v>7.1575946807861328</v>
      </c>
      <c r="BF114" s="123">
        <v>30</v>
      </c>
      <c r="BG114" s="123">
        <v>11</v>
      </c>
      <c r="BH114" s="123">
        <v>11.396044731140137</v>
      </c>
      <c r="BI114" s="123"/>
      <c r="BJ114" s="108">
        <f t="shared" si="4"/>
        <v>17</v>
      </c>
      <c r="BK114" s="123">
        <v>17</v>
      </c>
      <c r="BL114" s="123">
        <v>0</v>
      </c>
      <c r="BM114" s="126"/>
      <c r="BN114" s="108">
        <f t="shared" si="5"/>
        <v>123</v>
      </c>
      <c r="BO114" s="108">
        <v>74</v>
      </c>
      <c r="BP114" s="108">
        <v>49</v>
      </c>
      <c r="BQ114" s="108">
        <v>282</v>
      </c>
      <c r="BR114" s="123">
        <v>77.358001708984375</v>
      </c>
      <c r="BS114" s="123">
        <v>25.445999145507813</v>
      </c>
      <c r="BT114" s="123">
        <v>41.215999603271484</v>
      </c>
      <c r="BU114" s="123">
        <v>39.569000244140625</v>
      </c>
      <c r="BV114" s="123">
        <v>69</v>
      </c>
      <c r="BW114" s="123">
        <v>6.3000001907348633</v>
      </c>
      <c r="BX114" s="123">
        <v>14.100000381469727</v>
      </c>
      <c r="BY114" s="123">
        <v>28</v>
      </c>
      <c r="BZ114" s="123">
        <v>19.920063018798828</v>
      </c>
      <c r="CA114" s="123">
        <v>19</v>
      </c>
      <c r="CB114" s="123">
        <v>29.433792114257813</v>
      </c>
      <c r="CC114" s="126"/>
      <c r="CD114" s="123">
        <v>395.06619262695313</v>
      </c>
      <c r="CE114" s="123">
        <v>65.606773376464844</v>
      </c>
      <c r="CF114" s="123">
        <v>25.397356033325195</v>
      </c>
      <c r="CG114" s="123">
        <v>35.338191986083984</v>
      </c>
      <c r="CH114" s="123">
        <v>288.4283447265625</v>
      </c>
      <c r="CI114" s="123">
        <v>96.490798950195313</v>
      </c>
      <c r="CJ114" s="123">
        <v>47.742256164550781</v>
      </c>
      <c r="CK114" s="123">
        <v>54.524391174316406</v>
      </c>
      <c r="CL114" s="124">
        <v>38.9002685546875</v>
      </c>
      <c r="CM114" s="125">
        <v>249.4718017578125</v>
      </c>
      <c r="CN114" s="123">
        <v>78.475204467773438</v>
      </c>
      <c r="CO114" s="123">
        <v>89.449394226074219</v>
      </c>
      <c r="CP114" s="123">
        <v>79.0177001953125</v>
      </c>
      <c r="CQ114" s="123">
        <v>0</v>
      </c>
      <c r="CR114" s="123">
        <v>55.094207763671875</v>
      </c>
      <c r="CS114" s="123">
        <v>10.786865234375</v>
      </c>
      <c r="CT114" s="123">
        <v>42.814788818359375</v>
      </c>
      <c r="CU114" s="123">
        <v>51.295551300048828</v>
      </c>
      <c r="CV114" s="124">
        <v>77.82861328125</v>
      </c>
      <c r="CW114" s="125">
        <v>4</v>
      </c>
      <c r="CX114" s="123">
        <v>407</v>
      </c>
      <c r="CY114" s="123">
        <v>190.10359191894531</v>
      </c>
      <c r="CZ114" s="123">
        <v>56.617374420166016</v>
      </c>
      <c r="DA114" s="123">
        <v>21.365932464599609</v>
      </c>
      <c r="DB114" s="123">
        <v>34.412391662597656</v>
      </c>
      <c r="DC114" s="123">
        <v>85.314186096191406</v>
      </c>
      <c r="DD114" s="123">
        <v>82</v>
      </c>
      <c r="DE114" s="123">
        <v>185</v>
      </c>
      <c r="DF114" s="123">
        <v>116.11854553222656</v>
      </c>
      <c r="DG114" s="123">
        <v>83.017723083496094</v>
      </c>
      <c r="DH114" s="123">
        <v>57.061729431152344</v>
      </c>
      <c r="DI114" s="128">
        <v>39.044479370117188</v>
      </c>
      <c r="DJ114" s="127">
        <v>222</v>
      </c>
      <c r="DK114" s="123">
        <v>118.58200073242188</v>
      </c>
      <c r="DL114" s="123">
        <v>27.142999649047852</v>
      </c>
      <c r="DM114" s="123">
        <v>35.341999053955078</v>
      </c>
      <c r="DN114" s="123">
        <v>51.953998565673828</v>
      </c>
      <c r="DO114" s="124">
        <v>114.07570648193359</v>
      </c>
      <c r="DP114" s="125">
        <v>15.918000221252441</v>
      </c>
      <c r="DQ114" s="123"/>
      <c r="DR114" s="125">
        <v>0</v>
      </c>
      <c r="DS114" s="128">
        <v>34.5</v>
      </c>
      <c r="DT114" s="127">
        <v>13</v>
      </c>
      <c r="DU114" s="123"/>
      <c r="DV114" s="123">
        <v>177</v>
      </c>
      <c r="DW114" s="123">
        <v>164.12452697753906</v>
      </c>
      <c r="DX114" s="125">
        <v>11</v>
      </c>
      <c r="DY114" s="128"/>
      <c r="DZ114" s="127">
        <v>47</v>
      </c>
      <c r="EA114" s="123">
        <v>3</v>
      </c>
      <c r="EB114" s="123">
        <v>0</v>
      </c>
      <c r="EC114" s="123">
        <v>1</v>
      </c>
      <c r="ED114" s="123">
        <v>280.89999389648438</v>
      </c>
      <c r="EE114" s="129">
        <v>38.671222686767578</v>
      </c>
      <c r="EF114" s="129">
        <v>39.156305948893227</v>
      </c>
      <c r="EG114" s="129">
        <v>40.525480016072592</v>
      </c>
      <c r="EH114" t="s">
        <v>94</v>
      </c>
    </row>
    <row r="115" spans="1:138" x14ac:dyDescent="0.3">
      <c r="A115" s="226">
        <f t="shared" si="6"/>
        <v>46020.077083333585</v>
      </c>
      <c r="B115" s="123">
        <v>280</v>
      </c>
      <c r="C115" s="123">
        <v>49.423000335693359</v>
      </c>
      <c r="D115" s="123">
        <v>101.10900115966797</v>
      </c>
      <c r="E115" s="123">
        <v>21.826999664306641</v>
      </c>
      <c r="F115" s="123">
        <v>38.271080017089844</v>
      </c>
      <c r="G115" s="124">
        <v>18.208000183105469</v>
      </c>
      <c r="H115" s="125">
        <v>320</v>
      </c>
      <c r="I115" s="123">
        <v>287</v>
      </c>
      <c r="J115" s="123">
        <v>69.441001892089844</v>
      </c>
      <c r="K115" s="123">
        <v>64.044769287109375</v>
      </c>
      <c r="L115" s="123">
        <v>47.535999298095703</v>
      </c>
      <c r="M115" s="123">
        <v>14.47599983215332</v>
      </c>
      <c r="N115" s="123">
        <v>17.493999481201172</v>
      </c>
      <c r="O115" s="123">
        <v>21</v>
      </c>
      <c r="P115" s="123">
        <v>0</v>
      </c>
      <c r="Q115" s="123">
        <v>21.668891906738281</v>
      </c>
      <c r="R115" s="123">
        <v>13.996874809265137</v>
      </c>
      <c r="S115" s="123">
        <v>14.050784111022949</v>
      </c>
      <c r="T115" s="123">
        <v>0</v>
      </c>
      <c r="U115" s="123">
        <v>0</v>
      </c>
      <c r="V115" s="125">
        <v>969</v>
      </c>
      <c r="W115" s="123">
        <v>28.098405838012695</v>
      </c>
      <c r="X115" s="123">
        <v>30.535999298095703</v>
      </c>
      <c r="Y115" s="123">
        <v>7.8239998817443848</v>
      </c>
      <c r="Z115" s="123">
        <v>0</v>
      </c>
      <c r="AA115" s="123">
        <v>25.445999145507813</v>
      </c>
      <c r="AB115" s="123">
        <v>0</v>
      </c>
      <c r="AC115" s="123">
        <v>59.994850158691406</v>
      </c>
      <c r="AD115" s="123">
        <v>6.1069998741149902</v>
      </c>
      <c r="AE115" s="123">
        <v>0</v>
      </c>
      <c r="AF115" s="123">
        <v>87.339622497558594</v>
      </c>
      <c r="AG115" s="123">
        <v>0</v>
      </c>
      <c r="AH115" s="123">
        <v>65.630035400390625</v>
      </c>
      <c r="AI115" s="123">
        <v>13.359000205993652</v>
      </c>
      <c r="AJ115" s="123">
        <v>24.486181259155273</v>
      </c>
      <c r="AK115" s="123">
        <v>46.796237945556641</v>
      </c>
      <c r="AL115" s="123">
        <v>54.074001312255859</v>
      </c>
      <c r="AM115" s="126">
        <v>56.555000305175781</v>
      </c>
      <c r="AN115" s="125">
        <v>127.3125</v>
      </c>
      <c r="AO115" s="127">
        <v>68</v>
      </c>
      <c r="AP115" s="123">
        <v>68.864288330078125</v>
      </c>
      <c r="AQ115" s="123">
        <v>39.263755798339844</v>
      </c>
      <c r="AR115" s="123">
        <v>83</v>
      </c>
      <c r="AS115" s="123"/>
      <c r="AT115" s="123">
        <v>122</v>
      </c>
      <c r="AU115" s="123"/>
      <c r="AV115" s="123">
        <v>81</v>
      </c>
      <c r="AW115" s="123"/>
      <c r="AX115" s="123">
        <v>32</v>
      </c>
      <c r="AY115" s="123">
        <v>34.225452423095703</v>
      </c>
      <c r="AZ115" s="123">
        <v>18</v>
      </c>
      <c r="BA115" s="123"/>
      <c r="BB115" s="123">
        <v>302</v>
      </c>
      <c r="BC115" s="123">
        <v>307.12060546875</v>
      </c>
      <c r="BD115" s="123">
        <v>7.0999999046325684</v>
      </c>
      <c r="BE115" s="123">
        <v>7.1226005554199219</v>
      </c>
      <c r="BF115" s="123">
        <v>30</v>
      </c>
      <c r="BG115" s="123">
        <v>11</v>
      </c>
      <c r="BH115" s="123">
        <v>11.715663909912109</v>
      </c>
      <c r="BI115" s="123"/>
      <c r="BJ115" s="108">
        <f t="shared" si="4"/>
        <v>17</v>
      </c>
      <c r="BK115" s="123">
        <v>17</v>
      </c>
      <c r="BL115" s="123">
        <v>0</v>
      </c>
      <c r="BM115" s="126"/>
      <c r="BN115" s="108">
        <f t="shared" si="5"/>
        <v>122</v>
      </c>
      <c r="BO115" s="108">
        <v>73</v>
      </c>
      <c r="BP115" s="108">
        <v>49</v>
      </c>
      <c r="BQ115" s="108">
        <v>282</v>
      </c>
      <c r="BR115" s="123">
        <v>80.185997009277344</v>
      </c>
      <c r="BS115" s="123">
        <v>25.445999145507813</v>
      </c>
      <c r="BT115" s="123">
        <v>41.562999725341797</v>
      </c>
      <c r="BU115" s="123">
        <v>39.506000518798828</v>
      </c>
      <c r="BV115" s="123">
        <v>69.5</v>
      </c>
      <c r="BW115" s="123">
        <v>6.1999998092651367</v>
      </c>
      <c r="BX115" s="123">
        <v>14</v>
      </c>
      <c r="BY115" s="123">
        <v>28</v>
      </c>
      <c r="BZ115" s="123">
        <v>19.926631927490234</v>
      </c>
      <c r="CA115" s="123">
        <v>19</v>
      </c>
      <c r="CB115" s="123">
        <v>29.353853225708008</v>
      </c>
      <c r="CC115" s="126"/>
      <c r="CD115" s="123">
        <v>404.86459350585938</v>
      </c>
      <c r="CE115" s="123">
        <v>65.741119384765625</v>
      </c>
      <c r="CF115" s="123">
        <v>24.354320526123047</v>
      </c>
      <c r="CG115" s="123">
        <v>35.338191986083984</v>
      </c>
      <c r="CH115" s="123">
        <v>286.015625</v>
      </c>
      <c r="CI115" s="123">
        <v>93.064262390136719</v>
      </c>
      <c r="CJ115" s="123">
        <v>42.811042785644531</v>
      </c>
      <c r="CK115" s="123">
        <v>52.989315032958984</v>
      </c>
      <c r="CL115" s="124">
        <v>39.612178802490234</v>
      </c>
      <c r="CM115" s="125">
        <v>246.52586364746094</v>
      </c>
      <c r="CN115" s="123">
        <v>79.289695739746094</v>
      </c>
      <c r="CO115" s="123">
        <v>86.088478088378906</v>
      </c>
      <c r="CP115" s="123">
        <v>76.821624755859375</v>
      </c>
      <c r="CQ115" s="123">
        <v>0</v>
      </c>
      <c r="CR115" s="123">
        <v>56.588958740234375</v>
      </c>
      <c r="CS115" s="123">
        <v>11.561342239379883</v>
      </c>
      <c r="CT115" s="123">
        <v>40.751605987548828</v>
      </c>
      <c r="CU115" s="123">
        <v>56.648933410644531</v>
      </c>
      <c r="CV115" s="124">
        <v>72.748954772949219</v>
      </c>
      <c r="CW115" s="125">
        <v>7</v>
      </c>
      <c r="CX115" s="123">
        <v>407</v>
      </c>
      <c r="CY115" s="123">
        <v>193.02369689941406</v>
      </c>
      <c r="CZ115" s="123">
        <v>57.033382415771484</v>
      </c>
      <c r="DA115" s="123">
        <v>21.596378326416016</v>
      </c>
      <c r="DB115" s="123">
        <v>35.399799346923828</v>
      </c>
      <c r="DC115" s="123">
        <v>84.919692993164063</v>
      </c>
      <c r="DD115" s="123">
        <v>82</v>
      </c>
      <c r="DE115" s="123">
        <v>186</v>
      </c>
      <c r="DF115" s="123">
        <v>116.92742156982422</v>
      </c>
      <c r="DG115" s="123">
        <v>84.407333374023438</v>
      </c>
      <c r="DH115" s="123">
        <v>57.061729431152344</v>
      </c>
      <c r="DI115" s="128">
        <v>38.812278747558594</v>
      </c>
      <c r="DJ115" s="127">
        <v>219</v>
      </c>
      <c r="DK115" s="123">
        <v>118.58200073242188</v>
      </c>
      <c r="DL115" s="123">
        <v>27.708000183105469</v>
      </c>
      <c r="DM115" s="123">
        <v>35.341999053955078</v>
      </c>
      <c r="DN115" s="123">
        <v>50.893001556396484</v>
      </c>
      <c r="DO115" s="124">
        <v>111.65254974365234</v>
      </c>
      <c r="DP115" s="125">
        <v>16.822999954223633</v>
      </c>
      <c r="DQ115" s="123"/>
      <c r="DR115" s="125">
        <v>0</v>
      </c>
      <c r="DS115" s="128">
        <v>33</v>
      </c>
      <c r="DT115" s="127">
        <v>13</v>
      </c>
      <c r="DU115" s="123"/>
      <c r="DV115" s="123">
        <v>175</v>
      </c>
      <c r="DW115" s="123">
        <v>164.14823913574219</v>
      </c>
      <c r="DX115" s="125">
        <v>11</v>
      </c>
      <c r="DY115" s="128"/>
      <c r="DZ115" s="127">
        <v>48</v>
      </c>
      <c r="EA115" s="123">
        <v>3</v>
      </c>
      <c r="EB115" s="123">
        <v>0</v>
      </c>
      <c r="EC115" s="123">
        <v>1</v>
      </c>
      <c r="ED115" s="123">
        <v>283.29998779296875</v>
      </c>
      <c r="EE115" s="129">
        <v>35.115634918212891</v>
      </c>
      <c r="EF115" s="129">
        <v>35.513547897338867</v>
      </c>
      <c r="EG115" s="129">
        <v>36.665082041422529</v>
      </c>
      <c r="EH115" t="s">
        <v>95</v>
      </c>
    </row>
    <row r="116" spans="1:138" x14ac:dyDescent="0.3">
      <c r="A116" s="226">
        <f t="shared" si="6"/>
        <v>46020.077777778031</v>
      </c>
      <c r="B116" s="123">
        <v>278</v>
      </c>
      <c r="C116" s="123">
        <v>50.327999114990234</v>
      </c>
      <c r="D116" s="123">
        <v>101.78700256347656</v>
      </c>
      <c r="E116" s="123">
        <v>22.844999313354492</v>
      </c>
      <c r="F116" s="123">
        <v>36.667430877685547</v>
      </c>
      <c r="G116" s="124">
        <v>17.868999481201172</v>
      </c>
      <c r="H116" s="125">
        <v>320</v>
      </c>
      <c r="I116" s="123">
        <v>289</v>
      </c>
      <c r="J116" s="123">
        <v>66.500999450683594</v>
      </c>
      <c r="K116" s="123">
        <v>63.813480377197266</v>
      </c>
      <c r="L116" s="123">
        <v>46.298999786376953</v>
      </c>
      <c r="M116" s="123">
        <v>13.119000434875488</v>
      </c>
      <c r="N116" s="123">
        <v>18.194000244140625</v>
      </c>
      <c r="O116" s="123">
        <v>20</v>
      </c>
      <c r="P116" s="123">
        <v>0</v>
      </c>
      <c r="Q116" s="123">
        <v>20.907247543334961</v>
      </c>
      <c r="R116" s="123">
        <v>15</v>
      </c>
      <c r="S116" s="123">
        <v>15.225050926208496</v>
      </c>
      <c r="T116" s="123">
        <v>0</v>
      </c>
      <c r="U116" s="123">
        <v>0</v>
      </c>
      <c r="V116" s="125">
        <v>969</v>
      </c>
      <c r="W116" s="123">
        <v>28.098405838012695</v>
      </c>
      <c r="X116" s="123">
        <v>30.64900016784668</v>
      </c>
      <c r="Y116" s="123">
        <v>7.8880000114440918</v>
      </c>
      <c r="Z116" s="123">
        <v>0</v>
      </c>
      <c r="AA116" s="123">
        <v>26.576999664306641</v>
      </c>
      <c r="AB116" s="123">
        <v>0</v>
      </c>
      <c r="AC116" s="123">
        <v>58.500068664550781</v>
      </c>
      <c r="AD116" s="123">
        <v>6.1069998741149902</v>
      </c>
      <c r="AE116" s="123">
        <v>0</v>
      </c>
      <c r="AF116" s="123">
        <v>85.501129150390625</v>
      </c>
      <c r="AG116" s="123">
        <v>0</v>
      </c>
      <c r="AH116" s="123">
        <v>66.161170959472656</v>
      </c>
      <c r="AI116" s="123">
        <v>15.140000343322754</v>
      </c>
      <c r="AJ116" s="123">
        <v>24.57481575012207</v>
      </c>
      <c r="AK116" s="123">
        <v>45.9937744140625</v>
      </c>
      <c r="AL116" s="123">
        <v>57.255001068115234</v>
      </c>
      <c r="AM116" s="126">
        <v>54.773998260498047</v>
      </c>
      <c r="AN116" s="125">
        <v>128.4375</v>
      </c>
      <c r="AO116" s="127">
        <v>68</v>
      </c>
      <c r="AP116" s="123">
        <v>68.549461364746094</v>
      </c>
      <c r="AQ116" s="123">
        <v>40.626773834228516</v>
      </c>
      <c r="AR116" s="123">
        <v>86</v>
      </c>
      <c r="AS116" s="123"/>
      <c r="AT116" s="123">
        <v>122</v>
      </c>
      <c r="AU116" s="123"/>
      <c r="AV116" s="123">
        <v>80</v>
      </c>
      <c r="AW116" s="123"/>
      <c r="AX116" s="123">
        <v>33</v>
      </c>
      <c r="AY116" s="123">
        <v>33.564716339111328</v>
      </c>
      <c r="AZ116" s="123">
        <v>18</v>
      </c>
      <c r="BA116" s="123"/>
      <c r="BB116" s="123">
        <v>300</v>
      </c>
      <c r="BC116" s="123">
        <v>302.4945068359375</v>
      </c>
      <c r="BD116" s="123">
        <v>7.1999998092651367</v>
      </c>
      <c r="BE116" s="123">
        <v>7.1788015365600586</v>
      </c>
      <c r="BF116" s="123">
        <v>30</v>
      </c>
      <c r="BG116" s="123">
        <v>11</v>
      </c>
      <c r="BH116" s="123">
        <v>11.362869262695313</v>
      </c>
      <c r="BI116" s="123"/>
      <c r="BJ116" s="108">
        <f t="shared" si="4"/>
        <v>16</v>
      </c>
      <c r="BK116" s="123">
        <v>16</v>
      </c>
      <c r="BL116" s="123">
        <v>0</v>
      </c>
      <c r="BM116" s="126"/>
      <c r="BN116" s="108">
        <f t="shared" si="5"/>
        <v>123</v>
      </c>
      <c r="BO116" s="108">
        <v>74</v>
      </c>
      <c r="BP116" s="108">
        <v>49</v>
      </c>
      <c r="BQ116" s="108">
        <v>289</v>
      </c>
      <c r="BR116" s="123">
        <v>76.905998229980469</v>
      </c>
      <c r="BS116" s="123">
        <v>25.445999145507813</v>
      </c>
      <c r="BT116" s="123">
        <v>44.333999633789063</v>
      </c>
      <c r="BU116" s="123">
        <v>40.969001770019531</v>
      </c>
      <c r="BV116" s="123">
        <v>69.400001525878906</v>
      </c>
      <c r="BW116" s="123">
        <v>6.1999998092651367</v>
      </c>
      <c r="BX116" s="123">
        <v>13.800000190734863</v>
      </c>
      <c r="BY116" s="123">
        <v>29</v>
      </c>
      <c r="BZ116" s="123">
        <v>19.908510208129883</v>
      </c>
      <c r="CA116" s="123">
        <v>18</v>
      </c>
      <c r="CB116" s="123">
        <v>29.289846420288086</v>
      </c>
      <c r="CC116" s="126"/>
      <c r="CD116" s="123">
        <v>396.69821166992188</v>
      </c>
      <c r="CE116" s="123">
        <v>67.268013000488281</v>
      </c>
      <c r="CF116" s="123">
        <v>24.330421447753906</v>
      </c>
      <c r="CG116" s="123">
        <v>35.338191986083984</v>
      </c>
      <c r="CH116" s="123">
        <v>285.05325317382813</v>
      </c>
      <c r="CI116" s="123">
        <v>94.787986755371094</v>
      </c>
      <c r="CJ116" s="123">
        <v>41.527278900146484</v>
      </c>
      <c r="CK116" s="123">
        <v>53.897247314453125</v>
      </c>
      <c r="CL116" s="124">
        <v>38.877616882324219</v>
      </c>
      <c r="CM116" s="125">
        <v>246.8323974609375</v>
      </c>
      <c r="CN116" s="123">
        <v>76.86163330078125</v>
      </c>
      <c r="CO116" s="123">
        <v>84.822074890136719</v>
      </c>
      <c r="CP116" s="123">
        <v>77.479667663574219</v>
      </c>
      <c r="CQ116" s="123">
        <v>0</v>
      </c>
      <c r="CR116" s="123">
        <v>55.437236785888672</v>
      </c>
      <c r="CS116" s="123">
        <v>10.932419776916504</v>
      </c>
      <c r="CT116" s="123">
        <v>40.323257446289063</v>
      </c>
      <c r="CU116" s="123">
        <v>51.810741424560547</v>
      </c>
      <c r="CV116" s="124">
        <v>72.991775512695313</v>
      </c>
      <c r="CW116" s="125">
        <v>3</v>
      </c>
      <c r="CX116" s="123">
        <v>407</v>
      </c>
      <c r="CY116" s="123">
        <v>191.70014953613281</v>
      </c>
      <c r="CZ116" s="123">
        <v>56.522079467773438</v>
      </c>
      <c r="DA116" s="123">
        <v>20.450300216674805</v>
      </c>
      <c r="DB116" s="123">
        <v>35.399799346923828</v>
      </c>
      <c r="DC116" s="123">
        <v>86.464805603027344</v>
      </c>
      <c r="DD116" s="123">
        <v>76</v>
      </c>
      <c r="DE116" s="123">
        <v>186</v>
      </c>
      <c r="DF116" s="123">
        <v>116.88280487060547</v>
      </c>
      <c r="DG116" s="123">
        <v>82.513633728027344</v>
      </c>
      <c r="DH116" s="123">
        <v>56.963275909423828</v>
      </c>
      <c r="DI116" s="128">
        <v>38.923225402832031</v>
      </c>
      <c r="DJ116" s="127">
        <v>219</v>
      </c>
      <c r="DK116" s="123">
        <v>120.87200164794922</v>
      </c>
      <c r="DL116" s="123">
        <v>27.708000183105469</v>
      </c>
      <c r="DM116" s="123">
        <v>39.937000274658203</v>
      </c>
      <c r="DN116" s="123">
        <v>51.777000427246094</v>
      </c>
      <c r="DO116" s="124">
        <v>112.71781158447266</v>
      </c>
      <c r="DP116" s="125">
        <v>16.003000259399414</v>
      </c>
      <c r="DQ116" s="123"/>
      <c r="DR116" s="125">
        <v>0</v>
      </c>
      <c r="DS116" s="128">
        <v>35</v>
      </c>
      <c r="DT116" s="127">
        <v>13</v>
      </c>
      <c r="DU116" s="123"/>
      <c r="DV116" s="123">
        <v>175</v>
      </c>
      <c r="DW116" s="123">
        <v>164.51670837402344</v>
      </c>
      <c r="DX116" s="125">
        <v>10</v>
      </c>
      <c r="DY116" s="128"/>
      <c r="DZ116" s="127">
        <v>48</v>
      </c>
      <c r="EA116" s="123">
        <v>3</v>
      </c>
      <c r="EB116" s="123">
        <v>0</v>
      </c>
      <c r="EC116" s="123">
        <v>1</v>
      </c>
      <c r="ED116" s="123">
        <v>279.20001220703125</v>
      </c>
      <c r="EE116" s="129">
        <v>196</v>
      </c>
      <c r="EF116" s="129">
        <v>198.16666666666666</v>
      </c>
      <c r="EG116" s="129">
        <v>203.26666666666668</v>
      </c>
      <c r="EH116" t="s">
        <v>270</v>
      </c>
    </row>
    <row r="117" spans="1:138" x14ac:dyDescent="0.3">
      <c r="A117" s="226">
        <f t="shared" si="6"/>
        <v>46020.078472222478</v>
      </c>
      <c r="B117" s="123">
        <v>276</v>
      </c>
      <c r="C117" s="123">
        <v>50.779998779296875</v>
      </c>
      <c r="D117" s="123">
        <v>101.10900115966797</v>
      </c>
      <c r="E117" s="123">
        <v>19</v>
      </c>
      <c r="F117" s="123">
        <v>15.904201507568359</v>
      </c>
      <c r="G117" s="124">
        <v>18.77400016784668</v>
      </c>
      <c r="H117" s="125">
        <v>320</v>
      </c>
      <c r="I117" s="123">
        <v>290</v>
      </c>
      <c r="J117" s="123">
        <v>67.291999816894531</v>
      </c>
      <c r="K117" s="123">
        <v>67.313262939453125</v>
      </c>
      <c r="L117" s="123">
        <v>45.591999053955078</v>
      </c>
      <c r="M117" s="123">
        <v>13.005999565124512</v>
      </c>
      <c r="N117" s="123">
        <v>17.367000579833984</v>
      </c>
      <c r="O117" s="123">
        <v>21</v>
      </c>
      <c r="P117" s="123">
        <v>0</v>
      </c>
      <c r="Q117" s="123">
        <v>22.397966384887695</v>
      </c>
      <c r="R117" s="123">
        <v>13.996874809265137</v>
      </c>
      <c r="S117" s="123">
        <v>14.232051849365234</v>
      </c>
      <c r="T117" s="123">
        <v>0</v>
      </c>
      <c r="U117" s="123">
        <v>0</v>
      </c>
      <c r="V117" s="125">
        <v>972</v>
      </c>
      <c r="W117" s="123">
        <v>28.184537887573242</v>
      </c>
      <c r="X117" s="123">
        <v>29.517999649047852</v>
      </c>
      <c r="Y117" s="123">
        <v>8.0150003433227539</v>
      </c>
      <c r="Z117" s="123">
        <v>0</v>
      </c>
      <c r="AA117" s="123">
        <v>26.238000869750977</v>
      </c>
      <c r="AB117" s="123">
        <v>0</v>
      </c>
      <c r="AC117" s="123">
        <v>58.263236999511719</v>
      </c>
      <c r="AD117" s="123">
        <v>6.3610000610351563</v>
      </c>
      <c r="AE117" s="123">
        <v>0</v>
      </c>
      <c r="AF117" s="123">
        <v>87.743400573730469</v>
      </c>
      <c r="AG117" s="123">
        <v>0</v>
      </c>
      <c r="AH117" s="123">
        <v>67.212997436523438</v>
      </c>
      <c r="AI117" s="123">
        <v>16.349000930786133</v>
      </c>
      <c r="AJ117" s="123">
        <v>22.633569717407227</v>
      </c>
      <c r="AK117" s="123">
        <v>46.849590301513672</v>
      </c>
      <c r="AL117" s="123">
        <v>56.724998474121094</v>
      </c>
      <c r="AM117" s="126">
        <v>55.601001739501953</v>
      </c>
      <c r="AN117" s="125">
        <v>128.4375</v>
      </c>
      <c r="AO117" s="127">
        <v>69</v>
      </c>
      <c r="AP117" s="123">
        <v>68.821502685546875</v>
      </c>
      <c r="AQ117" s="123">
        <v>43.604206085205078</v>
      </c>
      <c r="AR117" s="123">
        <v>87</v>
      </c>
      <c r="AS117" s="123"/>
      <c r="AT117" s="123">
        <v>123</v>
      </c>
      <c r="AU117" s="123"/>
      <c r="AV117" s="123">
        <v>79</v>
      </c>
      <c r="AW117" s="123"/>
      <c r="AX117" s="123">
        <v>32</v>
      </c>
      <c r="AY117" s="123">
        <v>33.564716339111328</v>
      </c>
      <c r="AZ117" s="123">
        <v>18</v>
      </c>
      <c r="BA117" s="123"/>
      <c r="BB117" s="123">
        <v>301</v>
      </c>
      <c r="BC117" s="123">
        <v>305.66232299804688</v>
      </c>
      <c r="BD117" s="123">
        <v>7.0999999046325684</v>
      </c>
      <c r="BE117" s="123">
        <v>7.1541895866394043</v>
      </c>
      <c r="BF117" s="123">
        <v>30</v>
      </c>
      <c r="BG117" s="123">
        <v>11</v>
      </c>
      <c r="BH117" s="123">
        <v>11.317859649658203</v>
      </c>
      <c r="BI117" s="123"/>
      <c r="BJ117" s="108">
        <f t="shared" si="4"/>
        <v>16</v>
      </c>
      <c r="BK117" s="123">
        <v>16</v>
      </c>
      <c r="BL117" s="123">
        <v>0</v>
      </c>
      <c r="BM117" s="126"/>
      <c r="BN117" s="108">
        <f t="shared" si="5"/>
        <v>123</v>
      </c>
      <c r="BO117" s="108">
        <v>74</v>
      </c>
      <c r="BP117" s="108">
        <v>49</v>
      </c>
      <c r="BQ117" s="108">
        <v>287</v>
      </c>
      <c r="BR117" s="123">
        <v>76.679000854492188</v>
      </c>
      <c r="BS117" s="123">
        <v>24.429000854492188</v>
      </c>
      <c r="BT117" s="123">
        <v>45.373001098632813</v>
      </c>
      <c r="BU117" s="123">
        <v>38.805999755859375</v>
      </c>
      <c r="BV117" s="123">
        <v>69.300003051757813</v>
      </c>
      <c r="BW117" s="123">
        <v>6.4000000953674316</v>
      </c>
      <c r="BX117" s="123">
        <v>13.800000190734863</v>
      </c>
      <c r="BY117" s="123">
        <v>28</v>
      </c>
      <c r="BZ117" s="123">
        <v>19.897205352783203</v>
      </c>
      <c r="CA117" s="123">
        <v>18</v>
      </c>
      <c r="CB117" s="123">
        <v>29.149532318115234</v>
      </c>
      <c r="CC117" s="126"/>
      <c r="CD117" s="123">
        <v>391.00048828125</v>
      </c>
      <c r="CE117" s="123">
        <v>68.116783142089844</v>
      </c>
      <c r="CF117" s="123">
        <v>25.084651947021484</v>
      </c>
      <c r="CG117" s="123">
        <v>35.338191986083984</v>
      </c>
      <c r="CH117" s="123">
        <v>284.44952392578125</v>
      </c>
      <c r="CI117" s="123">
        <v>93.523941040039063</v>
      </c>
      <c r="CJ117" s="123">
        <v>43.803478240966797</v>
      </c>
      <c r="CK117" s="123">
        <v>53.508796691894531</v>
      </c>
      <c r="CL117" s="124">
        <v>39.168731689453125</v>
      </c>
      <c r="CM117" s="125">
        <v>250.18460083007813</v>
      </c>
      <c r="CN117" s="123">
        <v>76.800910949707031</v>
      </c>
      <c r="CO117" s="123">
        <v>86.209373474121094</v>
      </c>
      <c r="CP117" s="123">
        <v>83.106613159179688</v>
      </c>
      <c r="CQ117" s="123">
        <v>0</v>
      </c>
      <c r="CR117" s="123">
        <v>53.602191925048828</v>
      </c>
      <c r="CS117" s="123">
        <v>10.559386253356934</v>
      </c>
      <c r="CT117" s="123">
        <v>37.980899810791016</v>
      </c>
      <c r="CU117" s="123">
        <v>52.386356353759766</v>
      </c>
      <c r="CV117" s="124">
        <v>77.869438171386719</v>
      </c>
      <c r="CW117" s="125">
        <v>4</v>
      </c>
      <c r="CX117" s="123">
        <v>409</v>
      </c>
      <c r="CY117" s="123">
        <v>191.97419738769531</v>
      </c>
      <c r="CZ117" s="123">
        <v>55.532184600830078</v>
      </c>
      <c r="DA117" s="123">
        <v>20.481786727905273</v>
      </c>
      <c r="DB117" s="123">
        <v>38.457359313964844</v>
      </c>
      <c r="DC117" s="123">
        <v>87.591697692871094</v>
      </c>
      <c r="DD117" s="123">
        <v>76</v>
      </c>
      <c r="DE117" s="123">
        <v>187</v>
      </c>
      <c r="DF117" s="123">
        <v>116.07129669189453</v>
      </c>
      <c r="DG117" s="123">
        <v>83.098312377929688</v>
      </c>
      <c r="DH117" s="123">
        <v>56.946262359619141</v>
      </c>
      <c r="DI117" s="128">
        <v>39.739200592041016</v>
      </c>
      <c r="DJ117" s="127">
        <v>224</v>
      </c>
      <c r="DK117" s="123">
        <v>120.87200164794922</v>
      </c>
      <c r="DL117" s="123">
        <v>26.35099983215332</v>
      </c>
      <c r="DM117" s="123">
        <v>38.169998168945313</v>
      </c>
      <c r="DN117" s="123">
        <v>52.484001159667969</v>
      </c>
      <c r="DO117" s="124">
        <v>115.49372100830078</v>
      </c>
      <c r="DP117" s="125">
        <v>15.890000343322754</v>
      </c>
      <c r="DQ117" s="123"/>
      <c r="DR117" s="125">
        <v>0</v>
      </c>
      <c r="DS117" s="128">
        <v>35</v>
      </c>
      <c r="DT117" s="127">
        <v>13</v>
      </c>
      <c r="DU117" s="123"/>
      <c r="DV117" s="123">
        <v>175</v>
      </c>
      <c r="DW117" s="123">
        <v>164.3441162109375</v>
      </c>
      <c r="DX117" s="125">
        <v>10</v>
      </c>
      <c r="DY117" s="128"/>
      <c r="DZ117" s="127">
        <v>46</v>
      </c>
      <c r="EA117" s="123">
        <v>3</v>
      </c>
      <c r="EB117" s="123">
        <v>0</v>
      </c>
      <c r="EC117" s="123">
        <v>1</v>
      </c>
      <c r="ED117" s="123">
        <v>280.20001220703125</v>
      </c>
      <c r="EE117" s="129">
        <v>98.478996276855469</v>
      </c>
      <c r="EF117" s="129">
        <v>99.836166381835938</v>
      </c>
      <c r="EG117" s="129">
        <v>102.43179918924967</v>
      </c>
      <c r="EH117" t="s">
        <v>252</v>
      </c>
    </row>
    <row r="118" spans="1:138" x14ac:dyDescent="0.3">
      <c r="A118" s="226">
        <f t="shared" si="6"/>
        <v>46020.079166666925</v>
      </c>
      <c r="B118" s="123">
        <v>271</v>
      </c>
      <c r="C118" s="123">
        <v>53.268001556396484</v>
      </c>
      <c r="D118" s="123">
        <v>100.09100341796875</v>
      </c>
      <c r="E118" s="123">
        <v>19.22599983215332</v>
      </c>
      <c r="F118" s="123">
        <v>32.562648773193359</v>
      </c>
      <c r="G118" s="124">
        <v>18.434000015258789</v>
      </c>
      <c r="H118" s="125">
        <v>319</v>
      </c>
      <c r="I118" s="123">
        <v>291</v>
      </c>
      <c r="J118" s="123">
        <v>67.518997192382813</v>
      </c>
      <c r="K118" s="123">
        <v>66.689254760742188</v>
      </c>
      <c r="L118" s="123">
        <v>45.944999694824219</v>
      </c>
      <c r="M118" s="123">
        <v>13.232000350952148</v>
      </c>
      <c r="N118" s="123">
        <v>17.621000289916992</v>
      </c>
      <c r="O118" s="123">
        <v>22</v>
      </c>
      <c r="P118" s="123">
        <v>0</v>
      </c>
      <c r="Q118" s="123">
        <v>23.27751350402832</v>
      </c>
      <c r="R118" s="123">
        <v>13.003125190734863</v>
      </c>
      <c r="S118" s="123">
        <v>13.874343872070313</v>
      </c>
      <c r="T118" s="123">
        <v>0</v>
      </c>
      <c r="U118" s="123">
        <v>0</v>
      </c>
      <c r="V118" s="125">
        <v>973</v>
      </c>
      <c r="W118" s="123">
        <v>29.405462265014648</v>
      </c>
      <c r="X118" s="123">
        <v>29.857000350952148</v>
      </c>
      <c r="Y118" s="123">
        <v>7.570000171661377</v>
      </c>
      <c r="Z118" s="123">
        <v>0</v>
      </c>
      <c r="AA118" s="123">
        <v>22.958000183105469</v>
      </c>
      <c r="AB118" s="123">
        <v>0</v>
      </c>
      <c r="AC118" s="123">
        <v>59.085666656494141</v>
      </c>
      <c r="AD118" s="123">
        <v>6.1069998741149902</v>
      </c>
      <c r="AE118" s="123">
        <v>0</v>
      </c>
      <c r="AF118" s="123">
        <v>87.338249206542969</v>
      </c>
      <c r="AG118" s="123">
        <v>0</v>
      </c>
      <c r="AH118" s="123">
        <v>66.548957824707031</v>
      </c>
      <c r="AI118" s="123">
        <v>16.031000137329102</v>
      </c>
      <c r="AJ118" s="123">
        <v>22.633569717407227</v>
      </c>
      <c r="AK118" s="123">
        <v>46.357627868652344</v>
      </c>
      <c r="AL118" s="123">
        <v>54.428001403808594</v>
      </c>
      <c r="AM118" s="126">
        <v>55.918998718261719</v>
      </c>
      <c r="AN118" s="125">
        <v>130.75</v>
      </c>
      <c r="AO118" s="127">
        <v>69</v>
      </c>
      <c r="AP118" s="123">
        <v>67.271865844726563</v>
      </c>
      <c r="AQ118" s="123">
        <v>43.270843505859375</v>
      </c>
      <c r="AR118" s="123">
        <v>86</v>
      </c>
      <c r="AS118" s="123"/>
      <c r="AT118" s="123">
        <v>123</v>
      </c>
      <c r="AU118" s="123"/>
      <c r="AV118" s="123">
        <v>72</v>
      </c>
      <c r="AW118" s="123"/>
      <c r="AX118" s="123">
        <v>31</v>
      </c>
      <c r="AY118" s="123">
        <v>34.092990875244141</v>
      </c>
      <c r="AZ118" s="123">
        <v>18</v>
      </c>
      <c r="BA118" s="123"/>
      <c r="BB118" s="123">
        <v>301</v>
      </c>
      <c r="BC118" s="123">
        <v>300.71759033203125</v>
      </c>
      <c r="BD118" s="123">
        <v>7.0999999046325684</v>
      </c>
      <c r="BE118" s="123">
        <v>7.1806063652038574</v>
      </c>
      <c r="BF118" s="123">
        <v>30</v>
      </c>
      <c r="BG118" s="123">
        <v>11</v>
      </c>
      <c r="BH118" s="123">
        <v>11.362626075744629</v>
      </c>
      <c r="BI118" s="123"/>
      <c r="BJ118" s="108">
        <f t="shared" si="4"/>
        <v>15</v>
      </c>
      <c r="BK118" s="123">
        <v>15</v>
      </c>
      <c r="BL118" s="123">
        <v>0</v>
      </c>
      <c r="BM118" s="126"/>
      <c r="BN118" s="108">
        <f t="shared" si="5"/>
        <v>122</v>
      </c>
      <c r="BO118" s="108">
        <v>73</v>
      </c>
      <c r="BP118" s="108">
        <v>49</v>
      </c>
      <c r="BQ118" s="108">
        <v>292</v>
      </c>
      <c r="BR118" s="123">
        <v>79.846000671386719</v>
      </c>
      <c r="BS118" s="123">
        <v>25.445999145507813</v>
      </c>
      <c r="BT118" s="123">
        <v>46.064998626708984</v>
      </c>
      <c r="BU118" s="123">
        <v>39.124000549316406</v>
      </c>
      <c r="BV118" s="123">
        <v>69.900001525878906</v>
      </c>
      <c r="BW118" s="123">
        <v>6.4000000953674316</v>
      </c>
      <c r="BX118" s="123">
        <v>13.899999618530273</v>
      </c>
      <c r="BY118" s="123">
        <v>28</v>
      </c>
      <c r="BZ118" s="123">
        <v>19.926401138305664</v>
      </c>
      <c r="CA118" s="123">
        <v>19</v>
      </c>
      <c r="CB118" s="123">
        <v>29.142765045166016</v>
      </c>
      <c r="CC118" s="126"/>
      <c r="CD118" s="123">
        <v>390.197998046875</v>
      </c>
      <c r="CE118" s="123">
        <v>68.808647155761719</v>
      </c>
      <c r="CF118" s="123">
        <v>24.208150863647461</v>
      </c>
      <c r="CG118" s="123">
        <v>35.338191986083984</v>
      </c>
      <c r="CH118" s="123">
        <v>284.44952392578125</v>
      </c>
      <c r="CI118" s="123">
        <v>93.577682495117188</v>
      </c>
      <c r="CJ118" s="123">
        <v>43.254112243652344</v>
      </c>
      <c r="CK118" s="123">
        <v>53.777675628662109</v>
      </c>
      <c r="CL118" s="124">
        <v>38.827667236328125</v>
      </c>
      <c r="CM118" s="125">
        <v>247.40794372558594</v>
      </c>
      <c r="CN118" s="123">
        <v>76.800910949707031</v>
      </c>
      <c r="CO118" s="123">
        <v>86.939804077148438</v>
      </c>
      <c r="CP118" s="123">
        <v>81.462562561035156</v>
      </c>
      <c r="CQ118" s="123">
        <v>0</v>
      </c>
      <c r="CR118" s="123">
        <v>53.885284423828125</v>
      </c>
      <c r="CS118" s="123">
        <v>10.213017463684082</v>
      </c>
      <c r="CT118" s="123">
        <v>40.010395050048828</v>
      </c>
      <c r="CU118" s="123">
        <v>52.600944519042969</v>
      </c>
      <c r="CV118" s="124">
        <v>73.9337158203125</v>
      </c>
      <c r="CW118" s="125">
        <v>3</v>
      </c>
      <c r="CX118" s="123">
        <v>412</v>
      </c>
      <c r="CY118" s="123">
        <v>189.534912109375</v>
      </c>
      <c r="CZ118" s="123">
        <v>54.940414428710938</v>
      </c>
      <c r="DA118" s="123">
        <v>22.056179046630859</v>
      </c>
      <c r="DB118" s="123">
        <v>35.924839019775391</v>
      </c>
      <c r="DC118" s="123">
        <v>87.2445068359375</v>
      </c>
      <c r="DD118" s="123">
        <v>84</v>
      </c>
      <c r="DE118" s="123">
        <v>188</v>
      </c>
      <c r="DF118" s="123">
        <v>117.65873718261719</v>
      </c>
      <c r="DG118" s="123">
        <v>83.76312255859375</v>
      </c>
      <c r="DH118" s="123">
        <v>58.009243011474609</v>
      </c>
      <c r="DI118" s="128">
        <v>40.831001281738281</v>
      </c>
      <c r="DJ118" s="127">
        <v>220</v>
      </c>
      <c r="DK118" s="123">
        <v>120.10900115966797</v>
      </c>
      <c r="DL118" s="123">
        <v>29.291999816894531</v>
      </c>
      <c r="DM118" s="123">
        <v>38.347000122070313</v>
      </c>
      <c r="DN118" s="123">
        <v>50.716999053955078</v>
      </c>
      <c r="DO118" s="124">
        <v>112.05239868164063</v>
      </c>
      <c r="DP118" s="125">
        <v>15.663000106811523</v>
      </c>
      <c r="DQ118" s="123"/>
      <c r="DR118" s="125">
        <v>0</v>
      </c>
      <c r="DS118" s="128">
        <v>34.200000762939453</v>
      </c>
      <c r="DT118" s="127">
        <v>13</v>
      </c>
      <c r="DU118" s="123"/>
      <c r="DV118" s="123">
        <v>173</v>
      </c>
      <c r="DW118" s="123">
        <v>164.72946166992188</v>
      </c>
      <c r="DX118" s="125">
        <v>10</v>
      </c>
      <c r="DY118" s="128"/>
      <c r="DZ118" s="127">
        <v>47</v>
      </c>
      <c r="EA118" s="123">
        <v>3</v>
      </c>
      <c r="EB118" s="123">
        <v>0</v>
      </c>
      <c r="EC118" s="123">
        <v>1</v>
      </c>
      <c r="ED118" s="123">
        <v>280.89999389648438</v>
      </c>
      <c r="EE118" s="129">
        <v>21.375</v>
      </c>
      <c r="EF118" s="129">
        <v>22.260833422342937</v>
      </c>
      <c r="EG118" s="129">
        <v>24.160816733042399</v>
      </c>
      <c r="EH118" t="s">
        <v>135</v>
      </c>
    </row>
    <row r="119" spans="1:138" x14ac:dyDescent="0.3">
      <c r="A119" s="226">
        <f t="shared" si="6"/>
        <v>46020.079861111371</v>
      </c>
      <c r="B119" s="123">
        <v>272</v>
      </c>
      <c r="C119" s="123">
        <v>49.310001373291016</v>
      </c>
      <c r="D119" s="123">
        <v>99.525001525878906</v>
      </c>
      <c r="E119" s="123">
        <v>20.583000183105469</v>
      </c>
      <c r="F119" s="123">
        <v>33.319461822509766</v>
      </c>
      <c r="G119" s="124">
        <v>18.208000183105469</v>
      </c>
      <c r="H119" s="125">
        <v>320</v>
      </c>
      <c r="I119" s="123">
        <v>294</v>
      </c>
      <c r="J119" s="123">
        <v>67.518997192382813</v>
      </c>
      <c r="K119" s="123">
        <v>68.345466613769531</v>
      </c>
      <c r="L119" s="123">
        <v>45.769001007080078</v>
      </c>
      <c r="M119" s="123">
        <v>12.439999580383301</v>
      </c>
      <c r="N119" s="123">
        <v>18.066999435424805</v>
      </c>
      <c r="O119" s="123">
        <v>20</v>
      </c>
      <c r="P119" s="123">
        <v>0</v>
      </c>
      <c r="Q119" s="123">
        <v>20.725198745727539</v>
      </c>
      <c r="R119" s="123">
        <v>13.996874809265137</v>
      </c>
      <c r="S119" s="123">
        <v>13.874343872070313</v>
      </c>
      <c r="T119" s="123">
        <v>0</v>
      </c>
      <c r="U119" s="123">
        <v>0</v>
      </c>
      <c r="V119" s="125">
        <v>974</v>
      </c>
      <c r="W119" s="123">
        <v>29.339683532714844</v>
      </c>
      <c r="X119" s="123">
        <v>29.631000518798828</v>
      </c>
      <c r="Y119" s="123">
        <v>7.8239998817443848</v>
      </c>
      <c r="Z119" s="123">
        <v>0</v>
      </c>
      <c r="AA119" s="123">
        <v>20.923000335693359</v>
      </c>
      <c r="AB119" s="123">
        <v>0</v>
      </c>
      <c r="AC119" s="123">
        <v>59.900478363037109</v>
      </c>
      <c r="AD119" s="123">
        <v>6.3610000610351563</v>
      </c>
      <c r="AE119" s="123">
        <v>0</v>
      </c>
      <c r="AF119" s="123">
        <v>87.94525146484375</v>
      </c>
      <c r="AG119" s="123">
        <v>0</v>
      </c>
      <c r="AH119" s="123">
        <v>69.304641723632813</v>
      </c>
      <c r="AI119" s="123">
        <v>15.267999649047852</v>
      </c>
      <c r="AJ119" s="123">
        <v>26.306726455688477</v>
      </c>
      <c r="AK119" s="123">
        <v>47.375537872314453</v>
      </c>
      <c r="AL119" s="123">
        <v>55.311000823974609</v>
      </c>
      <c r="AM119" s="126">
        <v>55.347000122070313</v>
      </c>
      <c r="AN119" s="125">
        <v>130.8125</v>
      </c>
      <c r="AO119" s="127">
        <v>69</v>
      </c>
      <c r="AP119" s="123">
        <v>68.0640869140625</v>
      </c>
      <c r="AQ119" s="123">
        <v>43.421756744384766</v>
      </c>
      <c r="AR119" s="123">
        <v>86</v>
      </c>
      <c r="AS119" s="123"/>
      <c r="AT119" s="123">
        <v>123</v>
      </c>
      <c r="AU119" s="123"/>
      <c r="AV119" s="123">
        <v>72</v>
      </c>
      <c r="AW119" s="123"/>
      <c r="AX119" s="123">
        <v>31</v>
      </c>
      <c r="AY119" s="123">
        <v>34.092990875244141</v>
      </c>
      <c r="AZ119" s="123">
        <v>18</v>
      </c>
      <c r="BA119" s="123"/>
      <c r="BB119" s="123">
        <v>301</v>
      </c>
      <c r="BC119" s="123">
        <v>304.57794189453125</v>
      </c>
      <c r="BD119" s="123">
        <v>7.0999999046325684</v>
      </c>
      <c r="BE119" s="123">
        <v>7.1587061882019043</v>
      </c>
      <c r="BF119" s="123">
        <v>30</v>
      </c>
      <c r="BG119" s="123">
        <v>11</v>
      </c>
      <c r="BH119" s="123">
        <v>11.362626075744629</v>
      </c>
      <c r="BI119" s="123"/>
      <c r="BJ119" s="108">
        <f t="shared" si="4"/>
        <v>16</v>
      </c>
      <c r="BK119" s="123">
        <v>16</v>
      </c>
      <c r="BL119" s="123">
        <v>0</v>
      </c>
      <c r="BM119" s="126"/>
      <c r="BN119" s="108">
        <f t="shared" si="5"/>
        <v>122</v>
      </c>
      <c r="BO119" s="108">
        <v>73</v>
      </c>
      <c r="BP119" s="108">
        <v>49</v>
      </c>
      <c r="BQ119" s="108">
        <v>298</v>
      </c>
      <c r="BR119" s="123">
        <v>76.905998229980469</v>
      </c>
      <c r="BS119" s="123">
        <v>25.701000213623047</v>
      </c>
      <c r="BT119" s="123">
        <v>45.0260009765625</v>
      </c>
      <c r="BU119" s="123">
        <v>39.187999725341797</v>
      </c>
      <c r="BV119" s="123">
        <v>68.699996948242188</v>
      </c>
      <c r="BW119" s="123">
        <v>6.4000000953674316</v>
      </c>
      <c r="BX119" s="123">
        <v>13.600000381469727</v>
      </c>
      <c r="BY119" s="123">
        <v>28</v>
      </c>
      <c r="BZ119" s="123">
        <v>19.953964233398438</v>
      </c>
      <c r="CA119" s="123">
        <v>20</v>
      </c>
      <c r="CB119" s="123">
        <v>29.091272354125977</v>
      </c>
      <c r="CC119" s="126"/>
      <c r="CD119" s="123">
        <v>397.26864624023438</v>
      </c>
      <c r="CE119" s="123">
        <v>67.991889953613281</v>
      </c>
      <c r="CF119" s="123">
        <v>24.020095825195313</v>
      </c>
      <c r="CG119" s="123">
        <v>35.338191986083984</v>
      </c>
      <c r="CH119" s="123">
        <v>285.06076049804688</v>
      </c>
      <c r="CI119" s="123">
        <v>95.439262390136719</v>
      </c>
      <c r="CJ119" s="123">
        <v>43.098094940185547</v>
      </c>
      <c r="CK119" s="123">
        <v>53.84783935546875</v>
      </c>
      <c r="CL119" s="124">
        <v>38.82220458984375</v>
      </c>
      <c r="CM119" s="125">
        <v>245.87144470214844</v>
      </c>
      <c r="CN119" s="123">
        <v>78.616142272949219</v>
      </c>
      <c r="CO119" s="123">
        <v>85.537864685058594</v>
      </c>
      <c r="CP119" s="123">
        <v>74.891433715820313</v>
      </c>
      <c r="CQ119" s="123">
        <v>0</v>
      </c>
      <c r="CR119" s="123">
        <v>53.742473602294922</v>
      </c>
      <c r="CS119" s="123">
        <v>10.608779907226563</v>
      </c>
      <c r="CT119" s="123">
        <v>39.201351165771484</v>
      </c>
      <c r="CU119" s="123">
        <v>50.670867919921875</v>
      </c>
      <c r="CV119" s="124">
        <v>71.339340209960938</v>
      </c>
      <c r="CW119" s="125">
        <v>3</v>
      </c>
      <c r="CX119" s="123">
        <v>410</v>
      </c>
      <c r="CY119" s="123">
        <v>190.39616394042969</v>
      </c>
      <c r="CZ119" s="123">
        <v>52.476345062255859</v>
      </c>
      <c r="DA119" s="123">
        <v>20.799919128417969</v>
      </c>
      <c r="DB119" s="123">
        <v>36.668834686279297</v>
      </c>
      <c r="DC119" s="123">
        <v>85.977859497070313</v>
      </c>
      <c r="DD119" s="123">
        <v>84</v>
      </c>
      <c r="DE119" s="123">
        <v>183</v>
      </c>
      <c r="DF119" s="123">
        <v>114.20061492919922</v>
      </c>
      <c r="DG119" s="123">
        <v>80.109527587890625</v>
      </c>
      <c r="DH119" s="123">
        <v>57.243923187255859</v>
      </c>
      <c r="DI119" s="128">
        <v>40.347114562988281</v>
      </c>
      <c r="DJ119" s="127">
        <v>222</v>
      </c>
      <c r="DK119" s="123">
        <v>120.10900115966797</v>
      </c>
      <c r="DL119" s="123">
        <v>29.065999984741211</v>
      </c>
      <c r="DM119" s="123">
        <v>37.463001251220703</v>
      </c>
      <c r="DN119" s="123">
        <v>50.009998321533203</v>
      </c>
      <c r="DO119" s="124">
        <v>114.41426849365234</v>
      </c>
      <c r="DP119" s="125">
        <v>15.494000434875488</v>
      </c>
      <c r="DQ119" s="123"/>
      <c r="DR119" s="125">
        <v>0</v>
      </c>
      <c r="DS119" s="128">
        <v>34.900001525878906</v>
      </c>
      <c r="DT119" s="127">
        <v>13</v>
      </c>
      <c r="DU119" s="123"/>
      <c r="DV119" s="123">
        <v>172</v>
      </c>
      <c r="DW119" s="123">
        <v>165.14158630371094</v>
      </c>
      <c r="DX119" s="125">
        <v>10</v>
      </c>
      <c r="DY119" s="128"/>
      <c r="DZ119" s="127">
        <v>46</v>
      </c>
      <c r="EA119" s="123">
        <v>3</v>
      </c>
      <c r="EB119" s="123">
        <v>0</v>
      </c>
      <c r="EC119" s="123">
        <v>1</v>
      </c>
      <c r="ED119" s="123">
        <v>274.39999389648438</v>
      </c>
      <c r="EE119" s="129">
        <v>20.322000503540039</v>
      </c>
      <c r="EF119" s="129">
        <v>22.089000384012859</v>
      </c>
      <c r="EG119" s="129">
        <v>24.362550036112467</v>
      </c>
      <c r="EH119" t="s">
        <v>97</v>
      </c>
    </row>
    <row r="120" spans="1:138" x14ac:dyDescent="0.3">
      <c r="A120" s="226">
        <f t="shared" si="6"/>
        <v>46020.080555555818</v>
      </c>
      <c r="B120" s="123">
        <v>267</v>
      </c>
      <c r="C120" s="123">
        <v>48.179000854492188</v>
      </c>
      <c r="D120" s="123">
        <v>97.71600341796875</v>
      </c>
      <c r="E120" s="123">
        <v>18.886999130249023</v>
      </c>
      <c r="F120" s="123">
        <v>34.368362426757813</v>
      </c>
      <c r="G120" s="124">
        <v>19</v>
      </c>
      <c r="H120" s="125">
        <v>321</v>
      </c>
      <c r="I120" s="123">
        <v>287</v>
      </c>
      <c r="J120" s="123">
        <v>65.257003784179688</v>
      </c>
      <c r="K120" s="123">
        <v>68.370452880859375</v>
      </c>
      <c r="L120" s="123">
        <v>49.125999450683594</v>
      </c>
      <c r="M120" s="123">
        <v>13.119000434875488</v>
      </c>
      <c r="N120" s="123">
        <v>17.430999755859375</v>
      </c>
      <c r="O120" s="123">
        <v>20</v>
      </c>
      <c r="P120" s="123">
        <v>0</v>
      </c>
      <c r="Q120" s="123">
        <v>19.818208694458008</v>
      </c>
      <c r="R120" s="123">
        <v>16.003124237060547</v>
      </c>
      <c r="S120" s="123">
        <v>14.870090484619141</v>
      </c>
      <c r="T120" s="123">
        <v>0</v>
      </c>
      <c r="U120" s="123">
        <v>0</v>
      </c>
      <c r="V120" s="125">
        <v>972</v>
      </c>
      <c r="W120" s="123">
        <v>30.141902923583984</v>
      </c>
      <c r="X120" s="123">
        <v>28.951999664306641</v>
      </c>
      <c r="Y120" s="123">
        <v>6.9970002174377441</v>
      </c>
      <c r="Z120" s="123">
        <v>0</v>
      </c>
      <c r="AA120" s="123">
        <v>21.14900016784668</v>
      </c>
      <c r="AB120" s="123">
        <v>0</v>
      </c>
      <c r="AC120" s="123">
        <v>58.565727233886719</v>
      </c>
      <c r="AD120" s="123">
        <v>6.3610000610351563</v>
      </c>
      <c r="AE120" s="123">
        <v>0</v>
      </c>
      <c r="AF120" s="123">
        <v>86.543258666992188</v>
      </c>
      <c r="AG120" s="123">
        <v>0</v>
      </c>
      <c r="AH120" s="123">
        <v>66.783287048339844</v>
      </c>
      <c r="AI120" s="123">
        <v>15.140000343322754</v>
      </c>
      <c r="AJ120" s="123">
        <v>22.403564453125</v>
      </c>
      <c r="AK120" s="123">
        <v>48.110958099365234</v>
      </c>
      <c r="AL120" s="123">
        <v>55.133998870849609</v>
      </c>
      <c r="AM120" s="126">
        <v>55.918998718261719</v>
      </c>
      <c r="AN120" s="125">
        <v>130.8125</v>
      </c>
      <c r="AO120" s="127">
        <v>70</v>
      </c>
      <c r="AP120" s="123">
        <v>67.714958190917969</v>
      </c>
      <c r="AQ120" s="123">
        <v>41.812614440917969</v>
      </c>
      <c r="AR120" s="123">
        <v>88</v>
      </c>
      <c r="AS120" s="123"/>
      <c r="AT120" s="123">
        <v>123</v>
      </c>
      <c r="AU120" s="123"/>
      <c r="AV120" s="123">
        <v>72</v>
      </c>
      <c r="AW120" s="123"/>
      <c r="AX120" s="123">
        <v>32</v>
      </c>
      <c r="AY120" s="123">
        <v>33.533138275146484</v>
      </c>
      <c r="AZ120" s="123">
        <v>18</v>
      </c>
      <c r="BA120" s="123"/>
      <c r="BB120" s="123">
        <v>301</v>
      </c>
      <c r="BC120" s="123">
        <v>301.1492919921875</v>
      </c>
      <c r="BD120" s="123">
        <v>7.0999999046325684</v>
      </c>
      <c r="BE120" s="123">
        <v>7.1587061882019043</v>
      </c>
      <c r="BF120" s="123">
        <v>30</v>
      </c>
      <c r="BG120" s="123">
        <v>11</v>
      </c>
      <c r="BH120" s="123">
        <v>11.336399078369141</v>
      </c>
      <c r="BI120" s="123"/>
      <c r="BJ120" s="108">
        <f t="shared" si="4"/>
        <v>16</v>
      </c>
      <c r="BK120" s="123">
        <v>16</v>
      </c>
      <c r="BL120" s="123">
        <v>0</v>
      </c>
      <c r="BM120" s="126"/>
      <c r="BN120" s="108">
        <f t="shared" si="5"/>
        <v>122</v>
      </c>
      <c r="BO120" s="108">
        <v>73</v>
      </c>
      <c r="BP120" s="108">
        <v>49</v>
      </c>
      <c r="BQ120" s="108">
        <v>287</v>
      </c>
      <c r="BR120" s="123">
        <v>76.905998229980469</v>
      </c>
      <c r="BS120" s="123">
        <v>25.445999145507813</v>
      </c>
      <c r="BT120" s="123">
        <v>45.0260009765625</v>
      </c>
      <c r="BU120" s="123">
        <v>39.060001373291016</v>
      </c>
      <c r="BV120" s="123">
        <v>70</v>
      </c>
      <c r="BW120" s="123">
        <v>6.4000000953674316</v>
      </c>
      <c r="BX120" s="123">
        <v>13.899999618530273</v>
      </c>
      <c r="BY120" s="123">
        <v>28</v>
      </c>
      <c r="BZ120" s="123">
        <v>19.901432037353516</v>
      </c>
      <c r="CA120" s="123">
        <v>19</v>
      </c>
      <c r="CB120" s="123">
        <v>29.101070404052734</v>
      </c>
      <c r="CC120" s="126"/>
      <c r="CD120" s="123">
        <v>389.50924682617188</v>
      </c>
      <c r="CE120" s="123">
        <v>66.684371948242188</v>
      </c>
      <c r="CF120" s="123">
        <v>24.04484748840332</v>
      </c>
      <c r="CG120" s="123">
        <v>35.338191986083984</v>
      </c>
      <c r="CH120" s="123">
        <v>285.66494750976563</v>
      </c>
      <c r="CI120" s="123">
        <v>96.574012756347656</v>
      </c>
      <c r="CJ120" s="123">
        <v>44.895805358886719</v>
      </c>
      <c r="CK120" s="123">
        <v>53.347679138183594</v>
      </c>
      <c r="CL120" s="124">
        <v>38.713947296142578</v>
      </c>
      <c r="CM120" s="125">
        <v>241.92367553710938</v>
      </c>
      <c r="CN120" s="123">
        <v>76.619644165039063</v>
      </c>
      <c r="CO120" s="123">
        <v>87.325675964355469</v>
      </c>
      <c r="CP120" s="123">
        <v>74.921066284179688</v>
      </c>
      <c r="CQ120" s="123">
        <v>0</v>
      </c>
      <c r="CR120" s="123">
        <v>53.545646667480469</v>
      </c>
      <c r="CS120" s="123">
        <v>10.322822570800781</v>
      </c>
      <c r="CT120" s="123">
        <v>41.594741821289063</v>
      </c>
      <c r="CU120" s="123">
        <v>53.178348541259766</v>
      </c>
      <c r="CV120" s="124">
        <v>72.9527587890625</v>
      </c>
      <c r="CW120" s="125">
        <v>4</v>
      </c>
      <c r="CX120" s="123">
        <v>404</v>
      </c>
      <c r="CY120" s="123">
        <v>191.77500915527344</v>
      </c>
      <c r="CZ120" s="123">
        <v>55.831451416015625</v>
      </c>
      <c r="DA120" s="123">
        <v>21.066371917724609</v>
      </c>
      <c r="DB120" s="123">
        <v>37.116931915283203</v>
      </c>
      <c r="DC120" s="123">
        <v>82.910652160644531</v>
      </c>
      <c r="DD120" s="123">
        <v>79</v>
      </c>
      <c r="DE120" s="123">
        <v>187</v>
      </c>
      <c r="DF120" s="123">
        <v>113.85530090332031</v>
      </c>
      <c r="DG120" s="123">
        <v>80.109527587890625</v>
      </c>
      <c r="DH120" s="123">
        <v>55.910438537597656</v>
      </c>
      <c r="DI120" s="128">
        <v>40.411094665527344</v>
      </c>
      <c r="DJ120" s="127">
        <v>220</v>
      </c>
      <c r="DK120" s="123">
        <v>118.072998046875</v>
      </c>
      <c r="DL120" s="123">
        <v>26.916999816894531</v>
      </c>
      <c r="DM120" s="123">
        <v>36.932998657226563</v>
      </c>
      <c r="DN120" s="123">
        <v>49.479999542236328</v>
      </c>
      <c r="DO120" s="124">
        <v>114.07453918457031</v>
      </c>
      <c r="DP120" s="125">
        <v>15.494000434875488</v>
      </c>
      <c r="DQ120" s="123"/>
      <c r="DR120" s="125">
        <v>0</v>
      </c>
      <c r="DS120" s="128">
        <v>34.400001525878906</v>
      </c>
      <c r="DT120" s="127">
        <v>13</v>
      </c>
      <c r="DU120" s="123"/>
      <c r="DV120" s="123">
        <v>172</v>
      </c>
      <c r="DW120" s="123">
        <v>165.11534118652344</v>
      </c>
      <c r="DX120" s="125">
        <v>10</v>
      </c>
      <c r="DY120" s="128"/>
      <c r="DZ120" s="127">
        <v>45</v>
      </c>
      <c r="EA120" s="123">
        <v>3</v>
      </c>
      <c r="EB120" s="123">
        <v>0</v>
      </c>
      <c r="EC120" s="123">
        <v>1</v>
      </c>
      <c r="ED120" s="123">
        <v>274.70001220703125</v>
      </c>
      <c r="EE120" s="129">
        <v>46.298999786376953</v>
      </c>
      <c r="EF120" s="129">
        <v>46.79949951171875</v>
      </c>
      <c r="EG120" s="129">
        <v>48.560600026448569</v>
      </c>
      <c r="EH120" t="s">
        <v>98</v>
      </c>
    </row>
    <row r="121" spans="1:138" x14ac:dyDescent="0.3">
      <c r="A121" s="226">
        <f t="shared" si="6"/>
        <v>46020.081250000265</v>
      </c>
      <c r="B121" s="123">
        <v>267</v>
      </c>
      <c r="C121" s="123">
        <v>47.840000152587891</v>
      </c>
      <c r="D121" s="123">
        <v>98.280998229980469</v>
      </c>
      <c r="E121" s="123">
        <v>15.607000350952148</v>
      </c>
      <c r="F121" s="123">
        <v>10.789124488830566</v>
      </c>
      <c r="G121" s="124">
        <v>19.791999816894531</v>
      </c>
      <c r="H121" s="125">
        <v>317</v>
      </c>
      <c r="I121" s="123">
        <v>287</v>
      </c>
      <c r="J121" s="123">
        <v>62.429000854492188</v>
      </c>
      <c r="K121" s="123">
        <v>63.499340057373047</v>
      </c>
      <c r="L121" s="123">
        <v>47.535999298095703</v>
      </c>
      <c r="M121" s="123">
        <v>13.345000267028809</v>
      </c>
      <c r="N121" s="123">
        <v>18.257999420166016</v>
      </c>
      <c r="O121" s="123">
        <v>20</v>
      </c>
      <c r="P121" s="123">
        <v>0</v>
      </c>
      <c r="Q121" s="123">
        <v>19.692718505859375</v>
      </c>
      <c r="R121" s="123">
        <v>16.003124237060547</v>
      </c>
      <c r="S121" s="123">
        <v>13.161531448364258</v>
      </c>
      <c r="T121" s="123">
        <v>0</v>
      </c>
      <c r="U121" s="123">
        <v>0</v>
      </c>
      <c r="V121" s="125">
        <v>972</v>
      </c>
      <c r="W121" s="123">
        <v>29.394083023071289</v>
      </c>
      <c r="X121" s="123">
        <v>29.857000350952148</v>
      </c>
      <c r="Y121" s="123">
        <v>8.1429996490478516</v>
      </c>
      <c r="Z121" s="123">
        <v>0</v>
      </c>
      <c r="AA121" s="123">
        <v>24.089000701904297</v>
      </c>
      <c r="AB121" s="123">
        <v>0</v>
      </c>
      <c r="AC121" s="123">
        <v>59.078319549560547</v>
      </c>
      <c r="AD121" s="123">
        <v>6.1069998741149902</v>
      </c>
      <c r="AE121" s="123">
        <v>0</v>
      </c>
      <c r="AF121" s="123">
        <v>87.504058837890625</v>
      </c>
      <c r="AG121" s="123">
        <v>0</v>
      </c>
      <c r="AH121" s="123">
        <v>69.414886474609375</v>
      </c>
      <c r="AI121" s="123">
        <v>15.586000442504883</v>
      </c>
      <c r="AJ121" s="123">
        <v>22.797039031982422</v>
      </c>
      <c r="AK121" s="123">
        <v>46.623451232910156</v>
      </c>
      <c r="AL121" s="123">
        <v>53.896999359130859</v>
      </c>
      <c r="AM121" s="126">
        <v>55.728000640869141</v>
      </c>
      <c r="AN121" s="125">
        <v>125.125</v>
      </c>
      <c r="AO121" s="127">
        <v>66</v>
      </c>
      <c r="AP121" s="123">
        <v>67.481208801269531</v>
      </c>
      <c r="AQ121" s="123">
        <v>39.806625366210938</v>
      </c>
      <c r="AR121" s="123">
        <v>88</v>
      </c>
      <c r="AS121" s="123"/>
      <c r="AT121" s="123">
        <v>123</v>
      </c>
      <c r="AU121" s="123"/>
      <c r="AV121" s="123">
        <v>72</v>
      </c>
      <c r="AW121" s="123"/>
      <c r="AX121" s="123">
        <v>32</v>
      </c>
      <c r="AY121" s="123">
        <v>33.533138275146484</v>
      </c>
      <c r="AZ121" s="123">
        <v>17</v>
      </c>
      <c r="BA121" s="123"/>
      <c r="BB121" s="123">
        <v>301</v>
      </c>
      <c r="BC121" s="123">
        <v>302.730712890625</v>
      </c>
      <c r="BD121" s="123">
        <v>6.8000001907348633</v>
      </c>
      <c r="BE121" s="123">
        <v>7.00848388671875</v>
      </c>
      <c r="BF121" s="123">
        <v>30</v>
      </c>
      <c r="BG121" s="123">
        <v>10</v>
      </c>
      <c r="BH121" s="123">
        <v>11.276638984680176</v>
      </c>
      <c r="BI121" s="123"/>
      <c r="BJ121" s="108">
        <f t="shared" si="4"/>
        <v>16</v>
      </c>
      <c r="BK121" s="123">
        <v>16</v>
      </c>
      <c r="BL121" s="123">
        <v>0</v>
      </c>
      <c r="BM121" s="126"/>
      <c r="BN121" s="108">
        <f t="shared" si="5"/>
        <v>122</v>
      </c>
      <c r="BO121" s="108">
        <v>73</v>
      </c>
      <c r="BP121" s="108">
        <v>49</v>
      </c>
      <c r="BQ121" s="108">
        <v>284</v>
      </c>
      <c r="BR121" s="123">
        <v>79.280998229980469</v>
      </c>
      <c r="BS121" s="123">
        <v>26.464000701904297</v>
      </c>
      <c r="BT121" s="123">
        <v>43.98699951171875</v>
      </c>
      <c r="BU121" s="123">
        <v>39.060001373291016</v>
      </c>
      <c r="BV121" s="123">
        <v>70.099998474121094</v>
      </c>
      <c r="BW121" s="123">
        <v>6.4000000953674316</v>
      </c>
      <c r="BX121" s="123">
        <v>14.100000381469727</v>
      </c>
      <c r="BY121" s="123">
        <v>28</v>
      </c>
      <c r="BZ121" s="123">
        <v>19.896678924560547</v>
      </c>
      <c r="CA121" s="123">
        <v>18</v>
      </c>
      <c r="CB121" s="123">
        <v>29.140718460083008</v>
      </c>
      <c r="CC121" s="126"/>
      <c r="CD121" s="123">
        <v>396.83279418945313</v>
      </c>
      <c r="CE121" s="123">
        <v>67.109970092773438</v>
      </c>
      <c r="CF121" s="123">
        <v>24.401224136352539</v>
      </c>
      <c r="CG121" s="123">
        <v>35.338191986083984</v>
      </c>
      <c r="CH121" s="123">
        <v>285.00131225585938</v>
      </c>
      <c r="CI121" s="123">
        <v>93.996925354003906</v>
      </c>
      <c r="CJ121" s="123">
        <v>45.241489410400391</v>
      </c>
      <c r="CK121" s="123">
        <v>53.000026702880859</v>
      </c>
      <c r="CL121" s="124">
        <v>37.669334411621094</v>
      </c>
      <c r="CM121" s="125">
        <v>246.61698913574219</v>
      </c>
      <c r="CN121" s="123">
        <v>76.300468444824219</v>
      </c>
      <c r="CO121" s="123">
        <v>89.675048828125</v>
      </c>
      <c r="CP121" s="123">
        <v>77.704574584960938</v>
      </c>
      <c r="CQ121" s="123">
        <v>0</v>
      </c>
      <c r="CR121" s="123">
        <v>53.751720428466797</v>
      </c>
      <c r="CS121" s="123">
        <v>9.6560602188110352</v>
      </c>
      <c r="CT121" s="123">
        <v>39.868640899658203</v>
      </c>
      <c r="CU121" s="123">
        <v>53.684154510498047</v>
      </c>
      <c r="CV121" s="124">
        <v>73.403236389160156</v>
      </c>
      <c r="CW121" s="125">
        <v>4</v>
      </c>
      <c r="CX121" s="123">
        <v>404</v>
      </c>
      <c r="CY121" s="123">
        <v>190.45071411132813</v>
      </c>
      <c r="CZ121" s="123">
        <v>56.698970794677734</v>
      </c>
      <c r="DA121" s="123">
        <v>21.63178825378418</v>
      </c>
      <c r="DB121" s="123">
        <v>36.298759460449219</v>
      </c>
      <c r="DC121" s="123">
        <v>83.880661010742188</v>
      </c>
      <c r="DD121" s="123">
        <v>75</v>
      </c>
      <c r="DE121" s="123">
        <v>186</v>
      </c>
      <c r="DF121" s="123">
        <v>114.76699066162109</v>
      </c>
      <c r="DG121" s="123">
        <v>83.248908996582031</v>
      </c>
      <c r="DH121" s="123">
        <v>56.282791137695313</v>
      </c>
      <c r="DI121" s="128">
        <v>39.978904724121094</v>
      </c>
      <c r="DJ121" s="127">
        <v>218</v>
      </c>
      <c r="DK121" s="123">
        <v>115.01899719238281</v>
      </c>
      <c r="DL121" s="123">
        <v>26.916999816894531</v>
      </c>
      <c r="DM121" s="123">
        <v>37.110000610351563</v>
      </c>
      <c r="DN121" s="123">
        <v>49.125999450683594</v>
      </c>
      <c r="DO121" s="124">
        <v>113.26625061035156</v>
      </c>
      <c r="DP121" s="125">
        <v>16.059000015258789</v>
      </c>
      <c r="DQ121" s="123"/>
      <c r="DR121" s="125">
        <v>0</v>
      </c>
      <c r="DS121" s="128">
        <v>33.5</v>
      </c>
      <c r="DT121" s="127">
        <v>13</v>
      </c>
      <c r="DU121" s="123"/>
      <c r="DV121" s="123">
        <v>168</v>
      </c>
      <c r="DW121" s="123">
        <v>164.46693420410156</v>
      </c>
      <c r="DX121" s="125">
        <v>11</v>
      </c>
      <c r="DY121" s="128"/>
      <c r="DZ121" s="127">
        <v>47</v>
      </c>
      <c r="EA121" s="123">
        <v>3</v>
      </c>
      <c r="EB121" s="123">
        <v>0</v>
      </c>
      <c r="EC121" s="123">
        <v>1</v>
      </c>
      <c r="ED121" s="123">
        <v>279.60000610351563</v>
      </c>
      <c r="EE121" s="129">
        <v>108.60617828369141</v>
      </c>
      <c r="EF121" s="129">
        <v>109.2163200378418</v>
      </c>
      <c r="EG121" s="129">
        <v>111.10856959025065</v>
      </c>
      <c r="EH121" t="s">
        <v>99</v>
      </c>
    </row>
    <row r="122" spans="1:138" x14ac:dyDescent="0.3">
      <c r="A122" s="226">
        <f t="shared" si="6"/>
        <v>46020.081944444712</v>
      </c>
      <c r="B122" s="123">
        <v>238</v>
      </c>
      <c r="C122" s="123">
        <v>49.535999298095703</v>
      </c>
      <c r="D122" s="123">
        <v>98.620002746582031</v>
      </c>
      <c r="E122" s="123">
        <v>18.77400016784668</v>
      </c>
      <c r="F122" s="123">
        <v>9.8082981109619141</v>
      </c>
      <c r="G122" s="124">
        <v>19.22599983215332</v>
      </c>
      <c r="H122" s="125">
        <v>316</v>
      </c>
      <c r="I122" s="123">
        <v>281</v>
      </c>
      <c r="J122" s="123">
        <v>62.429000854492188</v>
      </c>
      <c r="K122" s="123">
        <v>63.449588775634766</v>
      </c>
      <c r="L122" s="123">
        <v>47.006000518798828</v>
      </c>
      <c r="M122" s="123">
        <v>13.458000183105469</v>
      </c>
      <c r="N122" s="123">
        <v>17.367000579833984</v>
      </c>
      <c r="O122" s="123">
        <v>19</v>
      </c>
      <c r="P122" s="123">
        <v>0</v>
      </c>
      <c r="Q122" s="123">
        <v>19.187057495117188</v>
      </c>
      <c r="R122" s="123">
        <v>12</v>
      </c>
      <c r="S122" s="123">
        <v>12.63167667388916</v>
      </c>
      <c r="T122" s="123">
        <v>8</v>
      </c>
      <c r="U122" s="123">
        <v>8</v>
      </c>
      <c r="V122" s="125">
        <v>959</v>
      </c>
      <c r="W122" s="123">
        <v>30.70783805847168</v>
      </c>
      <c r="X122" s="123">
        <v>30.083000183105469</v>
      </c>
      <c r="Y122" s="123">
        <v>7.4429998397827148</v>
      </c>
      <c r="Z122" s="123">
        <v>0</v>
      </c>
      <c r="AA122" s="123">
        <v>24.201999664306641</v>
      </c>
      <c r="AB122" s="123">
        <v>0</v>
      </c>
      <c r="AC122" s="123">
        <v>58.93548583984375</v>
      </c>
      <c r="AD122" s="123">
        <v>6.3610000610351563</v>
      </c>
      <c r="AE122" s="123">
        <v>0</v>
      </c>
      <c r="AF122" s="123">
        <v>86.314445495605469</v>
      </c>
      <c r="AG122" s="123">
        <v>0</v>
      </c>
      <c r="AH122" s="123">
        <v>66.677719116210938</v>
      </c>
      <c r="AI122" s="123">
        <v>18.767000198364258</v>
      </c>
      <c r="AJ122" s="123">
        <v>24.067878723144531</v>
      </c>
      <c r="AK122" s="123">
        <v>46.623451232910156</v>
      </c>
      <c r="AL122" s="123">
        <v>55.133998870849609</v>
      </c>
      <c r="AM122" s="126">
        <v>54.9010009765625</v>
      </c>
      <c r="AN122" s="125">
        <v>126.8125</v>
      </c>
      <c r="AO122" s="127">
        <v>66</v>
      </c>
      <c r="AP122" s="123">
        <v>67.550773620605469</v>
      </c>
      <c r="AQ122" s="123">
        <v>41.867801666259766</v>
      </c>
      <c r="AR122" s="123">
        <v>88</v>
      </c>
      <c r="AS122" s="123"/>
      <c r="AT122" s="123">
        <v>122</v>
      </c>
      <c r="AU122" s="123"/>
      <c r="AV122" s="123">
        <v>72</v>
      </c>
      <c r="AW122" s="123"/>
      <c r="AX122" s="123">
        <v>32</v>
      </c>
      <c r="AY122" s="123">
        <v>34.000526428222656</v>
      </c>
      <c r="AZ122" s="123">
        <v>17</v>
      </c>
      <c r="BA122" s="123"/>
      <c r="BB122" s="123">
        <v>301</v>
      </c>
      <c r="BC122" s="123">
        <v>300.01705932617188</v>
      </c>
      <c r="BD122" s="123">
        <v>7.0999999046325684</v>
      </c>
      <c r="BE122" s="123">
        <v>7.0221157073974609</v>
      </c>
      <c r="BF122" s="123">
        <v>30</v>
      </c>
      <c r="BG122" s="123">
        <v>11</v>
      </c>
      <c r="BH122" s="123">
        <v>11.261658668518066</v>
      </c>
      <c r="BI122" s="123"/>
      <c r="BJ122" s="108">
        <f t="shared" si="4"/>
        <v>15</v>
      </c>
      <c r="BK122" s="123">
        <v>15</v>
      </c>
      <c r="BL122" s="123">
        <v>0</v>
      </c>
      <c r="BM122" s="126"/>
      <c r="BN122" s="108">
        <f t="shared" si="5"/>
        <v>122</v>
      </c>
      <c r="BO122" s="108">
        <v>73</v>
      </c>
      <c r="BP122" s="108">
        <v>49</v>
      </c>
      <c r="BQ122" s="108">
        <v>286</v>
      </c>
      <c r="BR122" s="123">
        <v>79.620002746582031</v>
      </c>
      <c r="BS122" s="123">
        <v>25.445999145507813</v>
      </c>
      <c r="BT122" s="123">
        <v>45.0260009765625</v>
      </c>
      <c r="BU122" s="123">
        <v>40.141998291015625</v>
      </c>
      <c r="BV122" s="123">
        <v>69</v>
      </c>
      <c r="BW122" s="123">
        <v>6.3000001907348633</v>
      </c>
      <c r="BX122" s="123">
        <v>13.800000190734863</v>
      </c>
      <c r="BY122" s="123">
        <v>28</v>
      </c>
      <c r="BZ122" s="123">
        <v>19.9268798828125</v>
      </c>
      <c r="CA122" s="123">
        <v>20</v>
      </c>
      <c r="CB122" s="123">
        <v>29.363496780395508</v>
      </c>
      <c r="CC122" s="126"/>
      <c r="CD122" s="123">
        <v>387.46939086914063</v>
      </c>
      <c r="CE122" s="123">
        <v>65.933929443359375</v>
      </c>
      <c r="CF122" s="123">
        <v>23.842489242553711</v>
      </c>
      <c r="CG122" s="123">
        <v>35.338191986083984</v>
      </c>
      <c r="CH122" s="123">
        <v>285.00131225585938</v>
      </c>
      <c r="CI122" s="123">
        <v>90.691619873046875</v>
      </c>
      <c r="CJ122" s="123">
        <v>40.532505035400391</v>
      </c>
      <c r="CK122" s="123">
        <v>53.110992431640625</v>
      </c>
      <c r="CL122" s="124">
        <v>38.33587646484375</v>
      </c>
      <c r="CM122" s="125">
        <v>248.35710144042969</v>
      </c>
      <c r="CN122" s="123">
        <v>80.644744873046875</v>
      </c>
      <c r="CO122" s="123">
        <v>89.733108520507813</v>
      </c>
      <c r="CP122" s="123">
        <v>76.287940979003906</v>
      </c>
      <c r="CQ122" s="123">
        <v>0</v>
      </c>
      <c r="CR122" s="123">
        <v>54.578708648681641</v>
      </c>
      <c r="CS122" s="123">
        <v>10.109146118164063</v>
      </c>
      <c r="CT122" s="123">
        <v>37.467803955078125</v>
      </c>
      <c r="CU122" s="123">
        <v>52.27667236328125</v>
      </c>
      <c r="CV122" s="124">
        <v>75.158897399902344</v>
      </c>
      <c r="CW122" s="125">
        <v>3</v>
      </c>
      <c r="CX122" s="123">
        <v>408</v>
      </c>
      <c r="CY122" s="123">
        <v>190.45071411132813</v>
      </c>
      <c r="CZ122" s="123">
        <v>55.326103210449219</v>
      </c>
      <c r="DA122" s="123">
        <v>22.070310592651367</v>
      </c>
      <c r="DB122" s="123">
        <v>34.526802062988281</v>
      </c>
      <c r="DC122" s="123">
        <v>85.618156433105469</v>
      </c>
      <c r="DD122" s="123">
        <v>71</v>
      </c>
      <c r="DE122" s="123">
        <v>184</v>
      </c>
      <c r="DF122" s="123">
        <v>114.28266906738281</v>
      </c>
      <c r="DG122" s="123">
        <v>83.227188110351563</v>
      </c>
      <c r="DH122" s="123">
        <v>56.126792907714844</v>
      </c>
      <c r="DI122" s="128">
        <v>40.393959045410156</v>
      </c>
      <c r="DJ122" s="127">
        <v>213</v>
      </c>
      <c r="DK122" s="123">
        <v>106.87599945068359</v>
      </c>
      <c r="DL122" s="123">
        <v>27.368999481201172</v>
      </c>
      <c r="DM122" s="123">
        <v>30.041000366210938</v>
      </c>
      <c r="DN122" s="123">
        <v>50.009998321533203</v>
      </c>
      <c r="DO122" s="124">
        <v>112.16667175292969</v>
      </c>
      <c r="DP122" s="125">
        <v>15.973999977111816</v>
      </c>
      <c r="DQ122" s="123"/>
      <c r="DR122" s="125">
        <v>0</v>
      </c>
      <c r="DS122" s="128">
        <v>33.599998474121094</v>
      </c>
      <c r="DT122" s="127">
        <v>13</v>
      </c>
      <c r="DU122" s="123"/>
      <c r="DV122" s="123">
        <v>170</v>
      </c>
      <c r="DW122" s="123">
        <v>164.62721252441406</v>
      </c>
      <c r="DX122" s="125">
        <v>10</v>
      </c>
      <c r="DY122" s="128"/>
      <c r="DZ122" s="127">
        <v>46</v>
      </c>
      <c r="EA122" s="123">
        <v>3</v>
      </c>
      <c r="EB122" s="123">
        <v>0</v>
      </c>
      <c r="EC122" s="123">
        <v>1</v>
      </c>
      <c r="ED122" s="123">
        <v>276.39999389648438</v>
      </c>
      <c r="EE122" s="129">
        <v>14.616999626159668</v>
      </c>
      <c r="EF122" s="129">
        <v>14.834333101908365</v>
      </c>
      <c r="EG122" s="129">
        <v>15.202566719055175</v>
      </c>
      <c r="EH122" t="s">
        <v>303</v>
      </c>
    </row>
    <row r="123" spans="1:138" x14ac:dyDescent="0.3">
      <c r="A123" s="226">
        <f t="shared" si="6"/>
        <v>46020.082638889158</v>
      </c>
      <c r="B123" s="123">
        <v>243</v>
      </c>
      <c r="C123" s="123">
        <v>51.458999633789063</v>
      </c>
      <c r="D123" s="123">
        <v>98.167999267578125</v>
      </c>
      <c r="E123" s="123">
        <v>20.809000015258789</v>
      </c>
      <c r="F123" s="123">
        <v>0</v>
      </c>
      <c r="G123" s="124">
        <v>19.791999816894531</v>
      </c>
      <c r="H123" s="125">
        <v>317</v>
      </c>
      <c r="I123" s="123">
        <v>288</v>
      </c>
      <c r="J123" s="123">
        <v>65.708999633789063</v>
      </c>
      <c r="K123" s="123">
        <v>63.465003967285156</v>
      </c>
      <c r="L123" s="123">
        <v>47.181999206542969</v>
      </c>
      <c r="M123" s="123">
        <v>13.232000350952148</v>
      </c>
      <c r="N123" s="123">
        <v>16.540000915527344</v>
      </c>
      <c r="O123" s="123">
        <v>21</v>
      </c>
      <c r="P123" s="123">
        <v>0</v>
      </c>
      <c r="Q123" s="123">
        <v>21.826091766357422</v>
      </c>
      <c r="R123" s="123">
        <v>15</v>
      </c>
      <c r="S123" s="123">
        <v>14.556323051452637</v>
      </c>
      <c r="T123" s="123">
        <v>8</v>
      </c>
      <c r="U123" s="123">
        <v>8</v>
      </c>
      <c r="V123" s="125">
        <v>967</v>
      </c>
      <c r="W123" s="123">
        <v>28.75541877746582</v>
      </c>
      <c r="X123" s="123">
        <v>29.631000518798828</v>
      </c>
      <c r="Y123" s="123">
        <v>7.379000186920166</v>
      </c>
      <c r="Z123" s="123">
        <v>0</v>
      </c>
      <c r="AA123" s="123">
        <v>24.993999481201172</v>
      </c>
      <c r="AB123" s="123">
        <v>0</v>
      </c>
      <c r="AC123" s="123">
        <v>59.066829681396484</v>
      </c>
      <c r="AD123" s="123">
        <v>6.1069998741149902</v>
      </c>
      <c r="AE123" s="123">
        <v>0</v>
      </c>
      <c r="AF123" s="123">
        <v>86.442680358886719</v>
      </c>
      <c r="AG123" s="123">
        <v>0</v>
      </c>
      <c r="AH123" s="123">
        <v>66.714332580566406</v>
      </c>
      <c r="AI123" s="123">
        <v>18.320999145507813</v>
      </c>
      <c r="AJ123" s="123">
        <v>24.71196174621582</v>
      </c>
      <c r="AK123" s="123">
        <v>46.245700836181641</v>
      </c>
      <c r="AL123" s="123">
        <v>57.784999847412109</v>
      </c>
      <c r="AM123" s="126">
        <v>54.709999084472656</v>
      </c>
      <c r="AN123" s="125">
        <v>127.8125</v>
      </c>
      <c r="AO123" s="127">
        <v>68</v>
      </c>
      <c r="AP123" s="123">
        <v>67.959579467773438</v>
      </c>
      <c r="AQ123" s="123">
        <v>41.563522338867188</v>
      </c>
      <c r="AR123" s="123">
        <v>88</v>
      </c>
      <c r="AS123" s="123"/>
      <c r="AT123" s="123">
        <v>122</v>
      </c>
      <c r="AU123" s="123"/>
      <c r="AV123" s="123">
        <v>80</v>
      </c>
      <c r="AW123" s="123"/>
      <c r="AX123" s="123">
        <v>32</v>
      </c>
      <c r="AY123" s="123">
        <v>33.877834320068359</v>
      </c>
      <c r="AZ123" s="123">
        <v>17</v>
      </c>
      <c r="BA123" s="123"/>
      <c r="BB123" s="123">
        <v>299</v>
      </c>
      <c r="BC123" s="123">
        <v>298.80575561523438</v>
      </c>
      <c r="BD123" s="123">
        <v>7</v>
      </c>
      <c r="BE123" s="123">
        <v>7.013463020324707</v>
      </c>
      <c r="BF123" s="123">
        <v>30</v>
      </c>
      <c r="BG123" s="123">
        <v>11</v>
      </c>
      <c r="BH123" s="123">
        <v>11.261658668518066</v>
      </c>
      <c r="BI123" s="123"/>
      <c r="BJ123" s="108">
        <f t="shared" si="4"/>
        <v>16</v>
      </c>
      <c r="BK123" s="123">
        <v>16</v>
      </c>
      <c r="BL123" s="123">
        <v>0</v>
      </c>
      <c r="BM123" s="126"/>
      <c r="BN123" s="108">
        <f t="shared" si="5"/>
        <v>122</v>
      </c>
      <c r="BO123" s="108">
        <v>73</v>
      </c>
      <c r="BP123" s="108">
        <v>49</v>
      </c>
      <c r="BQ123" s="108">
        <v>286</v>
      </c>
      <c r="BR123" s="123">
        <v>79.507003784179688</v>
      </c>
      <c r="BS123" s="123">
        <v>25.191999435424805</v>
      </c>
      <c r="BT123" s="123">
        <v>42.255001068115234</v>
      </c>
      <c r="BU123" s="123">
        <v>38.615001678466797</v>
      </c>
      <c r="BV123" s="123">
        <v>68.599998474121094</v>
      </c>
      <c r="BW123" s="123">
        <v>6.1999998092651367</v>
      </c>
      <c r="BX123" s="123">
        <v>13.600000381469727</v>
      </c>
      <c r="BY123" s="123">
        <v>29</v>
      </c>
      <c r="BZ123" s="123">
        <v>19.907341003417969</v>
      </c>
      <c r="CA123" s="123">
        <v>19</v>
      </c>
      <c r="CB123" s="123">
        <v>29.67193603515625</v>
      </c>
      <c r="CC123" s="126"/>
      <c r="CD123" s="123">
        <v>395.865966796875</v>
      </c>
      <c r="CE123" s="123">
        <v>67.217918395996094</v>
      </c>
      <c r="CF123" s="123">
        <v>23.820833206176758</v>
      </c>
      <c r="CG123" s="123">
        <v>35.338191986083984</v>
      </c>
      <c r="CH123" s="123">
        <v>285.6080322265625</v>
      </c>
      <c r="CI123" s="123">
        <v>92.755027770996094</v>
      </c>
      <c r="CJ123" s="123">
        <v>43.274845123291016</v>
      </c>
      <c r="CK123" s="123">
        <v>53.8095703125</v>
      </c>
      <c r="CL123" s="124">
        <v>38.445281982421875</v>
      </c>
      <c r="CM123" s="125">
        <v>244.69473266601563</v>
      </c>
      <c r="CN123" s="123">
        <v>78.111610412597656</v>
      </c>
      <c r="CO123" s="123">
        <v>87.381172180175781</v>
      </c>
      <c r="CP123" s="123">
        <v>75.390159606933594</v>
      </c>
      <c r="CQ123" s="123">
        <v>0</v>
      </c>
      <c r="CR123" s="123">
        <v>52.348228454589844</v>
      </c>
      <c r="CS123" s="123">
        <v>10.532771110534668</v>
      </c>
      <c r="CT123" s="123">
        <v>37.381786346435547</v>
      </c>
      <c r="CU123" s="123">
        <v>52.27667236328125</v>
      </c>
      <c r="CV123" s="124">
        <v>80.687904357910156</v>
      </c>
      <c r="CW123" s="125">
        <v>2</v>
      </c>
      <c r="CX123" s="123">
        <v>407</v>
      </c>
      <c r="CY123" s="123">
        <v>188.77407836914063</v>
      </c>
      <c r="CZ123" s="123">
        <v>56.60540771484375</v>
      </c>
      <c r="DA123" s="123">
        <v>22.348066329956055</v>
      </c>
      <c r="DB123" s="123">
        <v>34.526802062988281</v>
      </c>
      <c r="DC123" s="123">
        <v>85.888404846191406</v>
      </c>
      <c r="DD123" s="123">
        <v>75</v>
      </c>
      <c r="DE123" s="123">
        <v>185</v>
      </c>
      <c r="DF123" s="123">
        <v>116.24200439453125</v>
      </c>
      <c r="DG123" s="123">
        <v>79.878860473632813</v>
      </c>
      <c r="DH123" s="123">
        <v>55.42242431640625</v>
      </c>
      <c r="DI123" s="128">
        <v>38.690834045410156</v>
      </c>
      <c r="DJ123" s="127">
        <v>214</v>
      </c>
      <c r="DK123" s="123">
        <v>113.49299621582031</v>
      </c>
      <c r="DL123" s="123">
        <v>29.065999984741211</v>
      </c>
      <c r="DM123" s="123">
        <v>29.156999588012695</v>
      </c>
      <c r="DN123" s="123">
        <v>52.837001800537109</v>
      </c>
      <c r="DO123" s="124">
        <v>112.00150299072266</v>
      </c>
      <c r="DP123" s="125">
        <v>15.973999977111816</v>
      </c>
      <c r="DQ123" s="123"/>
      <c r="DR123" s="125">
        <v>0</v>
      </c>
      <c r="DS123" s="128">
        <v>33.099998474121094</v>
      </c>
      <c r="DT123" s="127">
        <v>13</v>
      </c>
      <c r="DU123" s="123"/>
      <c r="DV123" s="123">
        <v>171</v>
      </c>
      <c r="DW123" s="123">
        <v>165.01438903808594</v>
      </c>
      <c r="DX123" s="125">
        <v>10</v>
      </c>
      <c r="DY123" s="128"/>
      <c r="DZ123" s="127">
        <v>46</v>
      </c>
      <c r="EA123" s="123">
        <v>3</v>
      </c>
      <c r="EB123" s="123">
        <v>0</v>
      </c>
      <c r="EC123" s="123">
        <v>1</v>
      </c>
      <c r="ED123" s="123">
        <v>275.5</v>
      </c>
      <c r="EE123" s="129">
        <v>0</v>
      </c>
      <c r="EF123" s="129" t="e">
        <v>#NUM!</v>
      </c>
      <c r="EG123" s="129" t="e">
        <v>#DIV/0!</v>
      </c>
    </row>
    <row r="124" spans="1:138" x14ac:dyDescent="0.3">
      <c r="A124" s="226">
        <f t="shared" si="6"/>
        <v>46020.083333333605</v>
      </c>
      <c r="B124" s="123">
        <v>237</v>
      </c>
      <c r="C124" s="123">
        <v>54.173000335693359</v>
      </c>
      <c r="D124" s="123">
        <v>97.375999450683594</v>
      </c>
      <c r="E124" s="123">
        <v>17.076999664306641</v>
      </c>
      <c r="F124" s="123">
        <v>9.3961572647094727</v>
      </c>
      <c r="G124" s="124">
        <v>18.886999130249023</v>
      </c>
      <c r="H124" s="125">
        <v>311</v>
      </c>
      <c r="I124" s="123">
        <v>283</v>
      </c>
      <c r="J124" s="123">
        <v>65.257003784179688</v>
      </c>
      <c r="K124" s="123">
        <v>62.687084197998047</v>
      </c>
      <c r="L124" s="123">
        <v>45.769001007080078</v>
      </c>
      <c r="M124" s="123">
        <v>13.571000099182129</v>
      </c>
      <c r="N124" s="123">
        <v>16.031000137329102</v>
      </c>
      <c r="O124" s="123">
        <v>21</v>
      </c>
      <c r="P124" s="123">
        <v>0</v>
      </c>
      <c r="Q124" s="123">
        <v>20.650552749633789</v>
      </c>
      <c r="R124" s="123">
        <v>13.996874809265137</v>
      </c>
      <c r="S124" s="123">
        <v>12.769891738891602</v>
      </c>
      <c r="T124" s="123">
        <v>9</v>
      </c>
      <c r="U124" s="123">
        <v>9</v>
      </c>
      <c r="V124" s="125">
        <v>960</v>
      </c>
      <c r="W124" s="123">
        <v>26.613101959228516</v>
      </c>
      <c r="X124" s="123">
        <v>29.517999649047852</v>
      </c>
      <c r="Y124" s="123">
        <v>8.8420000076293945</v>
      </c>
      <c r="Z124" s="123">
        <v>0</v>
      </c>
      <c r="AA124" s="123">
        <v>24.315000534057617</v>
      </c>
      <c r="AB124" s="123">
        <v>0</v>
      </c>
      <c r="AC124" s="123">
        <v>58.596637725830078</v>
      </c>
      <c r="AD124" s="123">
        <v>6.1069998741149902</v>
      </c>
      <c r="AE124" s="123">
        <v>0</v>
      </c>
      <c r="AF124" s="123">
        <v>84.539787292480469</v>
      </c>
      <c r="AG124" s="123">
        <v>0</v>
      </c>
      <c r="AH124" s="123">
        <v>67.227333068847656</v>
      </c>
      <c r="AI124" s="123">
        <v>16.922000885009766</v>
      </c>
      <c r="AJ124" s="123">
        <v>23.097072601318359</v>
      </c>
      <c r="AK124" s="123">
        <v>45.923061370849609</v>
      </c>
      <c r="AL124" s="123">
        <v>56.902000427246094</v>
      </c>
      <c r="AM124" s="126">
        <v>55.091999053955078</v>
      </c>
      <c r="AN124" s="125">
        <v>127</v>
      </c>
      <c r="AO124" s="127">
        <v>69</v>
      </c>
      <c r="AP124" s="123">
        <v>68.131858825683594</v>
      </c>
      <c r="AQ124" s="123">
        <v>41.776084899902344</v>
      </c>
      <c r="AR124" s="123">
        <v>89</v>
      </c>
      <c r="AS124" s="123"/>
      <c r="AT124" s="123">
        <v>123</v>
      </c>
      <c r="AU124" s="123"/>
      <c r="AV124" s="123">
        <v>79</v>
      </c>
      <c r="AW124" s="123"/>
      <c r="AX124" s="123">
        <v>32</v>
      </c>
      <c r="AY124" s="123">
        <v>33.720783233642578</v>
      </c>
      <c r="AZ124" s="123">
        <v>18</v>
      </c>
      <c r="BA124" s="123"/>
      <c r="BB124" s="123">
        <v>299</v>
      </c>
      <c r="BC124" s="123">
        <v>302.120361328125</v>
      </c>
      <c r="BD124" s="123">
        <v>7</v>
      </c>
      <c r="BE124" s="123">
        <v>7.013463020324707</v>
      </c>
      <c r="BF124" s="123">
        <v>29</v>
      </c>
      <c r="BG124" s="123">
        <v>11</v>
      </c>
      <c r="BH124" s="123">
        <v>11.279253959655762</v>
      </c>
      <c r="BI124" s="123"/>
      <c r="BJ124" s="108">
        <f t="shared" si="4"/>
        <v>16</v>
      </c>
      <c r="BK124" s="123">
        <v>16</v>
      </c>
      <c r="BL124" s="123">
        <v>0</v>
      </c>
      <c r="BM124" s="126"/>
      <c r="BN124" s="108">
        <f t="shared" si="5"/>
        <v>123</v>
      </c>
      <c r="BO124" s="108">
        <v>74</v>
      </c>
      <c r="BP124" s="108">
        <v>49</v>
      </c>
      <c r="BQ124" s="108">
        <v>282</v>
      </c>
      <c r="BR124" s="123">
        <v>76.679000854492188</v>
      </c>
      <c r="BS124" s="123">
        <v>24.937000274658203</v>
      </c>
      <c r="BT124" s="123">
        <v>42.602001190185547</v>
      </c>
      <c r="BU124" s="123">
        <v>38.361000061035156</v>
      </c>
      <c r="BV124" s="123">
        <v>68.199996948242188</v>
      </c>
      <c r="BW124" s="123">
        <v>6.3000001907348633</v>
      </c>
      <c r="BX124" s="123">
        <v>13.399999618530273</v>
      </c>
      <c r="BY124" s="123">
        <v>28</v>
      </c>
      <c r="BZ124" s="123">
        <v>19.883274078369141</v>
      </c>
      <c r="CA124" s="123">
        <v>19</v>
      </c>
      <c r="CB124" s="123">
        <v>29.589775085449219</v>
      </c>
      <c r="CC124" s="126"/>
      <c r="CD124" s="123">
        <v>388.49810791015625</v>
      </c>
      <c r="CE124" s="123">
        <v>67.346954345703125</v>
      </c>
      <c r="CF124" s="123">
        <v>23.632896423339844</v>
      </c>
      <c r="CG124" s="123">
        <v>35.338191986083984</v>
      </c>
      <c r="CH124" s="123">
        <v>284.28399658203125</v>
      </c>
      <c r="CI124" s="123">
        <v>89.299552917480469</v>
      </c>
      <c r="CJ124" s="123">
        <v>41.605838775634766</v>
      </c>
      <c r="CK124" s="123">
        <v>54.295059204101563</v>
      </c>
      <c r="CL124" s="124">
        <v>37.659004211425781</v>
      </c>
      <c r="CM124" s="125">
        <v>244.69473266601563</v>
      </c>
      <c r="CN124" s="123">
        <v>77.180915832519531</v>
      </c>
      <c r="CO124" s="123">
        <v>86.204170227050781</v>
      </c>
      <c r="CP124" s="123">
        <v>76.926567077636719</v>
      </c>
      <c r="CQ124" s="123">
        <v>0</v>
      </c>
      <c r="CR124" s="123">
        <v>52.348575592041016</v>
      </c>
      <c r="CS124" s="123">
        <v>10.179320335388184</v>
      </c>
      <c r="CT124" s="123">
        <v>39.445301055908203</v>
      </c>
      <c r="CU124" s="123">
        <v>54.082466125488281</v>
      </c>
      <c r="CV124" s="124">
        <v>77.477401733398438</v>
      </c>
      <c r="CW124" s="125">
        <v>5</v>
      </c>
      <c r="CX124" s="123">
        <v>407</v>
      </c>
      <c r="CY124" s="123">
        <v>185.30929565429688</v>
      </c>
      <c r="CZ124" s="123">
        <v>54.650058746337891</v>
      </c>
      <c r="DA124" s="123">
        <v>21.722124099731445</v>
      </c>
      <c r="DB124" s="123">
        <v>35.1044921875</v>
      </c>
      <c r="DC124" s="123">
        <v>85.507095336914063</v>
      </c>
      <c r="DD124" s="123">
        <v>74</v>
      </c>
      <c r="DE124" s="123">
        <v>185</v>
      </c>
      <c r="DF124" s="123">
        <v>116.69160461425781</v>
      </c>
      <c r="DG124" s="123">
        <v>80.2855224609375</v>
      </c>
      <c r="DH124" s="123">
        <v>55.53289794921875</v>
      </c>
      <c r="DI124" s="128">
        <v>39.915988922119141</v>
      </c>
      <c r="DJ124" s="127">
        <v>208</v>
      </c>
      <c r="DK124" s="123">
        <v>107.89399719238281</v>
      </c>
      <c r="DL124" s="123">
        <v>25.107000350952148</v>
      </c>
      <c r="DM124" s="123">
        <v>25.093000411987305</v>
      </c>
      <c r="DN124" s="123">
        <v>52.306999206542969</v>
      </c>
      <c r="DO124" s="124">
        <v>112.85744476318359</v>
      </c>
      <c r="DP124" s="125">
        <v>15.607000350952148</v>
      </c>
      <c r="DQ124" s="123"/>
      <c r="DR124" s="125">
        <v>0</v>
      </c>
      <c r="DS124" s="128">
        <v>34</v>
      </c>
      <c r="DT124" s="127">
        <v>13</v>
      </c>
      <c r="DU124" s="123"/>
      <c r="DV124" s="123">
        <v>168</v>
      </c>
      <c r="DW124" s="123">
        <v>164.23442077636719</v>
      </c>
      <c r="DX124" s="125">
        <v>11</v>
      </c>
      <c r="DY124" s="128"/>
      <c r="DZ124" s="127">
        <v>46</v>
      </c>
      <c r="EA124" s="123">
        <v>3</v>
      </c>
      <c r="EB124" s="123">
        <v>0</v>
      </c>
      <c r="EC124" s="123">
        <v>1</v>
      </c>
      <c r="ED124" s="123">
        <v>277.60000610351563</v>
      </c>
      <c r="EE124" s="129">
        <v>0</v>
      </c>
      <c r="EF124" s="129">
        <v>0</v>
      </c>
      <c r="EG124" s="129">
        <v>8.9499999999999993</v>
      </c>
      <c r="EH124" t="s">
        <v>181</v>
      </c>
    </row>
    <row r="125" spans="1:138" x14ac:dyDescent="0.3">
      <c r="A125" s="226">
        <f t="shared" si="6"/>
        <v>46020.084027778052</v>
      </c>
      <c r="B125" s="123">
        <v>241</v>
      </c>
      <c r="C125" s="123">
        <v>52.363998413085938</v>
      </c>
      <c r="D125" s="123">
        <v>98.393997192382813</v>
      </c>
      <c r="E125" s="123">
        <v>15.154999732971191</v>
      </c>
      <c r="F125" s="123">
        <v>0</v>
      </c>
      <c r="G125" s="124">
        <v>18.660999298095703</v>
      </c>
      <c r="H125" s="125">
        <v>318</v>
      </c>
      <c r="I125" s="123">
        <v>280</v>
      </c>
      <c r="J125" s="123">
        <v>64.238998413085938</v>
      </c>
      <c r="K125" s="123">
        <v>64.526954650878906</v>
      </c>
      <c r="L125" s="123">
        <v>44.708000183105469</v>
      </c>
      <c r="M125" s="123">
        <v>13.571000099182129</v>
      </c>
      <c r="N125" s="123">
        <v>17.176000595092773</v>
      </c>
      <c r="O125" s="123">
        <v>20</v>
      </c>
      <c r="P125" s="123">
        <v>0</v>
      </c>
      <c r="Q125" s="123">
        <v>19.940423965454102</v>
      </c>
      <c r="R125" s="123">
        <v>13.003125190734863</v>
      </c>
      <c r="S125" s="123">
        <v>12.535219192504883</v>
      </c>
      <c r="T125" s="123">
        <v>9</v>
      </c>
      <c r="U125" s="123">
        <v>9</v>
      </c>
      <c r="V125" s="125">
        <v>966</v>
      </c>
      <c r="W125" s="123">
        <v>26.445152282714844</v>
      </c>
      <c r="X125" s="123">
        <v>29.405000686645508</v>
      </c>
      <c r="Y125" s="123">
        <v>8.2700004577636719</v>
      </c>
      <c r="Z125" s="123">
        <v>0</v>
      </c>
      <c r="AA125" s="123">
        <v>24.315000534057617</v>
      </c>
      <c r="AB125" s="123">
        <v>0</v>
      </c>
      <c r="AC125" s="123">
        <v>57.898483276367188</v>
      </c>
      <c r="AD125" s="123">
        <v>6.3610000610351563</v>
      </c>
      <c r="AE125" s="123">
        <v>0</v>
      </c>
      <c r="AF125" s="123">
        <v>84.068679809570313</v>
      </c>
      <c r="AG125" s="123">
        <v>0</v>
      </c>
      <c r="AH125" s="123">
        <v>68.400390625</v>
      </c>
      <c r="AI125" s="123">
        <v>13.61400032043457</v>
      </c>
      <c r="AJ125" s="123">
        <v>22.415689468383789</v>
      </c>
      <c r="AK125" s="123">
        <v>46.924304962158203</v>
      </c>
      <c r="AL125" s="123">
        <v>56.370998382568359</v>
      </c>
      <c r="AM125" s="126">
        <v>55.027999877929688</v>
      </c>
      <c r="AN125" s="125">
        <v>127.8125</v>
      </c>
      <c r="AO125" s="127">
        <v>69</v>
      </c>
      <c r="AP125" s="123">
        <v>68.13885498046875</v>
      </c>
      <c r="AQ125" s="123">
        <v>40.970302581787109</v>
      </c>
      <c r="AR125" s="123">
        <v>89</v>
      </c>
      <c r="AS125" s="123"/>
      <c r="AT125" s="123">
        <v>122</v>
      </c>
      <c r="AU125" s="123"/>
      <c r="AV125" s="123">
        <v>79</v>
      </c>
      <c r="AW125" s="123"/>
      <c r="AX125" s="123">
        <v>32</v>
      </c>
      <c r="AY125" s="123">
        <v>34.177177429199219</v>
      </c>
      <c r="AZ125" s="123">
        <v>18</v>
      </c>
      <c r="BA125" s="123"/>
      <c r="BB125" s="123">
        <v>298</v>
      </c>
      <c r="BC125" s="123">
        <v>302.21728515625</v>
      </c>
      <c r="BD125" s="123">
        <v>7.0999999046325684</v>
      </c>
      <c r="BE125" s="123">
        <v>6.9935698509216309</v>
      </c>
      <c r="BF125" s="123">
        <v>30</v>
      </c>
      <c r="BG125" s="123">
        <v>11</v>
      </c>
      <c r="BH125" s="123">
        <v>11.278645515441895</v>
      </c>
      <c r="BI125" s="123"/>
      <c r="BJ125" s="108">
        <f t="shared" si="4"/>
        <v>15</v>
      </c>
      <c r="BK125" s="123">
        <v>15</v>
      </c>
      <c r="BL125" s="123">
        <v>0</v>
      </c>
      <c r="BM125" s="126"/>
      <c r="BN125" s="108">
        <f t="shared" si="5"/>
        <v>122</v>
      </c>
      <c r="BO125" s="108">
        <v>73</v>
      </c>
      <c r="BP125" s="108">
        <v>49</v>
      </c>
      <c r="BQ125" s="108">
        <v>283</v>
      </c>
      <c r="BR125" s="123">
        <v>75.208999633789063</v>
      </c>
      <c r="BS125" s="123">
        <v>26.718999862670898</v>
      </c>
      <c r="BT125" s="123">
        <v>42.948001861572266</v>
      </c>
      <c r="BU125" s="123">
        <v>38.932998657226563</v>
      </c>
      <c r="BV125" s="123">
        <v>69.300003051757813</v>
      </c>
      <c r="BW125" s="123">
        <v>6.0999999046325684</v>
      </c>
      <c r="BX125" s="123">
        <v>13.399999618530273</v>
      </c>
      <c r="BY125" s="123">
        <v>30</v>
      </c>
      <c r="BZ125" s="123">
        <v>19.917673110961914</v>
      </c>
      <c r="CA125" s="123">
        <v>19</v>
      </c>
      <c r="CB125" s="123">
        <v>29.454484939575195</v>
      </c>
      <c r="CC125" s="126"/>
      <c r="CD125" s="123">
        <v>397.70242309570313</v>
      </c>
      <c r="CE125" s="123">
        <v>65.847793579101563</v>
      </c>
      <c r="CF125" s="123">
        <v>24.195901870727539</v>
      </c>
      <c r="CG125" s="123">
        <v>35.338191986083984</v>
      </c>
      <c r="CH125" s="123">
        <v>284.36166381835938</v>
      </c>
      <c r="CI125" s="123">
        <v>89.393142700195313</v>
      </c>
      <c r="CJ125" s="123">
        <v>40.747600555419922</v>
      </c>
      <c r="CK125" s="123">
        <v>51.651607513427734</v>
      </c>
      <c r="CL125" s="124">
        <v>37.556461334228516</v>
      </c>
      <c r="CM125" s="125">
        <v>236.57089233398438</v>
      </c>
      <c r="CN125" s="123">
        <v>77.559112548828125</v>
      </c>
      <c r="CO125" s="123">
        <v>76.55047607421875</v>
      </c>
      <c r="CP125" s="123">
        <v>76.895523071289063</v>
      </c>
      <c r="CQ125" s="123">
        <v>0</v>
      </c>
      <c r="CR125" s="123">
        <v>55.078647613525391</v>
      </c>
      <c r="CS125" s="123">
        <v>10.190622329711914</v>
      </c>
      <c r="CT125" s="123">
        <v>37.29376220703125</v>
      </c>
      <c r="CU125" s="123">
        <v>53.308055877685547</v>
      </c>
      <c r="CV125" s="124">
        <v>76.422821044921875</v>
      </c>
      <c r="CW125" s="125">
        <v>4</v>
      </c>
      <c r="CX125" s="123">
        <v>395</v>
      </c>
      <c r="CY125" s="123">
        <v>181.41397094726563</v>
      </c>
      <c r="CZ125" s="123">
        <v>53.557044982910156</v>
      </c>
      <c r="DA125" s="123">
        <v>21.786813735961914</v>
      </c>
      <c r="DB125" s="123">
        <v>37.083713531494141</v>
      </c>
      <c r="DC125" s="123">
        <v>84.386894226074219</v>
      </c>
      <c r="DD125" s="123">
        <v>74</v>
      </c>
      <c r="DE125" s="123">
        <v>184</v>
      </c>
      <c r="DF125" s="123">
        <v>118.28059387207031</v>
      </c>
      <c r="DG125" s="123">
        <v>77.196647644042969</v>
      </c>
      <c r="DH125" s="123">
        <v>55.724300384521484</v>
      </c>
      <c r="DI125" s="128">
        <v>39.588123321533203</v>
      </c>
      <c r="DJ125" s="127">
        <v>208</v>
      </c>
      <c r="DK125" s="123">
        <v>112.47499847412109</v>
      </c>
      <c r="DL125" s="123">
        <v>25.333000183105469</v>
      </c>
      <c r="DM125" s="123">
        <v>29.687999725341797</v>
      </c>
      <c r="DN125" s="123">
        <v>50.009998321533203</v>
      </c>
      <c r="DO125" s="124">
        <v>113.62845611572266</v>
      </c>
      <c r="DP125" s="125">
        <v>16.341999053955078</v>
      </c>
      <c r="DQ125" s="123"/>
      <c r="DR125" s="125">
        <v>0</v>
      </c>
      <c r="DS125" s="128">
        <v>34.099998474121094</v>
      </c>
      <c r="DT125" s="127">
        <v>13</v>
      </c>
      <c r="DU125" s="123"/>
      <c r="DV125" s="123">
        <v>172</v>
      </c>
      <c r="DW125" s="123">
        <v>164.55731201171875</v>
      </c>
      <c r="DX125" s="125">
        <v>10</v>
      </c>
      <c r="DY125" s="128"/>
      <c r="DZ125" s="127">
        <v>47</v>
      </c>
      <c r="EA125" s="123">
        <v>3</v>
      </c>
      <c r="EB125" s="123">
        <v>0</v>
      </c>
      <c r="EC125" s="123">
        <v>1</v>
      </c>
      <c r="ED125" s="123">
        <v>278.39999389648438</v>
      </c>
      <c r="EE125" s="129">
        <v>26.299999237060547</v>
      </c>
      <c r="EF125" s="129">
        <v>26.783332824707031</v>
      </c>
      <c r="EG125" s="129">
        <v>28.444999853769939</v>
      </c>
      <c r="EH125" t="s">
        <v>182</v>
      </c>
    </row>
    <row r="126" spans="1:138" x14ac:dyDescent="0.3">
      <c r="A126" s="226">
        <f t="shared" si="6"/>
        <v>46020.084722222498</v>
      </c>
      <c r="B126" s="123">
        <v>237</v>
      </c>
      <c r="C126" s="123">
        <v>46.368999481201172</v>
      </c>
      <c r="D126" s="123">
        <v>97.375999450683594</v>
      </c>
      <c r="E126" s="123">
        <v>16.285999298095703</v>
      </c>
      <c r="F126" s="123">
        <v>5.6002583503723145</v>
      </c>
      <c r="G126" s="124">
        <v>19.22599983215332</v>
      </c>
      <c r="H126" s="125">
        <v>318</v>
      </c>
      <c r="I126" s="123">
        <v>286</v>
      </c>
      <c r="J126" s="123">
        <v>65.029998779296875</v>
      </c>
      <c r="K126" s="123">
        <v>66.436897277832031</v>
      </c>
      <c r="L126" s="123">
        <v>45.769001007080078</v>
      </c>
      <c r="M126" s="123">
        <v>14.36299991607666</v>
      </c>
      <c r="N126" s="123">
        <v>16.349000930786133</v>
      </c>
      <c r="O126" s="123">
        <v>20</v>
      </c>
      <c r="P126" s="123">
        <v>0</v>
      </c>
      <c r="Q126" s="123">
        <v>19.940423965454102</v>
      </c>
      <c r="R126" s="123">
        <v>13.003125190734863</v>
      </c>
      <c r="S126" s="123">
        <v>14.267764091491699</v>
      </c>
      <c r="T126" s="123">
        <v>9</v>
      </c>
      <c r="U126" s="123">
        <v>9</v>
      </c>
      <c r="V126" s="125">
        <v>966</v>
      </c>
      <c r="W126" s="123">
        <v>28.768610000610352</v>
      </c>
      <c r="X126" s="123">
        <v>29.065999984741211</v>
      </c>
      <c r="Y126" s="123">
        <v>7.570000171661377</v>
      </c>
      <c r="Z126" s="123">
        <v>0</v>
      </c>
      <c r="AA126" s="123">
        <v>23.863000869750977</v>
      </c>
      <c r="AB126" s="123">
        <v>0</v>
      </c>
      <c r="AC126" s="123">
        <v>57.425117492675781</v>
      </c>
      <c r="AD126" s="123">
        <v>6.1069998741149902</v>
      </c>
      <c r="AE126" s="123">
        <v>0</v>
      </c>
      <c r="AF126" s="123">
        <v>85.345962524414063</v>
      </c>
      <c r="AG126" s="123">
        <v>0</v>
      </c>
      <c r="AH126" s="123">
        <v>65.931556701660156</v>
      </c>
      <c r="AI126" s="123">
        <v>15.395000457763672</v>
      </c>
      <c r="AJ126" s="123">
        <v>22.681201934814453</v>
      </c>
      <c r="AK126" s="123">
        <v>46.178089141845703</v>
      </c>
      <c r="AL126" s="123">
        <v>55.487998962402344</v>
      </c>
      <c r="AM126" s="126">
        <v>53.501998901367188</v>
      </c>
      <c r="AN126" s="125">
        <v>131.1875</v>
      </c>
      <c r="AO126" s="127">
        <v>68</v>
      </c>
      <c r="AP126" s="123">
        <v>67.761764526367188</v>
      </c>
      <c r="AQ126" s="123">
        <v>42.194309234619141</v>
      </c>
      <c r="AR126" s="123">
        <v>87</v>
      </c>
      <c r="AS126" s="123"/>
      <c r="AT126" s="123">
        <v>123</v>
      </c>
      <c r="AU126" s="123"/>
      <c r="AV126" s="123">
        <v>78</v>
      </c>
      <c r="AW126" s="123"/>
      <c r="AX126" s="123">
        <v>33</v>
      </c>
      <c r="AY126" s="123">
        <v>33.951168060302734</v>
      </c>
      <c r="AZ126" s="123">
        <v>17</v>
      </c>
      <c r="BA126" s="123"/>
      <c r="BB126" s="123">
        <v>299</v>
      </c>
      <c r="BC126" s="123">
        <v>302.817626953125</v>
      </c>
      <c r="BD126" s="123">
        <v>7</v>
      </c>
      <c r="BE126" s="123">
        <v>6.9923920631408691</v>
      </c>
      <c r="BF126" s="123">
        <v>30</v>
      </c>
      <c r="BG126" s="123">
        <v>11</v>
      </c>
      <c r="BH126" s="123">
        <v>11.321609497070313</v>
      </c>
      <c r="BI126" s="123"/>
      <c r="BJ126" s="108">
        <f t="shared" si="4"/>
        <v>15</v>
      </c>
      <c r="BK126" s="123">
        <v>15</v>
      </c>
      <c r="BL126" s="123">
        <v>0</v>
      </c>
      <c r="BM126" s="126"/>
      <c r="BN126" s="108">
        <f t="shared" si="5"/>
        <v>122</v>
      </c>
      <c r="BO126" s="108">
        <v>73</v>
      </c>
      <c r="BP126" s="108">
        <v>49</v>
      </c>
      <c r="BQ126" s="108">
        <v>283</v>
      </c>
      <c r="BR126" s="123">
        <v>78.26300048828125</v>
      </c>
      <c r="BS126" s="123">
        <v>25.701000213623047</v>
      </c>
      <c r="BT126" s="123">
        <v>41.909000396728516</v>
      </c>
      <c r="BU126" s="123">
        <v>38.805999755859375</v>
      </c>
      <c r="BV126" s="123">
        <v>68.599998474121094</v>
      </c>
      <c r="BW126" s="123">
        <v>6.0999999046325684</v>
      </c>
      <c r="BX126" s="123">
        <v>13.5</v>
      </c>
      <c r="BY126" s="123">
        <v>27</v>
      </c>
      <c r="BZ126" s="123">
        <v>19.937524795532227</v>
      </c>
      <c r="CA126" s="123">
        <v>19</v>
      </c>
      <c r="CB126" s="123">
        <v>29.273279190063477</v>
      </c>
      <c r="CC126" s="126"/>
      <c r="CD126" s="123">
        <v>394.71990966796875</v>
      </c>
      <c r="CE126" s="123">
        <v>66.586868286132813</v>
      </c>
      <c r="CF126" s="123">
        <v>23.910848617553711</v>
      </c>
      <c r="CG126" s="123">
        <v>35.338191986083984</v>
      </c>
      <c r="CH126" s="123">
        <v>285.6588134765625</v>
      </c>
      <c r="CI126" s="123">
        <v>87.706222534179688</v>
      </c>
      <c r="CJ126" s="123">
        <v>38.782825469970703</v>
      </c>
      <c r="CK126" s="123">
        <v>52.775718688964844</v>
      </c>
      <c r="CL126" s="124">
        <v>39.0562744140625</v>
      </c>
      <c r="CM126" s="125">
        <v>235.14036560058594</v>
      </c>
      <c r="CN126" s="123">
        <v>76.34619140625</v>
      </c>
      <c r="CO126" s="123">
        <v>77.134147644042969</v>
      </c>
      <c r="CP126" s="123">
        <v>78.917091369628906</v>
      </c>
      <c r="CQ126" s="123">
        <v>0</v>
      </c>
      <c r="CR126" s="123">
        <v>55.614604949951172</v>
      </c>
      <c r="CS126" s="123">
        <v>10.78902530670166</v>
      </c>
      <c r="CT126" s="123">
        <v>36.598167419433594</v>
      </c>
      <c r="CU126" s="123">
        <v>49.959606170654297</v>
      </c>
      <c r="CV126" s="124">
        <v>76.758415222167969</v>
      </c>
      <c r="CW126" s="125">
        <v>2</v>
      </c>
      <c r="CX126" s="123">
        <v>396</v>
      </c>
      <c r="CY126" s="123">
        <v>184.71537780761719</v>
      </c>
      <c r="CZ126" s="123">
        <v>54.455101013183594</v>
      </c>
      <c r="DA126" s="123">
        <v>21.571561813354492</v>
      </c>
      <c r="DB126" s="123">
        <v>35.942718505859375</v>
      </c>
      <c r="DC126" s="123">
        <v>85.288787841796875</v>
      </c>
      <c r="DD126" s="123">
        <v>80</v>
      </c>
      <c r="DE126" s="123">
        <v>184</v>
      </c>
      <c r="DF126" s="123">
        <v>117.48528289794922</v>
      </c>
      <c r="DG126" s="123">
        <v>77.725570678710938</v>
      </c>
      <c r="DH126" s="123">
        <v>55.304607391357422</v>
      </c>
      <c r="DI126" s="128">
        <v>39.281013488769531</v>
      </c>
      <c r="DJ126" s="127">
        <v>210</v>
      </c>
      <c r="DK126" s="123">
        <v>108.65799713134766</v>
      </c>
      <c r="DL126" s="123">
        <v>25.333000183105469</v>
      </c>
      <c r="DM126" s="123">
        <v>29.51099967956543</v>
      </c>
      <c r="DN126" s="123">
        <v>48.949001312255859</v>
      </c>
      <c r="DO126" s="124">
        <v>112.73612976074219</v>
      </c>
      <c r="DP126" s="125">
        <v>16.454999923706055</v>
      </c>
      <c r="DQ126" s="123"/>
      <c r="DR126" s="125">
        <v>0</v>
      </c>
      <c r="DS126" s="128">
        <v>34.599998474121094</v>
      </c>
      <c r="DT126" s="127">
        <v>13</v>
      </c>
      <c r="DU126" s="123"/>
      <c r="DV126" s="123">
        <v>172</v>
      </c>
      <c r="DW126" s="123">
        <v>164.72068786621094</v>
      </c>
      <c r="DX126" s="125">
        <v>10</v>
      </c>
      <c r="DY126" s="128"/>
      <c r="DZ126" s="127">
        <v>47</v>
      </c>
      <c r="EA126" s="123">
        <v>3</v>
      </c>
      <c r="EB126" s="123">
        <v>0</v>
      </c>
      <c r="EC126" s="123">
        <v>1</v>
      </c>
      <c r="ED126" s="123">
        <v>277.79998779296875</v>
      </c>
      <c r="EE126" s="129">
        <v>12</v>
      </c>
      <c r="EF126" s="129">
        <v>12</v>
      </c>
      <c r="EG126" s="129">
        <v>12.066666666666666</v>
      </c>
      <c r="EH126" t="s">
        <v>185</v>
      </c>
    </row>
    <row r="127" spans="1:138" x14ac:dyDescent="0.3">
      <c r="A127" s="226">
        <f t="shared" si="6"/>
        <v>46020.085416666945</v>
      </c>
      <c r="B127" s="123">
        <v>236</v>
      </c>
      <c r="C127" s="123">
        <v>48.518001556396484</v>
      </c>
      <c r="D127" s="123">
        <v>95.567001342773438</v>
      </c>
      <c r="E127" s="123">
        <v>17.642999649047852</v>
      </c>
      <c r="F127" s="123">
        <v>8.2635974884033203</v>
      </c>
      <c r="G127" s="124">
        <v>18.434000015258789</v>
      </c>
      <c r="H127" s="125">
        <v>318</v>
      </c>
      <c r="I127" s="123">
        <v>283</v>
      </c>
      <c r="J127" s="123">
        <v>66.161003112792969</v>
      </c>
      <c r="K127" s="123">
        <v>65.045944213867188</v>
      </c>
      <c r="L127" s="123">
        <v>45.237998962402344</v>
      </c>
      <c r="M127" s="123">
        <v>14.47599983215332</v>
      </c>
      <c r="N127" s="123">
        <v>17.684999465942383</v>
      </c>
      <c r="O127" s="123">
        <v>20</v>
      </c>
      <c r="P127" s="123">
        <v>0</v>
      </c>
      <c r="Q127" s="123">
        <v>20.313014984130859</v>
      </c>
      <c r="R127" s="123">
        <v>13.003125190734863</v>
      </c>
      <c r="S127" s="123">
        <v>12.487500190734863</v>
      </c>
      <c r="T127" s="123">
        <v>9</v>
      </c>
      <c r="U127" s="123">
        <v>9</v>
      </c>
      <c r="V127" s="125">
        <v>962</v>
      </c>
      <c r="W127" s="123">
        <v>29.507568359375</v>
      </c>
      <c r="X127" s="123">
        <v>29.857000350952148</v>
      </c>
      <c r="Y127" s="123">
        <v>7.125</v>
      </c>
      <c r="Z127" s="123">
        <v>0</v>
      </c>
      <c r="AA127" s="123">
        <v>24.655000686645508</v>
      </c>
      <c r="AB127" s="123">
        <v>0</v>
      </c>
      <c r="AC127" s="123">
        <v>56.56939697265625</v>
      </c>
      <c r="AD127" s="123">
        <v>6.1069998741149902</v>
      </c>
      <c r="AE127" s="123">
        <v>0</v>
      </c>
      <c r="AF127" s="123">
        <v>83.490371704101563</v>
      </c>
      <c r="AG127" s="123">
        <v>0</v>
      </c>
      <c r="AH127" s="123">
        <v>65.605422973632813</v>
      </c>
      <c r="AI127" s="123">
        <v>15.076999664306641</v>
      </c>
      <c r="AJ127" s="123">
        <v>22.765844345092773</v>
      </c>
      <c r="AK127" s="123">
        <v>46.593994140625</v>
      </c>
      <c r="AL127" s="123">
        <v>55.133998870849609</v>
      </c>
      <c r="AM127" s="126">
        <v>56.300998687744141</v>
      </c>
      <c r="AN127" s="125">
        <v>131.75</v>
      </c>
      <c r="AO127" s="127">
        <v>70</v>
      </c>
      <c r="AP127" s="123">
        <v>67.38275146484375</v>
      </c>
      <c r="AQ127" s="123">
        <v>44.643436431884766</v>
      </c>
      <c r="AR127" s="123">
        <v>86</v>
      </c>
      <c r="AS127" s="123"/>
      <c r="AT127" s="123">
        <v>123</v>
      </c>
      <c r="AU127" s="123"/>
      <c r="AV127" s="123">
        <v>70</v>
      </c>
      <c r="AW127" s="123"/>
      <c r="AX127" s="123">
        <v>31</v>
      </c>
      <c r="AY127" s="123">
        <v>33.305522918701172</v>
      </c>
      <c r="AZ127" s="123">
        <v>17</v>
      </c>
      <c r="BA127" s="123"/>
      <c r="BB127" s="123">
        <v>300</v>
      </c>
      <c r="BC127" s="123">
        <v>297.59921264648438</v>
      </c>
      <c r="BD127" s="123">
        <v>6.9000000953674316</v>
      </c>
      <c r="BE127" s="123">
        <v>6.9799509048461914</v>
      </c>
      <c r="BF127" s="123">
        <v>30</v>
      </c>
      <c r="BG127" s="123">
        <v>11</v>
      </c>
      <c r="BH127" s="123">
        <v>11.265182495117188</v>
      </c>
      <c r="BI127" s="123"/>
      <c r="BJ127" s="108">
        <f t="shared" si="4"/>
        <v>15</v>
      </c>
      <c r="BK127" s="123">
        <v>15</v>
      </c>
      <c r="BL127" s="123">
        <v>0</v>
      </c>
      <c r="BM127" s="126"/>
      <c r="BN127" s="108">
        <f t="shared" si="5"/>
        <v>122.20000076293945</v>
      </c>
      <c r="BO127" s="108">
        <v>73</v>
      </c>
      <c r="BP127" s="108">
        <v>49.200000762939453</v>
      </c>
      <c r="BQ127" s="108">
        <v>285</v>
      </c>
      <c r="BR127" s="123">
        <v>79.733001708984375</v>
      </c>
      <c r="BS127" s="123">
        <v>24.937000274658203</v>
      </c>
      <c r="BT127" s="123">
        <v>42.255001068115234</v>
      </c>
      <c r="BU127" s="123">
        <v>38.233001708984375</v>
      </c>
      <c r="BV127" s="123">
        <v>69.800003051757813</v>
      </c>
      <c r="BW127" s="123">
        <v>6.1999998092651367</v>
      </c>
      <c r="BX127" s="123">
        <v>13.5</v>
      </c>
      <c r="BY127" s="123">
        <v>28</v>
      </c>
      <c r="BZ127" s="123">
        <v>19.92201042175293</v>
      </c>
      <c r="CA127" s="123">
        <v>19</v>
      </c>
      <c r="CB127" s="123">
        <v>29.230117797851563</v>
      </c>
      <c r="CC127" s="126"/>
      <c r="CD127" s="123">
        <v>388.97662353515625</v>
      </c>
      <c r="CE127" s="123">
        <v>66.833183288574219</v>
      </c>
      <c r="CF127" s="123">
        <v>23.508108139038086</v>
      </c>
      <c r="CG127" s="123">
        <v>35.338191986083984</v>
      </c>
      <c r="CH127" s="123">
        <v>284.94744873046875</v>
      </c>
      <c r="CI127" s="123">
        <v>87.706222534179688</v>
      </c>
      <c r="CJ127" s="123">
        <v>37.310108184814453</v>
      </c>
      <c r="CK127" s="123">
        <v>52.795631408691406</v>
      </c>
      <c r="CL127" s="124">
        <v>39.456993103027344</v>
      </c>
      <c r="CM127" s="125">
        <v>232.94548034667969</v>
      </c>
      <c r="CN127" s="123">
        <v>73.955856323242188</v>
      </c>
      <c r="CO127" s="123">
        <v>78.315322875976563</v>
      </c>
      <c r="CP127" s="123">
        <v>77.0318603515625</v>
      </c>
      <c r="CQ127" s="123">
        <v>0</v>
      </c>
      <c r="CR127" s="123">
        <v>52.228096008300781</v>
      </c>
      <c r="CS127" s="123">
        <v>10.808276176452637</v>
      </c>
      <c r="CT127" s="123">
        <v>37.228355407714844</v>
      </c>
      <c r="CU127" s="123">
        <v>50.324317932128906</v>
      </c>
      <c r="CV127" s="124">
        <v>76.678352355957031</v>
      </c>
      <c r="CW127" s="125">
        <v>3</v>
      </c>
      <c r="CX127" s="123">
        <v>395</v>
      </c>
      <c r="CY127" s="123">
        <v>186.86660766601563</v>
      </c>
      <c r="CZ127" s="123">
        <v>52.558067321777344</v>
      </c>
      <c r="DA127" s="123">
        <v>20.396596908569336</v>
      </c>
      <c r="DB127" s="123">
        <v>35.643234252929688</v>
      </c>
      <c r="DC127" s="123">
        <v>82.666862487792969</v>
      </c>
      <c r="DD127" s="123">
        <v>80</v>
      </c>
      <c r="DE127" s="123">
        <v>185</v>
      </c>
      <c r="DF127" s="123">
        <v>116.86078643798828</v>
      </c>
      <c r="DG127" s="123">
        <v>76.571533203125</v>
      </c>
      <c r="DH127" s="123">
        <v>57.503623962402344</v>
      </c>
      <c r="DI127" s="128">
        <v>37.176383972167969</v>
      </c>
      <c r="DJ127" s="127">
        <v>210</v>
      </c>
      <c r="DK127" s="123">
        <v>114.76499938964844</v>
      </c>
      <c r="DL127" s="123">
        <v>26.804000854492188</v>
      </c>
      <c r="DM127" s="123">
        <v>31.277999877929688</v>
      </c>
      <c r="DN127" s="123">
        <v>51.423000335693359</v>
      </c>
      <c r="DO127" s="124">
        <v>111.66364288330078</v>
      </c>
      <c r="DP127" s="125">
        <v>16.454999923706055</v>
      </c>
      <c r="DQ127" s="123"/>
      <c r="DR127" s="125">
        <v>0</v>
      </c>
      <c r="DS127" s="128">
        <v>34.900001525878906</v>
      </c>
      <c r="DT127" s="127">
        <v>13</v>
      </c>
      <c r="DU127" s="123"/>
      <c r="DV127" s="123">
        <v>172</v>
      </c>
      <c r="DW127" s="123">
        <v>163.53041076660156</v>
      </c>
      <c r="DX127" s="125">
        <v>10</v>
      </c>
      <c r="DY127" s="128"/>
      <c r="DZ127" s="127">
        <v>46</v>
      </c>
      <c r="EA127" s="123">
        <v>3</v>
      </c>
      <c r="EB127" s="123">
        <v>0</v>
      </c>
      <c r="EC127" s="123">
        <v>1</v>
      </c>
      <c r="ED127" s="123">
        <v>274</v>
      </c>
      <c r="EE127" s="129">
        <v>0</v>
      </c>
      <c r="EF127" s="129" t="e">
        <v>#NUM!</v>
      </c>
      <c r="EG127" s="129" t="e">
        <v>#DIV/0!</v>
      </c>
    </row>
    <row r="128" spans="1:138" x14ac:dyDescent="0.3">
      <c r="A128" s="226">
        <f t="shared" si="6"/>
        <v>46020.086111111392</v>
      </c>
      <c r="B128" s="123">
        <v>237</v>
      </c>
      <c r="C128" s="123">
        <v>49.875</v>
      </c>
      <c r="D128" s="123">
        <v>97.71600341796875</v>
      </c>
      <c r="E128" s="123">
        <v>17.530000686645508</v>
      </c>
      <c r="F128" s="123">
        <v>0</v>
      </c>
      <c r="G128" s="124">
        <v>17.982000350952148</v>
      </c>
      <c r="H128" s="125">
        <v>316</v>
      </c>
      <c r="I128" s="123">
        <v>284</v>
      </c>
      <c r="J128" s="123">
        <v>65.93499755859375</v>
      </c>
      <c r="K128" s="123">
        <v>64.669654846191406</v>
      </c>
      <c r="L128" s="123">
        <v>46.298999786376953</v>
      </c>
      <c r="M128" s="123">
        <v>13.571000099182129</v>
      </c>
      <c r="N128" s="123">
        <v>18.194000244140625</v>
      </c>
      <c r="O128" s="123">
        <v>19</v>
      </c>
      <c r="P128" s="123">
        <v>0</v>
      </c>
      <c r="Q128" s="123">
        <v>17.87908935546875</v>
      </c>
      <c r="R128" s="123">
        <v>13.003125190734863</v>
      </c>
      <c r="S128" s="123">
        <v>12.80463981628418</v>
      </c>
      <c r="T128" s="123">
        <v>9</v>
      </c>
      <c r="U128" s="123">
        <v>9</v>
      </c>
      <c r="V128" s="125">
        <v>942</v>
      </c>
      <c r="W128" s="123">
        <v>30.588550567626953</v>
      </c>
      <c r="X128" s="123">
        <v>29.179000854492188</v>
      </c>
      <c r="Y128" s="123">
        <v>8.0790004730224609</v>
      </c>
      <c r="Z128" s="123">
        <v>0</v>
      </c>
      <c r="AA128" s="123">
        <v>25.89900016784668</v>
      </c>
      <c r="AB128" s="123">
        <v>0</v>
      </c>
      <c r="AC128" s="123">
        <v>56.849155426025391</v>
      </c>
      <c r="AD128" s="123">
        <v>6.3610000610351563</v>
      </c>
      <c r="AE128" s="123">
        <v>0</v>
      </c>
      <c r="AF128" s="123">
        <v>83.798805236816406</v>
      </c>
      <c r="AG128" s="123">
        <v>0</v>
      </c>
      <c r="AH128" s="123">
        <v>66.98870849609375</v>
      </c>
      <c r="AI128" s="123">
        <v>12.786999702453613</v>
      </c>
      <c r="AJ128" s="123">
        <v>22.356029510498047</v>
      </c>
      <c r="AK128" s="123">
        <v>46.172828674316406</v>
      </c>
      <c r="AL128" s="123">
        <v>54.780998229980469</v>
      </c>
      <c r="AM128" s="126">
        <v>56.046001434326172</v>
      </c>
      <c r="AN128" s="125">
        <v>129.1875</v>
      </c>
      <c r="AO128" s="127">
        <v>71</v>
      </c>
      <c r="AP128" s="123">
        <v>68.618492126464844</v>
      </c>
      <c r="AQ128" s="123">
        <v>42.894542694091797</v>
      </c>
      <c r="AR128" s="123">
        <v>86</v>
      </c>
      <c r="AS128" s="123"/>
      <c r="AT128" s="123">
        <v>123</v>
      </c>
      <c r="AU128" s="123"/>
      <c r="AV128" s="123">
        <v>72</v>
      </c>
      <c r="AW128" s="123"/>
      <c r="AX128" s="123">
        <v>32</v>
      </c>
      <c r="AY128" s="123">
        <v>34.060585021972656</v>
      </c>
      <c r="AZ128" s="123">
        <v>17</v>
      </c>
      <c r="BA128" s="123"/>
      <c r="BB128" s="123">
        <v>299</v>
      </c>
      <c r="BC128" s="123">
        <v>297.59921264648438</v>
      </c>
      <c r="BD128" s="123">
        <v>7</v>
      </c>
      <c r="BE128" s="123">
        <v>6.9726047515869141</v>
      </c>
      <c r="BF128" s="123">
        <v>31</v>
      </c>
      <c r="BG128" s="123">
        <v>11</v>
      </c>
      <c r="BH128" s="123">
        <v>11.273818969726563</v>
      </c>
      <c r="BI128" s="123"/>
      <c r="BJ128" s="108">
        <f t="shared" si="4"/>
        <v>15</v>
      </c>
      <c r="BK128" s="123">
        <v>15</v>
      </c>
      <c r="BL128" s="123">
        <v>0</v>
      </c>
      <c r="BM128" s="126"/>
      <c r="BN128" s="108">
        <f t="shared" si="5"/>
        <v>122.20000076293945</v>
      </c>
      <c r="BO128" s="108">
        <v>73</v>
      </c>
      <c r="BP128" s="108">
        <v>49.200000762939453</v>
      </c>
      <c r="BQ128" s="108">
        <v>280</v>
      </c>
      <c r="BR128" s="123">
        <v>76.792999267578125</v>
      </c>
      <c r="BS128" s="123">
        <v>25.191999435424805</v>
      </c>
      <c r="BT128" s="123">
        <v>41.562999725341797</v>
      </c>
      <c r="BU128" s="123">
        <v>38.233001708984375</v>
      </c>
      <c r="BV128" s="123">
        <v>69.400001525878906</v>
      </c>
      <c r="BW128" s="123">
        <v>6.1999998092651367</v>
      </c>
      <c r="BX128" s="123">
        <v>13.5</v>
      </c>
      <c r="BY128" s="123">
        <v>27</v>
      </c>
      <c r="BZ128" s="123">
        <v>19.91900634765625</v>
      </c>
      <c r="CA128" s="123">
        <v>19</v>
      </c>
      <c r="CB128" s="123">
        <v>29.169193267822266</v>
      </c>
      <c r="CC128" s="126"/>
      <c r="CD128" s="123">
        <v>394.87646484375</v>
      </c>
      <c r="CE128" s="123">
        <v>68.013954162597656</v>
      </c>
      <c r="CF128" s="123">
        <v>23.482397079467773</v>
      </c>
      <c r="CG128" s="123">
        <v>35.338191986083984</v>
      </c>
      <c r="CH128" s="123">
        <v>284.85446166992188</v>
      </c>
      <c r="CI128" s="123">
        <v>89.700767517089844</v>
      </c>
      <c r="CJ128" s="123">
        <v>37.788055419921875</v>
      </c>
      <c r="CK128" s="123">
        <v>54.631080627441406</v>
      </c>
      <c r="CL128" s="124">
        <v>38.981922149658203</v>
      </c>
      <c r="CM128" s="125">
        <v>233.08403015136719</v>
      </c>
      <c r="CN128" s="123">
        <v>77.107490539550781</v>
      </c>
      <c r="CO128" s="123">
        <v>76.733535766601563</v>
      </c>
      <c r="CP128" s="123">
        <v>74.64764404296875</v>
      </c>
      <c r="CQ128" s="123">
        <v>0</v>
      </c>
      <c r="CR128" s="123">
        <v>52.568832397460938</v>
      </c>
      <c r="CS128" s="123">
        <v>10.801692008972168</v>
      </c>
      <c r="CT128" s="123">
        <v>39.619873046875</v>
      </c>
      <c r="CU128" s="123">
        <v>49.603855133056641</v>
      </c>
      <c r="CV128" s="124">
        <v>76.884620666503906</v>
      </c>
      <c r="CW128" s="125">
        <v>1</v>
      </c>
      <c r="CX128" s="123">
        <v>397</v>
      </c>
      <c r="CY128" s="123">
        <v>186.41999816894531</v>
      </c>
      <c r="CZ128" s="123">
        <v>53.04248046875</v>
      </c>
      <c r="DA128" s="123">
        <v>20.971406936645508</v>
      </c>
      <c r="DB128" s="123">
        <v>33.931129455566406</v>
      </c>
      <c r="DC128" s="123">
        <v>82.666862487792969</v>
      </c>
      <c r="DD128" s="123">
        <v>81</v>
      </c>
      <c r="DE128" s="123">
        <v>187</v>
      </c>
      <c r="DF128" s="123">
        <v>115.44161987304688</v>
      </c>
      <c r="DG128" s="123">
        <v>79.641006469726563</v>
      </c>
      <c r="DH128" s="123">
        <v>57.276535034179688</v>
      </c>
      <c r="DI128" s="128">
        <v>38.614410400390625</v>
      </c>
      <c r="DJ128" s="127">
        <v>213</v>
      </c>
      <c r="DK128" s="123">
        <v>113.23799896240234</v>
      </c>
      <c r="DL128" s="123">
        <v>26.238000869750977</v>
      </c>
      <c r="DM128" s="123">
        <v>31.454999923706055</v>
      </c>
      <c r="DN128" s="123">
        <v>49.833000183105469</v>
      </c>
      <c r="DO128" s="124">
        <v>111.67467498779297</v>
      </c>
      <c r="DP128" s="125">
        <v>16.115999221801758</v>
      </c>
      <c r="DQ128" s="123"/>
      <c r="DR128" s="125">
        <v>0</v>
      </c>
      <c r="DS128" s="128">
        <v>34.700000762939453</v>
      </c>
      <c r="DT128" s="127">
        <v>12</v>
      </c>
      <c r="DU128" s="123"/>
      <c r="DV128" s="123">
        <v>169</v>
      </c>
      <c r="DW128" s="123">
        <v>164.23271179199219</v>
      </c>
      <c r="DX128" s="125">
        <v>11</v>
      </c>
      <c r="DY128" s="128"/>
      <c r="DZ128" s="127">
        <v>46</v>
      </c>
      <c r="EA128" s="123">
        <v>3</v>
      </c>
      <c r="EB128" s="123">
        <v>0</v>
      </c>
      <c r="EC128" s="123">
        <v>1</v>
      </c>
      <c r="ED128" s="123">
        <v>277.39999389648438</v>
      </c>
      <c r="EE128" s="129">
        <v>0</v>
      </c>
      <c r="EF128" s="129">
        <v>0</v>
      </c>
      <c r="EG128" s="129">
        <v>7.75</v>
      </c>
      <c r="EH128" t="s">
        <v>301</v>
      </c>
    </row>
    <row r="129" spans="1:138" x14ac:dyDescent="0.3">
      <c r="A129" s="226">
        <f t="shared" si="6"/>
        <v>46020.086805555839</v>
      </c>
      <c r="B129" s="123">
        <v>246</v>
      </c>
      <c r="C129" s="123">
        <v>49.310001373291016</v>
      </c>
      <c r="D129" s="123">
        <v>97.942001342773438</v>
      </c>
      <c r="E129" s="123">
        <v>19.677999496459961</v>
      </c>
      <c r="F129" s="123">
        <v>6.0094504356384277</v>
      </c>
      <c r="G129" s="124">
        <v>19.22599983215332</v>
      </c>
      <c r="H129" s="125">
        <v>318</v>
      </c>
      <c r="I129" s="123">
        <v>281</v>
      </c>
      <c r="J129" s="123">
        <v>67.179000854492188</v>
      </c>
      <c r="K129" s="123">
        <v>64.974266052246094</v>
      </c>
      <c r="L129" s="123">
        <v>44.532001495361328</v>
      </c>
      <c r="M129" s="123">
        <v>14.58899974822998</v>
      </c>
      <c r="N129" s="123">
        <v>17.558000564575195</v>
      </c>
      <c r="O129" s="123">
        <v>18</v>
      </c>
      <c r="P129" s="123">
        <v>0</v>
      </c>
      <c r="Q129" s="123">
        <v>18.950479507446289</v>
      </c>
      <c r="R129" s="123">
        <v>12</v>
      </c>
      <c r="S129" s="123">
        <v>11.285478591918945</v>
      </c>
      <c r="T129" s="123">
        <v>9</v>
      </c>
      <c r="U129" s="123">
        <v>9</v>
      </c>
      <c r="V129" s="125">
        <v>942</v>
      </c>
      <c r="W129" s="123">
        <v>30.136814117431641</v>
      </c>
      <c r="X129" s="123">
        <v>29.405000686645508</v>
      </c>
      <c r="Y129" s="123">
        <v>7.5060000419616699</v>
      </c>
      <c r="Z129" s="123">
        <v>0</v>
      </c>
      <c r="AA129" s="123">
        <v>26.804000854492188</v>
      </c>
      <c r="AB129" s="123">
        <v>0</v>
      </c>
      <c r="AC129" s="123">
        <v>57.392257690429688</v>
      </c>
      <c r="AD129" s="123">
        <v>6.6160001754760742</v>
      </c>
      <c r="AE129" s="123">
        <v>0</v>
      </c>
      <c r="AF129" s="123">
        <v>84.849288940429688</v>
      </c>
      <c r="AG129" s="123">
        <v>0</v>
      </c>
      <c r="AH129" s="123">
        <v>66.624221801757813</v>
      </c>
      <c r="AI129" s="123">
        <v>12.97700023651123</v>
      </c>
      <c r="AJ129" s="123">
        <v>22.030038833618164</v>
      </c>
      <c r="AK129" s="123">
        <v>46.019889831542969</v>
      </c>
      <c r="AL129" s="123">
        <v>55.311000823974609</v>
      </c>
      <c r="AM129" s="126">
        <v>55.791999816894531</v>
      </c>
      <c r="AN129" s="125">
        <v>125.125</v>
      </c>
      <c r="AO129" s="127">
        <v>67</v>
      </c>
      <c r="AP129" s="123">
        <v>67.907630920410156</v>
      </c>
      <c r="AQ129" s="123">
        <v>40.512882232666016</v>
      </c>
      <c r="AR129" s="123">
        <v>87</v>
      </c>
      <c r="AS129" s="123"/>
      <c r="AT129" s="123">
        <v>124</v>
      </c>
      <c r="AU129" s="123"/>
      <c r="AV129" s="123">
        <v>72</v>
      </c>
      <c r="AW129" s="123"/>
      <c r="AX129" s="123">
        <v>32</v>
      </c>
      <c r="AY129" s="123">
        <v>34.877723693847656</v>
      </c>
      <c r="AZ129" s="123">
        <v>17</v>
      </c>
      <c r="BA129" s="123"/>
      <c r="BB129" s="123">
        <v>299</v>
      </c>
      <c r="BC129" s="123">
        <v>297.971435546875</v>
      </c>
      <c r="BD129" s="123">
        <v>7</v>
      </c>
      <c r="BE129" s="123">
        <v>6.9597330093383789</v>
      </c>
      <c r="BF129" s="123">
        <v>31</v>
      </c>
      <c r="BG129" s="123">
        <v>10</v>
      </c>
      <c r="BH129" s="123">
        <v>11.211091041564941</v>
      </c>
      <c r="BI129" s="123"/>
      <c r="BJ129" s="108">
        <f t="shared" si="4"/>
        <v>15</v>
      </c>
      <c r="BK129" s="123">
        <v>15</v>
      </c>
      <c r="BL129" s="123">
        <v>0</v>
      </c>
      <c r="BM129" s="126"/>
      <c r="BN129" s="108">
        <f t="shared" si="5"/>
        <v>122.20000076293945</v>
      </c>
      <c r="BO129" s="108">
        <v>73</v>
      </c>
      <c r="BP129" s="108">
        <v>49.200000762939453</v>
      </c>
      <c r="BQ129" s="108">
        <v>280</v>
      </c>
      <c r="BR129" s="123">
        <v>74.983001708984375</v>
      </c>
      <c r="BS129" s="123">
        <v>25.191999435424805</v>
      </c>
      <c r="BT129" s="123">
        <v>41.562999725341797</v>
      </c>
      <c r="BU129" s="123">
        <v>38.742000579833984</v>
      </c>
      <c r="BV129" s="123">
        <v>69.5</v>
      </c>
      <c r="BW129" s="123">
        <v>6.0999999046325684</v>
      </c>
      <c r="BX129" s="123">
        <v>13.600000381469727</v>
      </c>
      <c r="BY129" s="123">
        <v>28</v>
      </c>
      <c r="BZ129" s="123">
        <v>19.91900634765625</v>
      </c>
      <c r="CA129" s="123">
        <v>19</v>
      </c>
      <c r="CB129" s="123">
        <v>29.149909973144531</v>
      </c>
      <c r="CC129" s="126"/>
      <c r="CD129" s="123">
        <v>390.9984130859375</v>
      </c>
      <c r="CE129" s="123">
        <v>66.460136413574219</v>
      </c>
      <c r="CF129" s="123">
        <v>23.921833038330078</v>
      </c>
      <c r="CG129" s="123">
        <v>35.338191986083984</v>
      </c>
      <c r="CH129" s="123">
        <v>285.34320068359375</v>
      </c>
      <c r="CI129" s="123">
        <v>88.760086059570313</v>
      </c>
      <c r="CJ129" s="123">
        <v>38.282917022705078</v>
      </c>
      <c r="CK129" s="123">
        <v>53.380241394042969</v>
      </c>
      <c r="CL129" s="124">
        <v>39.375591278076172</v>
      </c>
      <c r="CM129" s="125">
        <v>232.71932983398438</v>
      </c>
      <c r="CN129" s="123">
        <v>79.215164184570313</v>
      </c>
      <c r="CO129" s="123">
        <v>75.209640502929688</v>
      </c>
      <c r="CP129" s="123">
        <v>74.381332397460938</v>
      </c>
      <c r="CQ129" s="123">
        <v>0</v>
      </c>
      <c r="CR129" s="123">
        <v>53.260578155517578</v>
      </c>
      <c r="CS129" s="123">
        <v>10.403476715087891</v>
      </c>
      <c r="CT129" s="123">
        <v>36.393283843994141</v>
      </c>
      <c r="CU129" s="123">
        <v>53.804420471191406</v>
      </c>
      <c r="CV129" s="124">
        <v>73.931594848632813</v>
      </c>
      <c r="CW129" s="125">
        <v>2</v>
      </c>
      <c r="CX129" s="123">
        <v>396</v>
      </c>
      <c r="CY129" s="123">
        <v>183.55036926269531</v>
      </c>
      <c r="CZ129" s="123">
        <v>51.998161315917969</v>
      </c>
      <c r="DA129" s="123">
        <v>22.4134521484375</v>
      </c>
      <c r="DB129" s="123">
        <v>34.773319244384766</v>
      </c>
      <c r="DC129" s="123">
        <v>84.7769775390625</v>
      </c>
      <c r="DD129" s="123">
        <v>76</v>
      </c>
      <c r="DE129" s="123">
        <v>186</v>
      </c>
      <c r="DF129" s="123">
        <v>114.73787689208984</v>
      </c>
      <c r="DG129" s="123">
        <v>79.397743225097656</v>
      </c>
      <c r="DH129" s="123">
        <v>57.550697326660156</v>
      </c>
      <c r="DI129" s="128">
        <v>38.196441650390625</v>
      </c>
      <c r="DJ129" s="127">
        <v>209</v>
      </c>
      <c r="DK129" s="123">
        <v>110.43900299072266</v>
      </c>
      <c r="DL129" s="123">
        <v>27.368999481201172</v>
      </c>
      <c r="DM129" s="123">
        <v>27.920000076293945</v>
      </c>
      <c r="DN129" s="123">
        <v>48.243000030517578</v>
      </c>
      <c r="DO129" s="124">
        <v>113.07166290283203</v>
      </c>
      <c r="DP129" s="125">
        <v>16.115999221801758</v>
      </c>
      <c r="DQ129" s="123"/>
      <c r="DR129" s="125">
        <v>0</v>
      </c>
      <c r="DS129" s="128">
        <v>35</v>
      </c>
      <c r="DT129" s="127">
        <v>13</v>
      </c>
      <c r="DU129" s="123"/>
      <c r="DV129" s="123">
        <v>169</v>
      </c>
      <c r="DW129" s="123">
        <v>163.65950012207031</v>
      </c>
      <c r="DX129" s="125">
        <v>11</v>
      </c>
      <c r="DY129" s="128"/>
      <c r="DZ129" s="127">
        <v>45</v>
      </c>
      <c r="EA129" s="123">
        <v>3</v>
      </c>
      <c r="EB129" s="123">
        <v>0</v>
      </c>
      <c r="EC129" s="123">
        <v>1</v>
      </c>
      <c r="ED129" s="123">
        <v>276.60000610351563</v>
      </c>
      <c r="EE129" s="129">
        <v>0.98883461952209473</v>
      </c>
      <c r="EF129" s="129">
        <v>1.1222168405850728</v>
      </c>
      <c r="EG129" s="129">
        <v>1.3532158315181733</v>
      </c>
      <c r="EH129" t="s">
        <v>43</v>
      </c>
    </row>
    <row r="130" spans="1:138" x14ac:dyDescent="0.3">
      <c r="A130" s="226">
        <f t="shared" si="6"/>
        <v>46020.087500000285</v>
      </c>
      <c r="B130" s="123">
        <v>245</v>
      </c>
      <c r="C130" s="123">
        <v>48.404998779296875</v>
      </c>
      <c r="D130" s="123">
        <v>103.822998046875</v>
      </c>
      <c r="E130" s="123">
        <v>19.791999816894531</v>
      </c>
      <c r="F130" s="123">
        <v>3.5753796100616455</v>
      </c>
      <c r="G130" s="124">
        <v>18.547000885009766</v>
      </c>
      <c r="H130" s="125">
        <v>317</v>
      </c>
      <c r="I130" s="123">
        <v>279</v>
      </c>
      <c r="J130" s="123">
        <v>64.464996337890625</v>
      </c>
      <c r="K130" s="123">
        <v>64.940361022949219</v>
      </c>
      <c r="L130" s="123">
        <v>45.591999053955078</v>
      </c>
      <c r="M130" s="123">
        <v>13.571000099182129</v>
      </c>
      <c r="N130" s="123">
        <v>17.493999481201172</v>
      </c>
      <c r="O130" s="123">
        <v>18</v>
      </c>
      <c r="P130" s="123">
        <v>0</v>
      </c>
      <c r="Q130" s="123">
        <v>18.950479507446289</v>
      </c>
      <c r="R130" s="123">
        <v>12</v>
      </c>
      <c r="S130" s="123">
        <v>11.472992897033691</v>
      </c>
      <c r="T130" s="123">
        <v>9</v>
      </c>
      <c r="U130" s="123">
        <v>9</v>
      </c>
      <c r="V130" s="125">
        <v>957</v>
      </c>
      <c r="W130" s="123">
        <v>30.521230697631836</v>
      </c>
      <c r="X130" s="123">
        <v>29.405000686645508</v>
      </c>
      <c r="Y130" s="123">
        <v>7.125</v>
      </c>
      <c r="Z130" s="123">
        <v>0</v>
      </c>
      <c r="AA130" s="123">
        <v>25.333000183105469</v>
      </c>
      <c r="AB130" s="123">
        <v>0</v>
      </c>
      <c r="AC130" s="123">
        <v>58.051033020019531</v>
      </c>
      <c r="AD130" s="123">
        <v>6.1069998741149902</v>
      </c>
      <c r="AE130" s="123">
        <v>0</v>
      </c>
      <c r="AF130" s="123">
        <v>84.51025390625</v>
      </c>
      <c r="AG130" s="123">
        <v>0</v>
      </c>
      <c r="AH130" s="123">
        <v>65.376251220703125</v>
      </c>
      <c r="AI130" s="123">
        <v>12.97700023651123</v>
      </c>
      <c r="AJ130" s="123">
        <v>20.550102233886719</v>
      </c>
      <c r="AK130" s="123">
        <v>47.013095855712891</v>
      </c>
      <c r="AL130" s="123">
        <v>56.194999694824219</v>
      </c>
      <c r="AM130" s="126">
        <v>57.063999176025391</v>
      </c>
      <c r="AN130" s="125">
        <v>125.125</v>
      </c>
      <c r="AO130" s="127">
        <v>67</v>
      </c>
      <c r="AP130" s="123">
        <v>67.467483520507813</v>
      </c>
      <c r="AQ130" s="123">
        <v>40.904796600341797</v>
      </c>
      <c r="AR130" s="123">
        <v>85</v>
      </c>
      <c r="AS130" s="123"/>
      <c r="AT130" s="123">
        <v>122</v>
      </c>
      <c r="AU130" s="123"/>
      <c r="AV130" s="123">
        <v>71</v>
      </c>
      <c r="AW130" s="123"/>
      <c r="AX130" s="123">
        <v>33</v>
      </c>
      <c r="AY130" s="123">
        <v>35.366413116455078</v>
      </c>
      <c r="AZ130" s="123">
        <v>17</v>
      </c>
      <c r="BA130" s="123"/>
      <c r="BB130" s="123">
        <v>299</v>
      </c>
      <c r="BC130" s="123">
        <v>300.90634155273438</v>
      </c>
      <c r="BD130" s="123">
        <v>6.9000000953674316</v>
      </c>
      <c r="BE130" s="123">
        <v>6.9314265251159668</v>
      </c>
      <c r="BF130" s="123">
        <v>31</v>
      </c>
      <c r="BG130" s="123">
        <v>10</v>
      </c>
      <c r="BH130" s="123">
        <v>11.18822193145752</v>
      </c>
      <c r="BI130" s="123"/>
      <c r="BJ130" s="108">
        <f t="shared" si="4"/>
        <v>15</v>
      </c>
      <c r="BK130" s="123">
        <v>15</v>
      </c>
      <c r="BL130" s="123">
        <v>0</v>
      </c>
      <c r="BM130" s="126"/>
      <c r="BN130" s="108">
        <f t="shared" si="5"/>
        <v>122</v>
      </c>
      <c r="BO130" s="108">
        <v>73</v>
      </c>
      <c r="BP130" s="108">
        <v>49</v>
      </c>
      <c r="BQ130" s="108">
        <v>283</v>
      </c>
      <c r="BR130" s="123">
        <v>75.43499755859375</v>
      </c>
      <c r="BS130" s="123">
        <v>25.954999923706055</v>
      </c>
      <c r="BT130" s="123">
        <v>42.602001190185547</v>
      </c>
      <c r="BU130" s="123">
        <v>38.805999755859375</v>
      </c>
      <c r="BV130" s="123">
        <v>69</v>
      </c>
      <c r="BW130" s="123">
        <v>6.1999998092651367</v>
      </c>
      <c r="BX130" s="123">
        <v>13.600000381469727</v>
      </c>
      <c r="BY130" s="123">
        <v>29</v>
      </c>
      <c r="BZ130" s="123">
        <v>0.15372532606124878</v>
      </c>
      <c r="CA130" s="123">
        <v>1</v>
      </c>
      <c r="CB130" s="123">
        <v>28.997251510620117</v>
      </c>
      <c r="CC130" s="126"/>
      <c r="CD130" s="123">
        <v>388.3031005859375</v>
      </c>
      <c r="CE130" s="123">
        <v>67.592041015625</v>
      </c>
      <c r="CF130" s="123">
        <v>24.06175422668457</v>
      </c>
      <c r="CG130" s="123">
        <v>35.338191986083984</v>
      </c>
      <c r="CH130" s="123">
        <v>285.91555786132813</v>
      </c>
      <c r="CI130" s="123">
        <v>89.133377075195313</v>
      </c>
      <c r="CJ130" s="123">
        <v>36.194561004638672</v>
      </c>
      <c r="CK130" s="123">
        <v>54.140762329101563</v>
      </c>
      <c r="CL130" s="124">
        <v>38.016944885253906</v>
      </c>
      <c r="CM130" s="125">
        <v>233.61143493652344</v>
      </c>
      <c r="CN130" s="123">
        <v>76.667922973632813</v>
      </c>
      <c r="CO130" s="123">
        <v>75.497459411621094</v>
      </c>
      <c r="CP130" s="123">
        <v>74.326652526855469</v>
      </c>
      <c r="CQ130" s="123">
        <v>0</v>
      </c>
      <c r="CR130" s="123">
        <v>53.537162780761719</v>
      </c>
      <c r="CS130" s="123">
        <v>11.73460578918457</v>
      </c>
      <c r="CT130" s="123">
        <v>36.652759552001953</v>
      </c>
      <c r="CU130" s="123">
        <v>51.209693908691406</v>
      </c>
      <c r="CV130" s="124">
        <v>72.167984008789063</v>
      </c>
      <c r="CW130" s="125">
        <v>8</v>
      </c>
      <c r="CX130" s="123">
        <v>397</v>
      </c>
      <c r="CY130" s="123">
        <v>187.42015075683594</v>
      </c>
      <c r="CZ130" s="123">
        <v>53.190402984619141</v>
      </c>
      <c r="DA130" s="123">
        <v>21.45283317565918</v>
      </c>
      <c r="DB130" s="123">
        <v>34.773319244384766</v>
      </c>
      <c r="DC130" s="123">
        <v>84.180984497070313</v>
      </c>
      <c r="DD130" s="123">
        <v>74</v>
      </c>
      <c r="DE130" s="123">
        <v>185</v>
      </c>
      <c r="DF130" s="123">
        <v>115.18794250488281</v>
      </c>
      <c r="DG130" s="123">
        <v>79.293006896972656</v>
      </c>
      <c r="DH130" s="123">
        <v>55.373050689697266</v>
      </c>
      <c r="DI130" s="128">
        <v>38.495838165283203</v>
      </c>
      <c r="DJ130" s="127">
        <v>217</v>
      </c>
      <c r="DK130" s="123">
        <v>109.67600250244141</v>
      </c>
      <c r="DL130" s="123">
        <v>28.048000335693359</v>
      </c>
      <c r="DM130" s="123">
        <v>28.981000900268555</v>
      </c>
      <c r="DN130" s="123">
        <v>50.540000915527344</v>
      </c>
      <c r="DO130" s="124">
        <v>112.15456390380859</v>
      </c>
      <c r="DP130" s="125">
        <v>16.256999969482422</v>
      </c>
      <c r="DQ130" s="123"/>
      <c r="DR130" s="125">
        <v>0</v>
      </c>
      <c r="DS130" s="128">
        <v>36.200000762939453</v>
      </c>
      <c r="DT130" s="127">
        <v>12</v>
      </c>
      <c r="DU130" s="123"/>
      <c r="DV130" s="123">
        <v>169</v>
      </c>
      <c r="DW130" s="123">
        <v>163.38623046875</v>
      </c>
      <c r="DX130" s="125">
        <v>11</v>
      </c>
      <c r="DY130" s="128"/>
      <c r="DZ130" s="127">
        <v>45</v>
      </c>
      <c r="EA130" s="123">
        <v>3</v>
      </c>
      <c r="EB130" s="123">
        <v>0</v>
      </c>
      <c r="EC130" s="123">
        <v>2</v>
      </c>
      <c r="ED130" s="123">
        <v>273.10000610351563</v>
      </c>
      <c r="EE130" s="129">
        <v>9</v>
      </c>
      <c r="EF130" s="129">
        <v>9</v>
      </c>
      <c r="EG130" s="129">
        <v>9.9833333333333325</v>
      </c>
      <c r="EH130" t="s">
        <v>666</v>
      </c>
    </row>
    <row r="131" spans="1:138" x14ac:dyDescent="0.3">
      <c r="A131" s="226">
        <f t="shared" si="6"/>
        <v>46020.088194444732</v>
      </c>
      <c r="B131" s="123">
        <v>248</v>
      </c>
      <c r="C131" s="123">
        <v>49.875</v>
      </c>
      <c r="D131" s="123">
        <v>102.80500030517578</v>
      </c>
      <c r="E131" s="123">
        <v>17.756000518798828</v>
      </c>
      <c r="F131" s="123">
        <v>14.861549377441406</v>
      </c>
      <c r="G131" s="124">
        <v>17.868999481201172</v>
      </c>
      <c r="H131" s="125">
        <v>317</v>
      </c>
      <c r="I131" s="123">
        <v>279</v>
      </c>
      <c r="J131" s="123">
        <v>64.5780029296875</v>
      </c>
      <c r="K131" s="123">
        <v>63.773056030273438</v>
      </c>
      <c r="L131" s="123">
        <v>46.298999786376953</v>
      </c>
      <c r="M131" s="123">
        <v>13.571000099182129</v>
      </c>
      <c r="N131" s="123">
        <v>17.621000289916992</v>
      </c>
      <c r="O131" s="123">
        <v>19</v>
      </c>
      <c r="P131" s="123">
        <v>0</v>
      </c>
      <c r="Q131" s="123">
        <v>18.509458541870117</v>
      </c>
      <c r="R131" s="123">
        <v>13.003125190734863</v>
      </c>
      <c r="S131" s="123">
        <v>11.882650375366211</v>
      </c>
      <c r="T131" s="123">
        <v>9</v>
      </c>
      <c r="U131" s="123">
        <v>9</v>
      </c>
      <c r="V131" s="125">
        <v>963</v>
      </c>
      <c r="W131" s="123">
        <v>28.084304809570313</v>
      </c>
      <c r="X131" s="123">
        <v>28.951999664306641</v>
      </c>
      <c r="Y131" s="123">
        <v>7.9520001411437988</v>
      </c>
      <c r="Z131" s="123">
        <v>0</v>
      </c>
      <c r="AA131" s="123">
        <v>24.315000534057617</v>
      </c>
      <c r="AB131" s="123">
        <v>0</v>
      </c>
      <c r="AC131" s="123">
        <v>57.57574462890625</v>
      </c>
      <c r="AD131" s="123">
        <v>6.1069998741149902</v>
      </c>
      <c r="AE131" s="123">
        <v>0</v>
      </c>
      <c r="AF131" s="123">
        <v>84.3531494140625</v>
      </c>
      <c r="AG131" s="123">
        <v>0</v>
      </c>
      <c r="AH131" s="123">
        <v>65.5865478515625</v>
      </c>
      <c r="AI131" s="123">
        <v>15.64900016784668</v>
      </c>
      <c r="AJ131" s="123">
        <v>20.987024307250977</v>
      </c>
      <c r="AK131" s="123">
        <v>47.426826477050781</v>
      </c>
      <c r="AL131" s="123">
        <v>53.543998718261719</v>
      </c>
      <c r="AM131" s="126">
        <v>57.319000244140625</v>
      </c>
      <c r="AN131" s="125">
        <v>128.25</v>
      </c>
      <c r="AO131" s="127">
        <v>68</v>
      </c>
      <c r="AP131" s="123">
        <v>67.640174865722656</v>
      </c>
      <c r="AQ131" s="123">
        <v>42.324752807617188</v>
      </c>
      <c r="AR131" s="123">
        <v>86</v>
      </c>
      <c r="AS131" s="123"/>
      <c r="AT131" s="123">
        <v>122</v>
      </c>
      <c r="AU131" s="123"/>
      <c r="AV131" s="123">
        <v>79</v>
      </c>
      <c r="AW131" s="123"/>
      <c r="AX131" s="123">
        <v>33</v>
      </c>
      <c r="AY131" s="123">
        <v>34.316440582275391</v>
      </c>
      <c r="AZ131" s="123">
        <v>17</v>
      </c>
      <c r="BA131" s="123"/>
      <c r="BB131" s="123">
        <v>300</v>
      </c>
      <c r="BC131" s="123">
        <v>301.18133544921875</v>
      </c>
      <c r="BD131" s="123">
        <v>6.9000000953674316</v>
      </c>
      <c r="BE131" s="123">
        <v>6.9266738891601563</v>
      </c>
      <c r="BF131" s="123">
        <v>31</v>
      </c>
      <c r="BG131" s="123">
        <v>11</v>
      </c>
      <c r="BH131" s="123">
        <v>11.387898445129395</v>
      </c>
      <c r="BI131" s="123"/>
      <c r="BJ131" s="108">
        <f t="shared" si="4"/>
        <v>15</v>
      </c>
      <c r="BK131" s="123">
        <v>15</v>
      </c>
      <c r="BL131" s="123">
        <v>0</v>
      </c>
      <c r="BM131" s="126"/>
      <c r="BN131" s="108">
        <f t="shared" si="5"/>
        <v>123.20000076293945</v>
      </c>
      <c r="BO131" s="108">
        <v>74</v>
      </c>
      <c r="BP131" s="108">
        <v>49.200000762939453</v>
      </c>
      <c r="BQ131" s="108">
        <v>285</v>
      </c>
      <c r="BR131" s="123">
        <v>76.679000854492188</v>
      </c>
      <c r="BS131" s="123">
        <v>26.718999862670898</v>
      </c>
      <c r="BT131" s="123">
        <v>40.869998931884766</v>
      </c>
      <c r="BU131" s="123">
        <v>39.250999450683594</v>
      </c>
      <c r="BV131" s="123">
        <v>69.199996948242188</v>
      </c>
      <c r="BW131" s="123">
        <v>6.5999999046325684</v>
      </c>
      <c r="BX131" s="123">
        <v>13.600000381469727</v>
      </c>
      <c r="BY131" s="123">
        <v>29</v>
      </c>
      <c r="BZ131" s="123">
        <v>1.3449261896312237E-2</v>
      </c>
      <c r="CA131" s="123">
        <v>1</v>
      </c>
      <c r="CB131" s="123">
        <v>29.092489242553711</v>
      </c>
      <c r="CC131" s="126"/>
      <c r="CD131" s="123">
        <v>399.29910278320313</v>
      </c>
      <c r="CE131" s="123">
        <v>68.695266723632813</v>
      </c>
      <c r="CF131" s="123">
        <v>24.162336349487305</v>
      </c>
      <c r="CG131" s="123">
        <v>35.338191986083984</v>
      </c>
      <c r="CH131" s="123">
        <v>286.71075439453125</v>
      </c>
      <c r="CI131" s="123">
        <v>89.811653137207031</v>
      </c>
      <c r="CJ131" s="123">
        <v>36.194561004638672</v>
      </c>
      <c r="CK131" s="123">
        <v>53.577873229980469</v>
      </c>
      <c r="CL131" s="124">
        <v>38.236831665039063</v>
      </c>
      <c r="CM131" s="125">
        <v>233.75483703613281</v>
      </c>
      <c r="CN131" s="123">
        <v>75.925636291503906</v>
      </c>
      <c r="CO131" s="123">
        <v>78.974288940429688</v>
      </c>
      <c r="CP131" s="123">
        <v>75.100105285644531</v>
      </c>
      <c r="CQ131" s="123">
        <v>0</v>
      </c>
      <c r="CR131" s="123">
        <v>54.800777435302734</v>
      </c>
      <c r="CS131" s="123">
        <v>10.016143798828125</v>
      </c>
      <c r="CT131" s="123">
        <v>37.463478088378906</v>
      </c>
      <c r="CU131" s="123">
        <v>49.696659088134766</v>
      </c>
      <c r="CV131" s="124">
        <v>73.160400390625</v>
      </c>
      <c r="CW131" s="125">
        <v>2</v>
      </c>
      <c r="CX131" s="123">
        <v>397</v>
      </c>
      <c r="CY131" s="123">
        <v>183.76779174804688</v>
      </c>
      <c r="CZ131" s="123">
        <v>52.157161712646484</v>
      </c>
      <c r="DA131" s="123">
        <v>20.343156814575195</v>
      </c>
      <c r="DB131" s="123">
        <v>36.653415679931641</v>
      </c>
      <c r="DC131" s="123">
        <v>86.327194213867188</v>
      </c>
      <c r="DD131" s="123">
        <v>74</v>
      </c>
      <c r="DE131" s="123">
        <v>183</v>
      </c>
      <c r="DF131" s="123">
        <v>114.52538299560547</v>
      </c>
      <c r="DG131" s="123">
        <v>81.68408203125</v>
      </c>
      <c r="DH131" s="123">
        <v>55.080333709716797</v>
      </c>
      <c r="DI131" s="128">
        <v>37.444370269775391</v>
      </c>
      <c r="DJ131" s="127">
        <v>217</v>
      </c>
      <c r="DK131" s="123">
        <v>109.67600250244141</v>
      </c>
      <c r="DL131" s="123">
        <v>27.256000518798828</v>
      </c>
      <c r="DM131" s="123">
        <v>28.62700080871582</v>
      </c>
      <c r="DN131" s="123">
        <v>50.186000823974609</v>
      </c>
      <c r="DO131" s="124">
        <v>114.06181335449219</v>
      </c>
      <c r="DP131" s="125">
        <v>16.059000015258789</v>
      </c>
      <c r="DQ131" s="123"/>
      <c r="DR131" s="125">
        <v>0</v>
      </c>
      <c r="DS131" s="128">
        <v>34.799999237060547</v>
      </c>
      <c r="DT131" s="127">
        <v>12</v>
      </c>
      <c r="DU131" s="123"/>
      <c r="DV131" s="123">
        <v>168</v>
      </c>
      <c r="DW131" s="123">
        <v>162.88310241699219</v>
      </c>
      <c r="DX131" s="125">
        <v>11</v>
      </c>
      <c r="DY131" s="128"/>
      <c r="DZ131" s="127">
        <v>45</v>
      </c>
      <c r="EA131" s="123">
        <v>3</v>
      </c>
      <c r="EB131" s="123">
        <v>0</v>
      </c>
      <c r="EC131" s="123">
        <v>1</v>
      </c>
      <c r="ED131" s="123">
        <v>274.29998779296875</v>
      </c>
      <c r="EE131" s="129">
        <v>0</v>
      </c>
      <c r="EF131" s="129" t="e">
        <v>#NUM!</v>
      </c>
      <c r="EG131" s="129" t="e">
        <v>#DIV/0!</v>
      </c>
    </row>
    <row r="132" spans="1:138" x14ac:dyDescent="0.3">
      <c r="A132" s="226">
        <f t="shared" si="6"/>
        <v>46020.088888889179</v>
      </c>
      <c r="B132" s="123">
        <v>244</v>
      </c>
      <c r="C132" s="123">
        <v>49.762001037597656</v>
      </c>
      <c r="D132" s="123">
        <v>103.822998046875</v>
      </c>
      <c r="E132" s="123">
        <v>15.041000366210938</v>
      </c>
      <c r="F132" s="123">
        <v>13.396368026733398</v>
      </c>
      <c r="G132" s="124">
        <v>18.320999145507813</v>
      </c>
      <c r="H132" s="125">
        <v>312</v>
      </c>
      <c r="I132" s="123">
        <v>280</v>
      </c>
      <c r="J132" s="123">
        <v>63.898998260498047</v>
      </c>
      <c r="K132" s="123">
        <v>64.268028259277344</v>
      </c>
      <c r="L132" s="123">
        <v>45.415000915527344</v>
      </c>
      <c r="M132" s="123">
        <v>11.98799991607666</v>
      </c>
      <c r="N132" s="123">
        <v>17.940000534057617</v>
      </c>
      <c r="O132" s="123">
        <v>19</v>
      </c>
      <c r="P132" s="123">
        <v>0</v>
      </c>
      <c r="Q132" s="123">
        <v>19.51008415222168</v>
      </c>
      <c r="R132" s="123">
        <v>12</v>
      </c>
      <c r="S132" s="123">
        <v>11.117972373962402</v>
      </c>
      <c r="T132" s="123">
        <v>9</v>
      </c>
      <c r="U132" s="123">
        <v>9</v>
      </c>
      <c r="V132" s="125">
        <v>964</v>
      </c>
      <c r="W132" s="123">
        <v>30.41047477722168</v>
      </c>
      <c r="X132" s="123">
        <v>28.5</v>
      </c>
      <c r="Y132" s="123">
        <v>7.2519998550415039</v>
      </c>
      <c r="Z132" s="123">
        <v>0</v>
      </c>
      <c r="AA132" s="123">
        <v>23.52400016784668</v>
      </c>
      <c r="AB132" s="123">
        <v>0</v>
      </c>
      <c r="AC132" s="123">
        <v>57.503711700439453</v>
      </c>
      <c r="AD132" s="123">
        <v>6.3610000610351563</v>
      </c>
      <c r="AE132" s="123">
        <v>0</v>
      </c>
      <c r="AF132" s="123">
        <v>85.465248107910156</v>
      </c>
      <c r="AG132" s="123">
        <v>0</v>
      </c>
      <c r="AH132" s="123">
        <v>65.387153625488281</v>
      </c>
      <c r="AI132" s="123">
        <v>16.222000122070313</v>
      </c>
      <c r="AJ132" s="123">
        <v>23.006221771240234</v>
      </c>
      <c r="AK132" s="123">
        <v>47.023967742919922</v>
      </c>
      <c r="AL132" s="123">
        <v>53.013999938964844</v>
      </c>
      <c r="AM132" s="126">
        <v>56.492000579833984</v>
      </c>
      <c r="AN132" s="125">
        <v>128.5625</v>
      </c>
      <c r="AO132" s="127">
        <v>68</v>
      </c>
      <c r="AP132" s="123">
        <v>67.082382202148438</v>
      </c>
      <c r="AQ132" s="123">
        <v>41.746532440185547</v>
      </c>
      <c r="AR132" s="123">
        <v>88</v>
      </c>
      <c r="AS132" s="123"/>
      <c r="AT132" s="123">
        <v>123</v>
      </c>
      <c r="AU132" s="123"/>
      <c r="AV132" s="123">
        <v>79</v>
      </c>
      <c r="AW132" s="123"/>
      <c r="AX132" s="123">
        <v>32</v>
      </c>
      <c r="AY132" s="123">
        <v>34.607856750488281</v>
      </c>
      <c r="AZ132" s="123">
        <v>17</v>
      </c>
      <c r="BA132" s="123"/>
      <c r="BB132" s="123">
        <v>300</v>
      </c>
      <c r="BC132" s="123">
        <v>299.21002197265625</v>
      </c>
      <c r="BD132" s="123">
        <v>7</v>
      </c>
      <c r="BE132" s="123">
        <v>6.942265510559082</v>
      </c>
      <c r="BF132" s="123">
        <v>30</v>
      </c>
      <c r="BG132" s="123">
        <v>10</v>
      </c>
      <c r="BH132" s="123">
        <v>11.215512275695801</v>
      </c>
      <c r="BI132" s="123"/>
      <c r="BJ132" s="108">
        <f t="shared" si="4"/>
        <v>15</v>
      </c>
      <c r="BK132" s="123">
        <v>15</v>
      </c>
      <c r="BL132" s="123">
        <v>0</v>
      </c>
      <c r="BM132" s="126"/>
      <c r="BN132" s="108">
        <f t="shared" si="5"/>
        <v>122.20000076293945</v>
      </c>
      <c r="BO132" s="108">
        <v>74</v>
      </c>
      <c r="BP132" s="108">
        <v>48.200000762939453</v>
      </c>
      <c r="BQ132" s="108">
        <v>289</v>
      </c>
      <c r="BR132" s="123">
        <v>79.846000671386719</v>
      </c>
      <c r="BS132" s="123">
        <v>26.464000701904297</v>
      </c>
      <c r="BT132" s="123">
        <v>45.0260009765625</v>
      </c>
      <c r="BU132" s="123">
        <v>39.824001312255859</v>
      </c>
      <c r="BV132" s="123">
        <v>69.599998474121094</v>
      </c>
      <c r="BW132" s="123">
        <v>6.3000001907348633</v>
      </c>
      <c r="BX132" s="123">
        <v>13.600000381469727</v>
      </c>
      <c r="BY132" s="123">
        <v>28</v>
      </c>
      <c r="BZ132" s="123">
        <v>1.3449261896312237E-2</v>
      </c>
      <c r="CA132" s="123">
        <v>0</v>
      </c>
      <c r="CB132" s="123">
        <v>29.170419692993164</v>
      </c>
      <c r="CC132" s="126"/>
      <c r="CD132" s="123">
        <v>395.43048095703125</v>
      </c>
      <c r="CE132" s="123">
        <v>67.208938598632813</v>
      </c>
      <c r="CF132" s="123">
        <v>24.236846923828125</v>
      </c>
      <c r="CG132" s="123">
        <v>35.338191986083984</v>
      </c>
      <c r="CH132" s="123">
        <v>286.58413696289063</v>
      </c>
      <c r="CI132" s="123">
        <v>89.537986755371094</v>
      </c>
      <c r="CJ132" s="123">
        <v>38.613578796386719</v>
      </c>
      <c r="CK132" s="123">
        <v>53.020362854003906</v>
      </c>
      <c r="CL132" s="124">
        <v>34.941776275634766</v>
      </c>
      <c r="CM132" s="125">
        <v>229.69111633300781</v>
      </c>
      <c r="CN132" s="123">
        <v>76.554183959960938</v>
      </c>
      <c r="CO132" s="123">
        <v>76.277885437011719</v>
      </c>
      <c r="CP132" s="123">
        <v>71.222976684570313</v>
      </c>
      <c r="CQ132" s="123">
        <v>0</v>
      </c>
      <c r="CR132" s="123">
        <v>52.806682586669922</v>
      </c>
      <c r="CS132" s="123">
        <v>10.069882392883301</v>
      </c>
      <c r="CT132" s="123">
        <v>43.197452545166016</v>
      </c>
      <c r="CU132" s="123">
        <v>55.122543334960938</v>
      </c>
      <c r="CV132" s="124">
        <v>70.996780395507813</v>
      </c>
      <c r="CW132" s="125">
        <v>0</v>
      </c>
      <c r="CX132" s="123">
        <v>394</v>
      </c>
      <c r="CY132" s="123">
        <v>184.57728576660156</v>
      </c>
      <c r="CZ132" s="123">
        <v>51.754100799560547</v>
      </c>
      <c r="DA132" s="123">
        <v>20.279354095458984</v>
      </c>
      <c r="DB132" s="123">
        <v>35.746025085449219</v>
      </c>
      <c r="DC132" s="123">
        <v>84.886054992675781</v>
      </c>
      <c r="DD132" s="123">
        <v>76</v>
      </c>
      <c r="DE132" s="123">
        <v>182</v>
      </c>
      <c r="DF132" s="123">
        <v>114.1920166015625</v>
      </c>
      <c r="DG132" s="123">
        <v>79.086967468261719</v>
      </c>
      <c r="DH132" s="123">
        <v>54.883609771728516</v>
      </c>
      <c r="DI132" s="128">
        <v>37.887737274169922</v>
      </c>
      <c r="DJ132" s="127">
        <v>212</v>
      </c>
      <c r="DK132" s="123">
        <v>114.00199890136719</v>
      </c>
      <c r="DL132" s="123">
        <v>27.934999465942383</v>
      </c>
      <c r="DM132" s="123">
        <v>30.393999099731445</v>
      </c>
      <c r="DN132" s="123">
        <v>49.303001403808594</v>
      </c>
      <c r="DO132" s="124">
        <v>110.67149353027344</v>
      </c>
      <c r="DP132" s="125">
        <v>16.285999298095703</v>
      </c>
      <c r="DQ132" s="123"/>
      <c r="DR132" s="125">
        <v>0</v>
      </c>
      <c r="DS132" s="128">
        <v>35</v>
      </c>
      <c r="DT132" s="127">
        <v>12</v>
      </c>
      <c r="DU132" s="123"/>
      <c r="DV132" s="123">
        <v>163</v>
      </c>
      <c r="DW132" s="123">
        <v>162.50367736816406</v>
      </c>
      <c r="DX132" s="125">
        <v>10</v>
      </c>
      <c r="DY132" s="128"/>
      <c r="DZ132" s="127">
        <v>45</v>
      </c>
      <c r="EA132" s="123">
        <v>3</v>
      </c>
      <c r="EB132" s="123">
        <v>0</v>
      </c>
      <c r="EC132" s="123">
        <v>1</v>
      </c>
      <c r="ED132" s="123">
        <v>271.10000610351563</v>
      </c>
      <c r="EE132" s="129">
        <v>42</v>
      </c>
      <c r="EF132" s="129">
        <v>42.833333333333336</v>
      </c>
      <c r="EG132" s="129">
        <v>44.43333333333333</v>
      </c>
      <c r="EH132" t="s">
        <v>665</v>
      </c>
    </row>
    <row r="133" spans="1:138" x14ac:dyDescent="0.3">
      <c r="A133" s="226">
        <f t="shared" si="6"/>
        <v>46020.089583333625</v>
      </c>
      <c r="B133" s="123">
        <v>247</v>
      </c>
      <c r="C133" s="123">
        <v>49.648998260498047</v>
      </c>
      <c r="D133" s="123">
        <v>103.822998046875</v>
      </c>
      <c r="E133" s="123">
        <v>15.833000183105469</v>
      </c>
      <c r="F133" s="123">
        <v>0</v>
      </c>
      <c r="G133" s="124">
        <v>17.982000350952148</v>
      </c>
      <c r="H133" s="125">
        <v>318</v>
      </c>
      <c r="I133" s="123">
        <v>275</v>
      </c>
      <c r="J133" s="123">
        <v>62.769001007080078</v>
      </c>
      <c r="K133" s="123">
        <v>67.491157531738281</v>
      </c>
      <c r="L133" s="123">
        <v>45.415000915527344</v>
      </c>
      <c r="M133" s="123">
        <v>12.10099983215332</v>
      </c>
      <c r="N133" s="123">
        <v>18.194000244140625</v>
      </c>
      <c r="O133" s="123">
        <v>18</v>
      </c>
      <c r="P133" s="123">
        <v>0</v>
      </c>
      <c r="Q133" s="123">
        <v>20.162557601928711</v>
      </c>
      <c r="R133" s="123">
        <v>10.996874809265137</v>
      </c>
      <c r="S133" s="123">
        <v>11.302674293518066</v>
      </c>
      <c r="T133" s="123">
        <v>9</v>
      </c>
      <c r="U133" s="123">
        <v>9</v>
      </c>
      <c r="V133" s="125">
        <v>953</v>
      </c>
      <c r="W133" s="123">
        <v>28.945892333984375</v>
      </c>
      <c r="X133" s="123">
        <v>27.934999465942383</v>
      </c>
      <c r="Y133" s="123">
        <v>8.5880002975463867</v>
      </c>
      <c r="Z133" s="123">
        <v>0</v>
      </c>
      <c r="AA133" s="123">
        <v>27.934999465942383</v>
      </c>
      <c r="AB133" s="123">
        <v>0</v>
      </c>
      <c r="AC133" s="123">
        <v>58.217914581298828</v>
      </c>
      <c r="AD133" s="123">
        <v>6.3610000610351563</v>
      </c>
      <c r="AE133" s="123">
        <v>0</v>
      </c>
      <c r="AF133" s="123">
        <v>85.087570190429688</v>
      </c>
      <c r="AG133" s="123">
        <v>0</v>
      </c>
      <c r="AH133" s="123">
        <v>65.383171081542969</v>
      </c>
      <c r="AI133" s="123">
        <v>15.140000343322754</v>
      </c>
      <c r="AJ133" s="123">
        <v>21.242763519287109</v>
      </c>
      <c r="AK133" s="123">
        <v>46.5113525390625</v>
      </c>
      <c r="AL133" s="123">
        <v>44.354999542236328</v>
      </c>
      <c r="AM133" s="126">
        <v>57.700000762939453</v>
      </c>
      <c r="AN133" s="125">
        <v>126.125</v>
      </c>
      <c r="AO133" s="127">
        <v>67</v>
      </c>
      <c r="AP133" s="123">
        <v>65.878959655761719</v>
      </c>
      <c r="AQ133" s="123">
        <v>40.566509246826172</v>
      </c>
      <c r="AR133" s="123">
        <v>90</v>
      </c>
      <c r="AS133" s="123"/>
      <c r="AT133" s="123">
        <v>123</v>
      </c>
      <c r="AU133" s="123"/>
      <c r="AV133" s="123">
        <v>80</v>
      </c>
      <c r="AW133" s="123"/>
      <c r="AX133" s="123">
        <v>32</v>
      </c>
      <c r="AY133" s="123">
        <v>34.23358154296875</v>
      </c>
      <c r="AZ133" s="123">
        <v>16</v>
      </c>
      <c r="BA133" s="123"/>
      <c r="BB133" s="123">
        <v>299</v>
      </c>
      <c r="BC133" s="123">
        <v>297.47793579101563</v>
      </c>
      <c r="BD133" s="123">
        <v>7</v>
      </c>
      <c r="BE133" s="123">
        <v>6.9297389984130859</v>
      </c>
      <c r="BF133" s="123">
        <v>30</v>
      </c>
      <c r="BG133" s="123">
        <v>10</v>
      </c>
      <c r="BH133" s="123">
        <v>11.192936897277832</v>
      </c>
      <c r="BI133" s="123"/>
      <c r="BJ133" s="108">
        <f t="shared" ref="BJ133:BJ196" si="7">SUM(BK133:BL133)</f>
        <v>15</v>
      </c>
      <c r="BK133" s="123">
        <v>15</v>
      </c>
      <c r="BL133" s="123">
        <v>0</v>
      </c>
      <c r="BM133" s="126"/>
      <c r="BN133" s="108">
        <f t="shared" ref="BN133:BN196" si="8">SUM(BO133:BP133)</f>
        <v>123</v>
      </c>
      <c r="BO133" s="108">
        <v>74</v>
      </c>
      <c r="BP133" s="108">
        <v>49</v>
      </c>
      <c r="BQ133" s="108">
        <v>282</v>
      </c>
      <c r="BR133" s="123">
        <v>71.929000854492188</v>
      </c>
      <c r="BS133" s="123">
        <v>24.683000564575195</v>
      </c>
      <c r="BT133" s="123">
        <v>43.294998168945313</v>
      </c>
      <c r="BU133" s="123">
        <v>38.361000061035156</v>
      </c>
      <c r="BV133" s="123">
        <v>69.5</v>
      </c>
      <c r="BW133" s="123">
        <v>6.3000001907348633</v>
      </c>
      <c r="BX133" s="123">
        <v>13.600000381469727</v>
      </c>
      <c r="BY133" s="123">
        <v>27</v>
      </c>
      <c r="BZ133" s="123">
        <v>1.5203994698822498E-2</v>
      </c>
      <c r="CA133" s="123">
        <v>1</v>
      </c>
      <c r="CB133" s="123">
        <v>29.173625946044922</v>
      </c>
      <c r="CC133" s="126"/>
      <c r="CD133" s="123">
        <v>398.97702026367188</v>
      </c>
      <c r="CE133" s="123">
        <v>67.44921875</v>
      </c>
      <c r="CF133" s="123">
        <v>24.489608764648438</v>
      </c>
      <c r="CG133" s="123">
        <v>35.338191986083984</v>
      </c>
      <c r="CH133" s="123">
        <v>285.88729858398438</v>
      </c>
      <c r="CI133" s="123">
        <v>90.046554565429688</v>
      </c>
      <c r="CJ133" s="123">
        <v>38.613578796386719</v>
      </c>
      <c r="CK133" s="123">
        <v>54.077175140380859</v>
      </c>
      <c r="CL133" s="124">
        <v>36.316577911376953</v>
      </c>
      <c r="CM133" s="125">
        <v>230.09283447265625</v>
      </c>
      <c r="CN133" s="123">
        <v>79.306312561035156</v>
      </c>
      <c r="CO133" s="123">
        <v>76.277885437011719</v>
      </c>
      <c r="CP133" s="123">
        <v>71.4881591796875</v>
      </c>
      <c r="CQ133" s="123">
        <v>0</v>
      </c>
      <c r="CR133" s="123">
        <v>53.429763793945313</v>
      </c>
      <c r="CS133" s="123">
        <v>10.09693431854248</v>
      </c>
      <c r="CT133" s="123">
        <v>40.719348907470703</v>
      </c>
      <c r="CU133" s="123">
        <v>52.674446105957031</v>
      </c>
      <c r="CV133" s="124">
        <v>71.35736083984375</v>
      </c>
      <c r="CW133" s="125">
        <v>5</v>
      </c>
      <c r="CX133" s="123">
        <v>396</v>
      </c>
      <c r="CY133" s="123">
        <v>184.63020324707031</v>
      </c>
      <c r="CZ133" s="123">
        <v>52.218982696533203</v>
      </c>
      <c r="DA133" s="123">
        <v>21.564619064331055</v>
      </c>
      <c r="DB133" s="123">
        <v>37.1767578125</v>
      </c>
      <c r="DC133" s="123">
        <v>83.627799987792969</v>
      </c>
      <c r="DD133" s="123">
        <v>71</v>
      </c>
      <c r="DE133" s="123">
        <v>182</v>
      </c>
      <c r="DF133" s="123">
        <v>114.35419464111328</v>
      </c>
      <c r="DG133" s="123">
        <v>79.272651672363281</v>
      </c>
      <c r="DH133" s="123">
        <v>54.546253204345703</v>
      </c>
      <c r="DI133" s="128">
        <v>38.012184143066406</v>
      </c>
      <c r="DJ133" s="127">
        <v>212</v>
      </c>
      <c r="DK133" s="123">
        <v>110.947998046875</v>
      </c>
      <c r="DL133" s="123">
        <v>27.934999465942383</v>
      </c>
      <c r="DM133" s="123">
        <v>30.393999099731445</v>
      </c>
      <c r="DN133" s="123">
        <v>48.418998718261719</v>
      </c>
      <c r="DO133" s="124">
        <v>112.05660247802734</v>
      </c>
      <c r="DP133" s="125">
        <v>16.031000137329102</v>
      </c>
      <c r="DQ133" s="123"/>
      <c r="DR133" s="125">
        <v>0</v>
      </c>
      <c r="DS133" s="128">
        <v>35.900001525878906</v>
      </c>
      <c r="DT133" s="127">
        <v>12</v>
      </c>
      <c r="DU133" s="123"/>
      <c r="DV133" s="123">
        <v>173</v>
      </c>
      <c r="DW133" s="123">
        <v>162.30827331542969</v>
      </c>
      <c r="DX133" s="125">
        <v>11</v>
      </c>
      <c r="DY133" s="128"/>
      <c r="DZ133" s="127">
        <v>46</v>
      </c>
      <c r="EA133" s="123">
        <v>3</v>
      </c>
      <c r="EB133" s="123">
        <v>0</v>
      </c>
      <c r="EC133" s="123">
        <v>1</v>
      </c>
      <c r="ED133" s="123">
        <v>274.89999389648438</v>
      </c>
      <c r="EE133" s="129">
        <v>3</v>
      </c>
      <c r="EF133" s="129">
        <v>3</v>
      </c>
      <c r="EG133" s="129">
        <v>3</v>
      </c>
      <c r="EH133" t="s">
        <v>424</v>
      </c>
    </row>
    <row r="134" spans="1:138" x14ac:dyDescent="0.3">
      <c r="A134" s="226">
        <f t="shared" si="6"/>
        <v>46020.090277778072</v>
      </c>
      <c r="B134" s="123">
        <v>249</v>
      </c>
      <c r="C134" s="123">
        <v>43.768001556396484</v>
      </c>
      <c r="D134" s="123">
        <v>103.93599700927734</v>
      </c>
      <c r="E134" s="123">
        <v>17.642999649047852</v>
      </c>
      <c r="F134" s="123">
        <v>7.4939641952514648</v>
      </c>
      <c r="G134" s="124">
        <v>17.868999481201172</v>
      </c>
      <c r="H134" s="125">
        <v>311</v>
      </c>
      <c r="I134" s="123">
        <v>283</v>
      </c>
      <c r="J134" s="123">
        <v>63.221000671386719</v>
      </c>
      <c r="K134" s="123">
        <v>66.968772888183594</v>
      </c>
      <c r="L134" s="123">
        <v>45.062000274658203</v>
      </c>
      <c r="M134" s="123">
        <v>12.892999649047852</v>
      </c>
      <c r="N134" s="123">
        <v>17.684999465942383</v>
      </c>
      <c r="O134" s="123">
        <v>18</v>
      </c>
      <c r="P134" s="123">
        <v>0</v>
      </c>
      <c r="Q134" s="123">
        <v>18.725532531738281</v>
      </c>
      <c r="R134" s="123">
        <v>12</v>
      </c>
      <c r="S134" s="123">
        <v>11.05924129486084</v>
      </c>
      <c r="T134" s="123">
        <v>9</v>
      </c>
      <c r="U134" s="123">
        <v>9</v>
      </c>
      <c r="V134" s="125">
        <v>946</v>
      </c>
      <c r="W134" s="123">
        <v>28.685203552246094</v>
      </c>
      <c r="X134" s="123">
        <v>28.386999130249023</v>
      </c>
      <c r="Y134" s="123">
        <v>8.6510000228881836</v>
      </c>
      <c r="Z134" s="123">
        <v>0</v>
      </c>
      <c r="AA134" s="123">
        <v>26.011999130249023</v>
      </c>
      <c r="AB134" s="123">
        <v>0</v>
      </c>
      <c r="AC134" s="123">
        <v>58.878501892089844</v>
      </c>
      <c r="AD134" s="123">
        <v>6.1069998741149902</v>
      </c>
      <c r="AE134" s="123">
        <v>0</v>
      </c>
      <c r="AF134" s="123">
        <v>86.27398681640625</v>
      </c>
      <c r="AG134" s="123">
        <v>0</v>
      </c>
      <c r="AH134" s="123">
        <v>65.383171081542969</v>
      </c>
      <c r="AI134" s="123">
        <v>14.185999870300293</v>
      </c>
      <c r="AJ134" s="123">
        <v>20.584253311157227</v>
      </c>
      <c r="AK134" s="123">
        <v>46.977642059326172</v>
      </c>
      <c r="AL134" s="123">
        <v>38.522998809814453</v>
      </c>
      <c r="AM134" s="126">
        <v>57.127998352050781</v>
      </c>
      <c r="AN134" s="125">
        <v>126.9375</v>
      </c>
      <c r="AO134" s="127">
        <v>66</v>
      </c>
      <c r="AP134" s="123">
        <v>66.041305541992188</v>
      </c>
      <c r="AQ134" s="123">
        <v>41.087322235107422</v>
      </c>
      <c r="AR134" s="123">
        <v>87</v>
      </c>
      <c r="AS134" s="123"/>
      <c r="AT134" s="123">
        <v>123</v>
      </c>
      <c r="AU134" s="123"/>
      <c r="AV134" s="123">
        <v>80</v>
      </c>
      <c r="AW134" s="123"/>
      <c r="AX134" s="123">
        <v>32</v>
      </c>
      <c r="AY134" s="123">
        <v>34.263668060302734</v>
      </c>
      <c r="AZ134" s="123">
        <v>16</v>
      </c>
      <c r="BA134" s="123"/>
      <c r="BB134" s="123">
        <v>299</v>
      </c>
      <c r="BC134" s="123">
        <v>302.6773681640625</v>
      </c>
      <c r="BD134" s="123">
        <v>7</v>
      </c>
      <c r="BE134" s="123">
        <v>6.9343147277832031</v>
      </c>
      <c r="BF134" s="123">
        <v>31</v>
      </c>
      <c r="BG134" s="123">
        <v>11</v>
      </c>
      <c r="BH134" s="123">
        <v>11.20423698425293</v>
      </c>
      <c r="BI134" s="123"/>
      <c r="BJ134" s="108">
        <f t="shared" si="7"/>
        <v>15</v>
      </c>
      <c r="BK134" s="123">
        <v>15</v>
      </c>
      <c r="BL134" s="123">
        <v>0</v>
      </c>
      <c r="BM134" s="126"/>
      <c r="BN134" s="108">
        <f t="shared" si="8"/>
        <v>123</v>
      </c>
      <c r="BO134" s="108">
        <v>74</v>
      </c>
      <c r="BP134" s="108">
        <v>49</v>
      </c>
      <c r="BQ134" s="108">
        <v>278</v>
      </c>
      <c r="BR134" s="123">
        <v>71.929000854492188</v>
      </c>
      <c r="BS134" s="123">
        <v>25.191999435424805</v>
      </c>
      <c r="BT134" s="123">
        <v>41.215999603271484</v>
      </c>
      <c r="BU134" s="123">
        <v>39.124000549316406</v>
      </c>
      <c r="BV134" s="123">
        <v>69.400001525878906</v>
      </c>
      <c r="BW134" s="123">
        <v>6.4000000953674316</v>
      </c>
      <c r="BX134" s="123">
        <v>13.5</v>
      </c>
      <c r="BY134" s="123">
        <v>28</v>
      </c>
      <c r="BZ134" s="123">
        <v>1.430099830031395E-2</v>
      </c>
      <c r="CA134" s="123">
        <v>1</v>
      </c>
      <c r="CB134" s="123">
        <v>29.140647888183594</v>
      </c>
      <c r="CC134" s="126"/>
      <c r="CD134" s="123">
        <v>390.99774169921875</v>
      </c>
      <c r="CE134" s="123">
        <v>66.442123413085938</v>
      </c>
      <c r="CF134" s="123">
        <v>23.692806243896484</v>
      </c>
      <c r="CG134" s="123">
        <v>35.338191986083984</v>
      </c>
      <c r="CH134" s="123">
        <v>285.11093139648438</v>
      </c>
      <c r="CI134" s="123">
        <v>89.996879577636719</v>
      </c>
      <c r="CJ134" s="123">
        <v>37.889034271240234</v>
      </c>
      <c r="CK134" s="123">
        <v>53.211360931396484</v>
      </c>
      <c r="CL134" s="124">
        <v>36.720680236816406</v>
      </c>
      <c r="CM134" s="125">
        <v>230.82882690429688</v>
      </c>
      <c r="CN134" s="123">
        <v>77.516265869140625</v>
      </c>
      <c r="CO134" s="123">
        <v>76.217056274414063</v>
      </c>
      <c r="CP134" s="123">
        <v>72.064750671386719</v>
      </c>
      <c r="CQ134" s="123">
        <v>0</v>
      </c>
      <c r="CR134" s="123">
        <v>54.168380737304688</v>
      </c>
      <c r="CS134" s="123">
        <v>10.634905815124512</v>
      </c>
      <c r="CT134" s="123">
        <v>40.578166961669922</v>
      </c>
      <c r="CU134" s="123">
        <v>50.123779296875</v>
      </c>
      <c r="CV134" s="124">
        <v>71.027824401855469</v>
      </c>
      <c r="CW134" s="125">
        <v>3</v>
      </c>
      <c r="CX134" s="123">
        <v>396</v>
      </c>
      <c r="CY134" s="123">
        <v>182.34138488769531</v>
      </c>
      <c r="CZ134" s="123">
        <v>52.575538635253906</v>
      </c>
      <c r="DA134" s="123">
        <v>21.208484649658203</v>
      </c>
      <c r="DB134" s="123">
        <v>35.417762756347656</v>
      </c>
      <c r="DC134" s="123">
        <v>80.300102233886719</v>
      </c>
      <c r="DD134" s="123">
        <v>80</v>
      </c>
      <c r="DE134" s="123">
        <v>180</v>
      </c>
      <c r="DF134" s="123">
        <v>112.75287628173828</v>
      </c>
      <c r="DG134" s="123">
        <v>81.038429260253906</v>
      </c>
      <c r="DH134" s="123">
        <v>54.701568603515625</v>
      </c>
      <c r="DI134" s="128">
        <v>40.260581970214844</v>
      </c>
      <c r="DJ134" s="127">
        <v>212</v>
      </c>
      <c r="DK134" s="123">
        <v>105.60399627685547</v>
      </c>
      <c r="DL134" s="123">
        <v>25.107000350952148</v>
      </c>
      <c r="DM134" s="123">
        <v>30.924999237060547</v>
      </c>
      <c r="DN134" s="123">
        <v>47.888999938964844</v>
      </c>
      <c r="DO134" s="124">
        <v>110.87982177734375</v>
      </c>
      <c r="DP134" s="125">
        <v>16.341999053955078</v>
      </c>
      <c r="DQ134" s="123"/>
      <c r="DR134" s="125">
        <v>0</v>
      </c>
      <c r="DS134" s="128">
        <v>35.5</v>
      </c>
      <c r="DT134" s="127">
        <v>13</v>
      </c>
      <c r="DU134" s="123"/>
      <c r="DV134" s="123">
        <v>167</v>
      </c>
      <c r="DW134" s="123">
        <v>162.31704711914063</v>
      </c>
      <c r="DX134" s="125">
        <v>11</v>
      </c>
      <c r="DY134" s="128"/>
      <c r="DZ134" s="127">
        <v>46</v>
      </c>
      <c r="EA134" s="123">
        <v>3</v>
      </c>
      <c r="EB134" s="123">
        <v>0</v>
      </c>
      <c r="EC134" s="123">
        <v>2</v>
      </c>
      <c r="ED134" s="123">
        <v>274.79998779296875</v>
      </c>
      <c r="EE134" s="129">
        <v>0</v>
      </c>
      <c r="EF134" s="129">
        <v>0</v>
      </c>
      <c r="EG134" s="129">
        <v>0</v>
      </c>
      <c r="EH134" s="157" t="s">
        <v>429</v>
      </c>
    </row>
    <row r="135" spans="1:138" x14ac:dyDescent="0.3">
      <c r="A135" s="226">
        <f t="shared" si="6"/>
        <v>46020.090972222519</v>
      </c>
      <c r="B135" s="123">
        <v>243</v>
      </c>
      <c r="C135" s="123">
        <v>43.090000152587891</v>
      </c>
      <c r="D135" s="123">
        <v>102.91799926757813</v>
      </c>
      <c r="E135" s="123">
        <v>17.076999664306641</v>
      </c>
      <c r="F135" s="123">
        <v>10.272830963134766</v>
      </c>
      <c r="G135" s="124">
        <v>17.190000534057617</v>
      </c>
      <c r="H135" s="125">
        <v>317</v>
      </c>
      <c r="I135" s="123">
        <v>284</v>
      </c>
      <c r="J135" s="123">
        <v>63.898998260498047</v>
      </c>
      <c r="K135" s="123">
        <v>69.130332946777344</v>
      </c>
      <c r="L135" s="123">
        <v>45.944999694824219</v>
      </c>
      <c r="M135" s="123">
        <v>11.64900016784668</v>
      </c>
      <c r="N135" s="123">
        <v>17.684999465942383</v>
      </c>
      <c r="O135" s="123">
        <v>18</v>
      </c>
      <c r="P135" s="123">
        <v>0</v>
      </c>
      <c r="Q135" s="123">
        <v>18.920791625976563</v>
      </c>
      <c r="R135" s="123">
        <v>10.003125190734863</v>
      </c>
      <c r="S135" s="123">
        <v>9.9892473220825195</v>
      </c>
      <c r="T135" s="123">
        <v>9</v>
      </c>
      <c r="U135" s="123">
        <v>9</v>
      </c>
      <c r="V135" s="125">
        <v>928</v>
      </c>
      <c r="W135" s="123">
        <v>31.735057830810547</v>
      </c>
      <c r="X135" s="123">
        <v>29.405000686645508</v>
      </c>
      <c r="Y135" s="123">
        <v>7.6970000267028809</v>
      </c>
      <c r="Z135" s="123">
        <v>0</v>
      </c>
      <c r="AA135" s="123">
        <v>26.011999130249023</v>
      </c>
      <c r="AB135" s="123">
        <v>0</v>
      </c>
      <c r="AC135" s="123">
        <v>57.485195159912109</v>
      </c>
      <c r="AD135" s="123">
        <v>6.3610000610351563</v>
      </c>
      <c r="AE135" s="123">
        <v>0</v>
      </c>
      <c r="AF135" s="123">
        <v>85.921218872070313</v>
      </c>
      <c r="AG135" s="123">
        <v>0</v>
      </c>
      <c r="AH135" s="123">
        <v>65.449951171875</v>
      </c>
      <c r="AI135" s="123">
        <v>15.204000473022461</v>
      </c>
      <c r="AJ135" s="123">
        <v>19.582038879394531</v>
      </c>
      <c r="AK135" s="123">
        <v>47.297538757324219</v>
      </c>
      <c r="AL135" s="123">
        <v>40.466999053955078</v>
      </c>
      <c r="AM135" s="126">
        <v>58.909000396728516</v>
      </c>
      <c r="AN135" s="125">
        <v>126.5625</v>
      </c>
      <c r="AO135" s="127">
        <v>68</v>
      </c>
      <c r="AP135" s="123">
        <v>66.079032897949219</v>
      </c>
      <c r="AQ135" s="123">
        <v>43.726066589355469</v>
      </c>
      <c r="AR135" s="123">
        <v>87</v>
      </c>
      <c r="AS135" s="123"/>
      <c r="AT135" s="123">
        <v>122</v>
      </c>
      <c r="AU135" s="123"/>
      <c r="AV135" s="123">
        <v>70</v>
      </c>
      <c r="AW135" s="123"/>
      <c r="AX135" s="123">
        <v>31</v>
      </c>
      <c r="AY135" s="123">
        <v>34.299797058105469</v>
      </c>
      <c r="AZ135" s="123">
        <v>17</v>
      </c>
      <c r="BA135" s="123"/>
      <c r="BB135" s="123">
        <v>300</v>
      </c>
      <c r="BC135" s="123">
        <v>300.29937744140625</v>
      </c>
      <c r="BD135" s="123">
        <v>7</v>
      </c>
      <c r="BE135" s="123">
        <v>6.9250555038452148</v>
      </c>
      <c r="BF135" s="123">
        <v>31</v>
      </c>
      <c r="BG135" s="123">
        <v>11</v>
      </c>
      <c r="BH135" s="123">
        <v>11.294332504272461</v>
      </c>
      <c r="BI135" s="123"/>
      <c r="BJ135" s="108">
        <f t="shared" si="7"/>
        <v>15</v>
      </c>
      <c r="BK135" s="123">
        <v>15</v>
      </c>
      <c r="BL135" s="123">
        <v>0</v>
      </c>
      <c r="BM135" s="126"/>
      <c r="BN135" s="108">
        <f t="shared" si="8"/>
        <v>123</v>
      </c>
      <c r="BO135" s="108">
        <v>74</v>
      </c>
      <c r="BP135" s="108">
        <v>49</v>
      </c>
      <c r="BQ135" s="108">
        <v>278</v>
      </c>
      <c r="BR135" s="123">
        <v>72.833999633789063</v>
      </c>
      <c r="BS135" s="123">
        <v>25.191999435424805</v>
      </c>
      <c r="BT135" s="123">
        <v>40.869998931884766</v>
      </c>
      <c r="BU135" s="123">
        <v>38.932998657226563</v>
      </c>
      <c r="BV135" s="123">
        <v>68.5</v>
      </c>
      <c r="BW135" s="123">
        <v>6.5</v>
      </c>
      <c r="BX135" s="123">
        <v>13.5</v>
      </c>
      <c r="BY135" s="123">
        <v>29</v>
      </c>
      <c r="BZ135" s="123">
        <v>1.3705206103622913E-2</v>
      </c>
      <c r="CA135" s="123">
        <v>1</v>
      </c>
      <c r="CB135" s="123">
        <v>29.080226898193359</v>
      </c>
      <c r="CC135" s="126"/>
      <c r="CD135" s="123">
        <v>388.95956420898438</v>
      </c>
      <c r="CE135" s="123">
        <v>65.214447021484375</v>
      </c>
      <c r="CF135" s="123">
        <v>23.758327484130859</v>
      </c>
      <c r="CG135" s="123">
        <v>35.338191986083984</v>
      </c>
      <c r="CH135" s="123">
        <v>286.23394775390625</v>
      </c>
      <c r="CI135" s="123">
        <v>87.725349426269531</v>
      </c>
      <c r="CJ135" s="123">
        <v>37.889034271240234</v>
      </c>
      <c r="CK135" s="123">
        <v>53.550521850585938</v>
      </c>
      <c r="CL135" s="124">
        <v>38.967842102050781</v>
      </c>
      <c r="CM135" s="125">
        <v>226.59359741210938</v>
      </c>
      <c r="CN135" s="123">
        <v>74.630989074707031</v>
      </c>
      <c r="CO135" s="123">
        <v>75.76776123046875</v>
      </c>
      <c r="CP135" s="123">
        <v>70.3818359375</v>
      </c>
      <c r="CQ135" s="123">
        <v>0</v>
      </c>
      <c r="CR135" s="123">
        <v>52.609073638916016</v>
      </c>
      <c r="CS135" s="123">
        <v>10.880474090576172</v>
      </c>
      <c r="CT135" s="123">
        <v>37.531967163085938</v>
      </c>
      <c r="CU135" s="123">
        <v>49.44036865234375</v>
      </c>
      <c r="CV135" s="124">
        <v>73.861083984375</v>
      </c>
      <c r="CW135" s="125">
        <v>1</v>
      </c>
      <c r="CX135" s="123">
        <v>389</v>
      </c>
      <c r="CY135" s="123">
        <v>183.00796508789063</v>
      </c>
      <c r="CZ135" s="123">
        <v>53.420032501220703</v>
      </c>
      <c r="DA135" s="123">
        <v>22.371566772460938</v>
      </c>
      <c r="DB135" s="123">
        <v>34.060222625732422</v>
      </c>
      <c r="DC135" s="123">
        <v>79.935188293457031</v>
      </c>
      <c r="DD135" s="123">
        <v>81</v>
      </c>
      <c r="DE135" s="123">
        <v>184</v>
      </c>
      <c r="DF135" s="123">
        <v>115.36212158203125</v>
      </c>
      <c r="DG135" s="123">
        <v>81.357460021972656</v>
      </c>
      <c r="DH135" s="123">
        <v>55.740867614746094</v>
      </c>
      <c r="DI135" s="128">
        <v>39.027339935302734</v>
      </c>
      <c r="DJ135" s="127">
        <v>212</v>
      </c>
      <c r="DK135" s="123">
        <v>116.29199981689453</v>
      </c>
      <c r="DL135" s="123">
        <v>27.708000183105469</v>
      </c>
      <c r="DM135" s="123">
        <v>30.570999145507813</v>
      </c>
      <c r="DN135" s="123">
        <v>52.484001159667969</v>
      </c>
      <c r="DO135" s="124">
        <v>111.7679443359375</v>
      </c>
      <c r="DP135" s="125">
        <v>15.635000228881836</v>
      </c>
      <c r="DQ135" s="123"/>
      <c r="DR135" s="125">
        <v>0</v>
      </c>
      <c r="DS135" s="128">
        <v>35.299999237060547</v>
      </c>
      <c r="DT135" s="127">
        <v>12</v>
      </c>
      <c r="DU135" s="123"/>
      <c r="DV135" s="123">
        <v>171</v>
      </c>
      <c r="DW135" s="123">
        <v>161.9732666015625</v>
      </c>
      <c r="DX135" s="125">
        <v>10</v>
      </c>
      <c r="DY135" s="128"/>
      <c r="DZ135" s="127">
        <v>45</v>
      </c>
      <c r="EA135" s="123">
        <v>3</v>
      </c>
      <c r="EB135" s="123">
        <v>0</v>
      </c>
      <c r="EC135" s="123">
        <v>1</v>
      </c>
      <c r="ED135" s="123">
        <v>276.29998779296875</v>
      </c>
      <c r="EE135" s="129">
        <v>1</v>
      </c>
      <c r="EF135" s="129">
        <v>1</v>
      </c>
      <c r="EG135" s="129">
        <v>1.0166666666666666</v>
      </c>
      <c r="EH135" t="s">
        <v>430</v>
      </c>
    </row>
    <row r="136" spans="1:138" x14ac:dyDescent="0.3">
      <c r="A136" s="226">
        <f t="shared" si="6"/>
        <v>46020.091666666965</v>
      </c>
      <c r="B136" s="123">
        <v>248</v>
      </c>
      <c r="C136" s="123">
        <v>46.708999633789063</v>
      </c>
      <c r="D136" s="123">
        <v>104.04900360107422</v>
      </c>
      <c r="E136" s="123">
        <v>17.530000686645508</v>
      </c>
      <c r="F136" s="123">
        <v>0</v>
      </c>
      <c r="G136" s="124">
        <v>17.756000518798828</v>
      </c>
      <c r="H136" s="125">
        <v>313</v>
      </c>
      <c r="I136" s="123">
        <v>284</v>
      </c>
      <c r="J136" s="123">
        <v>64.5780029296875</v>
      </c>
      <c r="K136" s="123">
        <v>67.854301452636719</v>
      </c>
      <c r="L136" s="123">
        <v>46.298999786376953</v>
      </c>
      <c r="M136" s="123">
        <v>12.21399974822998</v>
      </c>
      <c r="N136" s="123">
        <v>18.066999435424805</v>
      </c>
      <c r="O136" s="123">
        <v>19</v>
      </c>
      <c r="P136" s="123">
        <v>0</v>
      </c>
      <c r="Q136" s="123">
        <v>20.72242546081543</v>
      </c>
      <c r="R136" s="123">
        <v>10.996874809265137</v>
      </c>
      <c r="S136" s="123">
        <v>10.949306488037109</v>
      </c>
      <c r="T136" s="123">
        <v>9</v>
      </c>
      <c r="U136" s="123">
        <v>9</v>
      </c>
      <c r="V136" s="125">
        <v>928</v>
      </c>
      <c r="W136" s="123">
        <v>27.089239120483398</v>
      </c>
      <c r="X136" s="123">
        <v>28.27400016784668</v>
      </c>
      <c r="Y136" s="123">
        <v>7.6339998245239258</v>
      </c>
      <c r="Z136" s="123">
        <v>0</v>
      </c>
      <c r="AA136" s="123">
        <v>23.97599983215332</v>
      </c>
      <c r="AB136" s="123">
        <v>0</v>
      </c>
      <c r="AC136" s="123">
        <v>57.879722595214844</v>
      </c>
      <c r="AD136" s="123">
        <v>6.1069998741149902</v>
      </c>
      <c r="AE136" s="123">
        <v>0</v>
      </c>
      <c r="AF136" s="123">
        <v>85.75408935546875</v>
      </c>
      <c r="AG136" s="123">
        <v>0</v>
      </c>
      <c r="AH136" s="123">
        <v>65.502189636230469</v>
      </c>
      <c r="AI136" s="123">
        <v>14.059000015258789</v>
      </c>
      <c r="AJ136" s="123">
        <v>20.873615264892578</v>
      </c>
      <c r="AK136" s="123">
        <v>47.386459350585938</v>
      </c>
      <c r="AL136" s="123">
        <v>40.290000915527344</v>
      </c>
      <c r="AM136" s="126">
        <v>56.428001403808594</v>
      </c>
      <c r="AN136" s="125">
        <v>131.3125</v>
      </c>
      <c r="AO136" s="127">
        <v>70</v>
      </c>
      <c r="AP136" s="123">
        <v>66.743095397949219</v>
      </c>
      <c r="AQ136" s="123">
        <v>44.929153442382813</v>
      </c>
      <c r="AR136" s="123">
        <v>86</v>
      </c>
      <c r="AS136" s="123"/>
      <c r="AT136" s="123">
        <v>123</v>
      </c>
      <c r="AU136" s="123"/>
      <c r="AV136" s="123">
        <v>70</v>
      </c>
      <c r="AW136" s="123"/>
      <c r="AX136" s="123">
        <v>30</v>
      </c>
      <c r="AY136" s="123">
        <v>33.622787475585938</v>
      </c>
      <c r="AZ136" s="123">
        <v>17</v>
      </c>
      <c r="BA136" s="123"/>
      <c r="BB136" s="123">
        <v>300</v>
      </c>
      <c r="BC136" s="123">
        <v>299.68698120117188</v>
      </c>
      <c r="BD136" s="123">
        <v>7</v>
      </c>
      <c r="BE136" s="123">
        <v>6.9250555038452148</v>
      </c>
      <c r="BF136" s="123">
        <v>30</v>
      </c>
      <c r="BG136" s="123">
        <v>10</v>
      </c>
      <c r="BH136" s="123">
        <v>11.218832015991211</v>
      </c>
      <c r="BI136" s="123"/>
      <c r="BJ136" s="108">
        <f t="shared" si="7"/>
        <v>15</v>
      </c>
      <c r="BK136" s="123">
        <v>15</v>
      </c>
      <c r="BL136" s="123">
        <v>0</v>
      </c>
      <c r="BM136" s="126"/>
      <c r="BN136" s="108">
        <f t="shared" si="8"/>
        <v>123.20000076293945</v>
      </c>
      <c r="BO136" s="108">
        <v>74</v>
      </c>
      <c r="BP136" s="108">
        <v>49.200000762939453</v>
      </c>
      <c r="BQ136" s="108">
        <v>284</v>
      </c>
      <c r="BR136" s="123">
        <v>75.775001525878906</v>
      </c>
      <c r="BS136" s="123">
        <v>24.683000564575195</v>
      </c>
      <c r="BT136" s="123">
        <v>42.948001861572266</v>
      </c>
      <c r="BU136" s="123">
        <v>38.361000061035156</v>
      </c>
      <c r="BV136" s="123">
        <v>69.199996948242188</v>
      </c>
      <c r="BW136" s="123">
        <v>6.3000001907348633</v>
      </c>
      <c r="BX136" s="123">
        <v>13.5</v>
      </c>
      <c r="BY136" s="123">
        <v>28</v>
      </c>
      <c r="BZ136" s="123">
        <v>1.3684563338756561E-2</v>
      </c>
      <c r="CA136" s="123">
        <v>1</v>
      </c>
      <c r="CB136" s="123">
        <v>29.058816909790039</v>
      </c>
      <c r="CC136" s="126"/>
      <c r="CD136" s="123">
        <v>389.78390502929688</v>
      </c>
      <c r="CE136" s="123">
        <v>68.255233764648438</v>
      </c>
      <c r="CF136" s="123">
        <v>23.511642456054688</v>
      </c>
      <c r="CG136" s="123">
        <v>35.338191986083984</v>
      </c>
      <c r="CH136" s="123">
        <v>286.39535522460938</v>
      </c>
      <c r="CI136" s="123">
        <v>88.175949096679688</v>
      </c>
      <c r="CJ136" s="123">
        <v>40.305690765380859</v>
      </c>
      <c r="CK136" s="123">
        <v>51.982036590576172</v>
      </c>
      <c r="CL136" s="124">
        <v>35.495983123779297</v>
      </c>
      <c r="CM136" s="125">
        <v>228.16325378417969</v>
      </c>
      <c r="CN136" s="123">
        <v>75.986106872558594</v>
      </c>
      <c r="CO136" s="123">
        <v>74.713981628417969</v>
      </c>
      <c r="CP136" s="123">
        <v>72.977272033691406</v>
      </c>
      <c r="CQ136" s="123">
        <v>0</v>
      </c>
      <c r="CR136" s="123">
        <v>52.929752349853516</v>
      </c>
      <c r="CS136" s="123">
        <v>10.407005310058594</v>
      </c>
      <c r="CT136" s="123">
        <v>36.95184326171875</v>
      </c>
      <c r="CU136" s="123">
        <v>50.416877746582031</v>
      </c>
      <c r="CV136" s="124">
        <v>75.095237731933594</v>
      </c>
      <c r="CW136" s="125">
        <v>3</v>
      </c>
      <c r="CX136" s="123">
        <v>387</v>
      </c>
      <c r="CY136" s="123">
        <v>169.4954833984375</v>
      </c>
      <c r="CZ136" s="123">
        <v>53.153251647949219</v>
      </c>
      <c r="DA136" s="123">
        <v>21.686967849731445</v>
      </c>
      <c r="DB136" s="123">
        <v>34.031330108642578</v>
      </c>
      <c r="DC136" s="123">
        <v>81.617446899414063</v>
      </c>
      <c r="DD136" s="123">
        <v>73</v>
      </c>
      <c r="DE136" s="123">
        <v>184</v>
      </c>
      <c r="DF136" s="123">
        <v>114.83565521240234</v>
      </c>
      <c r="DG136" s="123">
        <v>79.709831237792969</v>
      </c>
      <c r="DH136" s="123">
        <v>55.402179718017578</v>
      </c>
      <c r="DI136" s="128">
        <v>39.902919769287109</v>
      </c>
      <c r="DJ136" s="127">
        <v>214</v>
      </c>
      <c r="DK136" s="123">
        <v>115.52799987792969</v>
      </c>
      <c r="DL136" s="123">
        <v>27.368999481201172</v>
      </c>
      <c r="DM136" s="123">
        <v>26.860000610351563</v>
      </c>
      <c r="DN136" s="123">
        <v>52.484001159667969</v>
      </c>
      <c r="DO136" s="124">
        <v>114.13496398925781</v>
      </c>
      <c r="DP136" s="125">
        <v>16.680999755859375</v>
      </c>
      <c r="DQ136" s="123"/>
      <c r="DR136" s="125">
        <v>0</v>
      </c>
      <c r="DS136" s="128">
        <v>34.5</v>
      </c>
      <c r="DT136" s="127">
        <v>12</v>
      </c>
      <c r="DU136" s="123"/>
      <c r="DV136" s="123">
        <v>168</v>
      </c>
      <c r="DW136" s="123">
        <v>161.9732666015625</v>
      </c>
      <c r="DX136" s="125">
        <v>10</v>
      </c>
      <c r="DY136" s="128"/>
      <c r="DZ136" s="127">
        <v>45</v>
      </c>
      <c r="EA136" s="123">
        <v>3</v>
      </c>
      <c r="EB136" s="123">
        <v>0</v>
      </c>
      <c r="EC136" s="123">
        <v>1</v>
      </c>
      <c r="ED136" s="123">
        <v>275.5</v>
      </c>
      <c r="EE136" s="129">
        <v>222.80000305175781</v>
      </c>
      <c r="EF136" s="129">
        <v>224.41666666666666</v>
      </c>
      <c r="EG136" s="129">
        <v>228.03666687011719</v>
      </c>
      <c r="EH136" t="s">
        <v>717</v>
      </c>
    </row>
    <row r="137" spans="1:138" x14ac:dyDescent="0.3">
      <c r="A137" s="226">
        <f t="shared" si="6"/>
        <v>46020.092361111412</v>
      </c>
      <c r="B137" s="123">
        <v>244</v>
      </c>
      <c r="C137" s="123">
        <v>51.006000518798828</v>
      </c>
      <c r="D137" s="123">
        <v>103.93599700927734</v>
      </c>
      <c r="E137" s="123">
        <v>15.833000183105469</v>
      </c>
      <c r="F137" s="123">
        <v>11.507024765014648</v>
      </c>
      <c r="G137" s="124">
        <v>17.076999664306641</v>
      </c>
      <c r="H137" s="125">
        <v>317</v>
      </c>
      <c r="I137" s="123">
        <v>283</v>
      </c>
      <c r="J137" s="123">
        <v>62.881999969482422</v>
      </c>
      <c r="K137" s="123">
        <v>66.646881103515625</v>
      </c>
      <c r="L137" s="123">
        <v>46.828998565673828</v>
      </c>
      <c r="M137" s="123">
        <v>12.21399974822998</v>
      </c>
      <c r="N137" s="123">
        <v>17.684999465942383</v>
      </c>
      <c r="O137" s="123">
        <v>19</v>
      </c>
      <c r="P137" s="123">
        <v>0</v>
      </c>
      <c r="Q137" s="123">
        <v>19.065029144287109</v>
      </c>
      <c r="R137" s="123">
        <v>10.996874809265137</v>
      </c>
      <c r="S137" s="123">
        <v>10.20087718963623</v>
      </c>
      <c r="T137" s="123">
        <v>0</v>
      </c>
      <c r="U137" s="123">
        <v>0</v>
      </c>
      <c r="V137" s="125">
        <v>931</v>
      </c>
      <c r="W137" s="123">
        <v>26.764286041259766</v>
      </c>
      <c r="X137" s="123">
        <v>27.594999313354492</v>
      </c>
      <c r="Y137" s="123">
        <v>7.7610001564025879</v>
      </c>
      <c r="Z137" s="123">
        <v>0</v>
      </c>
      <c r="AA137" s="123">
        <v>24.767999649047852</v>
      </c>
      <c r="AB137" s="123">
        <v>0</v>
      </c>
      <c r="AC137" s="123">
        <v>56.455013275146484</v>
      </c>
      <c r="AD137" s="123">
        <v>6.3610000610351563</v>
      </c>
      <c r="AE137" s="123">
        <v>0</v>
      </c>
      <c r="AF137" s="123">
        <v>84.297592163085938</v>
      </c>
      <c r="AG137" s="123">
        <v>0</v>
      </c>
      <c r="AH137" s="123">
        <v>65.189216613769531</v>
      </c>
      <c r="AI137" s="123">
        <v>15.140000343322754</v>
      </c>
      <c r="AJ137" s="123">
        <v>22.101211547851563</v>
      </c>
      <c r="AK137" s="123">
        <v>46.772842407226563</v>
      </c>
      <c r="AL137" s="123">
        <v>36.932998657226563</v>
      </c>
      <c r="AM137" s="126">
        <v>54.773998260498047</v>
      </c>
      <c r="AN137" s="125">
        <v>129.5625</v>
      </c>
      <c r="AO137" s="127">
        <v>69</v>
      </c>
      <c r="AP137" s="123">
        <v>65.937973022460938</v>
      </c>
      <c r="AQ137" s="123">
        <v>44.081165313720703</v>
      </c>
      <c r="AR137" s="123">
        <v>87</v>
      </c>
      <c r="AS137" s="123"/>
      <c r="AT137" s="123">
        <v>123</v>
      </c>
      <c r="AU137" s="123"/>
      <c r="AV137" s="123">
        <v>71</v>
      </c>
      <c r="AW137" s="123"/>
      <c r="AX137" s="123">
        <v>30</v>
      </c>
      <c r="AY137" s="123">
        <v>33.713642120361328</v>
      </c>
      <c r="AZ137" s="123">
        <v>17</v>
      </c>
      <c r="BA137" s="123"/>
      <c r="BB137" s="123">
        <v>299</v>
      </c>
      <c r="BC137" s="123">
        <v>299.35260009765625</v>
      </c>
      <c r="BD137" s="123">
        <v>6.9000000953674316</v>
      </c>
      <c r="BE137" s="123">
        <v>6.9169731140136719</v>
      </c>
      <c r="BF137" s="123">
        <v>31</v>
      </c>
      <c r="BG137" s="123">
        <v>10</v>
      </c>
      <c r="BH137" s="123">
        <v>11.15001106262207</v>
      </c>
      <c r="BI137" s="123"/>
      <c r="BJ137" s="108">
        <f t="shared" si="7"/>
        <v>15</v>
      </c>
      <c r="BK137" s="123">
        <v>15</v>
      </c>
      <c r="BL137" s="123">
        <v>0</v>
      </c>
      <c r="BM137" s="126"/>
      <c r="BN137" s="108">
        <f t="shared" si="8"/>
        <v>121.20000076293945</v>
      </c>
      <c r="BO137" s="108">
        <v>72</v>
      </c>
      <c r="BP137" s="108">
        <v>49.200000762939453</v>
      </c>
      <c r="BQ137" s="108">
        <v>282</v>
      </c>
      <c r="BR137" s="123">
        <v>76.566001892089844</v>
      </c>
      <c r="BS137" s="123">
        <v>24.429000854492188</v>
      </c>
      <c r="BT137" s="123">
        <v>41.562999725341797</v>
      </c>
      <c r="BU137" s="123">
        <v>38.615001678466797</v>
      </c>
      <c r="BV137" s="123">
        <v>68.199996948242188</v>
      </c>
      <c r="BW137" s="123">
        <v>6.5</v>
      </c>
      <c r="BX137" s="123">
        <v>13.5</v>
      </c>
      <c r="BY137" s="123">
        <v>28</v>
      </c>
      <c r="BZ137" s="123">
        <v>1.3684563338756561E-2</v>
      </c>
      <c r="CA137" s="123">
        <v>1</v>
      </c>
      <c r="CB137" s="123">
        <v>29.015153884887695</v>
      </c>
      <c r="CC137" s="126"/>
      <c r="CD137" s="123">
        <v>394.283935546875</v>
      </c>
      <c r="CE137" s="123">
        <v>65.868278503417969</v>
      </c>
      <c r="CF137" s="123">
        <v>23.494146347045898</v>
      </c>
      <c r="CG137" s="123">
        <v>35.338191986083984</v>
      </c>
      <c r="CH137" s="123">
        <v>286.69509887695313</v>
      </c>
      <c r="CI137" s="123">
        <v>87.796958923339844</v>
      </c>
      <c r="CJ137" s="123">
        <v>38.401374816894531</v>
      </c>
      <c r="CK137" s="123">
        <v>51.198314666748047</v>
      </c>
      <c r="CL137" s="124">
        <v>37.583610534667969</v>
      </c>
      <c r="CM137" s="125">
        <v>225.62959289550781</v>
      </c>
      <c r="CN137" s="123">
        <v>72.85540771484375</v>
      </c>
      <c r="CO137" s="123">
        <v>76.35589599609375</v>
      </c>
      <c r="CP137" s="123">
        <v>72.214454650878906</v>
      </c>
      <c r="CQ137" s="123">
        <v>0</v>
      </c>
      <c r="CR137" s="123">
        <v>54.708240509033203</v>
      </c>
      <c r="CS137" s="123">
        <v>10.407005310058594</v>
      </c>
      <c r="CT137" s="123">
        <v>35.878787994384766</v>
      </c>
      <c r="CU137" s="123">
        <v>51.383480072021484</v>
      </c>
      <c r="CV137" s="124">
        <v>70.213516235351563</v>
      </c>
      <c r="CW137" s="125">
        <v>3</v>
      </c>
      <c r="CX137" s="123">
        <v>321</v>
      </c>
      <c r="CY137" s="123">
        <v>116.28899383544922</v>
      </c>
      <c r="CZ137" s="123">
        <v>51.953105926513672</v>
      </c>
      <c r="DA137" s="123">
        <v>21.638677597045898</v>
      </c>
      <c r="DB137" s="123">
        <v>34.158470153808594</v>
      </c>
      <c r="DC137" s="123">
        <v>81.864273071289063</v>
      </c>
      <c r="DD137" s="123">
        <v>71</v>
      </c>
      <c r="DE137" s="123">
        <v>184</v>
      </c>
      <c r="DF137" s="123">
        <v>113.01181793212891</v>
      </c>
      <c r="DG137" s="123">
        <v>76.593666076660156</v>
      </c>
      <c r="DH137" s="123">
        <v>53.287010192871094</v>
      </c>
      <c r="DI137" s="128">
        <v>39.850063323974609</v>
      </c>
      <c r="DJ137" s="127">
        <v>214</v>
      </c>
      <c r="DK137" s="123">
        <v>113.49299621582031</v>
      </c>
      <c r="DL137" s="123">
        <v>25.445999145507813</v>
      </c>
      <c r="DM137" s="123">
        <v>29.86400032043457</v>
      </c>
      <c r="DN137" s="123">
        <v>51.599998474121094</v>
      </c>
      <c r="DO137" s="124">
        <v>116.11972045898438</v>
      </c>
      <c r="DP137" s="125">
        <v>15.494000434875488</v>
      </c>
      <c r="DQ137" s="123"/>
      <c r="DR137" s="125">
        <v>0</v>
      </c>
      <c r="DS137" s="128">
        <v>35</v>
      </c>
      <c r="DT137" s="127">
        <v>12</v>
      </c>
      <c r="DU137" s="123"/>
      <c r="DV137" s="123">
        <v>170</v>
      </c>
      <c r="DW137" s="123">
        <v>162.23770141601563</v>
      </c>
      <c r="DX137" s="125">
        <v>11</v>
      </c>
      <c r="DY137" s="128"/>
      <c r="DZ137" s="127">
        <v>47</v>
      </c>
      <c r="EA137" s="123">
        <v>3</v>
      </c>
      <c r="EB137" s="123">
        <v>0</v>
      </c>
      <c r="EC137" s="123">
        <v>1</v>
      </c>
      <c r="ED137" s="123">
        <v>267.79998779296875</v>
      </c>
      <c r="EE137" s="129"/>
      <c r="EF137" s="129"/>
      <c r="EG137" s="129"/>
    </row>
    <row r="138" spans="1:138" x14ac:dyDescent="0.3">
      <c r="A138" s="226">
        <f t="shared" si="6"/>
        <v>46020.093055555859</v>
      </c>
      <c r="B138" s="123">
        <v>240</v>
      </c>
      <c r="C138" s="123">
        <v>51.910999298095703</v>
      </c>
      <c r="D138" s="123">
        <v>104.50099945068359</v>
      </c>
      <c r="E138" s="123">
        <v>15.720000267028809</v>
      </c>
      <c r="F138" s="123">
        <v>5.8581819534301758</v>
      </c>
      <c r="G138" s="124">
        <v>16.964000701904297</v>
      </c>
      <c r="H138" s="125">
        <v>318</v>
      </c>
      <c r="I138" s="123">
        <v>280</v>
      </c>
      <c r="J138" s="123">
        <v>63.898998260498047</v>
      </c>
      <c r="K138" s="123">
        <v>68.093589782714844</v>
      </c>
      <c r="L138" s="123">
        <v>45.415000915527344</v>
      </c>
      <c r="M138" s="123">
        <v>12.21399974822998</v>
      </c>
      <c r="N138" s="123">
        <v>18.194000244140625</v>
      </c>
      <c r="O138" s="123">
        <v>19</v>
      </c>
      <c r="P138" s="123">
        <v>0</v>
      </c>
      <c r="Q138" s="123">
        <v>20.303983688354492</v>
      </c>
      <c r="R138" s="123">
        <v>10.996874809265137</v>
      </c>
      <c r="S138" s="123">
        <v>11.70467472076416</v>
      </c>
      <c r="T138" s="123">
        <v>0</v>
      </c>
      <c r="U138" s="123">
        <v>0</v>
      </c>
      <c r="V138" s="125">
        <v>940</v>
      </c>
      <c r="W138" s="123">
        <v>28.211874008178711</v>
      </c>
      <c r="X138" s="123">
        <v>27.594999313354492</v>
      </c>
      <c r="Y138" s="123">
        <v>7.5060000419616699</v>
      </c>
      <c r="Z138" s="123">
        <v>0</v>
      </c>
      <c r="AA138" s="123">
        <v>24.201999664306641</v>
      </c>
      <c r="AB138" s="123">
        <v>0</v>
      </c>
      <c r="AC138" s="123">
        <v>57.021617889404297</v>
      </c>
      <c r="AD138" s="123">
        <v>6.1069998741149902</v>
      </c>
      <c r="AE138" s="123">
        <v>0</v>
      </c>
      <c r="AF138" s="123">
        <v>85.026504516601563</v>
      </c>
      <c r="AG138" s="123">
        <v>0</v>
      </c>
      <c r="AH138" s="123">
        <v>65.462959289550781</v>
      </c>
      <c r="AI138" s="123">
        <v>14.503999710083008</v>
      </c>
      <c r="AJ138" s="123">
        <v>20.025251388549805</v>
      </c>
      <c r="AK138" s="123">
        <v>46.379955291748047</v>
      </c>
      <c r="AL138" s="123">
        <v>41.527000427246094</v>
      </c>
      <c r="AM138" s="126">
        <v>57.381999969482422</v>
      </c>
      <c r="AN138" s="125">
        <v>125.4375</v>
      </c>
      <c r="AO138" s="127">
        <v>64</v>
      </c>
      <c r="AP138" s="123">
        <v>65.639381408691406</v>
      </c>
      <c r="AQ138" s="123">
        <v>39.329113006591797</v>
      </c>
      <c r="AR138" s="123">
        <v>83</v>
      </c>
      <c r="AS138" s="123"/>
      <c r="AT138" s="123">
        <v>123</v>
      </c>
      <c r="AU138" s="123"/>
      <c r="AV138" s="123">
        <v>72</v>
      </c>
      <c r="AW138" s="123"/>
      <c r="AX138" s="123">
        <v>30</v>
      </c>
      <c r="AY138" s="123">
        <v>33.290836334228516</v>
      </c>
      <c r="AZ138" s="123">
        <v>17</v>
      </c>
      <c r="BA138" s="123"/>
      <c r="BB138" s="123">
        <v>300</v>
      </c>
      <c r="BC138" s="123">
        <v>302.48208618164063</v>
      </c>
      <c r="BD138" s="123">
        <v>6.9000000953674316</v>
      </c>
      <c r="BE138" s="123">
        <v>6.9256019592285156</v>
      </c>
      <c r="BF138" s="123">
        <v>31</v>
      </c>
      <c r="BG138" s="123">
        <v>10</v>
      </c>
      <c r="BH138" s="123">
        <v>11.1416015625</v>
      </c>
      <c r="BI138" s="123"/>
      <c r="BJ138" s="108">
        <f t="shared" si="7"/>
        <v>15</v>
      </c>
      <c r="BK138" s="123">
        <v>15</v>
      </c>
      <c r="BL138" s="123">
        <v>0</v>
      </c>
      <c r="BM138" s="126"/>
      <c r="BN138" s="108">
        <f t="shared" si="8"/>
        <v>122</v>
      </c>
      <c r="BO138" s="108">
        <v>74</v>
      </c>
      <c r="BP138" s="108">
        <v>48</v>
      </c>
      <c r="BQ138" s="108">
        <v>282</v>
      </c>
      <c r="BR138" s="123">
        <v>78.488998413085938</v>
      </c>
      <c r="BS138" s="123">
        <v>24.937000274658203</v>
      </c>
      <c r="BT138" s="123">
        <v>45.0260009765625</v>
      </c>
      <c r="BU138" s="123">
        <v>39.569000244140625</v>
      </c>
      <c r="BV138" s="123">
        <v>68.5</v>
      </c>
      <c r="BW138" s="123">
        <v>6.3000001907348633</v>
      </c>
      <c r="BX138" s="123">
        <v>13.5</v>
      </c>
      <c r="BY138" s="123">
        <v>28</v>
      </c>
      <c r="BZ138" s="123">
        <v>1.4651142992079258E-2</v>
      </c>
      <c r="CA138" s="123">
        <v>1</v>
      </c>
      <c r="CB138" s="123">
        <v>29.015153884887695</v>
      </c>
      <c r="CC138" s="126"/>
      <c r="CD138" s="123">
        <v>392.58282470703125</v>
      </c>
      <c r="CE138" s="123">
        <v>66.533256530761719</v>
      </c>
      <c r="CF138" s="123">
        <v>22.925895690917969</v>
      </c>
      <c r="CG138" s="123">
        <v>35.338191986083984</v>
      </c>
      <c r="CH138" s="123">
        <v>286.69509887695313</v>
      </c>
      <c r="CI138" s="123">
        <v>87.337249755859375</v>
      </c>
      <c r="CJ138" s="123">
        <v>38.704921722412109</v>
      </c>
      <c r="CK138" s="123">
        <v>50.935714721679688</v>
      </c>
      <c r="CL138" s="124">
        <v>37.95428466796875</v>
      </c>
      <c r="CM138" s="125">
        <v>226.1937255859375</v>
      </c>
      <c r="CN138" s="123">
        <v>74.209663391113281</v>
      </c>
      <c r="CO138" s="123">
        <v>75.580657958984375</v>
      </c>
      <c r="CP138" s="123">
        <v>74.541069030761719</v>
      </c>
      <c r="CQ138" s="123">
        <v>0</v>
      </c>
      <c r="CR138" s="123">
        <v>53.27764892578125</v>
      </c>
      <c r="CS138" s="123">
        <v>11.092931747436523</v>
      </c>
      <c r="CT138" s="123">
        <v>36.256183624267578</v>
      </c>
      <c r="CU138" s="123">
        <v>47.152236938476563</v>
      </c>
      <c r="CV138" s="124">
        <v>68.809288024902344</v>
      </c>
      <c r="CW138" s="125">
        <v>2</v>
      </c>
      <c r="CX138" s="123">
        <v>345</v>
      </c>
      <c r="CY138" s="123">
        <v>128.841796875</v>
      </c>
      <c r="CZ138" s="123">
        <v>53.294731140136719</v>
      </c>
      <c r="DA138" s="123">
        <v>22.454713821411133</v>
      </c>
      <c r="DB138" s="123">
        <v>34.633285522460938</v>
      </c>
      <c r="DC138" s="123">
        <v>83.502403259277344</v>
      </c>
      <c r="DD138" s="123">
        <v>73</v>
      </c>
      <c r="DE138" s="123">
        <v>183</v>
      </c>
      <c r="DF138" s="123">
        <v>111.97248840332031</v>
      </c>
      <c r="DG138" s="123">
        <v>76.622322082519531</v>
      </c>
      <c r="DH138" s="123">
        <v>54.743839263916016</v>
      </c>
      <c r="DI138" s="128">
        <v>39.260959625244141</v>
      </c>
      <c r="DJ138" s="127">
        <v>213</v>
      </c>
      <c r="DK138" s="123">
        <v>112.22000122070313</v>
      </c>
      <c r="DL138" s="123">
        <v>24.201999664306641</v>
      </c>
      <c r="DM138" s="123">
        <v>29.156999588012695</v>
      </c>
      <c r="DN138" s="123">
        <v>51.247001647949219</v>
      </c>
      <c r="DO138" s="124">
        <v>113.87649536132813</v>
      </c>
      <c r="DP138" s="125">
        <v>15.494000434875488</v>
      </c>
      <c r="DQ138" s="123"/>
      <c r="DR138" s="125">
        <v>0</v>
      </c>
      <c r="DS138" s="128">
        <v>34.900001525878906</v>
      </c>
      <c r="DT138" s="127">
        <v>13</v>
      </c>
      <c r="DU138" s="123"/>
      <c r="DV138" s="123">
        <v>168</v>
      </c>
      <c r="DW138" s="123">
        <v>161.30322265625</v>
      </c>
      <c r="DX138" s="125">
        <v>10</v>
      </c>
      <c r="DY138" s="128"/>
      <c r="DZ138" s="127">
        <v>47</v>
      </c>
      <c r="EA138" s="123">
        <v>3</v>
      </c>
      <c r="EB138" s="123">
        <v>0</v>
      </c>
      <c r="EC138" s="123">
        <v>1</v>
      </c>
      <c r="ED138" s="123">
        <v>271</v>
      </c>
      <c r="EE138" s="129"/>
      <c r="EF138" s="129"/>
      <c r="EG138" s="129"/>
    </row>
    <row r="139" spans="1:138" x14ac:dyDescent="0.3">
      <c r="A139" s="226">
        <f t="shared" si="6"/>
        <v>46020.093750000306</v>
      </c>
      <c r="B139" s="123">
        <v>244</v>
      </c>
      <c r="C139" s="123">
        <v>50.215000152587891</v>
      </c>
      <c r="D139" s="123">
        <v>103.822998046875</v>
      </c>
      <c r="E139" s="123">
        <v>16.625</v>
      </c>
      <c r="F139" s="123">
        <v>0</v>
      </c>
      <c r="G139" s="124">
        <v>17.982000350952148</v>
      </c>
      <c r="H139" s="125">
        <v>310</v>
      </c>
      <c r="I139" s="123">
        <v>278</v>
      </c>
      <c r="J139" s="123">
        <v>62.881999969482422</v>
      </c>
      <c r="K139" s="123">
        <v>68.819091796875</v>
      </c>
      <c r="L139" s="123">
        <v>44.532001495361328</v>
      </c>
      <c r="M139" s="123">
        <v>13.005999565124512</v>
      </c>
      <c r="N139" s="123">
        <v>17.558000564575195</v>
      </c>
      <c r="O139" s="123">
        <v>19</v>
      </c>
      <c r="P139" s="123">
        <v>0</v>
      </c>
      <c r="Q139" s="123">
        <v>20.303983688354492</v>
      </c>
      <c r="R139" s="123">
        <v>12</v>
      </c>
      <c r="S139" s="123">
        <v>10.208863258361816</v>
      </c>
      <c r="T139" s="123">
        <v>0</v>
      </c>
      <c r="U139" s="123">
        <v>0</v>
      </c>
      <c r="V139" s="125">
        <v>943</v>
      </c>
      <c r="W139" s="123">
        <v>29.009363174438477</v>
      </c>
      <c r="X139" s="123">
        <v>27.256000518798828</v>
      </c>
      <c r="Y139" s="123">
        <v>7.4429998397827148</v>
      </c>
      <c r="Z139" s="123">
        <v>0</v>
      </c>
      <c r="AA139" s="123">
        <v>24.429000854492188</v>
      </c>
      <c r="AB139" s="123">
        <v>0</v>
      </c>
      <c r="AC139" s="123">
        <v>56.90093994140625</v>
      </c>
      <c r="AD139" s="123">
        <v>6.3610000610351563</v>
      </c>
      <c r="AE139" s="123">
        <v>0</v>
      </c>
      <c r="AF139" s="123">
        <v>85.170417785644531</v>
      </c>
      <c r="AG139" s="123">
        <v>0</v>
      </c>
      <c r="AH139" s="123">
        <v>66.08258056640625</v>
      </c>
      <c r="AI139" s="123">
        <v>12.659000396728516</v>
      </c>
      <c r="AJ139" s="123">
        <v>21.357601165771484</v>
      </c>
      <c r="AK139" s="123">
        <v>47.252548217773438</v>
      </c>
      <c r="AL139" s="123">
        <v>40.997001647949219</v>
      </c>
      <c r="AM139" s="126">
        <v>55.409999847412109</v>
      </c>
      <c r="AN139" s="125">
        <v>124.25</v>
      </c>
      <c r="AO139" s="127">
        <v>64</v>
      </c>
      <c r="AP139" s="123">
        <v>65.889564514160156</v>
      </c>
      <c r="AQ139" s="123">
        <v>37.948379516601563</v>
      </c>
      <c r="AR139" s="123">
        <v>83</v>
      </c>
      <c r="AS139" s="123"/>
      <c r="AT139" s="123">
        <v>123</v>
      </c>
      <c r="AU139" s="123"/>
      <c r="AV139" s="123">
        <v>73</v>
      </c>
      <c r="AW139" s="123"/>
      <c r="AX139" s="123">
        <v>32</v>
      </c>
      <c r="AY139" s="123">
        <v>33.954635620117188</v>
      </c>
      <c r="AZ139" s="123">
        <v>17</v>
      </c>
      <c r="BA139" s="123"/>
      <c r="BB139" s="123">
        <v>299</v>
      </c>
      <c r="BC139" s="123">
        <v>301.76168823242188</v>
      </c>
      <c r="BD139" s="123">
        <v>6.9000000953674316</v>
      </c>
      <c r="BE139" s="123">
        <v>6.9439196586608887</v>
      </c>
      <c r="BF139" s="123">
        <v>31</v>
      </c>
      <c r="BG139" s="123">
        <v>10</v>
      </c>
      <c r="BH139" s="123">
        <v>11.159711837768555</v>
      </c>
      <c r="BI139" s="123"/>
      <c r="BJ139" s="108">
        <f t="shared" si="7"/>
        <v>14</v>
      </c>
      <c r="BK139" s="123">
        <v>14</v>
      </c>
      <c r="BL139" s="123">
        <v>0</v>
      </c>
      <c r="BM139" s="126"/>
      <c r="BN139" s="108">
        <f t="shared" si="8"/>
        <v>122</v>
      </c>
      <c r="BO139" s="108">
        <v>73</v>
      </c>
      <c r="BP139" s="108">
        <v>49</v>
      </c>
      <c r="BQ139" s="108">
        <v>279</v>
      </c>
      <c r="BR139" s="123">
        <v>75.208999633789063</v>
      </c>
      <c r="BS139" s="123">
        <v>24.683000564575195</v>
      </c>
      <c r="BT139" s="123">
        <v>40.869998931884766</v>
      </c>
      <c r="BU139" s="123">
        <v>38.551998138427734</v>
      </c>
      <c r="BV139" s="123">
        <v>69.800003051757813</v>
      </c>
      <c r="BW139" s="123">
        <v>6.3000001907348633</v>
      </c>
      <c r="BX139" s="123">
        <v>13.600000381469727</v>
      </c>
      <c r="BY139" s="123">
        <v>27</v>
      </c>
      <c r="BZ139" s="123">
        <v>1.4164959080517292E-2</v>
      </c>
      <c r="CA139" s="123">
        <v>1</v>
      </c>
      <c r="CB139" s="123">
        <v>29.053079605102539</v>
      </c>
      <c r="CC139" s="126"/>
      <c r="CD139" s="123">
        <v>388.46890258789063</v>
      </c>
      <c r="CE139" s="123">
        <v>67.521270751953125</v>
      </c>
      <c r="CF139" s="123">
        <v>22.949319839477539</v>
      </c>
      <c r="CG139" s="123">
        <v>35.338191986083984</v>
      </c>
      <c r="CH139" s="123">
        <v>288.64102172851563</v>
      </c>
      <c r="CI139" s="123">
        <v>87.073020935058594</v>
      </c>
      <c r="CJ139" s="123">
        <v>37.289848327636719</v>
      </c>
      <c r="CK139" s="123">
        <v>52.460300445556641</v>
      </c>
      <c r="CL139" s="124">
        <v>38.021316528320313</v>
      </c>
      <c r="CM139" s="125">
        <v>229.52320861816406</v>
      </c>
      <c r="CN139" s="123">
        <v>75.125160217285156</v>
      </c>
      <c r="CO139" s="123">
        <v>74.906684875488281</v>
      </c>
      <c r="CP139" s="123">
        <v>76.115226745605469</v>
      </c>
      <c r="CQ139" s="123">
        <v>0</v>
      </c>
      <c r="CR139" s="123">
        <v>51.913604736328125</v>
      </c>
      <c r="CS139" s="123">
        <v>10.861447334289551</v>
      </c>
      <c r="CT139" s="123">
        <v>37.010028839111328</v>
      </c>
      <c r="CU139" s="123">
        <v>49.728790283203125</v>
      </c>
      <c r="CV139" s="124">
        <v>68.624488830566406</v>
      </c>
      <c r="CW139" s="125">
        <v>5</v>
      </c>
      <c r="CX139" s="123">
        <v>336</v>
      </c>
      <c r="CY139" s="123">
        <v>130.04296875</v>
      </c>
      <c r="CZ139" s="123">
        <v>52.030136108398438</v>
      </c>
      <c r="DA139" s="123">
        <v>22.158111572265625</v>
      </c>
      <c r="DB139" s="123">
        <v>34.997226715087891</v>
      </c>
      <c r="DC139" s="123">
        <v>83.8360595703125</v>
      </c>
      <c r="DD139" s="123">
        <v>67</v>
      </c>
      <c r="DE139" s="123">
        <v>184</v>
      </c>
      <c r="DF139" s="123">
        <v>111.59433746337891</v>
      </c>
      <c r="DG139" s="123">
        <v>77.17633056640625</v>
      </c>
      <c r="DH139" s="123">
        <v>53.685401916503906</v>
      </c>
      <c r="DI139" s="128">
        <v>37.473922729492188</v>
      </c>
      <c r="DJ139" s="127">
        <v>213</v>
      </c>
      <c r="DK139" s="123">
        <v>112.22000122070313</v>
      </c>
      <c r="DL139" s="123">
        <v>24.201999664306641</v>
      </c>
      <c r="DM139" s="123">
        <v>30.74799919128418</v>
      </c>
      <c r="DN139" s="123">
        <v>54.250999450683594</v>
      </c>
      <c r="DO139" s="124">
        <v>113.16721343994141</v>
      </c>
      <c r="DP139" s="125">
        <v>16.229000091552734</v>
      </c>
      <c r="DQ139" s="123"/>
      <c r="DR139" s="125">
        <v>0</v>
      </c>
      <c r="DS139" s="128">
        <v>34.799999237060547</v>
      </c>
      <c r="DT139" s="127">
        <v>13</v>
      </c>
      <c r="DU139" s="123"/>
      <c r="DV139" s="123">
        <v>168</v>
      </c>
      <c r="DW139" s="123">
        <v>160.704345703125</v>
      </c>
      <c r="DX139" s="125">
        <v>10</v>
      </c>
      <c r="DY139" s="128"/>
      <c r="DZ139" s="127">
        <v>46</v>
      </c>
      <c r="EA139" s="123">
        <v>3</v>
      </c>
      <c r="EB139" s="123">
        <v>0</v>
      </c>
      <c r="EC139" s="123">
        <v>1</v>
      </c>
      <c r="ED139" s="123">
        <v>265.60000610351563</v>
      </c>
      <c r="EE139" s="129"/>
      <c r="EF139" s="129"/>
      <c r="EG139" s="129"/>
    </row>
    <row r="140" spans="1:138" x14ac:dyDescent="0.3">
      <c r="A140" s="226">
        <f t="shared" si="6"/>
        <v>46020.094444444752</v>
      </c>
      <c r="B140" s="123">
        <v>245</v>
      </c>
      <c r="C140" s="123">
        <v>50.215000152587891</v>
      </c>
      <c r="D140" s="123">
        <v>102.46600341796875</v>
      </c>
      <c r="E140" s="123">
        <v>14.814999580383301</v>
      </c>
      <c r="F140" s="123">
        <v>12.523303031921387</v>
      </c>
      <c r="G140" s="124">
        <v>18.320999145507813</v>
      </c>
      <c r="H140" s="125">
        <v>310</v>
      </c>
      <c r="I140" s="123">
        <v>276</v>
      </c>
      <c r="J140" s="123">
        <v>64.01300048828125</v>
      </c>
      <c r="K140" s="123">
        <v>66.87322998046875</v>
      </c>
      <c r="L140" s="123">
        <v>46.298999786376953</v>
      </c>
      <c r="M140" s="123">
        <v>13.119000434875488</v>
      </c>
      <c r="N140" s="123">
        <v>17.430999755859375</v>
      </c>
      <c r="O140" s="123">
        <v>20</v>
      </c>
      <c r="P140" s="123">
        <v>0</v>
      </c>
      <c r="Q140" s="123">
        <v>21.32588005065918</v>
      </c>
      <c r="R140" s="123">
        <v>9</v>
      </c>
      <c r="S140" s="123">
        <v>8.8287668228149414</v>
      </c>
      <c r="T140" s="123">
        <v>0</v>
      </c>
      <c r="U140" s="123">
        <v>0</v>
      </c>
      <c r="V140" s="125">
        <v>939</v>
      </c>
      <c r="W140" s="123">
        <v>28.644525527954102</v>
      </c>
      <c r="X140" s="123">
        <v>27.142999649047852</v>
      </c>
      <c r="Y140" s="123">
        <v>7.5060000419616699</v>
      </c>
      <c r="Z140" s="123">
        <v>0</v>
      </c>
      <c r="AA140" s="123">
        <v>24.767999649047852</v>
      </c>
      <c r="AB140" s="123">
        <v>0</v>
      </c>
      <c r="AC140" s="123">
        <v>58.608043670654297</v>
      </c>
      <c r="AD140" s="123">
        <v>6.3610000610351563</v>
      </c>
      <c r="AE140" s="123">
        <v>0</v>
      </c>
      <c r="AF140" s="123">
        <v>86.063812255859375</v>
      </c>
      <c r="AG140" s="123">
        <v>0</v>
      </c>
      <c r="AH140" s="123">
        <v>67.15875244140625</v>
      </c>
      <c r="AI140" s="123">
        <v>12.786999702453613</v>
      </c>
      <c r="AJ140" s="123">
        <v>21.903326034545898</v>
      </c>
      <c r="AK140" s="123">
        <v>47.329994201660156</v>
      </c>
      <c r="AL140" s="123">
        <v>39.229999542236328</v>
      </c>
      <c r="AM140" s="126">
        <v>55.918998718261719</v>
      </c>
      <c r="AN140" s="125">
        <v>124.25</v>
      </c>
      <c r="AO140" s="127">
        <v>65</v>
      </c>
      <c r="AP140" s="123">
        <v>65.882820129394531</v>
      </c>
      <c r="AQ140" s="123">
        <v>39.114833831787109</v>
      </c>
      <c r="AR140" s="123">
        <v>88</v>
      </c>
      <c r="AS140" s="123"/>
      <c r="AT140" s="123">
        <v>123</v>
      </c>
      <c r="AU140" s="123"/>
      <c r="AV140" s="123">
        <v>80</v>
      </c>
      <c r="AW140" s="123"/>
      <c r="AX140" s="123">
        <v>31</v>
      </c>
      <c r="AY140" s="123">
        <v>33.47198486328125</v>
      </c>
      <c r="AZ140" s="123">
        <v>16</v>
      </c>
      <c r="BA140" s="123"/>
      <c r="BB140" s="123">
        <v>298</v>
      </c>
      <c r="BC140" s="123">
        <v>300.13839721679688</v>
      </c>
      <c r="BD140" s="123">
        <v>6.9000000953674316</v>
      </c>
      <c r="BE140" s="123">
        <v>6.9294142723083496</v>
      </c>
      <c r="BF140" s="123">
        <v>31</v>
      </c>
      <c r="BG140" s="123">
        <v>10</v>
      </c>
      <c r="BH140" s="123">
        <v>11.095458984375</v>
      </c>
      <c r="BI140" s="123"/>
      <c r="BJ140" s="108">
        <f t="shared" si="7"/>
        <v>14</v>
      </c>
      <c r="BK140" s="123">
        <v>14</v>
      </c>
      <c r="BL140" s="123">
        <v>0</v>
      </c>
      <c r="BM140" s="126"/>
      <c r="BN140" s="108">
        <f t="shared" si="8"/>
        <v>121</v>
      </c>
      <c r="BO140" s="108">
        <v>72</v>
      </c>
      <c r="BP140" s="108">
        <v>49</v>
      </c>
      <c r="BQ140" s="108">
        <v>283</v>
      </c>
      <c r="BR140" s="123">
        <v>79.280998229980469</v>
      </c>
      <c r="BS140" s="123">
        <v>25.191999435424805</v>
      </c>
      <c r="BT140" s="123">
        <v>41.562999725341797</v>
      </c>
      <c r="BU140" s="123">
        <v>38.615001678466797</v>
      </c>
      <c r="BV140" s="123">
        <v>69.400001525878906</v>
      </c>
      <c r="BW140" s="123">
        <v>6.4000000953674316</v>
      </c>
      <c r="BX140" s="123">
        <v>13.699999809265137</v>
      </c>
      <c r="BY140" s="123">
        <v>27</v>
      </c>
      <c r="BZ140" s="123">
        <v>1.4861802570521832E-2</v>
      </c>
      <c r="CA140" s="123">
        <v>1</v>
      </c>
      <c r="CB140" s="123">
        <v>29.053079605102539</v>
      </c>
      <c r="CC140" s="126"/>
      <c r="CD140" s="123">
        <v>356.36380004882813</v>
      </c>
      <c r="CE140" s="123">
        <v>32.985271453857422</v>
      </c>
      <c r="CF140" s="123">
        <v>22.748863220214844</v>
      </c>
      <c r="CG140" s="123">
        <v>35.338191986083984</v>
      </c>
      <c r="CH140" s="123">
        <v>288.0946044921875</v>
      </c>
      <c r="CI140" s="123">
        <v>87.468673706054688</v>
      </c>
      <c r="CJ140" s="123">
        <v>38.533435821533203</v>
      </c>
      <c r="CK140" s="123">
        <v>52.165828704833984</v>
      </c>
      <c r="CL140" s="124">
        <v>38.504505157470703</v>
      </c>
      <c r="CM140" s="125">
        <v>232.57608032226563</v>
      </c>
      <c r="CN140" s="123">
        <v>77.920333862304688</v>
      </c>
      <c r="CO140" s="123">
        <v>75.1376953125</v>
      </c>
      <c r="CP140" s="123">
        <v>75.016792297363281</v>
      </c>
      <c r="CQ140" s="123">
        <v>0</v>
      </c>
      <c r="CR140" s="123">
        <v>53.123424530029297</v>
      </c>
      <c r="CS140" s="123">
        <v>9.7919416427612305</v>
      </c>
      <c r="CT140" s="123">
        <v>36.160854339599609</v>
      </c>
      <c r="CU140" s="123">
        <v>53.147205352783203</v>
      </c>
      <c r="CV140" s="124">
        <v>68.966819763183594</v>
      </c>
      <c r="CW140" s="125">
        <v>2</v>
      </c>
      <c r="CX140" s="123">
        <v>335</v>
      </c>
      <c r="CY140" s="123">
        <v>126.68735504150391</v>
      </c>
      <c r="CZ140" s="123">
        <v>52.9398193359375</v>
      </c>
      <c r="DA140" s="123">
        <v>20.729206085205078</v>
      </c>
      <c r="DB140" s="123">
        <v>35.754634857177734</v>
      </c>
      <c r="DC140" s="123">
        <v>82.541358947753906</v>
      </c>
      <c r="DD140" s="123">
        <v>67</v>
      </c>
      <c r="DE140" s="123">
        <v>181</v>
      </c>
      <c r="DF140" s="123">
        <v>111.32538604736328</v>
      </c>
      <c r="DG140" s="123">
        <v>76.574554443359375</v>
      </c>
      <c r="DH140" s="123">
        <v>54.822364807128906</v>
      </c>
      <c r="DI140" s="128">
        <v>38.013912200927734</v>
      </c>
      <c r="DJ140" s="127">
        <v>217</v>
      </c>
      <c r="DK140" s="123">
        <v>112.72899627685547</v>
      </c>
      <c r="DL140" s="123">
        <v>25.107000350952148</v>
      </c>
      <c r="DM140" s="123">
        <v>30.74799919128418</v>
      </c>
      <c r="DN140" s="123">
        <v>52.130001068115234</v>
      </c>
      <c r="DO140" s="124">
        <v>114.29195404052734</v>
      </c>
      <c r="DP140" s="125">
        <v>16.201000213623047</v>
      </c>
      <c r="DQ140" s="123"/>
      <c r="DR140" s="125">
        <v>0</v>
      </c>
      <c r="DS140" s="128">
        <v>35.700000762939453</v>
      </c>
      <c r="DT140" s="127">
        <v>13</v>
      </c>
      <c r="DU140" s="123"/>
      <c r="DV140" s="123">
        <v>170</v>
      </c>
      <c r="DW140" s="123">
        <v>159.77316284179688</v>
      </c>
      <c r="DX140" s="125">
        <v>10</v>
      </c>
      <c r="DY140" s="128"/>
      <c r="DZ140" s="127">
        <v>46</v>
      </c>
      <c r="EA140" s="123">
        <v>3</v>
      </c>
      <c r="EB140" s="123">
        <v>0</v>
      </c>
      <c r="EC140" s="123">
        <v>1</v>
      </c>
      <c r="ED140" s="123">
        <v>266.39999389648438</v>
      </c>
      <c r="EE140" s="129"/>
      <c r="EF140" s="129"/>
      <c r="EG140" s="129"/>
    </row>
    <row r="141" spans="1:138" x14ac:dyDescent="0.3">
      <c r="A141" s="226">
        <f t="shared" si="6"/>
        <v>46020.095138889199</v>
      </c>
      <c r="B141" s="123">
        <v>246</v>
      </c>
      <c r="C141" s="123">
        <v>51.685001373291016</v>
      </c>
      <c r="D141" s="123">
        <v>103.822998046875</v>
      </c>
      <c r="E141" s="123">
        <v>15.720000267028809</v>
      </c>
      <c r="F141" s="123">
        <v>8.6949052810668945</v>
      </c>
      <c r="G141" s="124">
        <v>16.964000701904297</v>
      </c>
      <c r="H141" s="125">
        <v>314</v>
      </c>
      <c r="I141" s="123">
        <v>284</v>
      </c>
      <c r="J141" s="123">
        <v>63.446998596191406</v>
      </c>
      <c r="K141" s="123">
        <v>67.703544616699219</v>
      </c>
      <c r="L141" s="123">
        <v>44.354999542236328</v>
      </c>
      <c r="M141" s="123">
        <v>12.892999649047852</v>
      </c>
      <c r="N141" s="123">
        <v>18.320999145507813</v>
      </c>
      <c r="O141" s="123">
        <v>20</v>
      </c>
      <c r="P141" s="123">
        <v>0</v>
      </c>
      <c r="Q141" s="123">
        <v>20.920253753662109</v>
      </c>
      <c r="R141" s="123">
        <v>10.003125190734863</v>
      </c>
      <c r="S141" s="123">
        <v>9.6625804901123047</v>
      </c>
      <c r="T141" s="123">
        <v>0</v>
      </c>
      <c r="U141" s="123">
        <v>0</v>
      </c>
      <c r="V141" s="125">
        <v>936</v>
      </c>
      <c r="W141" s="123">
        <v>27.006694793701172</v>
      </c>
      <c r="X141" s="123">
        <v>27.820999145507813</v>
      </c>
      <c r="Y141" s="123">
        <v>7.9520001411437988</v>
      </c>
      <c r="Z141" s="123">
        <v>0</v>
      </c>
      <c r="AA141" s="123">
        <v>24.541999816894531</v>
      </c>
      <c r="AB141" s="123">
        <v>0</v>
      </c>
      <c r="AC141" s="123">
        <v>56.205543518066406</v>
      </c>
      <c r="AD141" s="123">
        <v>6.3610000610351563</v>
      </c>
      <c r="AE141" s="123">
        <v>0</v>
      </c>
      <c r="AF141" s="123">
        <v>85.103050231933594</v>
      </c>
      <c r="AG141" s="123">
        <v>0</v>
      </c>
      <c r="AH141" s="123">
        <v>66.273460388183594</v>
      </c>
      <c r="AI141" s="123">
        <v>15.331000328063965</v>
      </c>
      <c r="AJ141" s="123">
        <v>21.903326034545898</v>
      </c>
      <c r="AK141" s="123">
        <v>46.871227264404297</v>
      </c>
      <c r="AL141" s="123">
        <v>37.993000030517578</v>
      </c>
      <c r="AM141" s="126">
        <v>54.773998260498047</v>
      </c>
      <c r="AN141" s="125">
        <v>126.0625</v>
      </c>
      <c r="AO141" s="127">
        <v>66</v>
      </c>
      <c r="AP141" s="123">
        <v>65.882820129394531</v>
      </c>
      <c r="AQ141" s="123">
        <v>39.135841369628906</v>
      </c>
      <c r="AR141" s="123">
        <v>85</v>
      </c>
      <c r="AS141" s="123"/>
      <c r="AT141" s="123">
        <v>122</v>
      </c>
      <c r="AU141" s="123"/>
      <c r="AV141" s="123">
        <v>80</v>
      </c>
      <c r="AW141" s="123"/>
      <c r="AX141" s="123">
        <v>30</v>
      </c>
      <c r="AY141" s="123">
        <v>33.673744201660156</v>
      </c>
      <c r="AZ141" s="123">
        <v>17</v>
      </c>
      <c r="BA141" s="123"/>
      <c r="BB141" s="123">
        <v>297</v>
      </c>
      <c r="BC141" s="123">
        <v>301.17950439453125</v>
      </c>
      <c r="BD141" s="123">
        <v>6.9000000953674316</v>
      </c>
      <c r="BE141" s="123">
        <v>6.9294142723083496</v>
      </c>
      <c r="BF141" s="123">
        <v>31</v>
      </c>
      <c r="BG141" s="123">
        <v>10</v>
      </c>
      <c r="BH141" s="123">
        <v>11.199703216552734</v>
      </c>
      <c r="BI141" s="123"/>
      <c r="BJ141" s="108">
        <f t="shared" si="7"/>
        <v>15</v>
      </c>
      <c r="BK141" s="123">
        <v>15</v>
      </c>
      <c r="BL141" s="123">
        <v>0</v>
      </c>
      <c r="BM141" s="126"/>
      <c r="BN141" s="108">
        <f t="shared" si="8"/>
        <v>122</v>
      </c>
      <c r="BO141" s="108">
        <v>73</v>
      </c>
      <c r="BP141" s="108">
        <v>49</v>
      </c>
      <c r="BQ141" s="108">
        <v>277</v>
      </c>
      <c r="BR141" s="123">
        <v>72.946998596191406</v>
      </c>
      <c r="BS141" s="123">
        <v>25.191999435424805</v>
      </c>
      <c r="BT141" s="123">
        <v>41.909000396728516</v>
      </c>
      <c r="BU141" s="123">
        <v>38.233001708984375</v>
      </c>
      <c r="BV141" s="123">
        <v>67.800003051757813</v>
      </c>
      <c r="BW141" s="123">
        <v>6.3000001907348633</v>
      </c>
      <c r="BX141" s="123">
        <v>14.199999809265137</v>
      </c>
      <c r="BY141" s="123">
        <v>30</v>
      </c>
      <c r="BZ141" s="123">
        <v>1.4495735988020897E-2</v>
      </c>
      <c r="CA141" s="123">
        <v>2</v>
      </c>
      <c r="CB141" s="123">
        <v>29.49146842956543</v>
      </c>
      <c r="CC141" s="126"/>
      <c r="CD141" s="123">
        <v>357.34640502929688</v>
      </c>
      <c r="CE141" s="123">
        <v>34.648334503173828</v>
      </c>
      <c r="CF141" s="123">
        <v>23.112636566162109</v>
      </c>
      <c r="CG141" s="123">
        <v>35.338191986083984</v>
      </c>
      <c r="CH141" s="123">
        <v>285.88040161132813</v>
      </c>
      <c r="CI141" s="123">
        <v>89.859611511230469</v>
      </c>
      <c r="CJ141" s="123">
        <v>40.637405395507813</v>
      </c>
      <c r="CK141" s="123">
        <v>52.127700805664063</v>
      </c>
      <c r="CL141" s="124">
        <v>35.449001312255859</v>
      </c>
      <c r="CM141" s="125">
        <v>232.57608032226563</v>
      </c>
      <c r="CN141" s="123">
        <v>76.266189575195313</v>
      </c>
      <c r="CO141" s="123">
        <v>77.266159057617188</v>
      </c>
      <c r="CP141" s="123">
        <v>74.737075805664063</v>
      </c>
      <c r="CQ141" s="123">
        <v>0</v>
      </c>
      <c r="CR141" s="123">
        <v>52.714817047119141</v>
      </c>
      <c r="CS141" s="123">
        <v>9.969752311706543</v>
      </c>
      <c r="CT141" s="123">
        <v>35.796588897705078</v>
      </c>
      <c r="CU141" s="123">
        <v>51.005390167236328</v>
      </c>
      <c r="CV141" s="124">
        <v>69.737335205078125</v>
      </c>
      <c r="CW141" s="125">
        <v>1</v>
      </c>
      <c r="CX141" s="123">
        <v>333</v>
      </c>
      <c r="CY141" s="123">
        <v>124.70916748046875</v>
      </c>
      <c r="CZ141" s="123">
        <v>52.336837768554688</v>
      </c>
      <c r="DA141" s="123">
        <v>20.986003875732422</v>
      </c>
      <c r="DB141" s="123">
        <v>33.633792877197266</v>
      </c>
      <c r="DC141" s="123">
        <v>82.541358947753906</v>
      </c>
      <c r="DD141" s="123">
        <v>71</v>
      </c>
      <c r="DE141" s="123">
        <v>183</v>
      </c>
      <c r="DF141" s="123">
        <v>111.09359741210938</v>
      </c>
      <c r="DG141" s="123">
        <v>78.364006042480469</v>
      </c>
      <c r="DH141" s="123">
        <v>54.598609924316406</v>
      </c>
      <c r="DI141" s="128">
        <v>38.339405059814453</v>
      </c>
      <c r="DJ141" s="127">
        <v>214</v>
      </c>
      <c r="DK141" s="123">
        <v>111.45700073242188</v>
      </c>
      <c r="DL141" s="123">
        <v>27.256000518798828</v>
      </c>
      <c r="DM141" s="123">
        <v>26.860000610351563</v>
      </c>
      <c r="DN141" s="123">
        <v>52.130001068115234</v>
      </c>
      <c r="DO141" s="124">
        <v>113.33638000488281</v>
      </c>
      <c r="DP141" s="125">
        <v>16.059000015258789</v>
      </c>
      <c r="DQ141" s="123"/>
      <c r="DR141" s="125">
        <v>0</v>
      </c>
      <c r="DS141" s="128">
        <v>35.099998474121094</v>
      </c>
      <c r="DT141" s="127">
        <v>13</v>
      </c>
      <c r="DU141" s="123"/>
      <c r="DV141" s="123">
        <v>169</v>
      </c>
      <c r="DW141" s="123">
        <v>158.31961059570313</v>
      </c>
      <c r="DX141" s="125">
        <v>10</v>
      </c>
      <c r="DY141" s="128"/>
      <c r="DZ141" s="127">
        <v>46</v>
      </c>
      <c r="EA141" s="123">
        <v>3</v>
      </c>
      <c r="EB141" s="123">
        <v>0</v>
      </c>
      <c r="EC141" s="123">
        <v>1</v>
      </c>
      <c r="ED141" s="123">
        <v>270.20001220703125</v>
      </c>
      <c r="EE141" s="129"/>
      <c r="EF141" s="129"/>
      <c r="EG141" s="129"/>
    </row>
    <row r="142" spans="1:138" x14ac:dyDescent="0.3">
      <c r="A142" s="226">
        <f t="shared" si="6"/>
        <v>46020.095833333646</v>
      </c>
      <c r="B142" s="123">
        <v>241</v>
      </c>
      <c r="C142" s="123">
        <v>49.083999633789063</v>
      </c>
      <c r="D142" s="123">
        <v>104.27500152587891</v>
      </c>
      <c r="E142" s="123">
        <v>17.642999649047852</v>
      </c>
      <c r="F142" s="123">
        <v>10.104496955871582</v>
      </c>
      <c r="G142" s="124">
        <v>17.530000686645508</v>
      </c>
      <c r="H142" s="125">
        <v>316</v>
      </c>
      <c r="I142" s="123">
        <v>282</v>
      </c>
      <c r="J142" s="123">
        <v>63.673000335693359</v>
      </c>
      <c r="K142" s="123">
        <v>66.036949157714844</v>
      </c>
      <c r="L142" s="123">
        <v>45.415000915527344</v>
      </c>
      <c r="M142" s="123">
        <v>13.571000099182129</v>
      </c>
      <c r="N142" s="123">
        <v>17.493999481201172</v>
      </c>
      <c r="O142" s="123">
        <v>20</v>
      </c>
      <c r="P142" s="123">
        <v>0</v>
      </c>
      <c r="Q142" s="123">
        <v>20.615213394165039</v>
      </c>
      <c r="R142" s="123">
        <v>9</v>
      </c>
      <c r="S142" s="123">
        <v>9.4045429229736328</v>
      </c>
      <c r="T142" s="123">
        <v>0</v>
      </c>
      <c r="U142" s="123">
        <v>0</v>
      </c>
      <c r="V142" s="125">
        <v>934</v>
      </c>
      <c r="W142" s="123">
        <v>28.423343658447266</v>
      </c>
      <c r="X142" s="123">
        <v>27.934999465942383</v>
      </c>
      <c r="Y142" s="123">
        <v>7.570000171661377</v>
      </c>
      <c r="Z142" s="123">
        <v>0</v>
      </c>
      <c r="AA142" s="123">
        <v>22.166999816894531</v>
      </c>
      <c r="AB142" s="123">
        <v>0</v>
      </c>
      <c r="AC142" s="123">
        <v>56.4610595703125</v>
      </c>
      <c r="AD142" s="123">
        <v>6.1069998741149902</v>
      </c>
      <c r="AE142" s="123">
        <v>0</v>
      </c>
      <c r="AF142" s="123">
        <v>85.545272827148438</v>
      </c>
      <c r="AG142" s="123">
        <v>0</v>
      </c>
      <c r="AH142" s="123">
        <v>67.4466552734375</v>
      </c>
      <c r="AI142" s="123">
        <v>16.922000885009766</v>
      </c>
      <c r="AJ142" s="123">
        <v>21.0045166015625</v>
      </c>
      <c r="AK142" s="123">
        <v>46.493831634521484</v>
      </c>
      <c r="AL142" s="123">
        <v>38.522998809814453</v>
      </c>
      <c r="AM142" s="126">
        <v>55.283000946044922</v>
      </c>
      <c r="AN142" s="125">
        <v>128.8125</v>
      </c>
      <c r="AO142" s="127">
        <v>67</v>
      </c>
      <c r="AP142" s="123">
        <v>66.628173828125</v>
      </c>
      <c r="AQ142" s="123">
        <v>41.203510284423828</v>
      </c>
      <c r="AR142" s="123">
        <v>84</v>
      </c>
      <c r="AS142" s="123"/>
      <c r="AT142" s="123">
        <v>122</v>
      </c>
      <c r="AU142" s="123"/>
      <c r="AV142" s="123">
        <v>80</v>
      </c>
      <c r="AW142" s="123"/>
      <c r="AX142" s="123">
        <v>30</v>
      </c>
      <c r="AY142" s="123">
        <v>33.070518493652344</v>
      </c>
      <c r="AZ142" s="123">
        <v>17</v>
      </c>
      <c r="BA142" s="123"/>
      <c r="BB142" s="123">
        <v>297</v>
      </c>
      <c r="BC142" s="123">
        <v>300.20956420898438</v>
      </c>
      <c r="BD142" s="123">
        <v>6.9000000953674316</v>
      </c>
      <c r="BE142" s="123">
        <v>6.9327597618103027</v>
      </c>
      <c r="BF142" s="123">
        <v>32</v>
      </c>
      <c r="BG142" s="123">
        <v>10</v>
      </c>
      <c r="BH142" s="123">
        <v>11.185299873352051</v>
      </c>
      <c r="BI142" s="123"/>
      <c r="BJ142" s="108">
        <f t="shared" si="7"/>
        <v>14</v>
      </c>
      <c r="BK142" s="123">
        <v>14</v>
      </c>
      <c r="BL142" s="123">
        <v>0</v>
      </c>
      <c r="BM142" s="126"/>
      <c r="BN142" s="108">
        <f t="shared" si="8"/>
        <v>122</v>
      </c>
      <c r="BO142" s="108">
        <v>73</v>
      </c>
      <c r="BP142" s="108">
        <v>49</v>
      </c>
      <c r="BQ142" s="108">
        <v>282</v>
      </c>
      <c r="BR142" s="123">
        <v>73.05999755859375</v>
      </c>
      <c r="BS142" s="123">
        <v>24.683000564575195</v>
      </c>
      <c r="BT142" s="123">
        <v>41.562999725341797</v>
      </c>
      <c r="BU142" s="123">
        <v>38.932998657226563</v>
      </c>
      <c r="BV142" s="123">
        <v>68.699996948242188</v>
      </c>
      <c r="BW142" s="123">
        <v>6.3000001907348633</v>
      </c>
      <c r="BX142" s="123">
        <v>13.5</v>
      </c>
      <c r="BY142" s="123">
        <v>27</v>
      </c>
      <c r="BZ142" s="123">
        <v>1.3872151263058186E-2</v>
      </c>
      <c r="CA142" s="123">
        <v>1</v>
      </c>
      <c r="CB142" s="123">
        <v>29.41424560546875</v>
      </c>
      <c r="CC142" s="126"/>
      <c r="CD142" s="123">
        <v>361.96844482421875</v>
      </c>
      <c r="CE142" s="123">
        <v>35.110530853271484</v>
      </c>
      <c r="CF142" s="123">
        <v>23.346529006958008</v>
      </c>
      <c r="CG142" s="123">
        <v>35.338191986083984</v>
      </c>
      <c r="CH142" s="123">
        <v>285.42608642578125</v>
      </c>
      <c r="CI142" s="123">
        <v>85.37158203125</v>
      </c>
      <c r="CJ142" s="123">
        <v>38.234127044677734</v>
      </c>
      <c r="CK142" s="123">
        <v>51.495742797851563</v>
      </c>
      <c r="CL142" s="124">
        <v>36.257919311523438</v>
      </c>
      <c r="CM142" s="125">
        <v>226.18374633789063</v>
      </c>
      <c r="CN142" s="123">
        <v>74.552291870117188</v>
      </c>
      <c r="CO142" s="123">
        <v>74.186027526855469</v>
      </c>
      <c r="CP142" s="123">
        <v>72.414253234863281</v>
      </c>
      <c r="CQ142" s="123">
        <v>0</v>
      </c>
      <c r="CR142" s="123">
        <v>52.327919006347656</v>
      </c>
      <c r="CS142" s="123">
        <v>9.3078441619873047</v>
      </c>
      <c r="CT142" s="123">
        <v>37.661731719970703</v>
      </c>
      <c r="CU142" s="123">
        <v>48.412952423095703</v>
      </c>
      <c r="CV142" s="124">
        <v>67.855239868164063</v>
      </c>
      <c r="CW142" s="125">
        <v>4</v>
      </c>
      <c r="CX142" s="123">
        <v>330</v>
      </c>
      <c r="CY142" s="123">
        <v>124.97613525390625</v>
      </c>
      <c r="CZ142" s="123">
        <v>52.358127593994141</v>
      </c>
      <c r="DA142" s="123">
        <v>21.340911865234375</v>
      </c>
      <c r="DB142" s="123">
        <v>32.877197265625</v>
      </c>
      <c r="DC142" s="123">
        <v>83.448165893554688</v>
      </c>
      <c r="DD142" s="123">
        <v>75</v>
      </c>
      <c r="DE142" s="123">
        <v>184</v>
      </c>
      <c r="DF142" s="123">
        <v>110.03910064697266</v>
      </c>
      <c r="DG142" s="123">
        <v>75.304290771484375</v>
      </c>
      <c r="DH142" s="123">
        <v>54.512458801269531</v>
      </c>
      <c r="DI142" s="128">
        <v>41.354091644287109</v>
      </c>
      <c r="DJ142" s="127">
        <v>216</v>
      </c>
      <c r="DK142" s="123">
        <v>111.45700073242188</v>
      </c>
      <c r="DL142" s="123">
        <v>26.576999664306641</v>
      </c>
      <c r="DM142" s="123">
        <v>29.156999588012695</v>
      </c>
      <c r="DN142" s="123">
        <v>52.306999206542969</v>
      </c>
      <c r="DO142" s="124">
        <v>113.85780334472656</v>
      </c>
      <c r="DP142" s="125">
        <v>16.031000137329102</v>
      </c>
      <c r="DQ142" s="123"/>
      <c r="DR142" s="125">
        <v>0</v>
      </c>
      <c r="DS142" s="128">
        <v>35</v>
      </c>
      <c r="DT142" s="127">
        <v>12</v>
      </c>
      <c r="DU142" s="123"/>
      <c r="DV142" s="123">
        <v>164</v>
      </c>
      <c r="DW142" s="123">
        <v>153.40748596191406</v>
      </c>
      <c r="DX142" s="125">
        <v>10</v>
      </c>
      <c r="DY142" s="128"/>
      <c r="DZ142" s="127">
        <v>45</v>
      </c>
      <c r="EA142" s="123">
        <v>3</v>
      </c>
      <c r="EB142" s="123">
        <v>0</v>
      </c>
      <c r="EC142" s="123">
        <v>1</v>
      </c>
      <c r="ED142" s="123">
        <v>264.60000610351563</v>
      </c>
      <c r="EE142" s="129"/>
      <c r="EF142" s="129"/>
      <c r="EG142" s="129"/>
    </row>
    <row r="143" spans="1:138" x14ac:dyDescent="0.3">
      <c r="A143" s="226">
        <f t="shared" si="6"/>
        <v>46020.096527778092</v>
      </c>
      <c r="B143" s="123">
        <v>243</v>
      </c>
      <c r="C143" s="123">
        <v>50.779998779296875</v>
      </c>
      <c r="D143" s="123">
        <v>103.48400115966797</v>
      </c>
      <c r="E143" s="123">
        <v>17.416000366210938</v>
      </c>
      <c r="F143" s="123">
        <v>11.231626510620117</v>
      </c>
      <c r="G143" s="124">
        <v>18.208000183105469</v>
      </c>
      <c r="H143" s="125">
        <v>313</v>
      </c>
      <c r="I143" s="123">
        <v>281</v>
      </c>
      <c r="J143" s="123">
        <v>63.898998260498047</v>
      </c>
      <c r="K143" s="123">
        <v>64.043846130371094</v>
      </c>
      <c r="L143" s="123">
        <v>44.178001403808594</v>
      </c>
      <c r="M143" s="123">
        <v>13.571000099182129</v>
      </c>
      <c r="N143" s="123">
        <v>17.048999786376953</v>
      </c>
      <c r="O143" s="123">
        <v>18</v>
      </c>
      <c r="P143" s="123">
        <v>0</v>
      </c>
      <c r="Q143" s="123">
        <v>18.679407119750977</v>
      </c>
      <c r="R143" s="123">
        <v>9</v>
      </c>
      <c r="S143" s="123">
        <v>9.7137613296508789</v>
      </c>
      <c r="T143" s="123">
        <v>0</v>
      </c>
      <c r="U143" s="123">
        <v>0</v>
      </c>
      <c r="V143" s="125">
        <v>929</v>
      </c>
      <c r="W143" s="123">
        <v>31.060352325439453</v>
      </c>
      <c r="X143" s="123">
        <v>27.934999465942383</v>
      </c>
      <c r="Y143" s="123">
        <v>7.2519998550415039</v>
      </c>
      <c r="Z143" s="123">
        <v>0</v>
      </c>
      <c r="AA143" s="123">
        <v>23.184000015258789</v>
      </c>
      <c r="AB143" s="123">
        <v>0</v>
      </c>
      <c r="AC143" s="123">
        <v>58.001113891601563</v>
      </c>
      <c r="AD143" s="123">
        <v>6.6160001754760742</v>
      </c>
      <c r="AE143" s="123">
        <v>0</v>
      </c>
      <c r="AF143" s="123">
        <v>86.575141906738281</v>
      </c>
      <c r="AG143" s="123">
        <v>0</v>
      </c>
      <c r="AH143" s="123">
        <v>65.676612854003906</v>
      </c>
      <c r="AI143" s="123">
        <v>15.458000183105469</v>
      </c>
      <c r="AJ143" s="123">
        <v>21.97260856628418</v>
      </c>
      <c r="AK143" s="123">
        <v>46.348587036132813</v>
      </c>
      <c r="AL143" s="123">
        <v>38.876998901367188</v>
      </c>
      <c r="AM143" s="126">
        <v>55.536998748779297</v>
      </c>
      <c r="AN143" s="125">
        <v>126.3125</v>
      </c>
      <c r="AO143" s="127">
        <v>67</v>
      </c>
      <c r="AP143" s="123">
        <v>67.157516479492188</v>
      </c>
      <c r="AQ143" s="123">
        <v>41.555938720703125</v>
      </c>
      <c r="AR143" s="123">
        <v>83</v>
      </c>
      <c r="AS143" s="123"/>
      <c r="AT143" s="123">
        <v>122</v>
      </c>
      <c r="AU143" s="123"/>
      <c r="AV143" s="123">
        <v>80</v>
      </c>
      <c r="AW143" s="123"/>
      <c r="AX143" s="123">
        <v>30</v>
      </c>
      <c r="AY143" s="123">
        <v>33.070518493652344</v>
      </c>
      <c r="AZ143" s="123">
        <v>16</v>
      </c>
      <c r="BA143" s="123"/>
      <c r="BB143" s="123">
        <v>298</v>
      </c>
      <c r="BC143" s="123">
        <v>299.381103515625</v>
      </c>
      <c r="BD143" s="123">
        <v>6.9000000953674316</v>
      </c>
      <c r="BE143" s="123">
        <v>6.9375481605529785</v>
      </c>
      <c r="BF143" s="123">
        <v>32</v>
      </c>
      <c r="BG143" s="123">
        <v>10</v>
      </c>
      <c r="BH143" s="123">
        <v>11.185299873352051</v>
      </c>
      <c r="BI143" s="123"/>
      <c r="BJ143" s="108">
        <f t="shared" si="7"/>
        <v>14</v>
      </c>
      <c r="BK143" s="123">
        <v>14</v>
      </c>
      <c r="BL143" s="123">
        <v>0</v>
      </c>
      <c r="BM143" s="126"/>
      <c r="BN143" s="108">
        <f t="shared" si="8"/>
        <v>121.29999923706055</v>
      </c>
      <c r="BO143" s="108">
        <v>73</v>
      </c>
      <c r="BP143" s="108">
        <v>48.299999237060547</v>
      </c>
      <c r="BQ143" s="108">
        <v>275</v>
      </c>
      <c r="BR143" s="123">
        <v>69.893997192382813</v>
      </c>
      <c r="BS143" s="123">
        <v>24.937000274658203</v>
      </c>
      <c r="BT143" s="123">
        <v>40.523998260498047</v>
      </c>
      <c r="BU143" s="123">
        <v>39.124000549316406</v>
      </c>
      <c r="BV143" s="123">
        <v>69</v>
      </c>
      <c r="BW143" s="123">
        <v>6.4000000953674316</v>
      </c>
      <c r="BX143" s="123">
        <v>13.5</v>
      </c>
      <c r="BY143" s="123">
        <v>29</v>
      </c>
      <c r="BZ143" s="123">
        <v>1.3872151263058186E-2</v>
      </c>
      <c r="CA143" s="123">
        <v>1</v>
      </c>
      <c r="CB143" s="123">
        <v>29.148649215698242</v>
      </c>
      <c r="CC143" s="126"/>
      <c r="CD143" s="123">
        <v>363.53656005859375</v>
      </c>
      <c r="CE143" s="123">
        <v>35.284858703613281</v>
      </c>
      <c r="CF143" s="123">
        <v>23.049602508544922</v>
      </c>
      <c r="CG143" s="123">
        <v>35.338191986083984</v>
      </c>
      <c r="CH143" s="123">
        <v>286.05392456054688</v>
      </c>
      <c r="CI143" s="123">
        <v>83.890090942382813</v>
      </c>
      <c r="CJ143" s="123">
        <v>38.011295318603516</v>
      </c>
      <c r="CK143" s="123">
        <v>50.665607452392578</v>
      </c>
      <c r="CL143" s="124">
        <v>37.302837371826172</v>
      </c>
      <c r="CM143" s="125">
        <v>228.93397521972656</v>
      </c>
      <c r="CN143" s="123">
        <v>75.2138671875</v>
      </c>
      <c r="CO143" s="123">
        <v>74.559089660644531</v>
      </c>
      <c r="CP143" s="123">
        <v>74.311599731445313</v>
      </c>
      <c r="CQ143" s="123">
        <v>0</v>
      </c>
      <c r="CR143" s="123">
        <v>51.731636047363281</v>
      </c>
      <c r="CS143" s="123">
        <v>9.3026752471923828</v>
      </c>
      <c r="CT143" s="123">
        <v>40.965175628662109</v>
      </c>
      <c r="CU143" s="123">
        <v>49.239978790283203</v>
      </c>
      <c r="CV143" s="124">
        <v>68.234283447265625</v>
      </c>
      <c r="CW143" s="125">
        <v>2</v>
      </c>
      <c r="CX143" s="123">
        <v>339</v>
      </c>
      <c r="CY143" s="123">
        <v>126.39019775390625</v>
      </c>
      <c r="CZ143" s="123">
        <v>51.421237945556641</v>
      </c>
      <c r="DA143" s="123">
        <v>20.851696014404297</v>
      </c>
      <c r="DB143" s="123">
        <v>35.228664398193359</v>
      </c>
      <c r="DC143" s="123">
        <v>82.5201416015625</v>
      </c>
      <c r="DD143" s="123">
        <v>59</v>
      </c>
      <c r="DE143" s="123">
        <v>183</v>
      </c>
      <c r="DF143" s="123">
        <v>108.66610717773438</v>
      </c>
      <c r="DG143" s="123">
        <v>75.304290771484375</v>
      </c>
      <c r="DH143" s="123">
        <v>52.697498321533203</v>
      </c>
      <c r="DI143" s="128">
        <v>37.577091217041016</v>
      </c>
      <c r="DJ143" s="127">
        <v>209</v>
      </c>
      <c r="DK143" s="123">
        <v>104.07700347900391</v>
      </c>
      <c r="DL143" s="123">
        <v>25.107000350952148</v>
      </c>
      <c r="DM143" s="123">
        <v>23.326000213623047</v>
      </c>
      <c r="DN143" s="123">
        <v>47.181999206542969</v>
      </c>
      <c r="DO143" s="124">
        <v>113.85907745361328</v>
      </c>
      <c r="DP143" s="125">
        <v>15.494000434875488</v>
      </c>
      <c r="DQ143" s="123"/>
      <c r="DR143" s="125">
        <v>0</v>
      </c>
      <c r="DS143" s="128">
        <v>35</v>
      </c>
      <c r="DT143" s="127">
        <v>12</v>
      </c>
      <c r="DU143" s="123"/>
      <c r="DV143" s="123">
        <v>149</v>
      </c>
      <c r="DW143" s="123">
        <v>122.49339294433594</v>
      </c>
      <c r="DX143" s="125">
        <v>10</v>
      </c>
      <c r="DY143" s="128"/>
      <c r="DZ143" s="127">
        <v>45</v>
      </c>
      <c r="EA143" s="123">
        <v>3</v>
      </c>
      <c r="EB143" s="123">
        <v>0</v>
      </c>
      <c r="EC143" s="123">
        <v>1</v>
      </c>
      <c r="ED143" s="123">
        <v>261.89999389648438</v>
      </c>
      <c r="EE143" s="129"/>
      <c r="EF143" s="129"/>
      <c r="EG143" s="129"/>
    </row>
    <row r="144" spans="1:138" x14ac:dyDescent="0.3">
      <c r="A144" s="226">
        <f t="shared" si="6"/>
        <v>46020.097222222539</v>
      </c>
      <c r="B144" s="123">
        <v>245</v>
      </c>
      <c r="C144" s="123">
        <v>51.233001708984375</v>
      </c>
      <c r="D144" s="123">
        <v>103.59700012207031</v>
      </c>
      <c r="E144" s="123">
        <v>16.738000869750977</v>
      </c>
      <c r="F144" s="123">
        <v>0</v>
      </c>
      <c r="G144" s="124">
        <v>17.530000686645508</v>
      </c>
      <c r="H144" s="125">
        <v>312</v>
      </c>
      <c r="I144" s="123">
        <v>277</v>
      </c>
      <c r="J144" s="123">
        <v>63.785999298095703</v>
      </c>
      <c r="K144" s="123">
        <v>63.519611358642578</v>
      </c>
      <c r="L144" s="123">
        <v>44.354999542236328</v>
      </c>
      <c r="M144" s="123">
        <v>13.119000434875488</v>
      </c>
      <c r="N144" s="123">
        <v>17.367000579833984</v>
      </c>
      <c r="O144" s="123">
        <v>18</v>
      </c>
      <c r="P144" s="123">
        <v>0</v>
      </c>
      <c r="Q144" s="123">
        <v>18.679407119750977</v>
      </c>
      <c r="R144" s="123">
        <v>10.996874809265137</v>
      </c>
      <c r="S144" s="123">
        <v>10.119596481323242</v>
      </c>
      <c r="T144" s="123">
        <v>0</v>
      </c>
      <c r="U144" s="123">
        <v>0</v>
      </c>
      <c r="V144" s="125">
        <v>929</v>
      </c>
      <c r="W144" s="123">
        <v>28.176870346069336</v>
      </c>
      <c r="X144" s="123">
        <v>27.934999465942383</v>
      </c>
      <c r="Y144" s="123">
        <v>7.6970000267028809</v>
      </c>
      <c r="Z144" s="123">
        <v>0</v>
      </c>
      <c r="AA144" s="123">
        <v>24.315000534057617</v>
      </c>
      <c r="AB144" s="123">
        <v>0</v>
      </c>
      <c r="AC144" s="123">
        <v>56.419197082519531</v>
      </c>
      <c r="AD144" s="123">
        <v>6.3610000610351563</v>
      </c>
      <c r="AE144" s="123">
        <v>0</v>
      </c>
      <c r="AF144" s="123">
        <v>85.239555358886719</v>
      </c>
      <c r="AG144" s="123">
        <v>0</v>
      </c>
      <c r="AH144" s="123">
        <v>67.805458068847656</v>
      </c>
      <c r="AI144" s="123">
        <v>13.486000061035156</v>
      </c>
      <c r="AJ144" s="123">
        <v>22.130653381347656</v>
      </c>
      <c r="AK144" s="123">
        <v>46.161296844482422</v>
      </c>
      <c r="AL144" s="123">
        <v>40.113998413085938</v>
      </c>
      <c r="AM144" s="126">
        <v>54.328998565673828</v>
      </c>
      <c r="AN144" s="125">
        <v>124.9375</v>
      </c>
      <c r="AO144" s="127">
        <v>66</v>
      </c>
      <c r="AP144" s="123">
        <v>66.880577087402344</v>
      </c>
      <c r="AQ144" s="123">
        <v>38.652317047119141</v>
      </c>
      <c r="AR144" s="123">
        <v>83</v>
      </c>
      <c r="AS144" s="123"/>
      <c r="AT144" s="123">
        <v>122</v>
      </c>
      <c r="AU144" s="123"/>
      <c r="AV144" s="123">
        <v>71</v>
      </c>
      <c r="AW144" s="123"/>
      <c r="AX144" s="123">
        <v>31</v>
      </c>
      <c r="AY144" s="123">
        <v>32.947410583496094</v>
      </c>
      <c r="AZ144" s="123">
        <v>15</v>
      </c>
      <c r="BA144" s="123"/>
      <c r="BB144" s="123">
        <v>298</v>
      </c>
      <c r="BC144" s="123">
        <v>298.1072998046875</v>
      </c>
      <c r="BD144" s="123">
        <v>7</v>
      </c>
      <c r="BE144" s="123">
        <v>6.9944524765014648</v>
      </c>
      <c r="BF144" s="123">
        <v>31</v>
      </c>
      <c r="BG144" s="123">
        <v>10</v>
      </c>
      <c r="BH144" s="123">
        <v>11.303287506103516</v>
      </c>
      <c r="BI144" s="123"/>
      <c r="BJ144" s="108">
        <f t="shared" si="7"/>
        <v>15</v>
      </c>
      <c r="BK144" s="123">
        <v>15</v>
      </c>
      <c r="BL144" s="123">
        <v>0</v>
      </c>
      <c r="BM144" s="126"/>
      <c r="BN144" s="108">
        <f t="shared" si="8"/>
        <v>122</v>
      </c>
      <c r="BO144" s="108">
        <v>73</v>
      </c>
      <c r="BP144" s="108">
        <v>49</v>
      </c>
      <c r="BQ144" s="108">
        <v>276</v>
      </c>
      <c r="BR144" s="123">
        <v>69.214996337890625</v>
      </c>
      <c r="BS144" s="123">
        <v>25.445999145507813</v>
      </c>
      <c r="BT144" s="123">
        <v>43.640998840332031</v>
      </c>
      <c r="BU144" s="123">
        <v>38.869998931884766</v>
      </c>
      <c r="BV144" s="123">
        <v>69.099998474121094</v>
      </c>
      <c r="BW144" s="123">
        <v>6.3000001907348633</v>
      </c>
      <c r="BX144" s="123">
        <v>13.5</v>
      </c>
      <c r="BY144" s="123">
        <v>28</v>
      </c>
      <c r="BZ144" s="123">
        <v>1.5066021122038364E-2</v>
      </c>
      <c r="CA144" s="123">
        <v>1</v>
      </c>
      <c r="CB144" s="123">
        <v>29.113185882568359</v>
      </c>
      <c r="CC144" s="126"/>
      <c r="CD144" s="123">
        <v>363.05340576171875</v>
      </c>
      <c r="CE144" s="123">
        <v>37.319446563720703</v>
      </c>
      <c r="CF144" s="123">
        <v>22.583744049072266</v>
      </c>
      <c r="CG144" s="123">
        <v>35.338191986083984</v>
      </c>
      <c r="CH144" s="123">
        <v>285.90249633789063</v>
      </c>
      <c r="CI144" s="123">
        <v>84.583084106445313</v>
      </c>
      <c r="CJ144" s="123">
        <v>36.040962219238281</v>
      </c>
      <c r="CK144" s="123">
        <v>51.070449829101563</v>
      </c>
      <c r="CL144" s="124">
        <v>37.2926025390625</v>
      </c>
      <c r="CM144" s="125">
        <v>228.23989868164063</v>
      </c>
      <c r="CN144" s="123">
        <v>75.745841979980469</v>
      </c>
      <c r="CO144" s="123">
        <v>75.485710144042969</v>
      </c>
      <c r="CP144" s="123">
        <v>74.311599731445313</v>
      </c>
      <c r="CQ144" s="123">
        <v>0</v>
      </c>
      <c r="CR144" s="123">
        <v>51.176345825195313</v>
      </c>
      <c r="CS144" s="123">
        <v>9.6019830703735352</v>
      </c>
      <c r="CT144" s="123">
        <v>41.378746032714844</v>
      </c>
      <c r="CU144" s="123">
        <v>50.168537139892578</v>
      </c>
      <c r="CV144" s="124">
        <v>67.969444274902344</v>
      </c>
      <c r="CW144" s="125">
        <v>2</v>
      </c>
      <c r="CX144" s="123">
        <v>331</v>
      </c>
      <c r="CY144" s="123">
        <v>126.88523101806641</v>
      </c>
      <c r="CZ144" s="123">
        <v>52.341762542724609</v>
      </c>
      <c r="DA144" s="123">
        <v>21.11821174621582</v>
      </c>
      <c r="DB144" s="123">
        <v>33.594013214111328</v>
      </c>
      <c r="DC144" s="123">
        <v>82.256103515625</v>
      </c>
      <c r="DD144" s="123">
        <v>59</v>
      </c>
      <c r="DE144" s="123">
        <v>183</v>
      </c>
      <c r="DF144" s="123">
        <v>109.34059143066406</v>
      </c>
      <c r="DG144" s="123">
        <v>76.850776672363281</v>
      </c>
      <c r="DH144" s="123">
        <v>52.890960693359375</v>
      </c>
      <c r="DI144" s="128">
        <v>38.219707489013672</v>
      </c>
      <c r="DJ144" s="127">
        <v>209</v>
      </c>
      <c r="DK144" s="123">
        <v>104.07700347900391</v>
      </c>
      <c r="DL144" s="123">
        <v>25.333000183105469</v>
      </c>
      <c r="DM144" s="123">
        <v>25.62299919128418</v>
      </c>
      <c r="DN144" s="123">
        <v>48.243000030517578</v>
      </c>
      <c r="DO144" s="124">
        <v>114.13375854492188</v>
      </c>
      <c r="DP144" s="125">
        <v>15.692000389099121</v>
      </c>
      <c r="DQ144" s="123"/>
      <c r="DR144" s="125">
        <v>0</v>
      </c>
      <c r="DS144" s="128">
        <v>34.900001525878906</v>
      </c>
      <c r="DT144" s="127">
        <v>12</v>
      </c>
      <c r="DU144" s="123"/>
      <c r="DV144" s="123">
        <v>11</v>
      </c>
      <c r="DW144" s="123">
        <v>2.053189754486084</v>
      </c>
      <c r="DX144" s="125">
        <v>10</v>
      </c>
      <c r="DY144" s="128"/>
      <c r="DZ144" s="127">
        <v>46</v>
      </c>
      <c r="EA144" s="123">
        <v>3</v>
      </c>
      <c r="EB144" s="123">
        <v>0</v>
      </c>
      <c r="EC144" s="123">
        <v>1</v>
      </c>
      <c r="ED144" s="123">
        <v>264</v>
      </c>
      <c r="EE144" s="129"/>
      <c r="EF144" s="129"/>
      <c r="EG144" s="129"/>
    </row>
    <row r="145" spans="1:137" x14ac:dyDescent="0.3">
      <c r="A145" s="226">
        <f t="shared" si="6"/>
        <v>46020.097916666986</v>
      </c>
      <c r="B145" s="123">
        <v>247</v>
      </c>
      <c r="C145" s="123">
        <v>52.816001892089844</v>
      </c>
      <c r="D145" s="123">
        <v>102.80500030517578</v>
      </c>
      <c r="E145" s="123">
        <v>18.208000183105469</v>
      </c>
      <c r="F145" s="123">
        <v>10.398395538330078</v>
      </c>
      <c r="G145" s="124">
        <v>16.964000701904297</v>
      </c>
      <c r="H145" s="125">
        <v>311</v>
      </c>
      <c r="I145" s="123">
        <v>278</v>
      </c>
      <c r="J145" s="123">
        <v>62.429000854492188</v>
      </c>
      <c r="K145" s="123">
        <v>63.498687744140625</v>
      </c>
      <c r="L145" s="123">
        <v>45.062000274658203</v>
      </c>
      <c r="M145" s="123">
        <v>12.666000366210938</v>
      </c>
      <c r="N145" s="123">
        <v>18.320999145507813</v>
      </c>
      <c r="O145" s="123">
        <v>18</v>
      </c>
      <c r="P145" s="123">
        <v>0</v>
      </c>
      <c r="Q145" s="123">
        <v>19.378143310546875</v>
      </c>
      <c r="R145" s="123">
        <v>10.996874809265137</v>
      </c>
      <c r="S145" s="123">
        <v>10.879400253295898</v>
      </c>
      <c r="T145" s="123">
        <v>0</v>
      </c>
      <c r="U145" s="123">
        <v>0</v>
      </c>
      <c r="V145" s="125">
        <v>930</v>
      </c>
      <c r="W145" s="123">
        <v>27.100166320800781</v>
      </c>
      <c r="X145" s="123">
        <v>28.048000335693359</v>
      </c>
      <c r="Y145" s="123">
        <v>8.0150003433227539</v>
      </c>
      <c r="Z145" s="123">
        <v>0</v>
      </c>
      <c r="AA145" s="123">
        <v>24.089000701904297</v>
      </c>
      <c r="AB145" s="123">
        <v>0</v>
      </c>
      <c r="AC145" s="123">
        <v>55.368980407714844</v>
      </c>
      <c r="AD145" s="123">
        <v>6.6160001754760742</v>
      </c>
      <c r="AE145" s="123">
        <v>0</v>
      </c>
      <c r="AF145" s="123">
        <v>85.364601135253906</v>
      </c>
      <c r="AG145" s="123">
        <v>0</v>
      </c>
      <c r="AH145" s="123">
        <v>66.499046325683594</v>
      </c>
      <c r="AI145" s="123">
        <v>14.185999870300293</v>
      </c>
      <c r="AJ145" s="123">
        <v>21.238700866699219</v>
      </c>
      <c r="AK145" s="123">
        <v>45.323757171630859</v>
      </c>
      <c r="AL145" s="123">
        <v>42.588001251220703</v>
      </c>
      <c r="AM145" s="126">
        <v>55.665000915527344</v>
      </c>
      <c r="AN145" s="125">
        <v>124.9375</v>
      </c>
      <c r="AO145" s="127">
        <v>65</v>
      </c>
      <c r="AP145" s="123">
        <v>67.206649780273438</v>
      </c>
      <c r="AQ145" s="123">
        <v>39.490432739257813</v>
      </c>
      <c r="AR145" s="123">
        <v>86</v>
      </c>
      <c r="AS145" s="123"/>
      <c r="AT145" s="123">
        <v>124</v>
      </c>
      <c r="AU145" s="123"/>
      <c r="AV145" s="123">
        <v>73</v>
      </c>
      <c r="AW145" s="123"/>
      <c r="AX145" s="123">
        <v>30</v>
      </c>
      <c r="AY145" s="123">
        <v>32.873409271240234</v>
      </c>
      <c r="AZ145" s="123">
        <v>16</v>
      </c>
      <c r="BA145" s="123"/>
      <c r="BB145" s="123">
        <v>297</v>
      </c>
      <c r="BC145" s="123">
        <v>298.1072998046875</v>
      </c>
      <c r="BD145" s="123">
        <v>7</v>
      </c>
      <c r="BE145" s="123">
        <v>6.9861955642700195</v>
      </c>
      <c r="BF145" s="123">
        <v>31</v>
      </c>
      <c r="BG145" s="123">
        <v>11</v>
      </c>
      <c r="BH145" s="123">
        <v>11.284588813781738</v>
      </c>
      <c r="BI145" s="123"/>
      <c r="BJ145" s="108">
        <f t="shared" si="7"/>
        <v>15</v>
      </c>
      <c r="BK145" s="123">
        <v>15</v>
      </c>
      <c r="BL145" s="123">
        <v>0</v>
      </c>
      <c r="BM145" s="126"/>
      <c r="BN145" s="108">
        <f t="shared" si="8"/>
        <v>122</v>
      </c>
      <c r="BO145" s="108">
        <v>73</v>
      </c>
      <c r="BP145" s="108">
        <v>49</v>
      </c>
      <c r="BQ145" s="108">
        <v>274</v>
      </c>
      <c r="BR145" s="123">
        <v>68.76300048828125</v>
      </c>
      <c r="BS145" s="123">
        <v>24.683000564575195</v>
      </c>
      <c r="BT145" s="123">
        <v>41.562999725341797</v>
      </c>
      <c r="BU145" s="123">
        <v>38.105998992919922</v>
      </c>
      <c r="BV145" s="123">
        <v>70.300003051757813</v>
      </c>
      <c r="BW145" s="123">
        <v>6</v>
      </c>
      <c r="BX145" s="123">
        <v>13.5</v>
      </c>
      <c r="BY145" s="123">
        <v>28</v>
      </c>
      <c r="BZ145" s="123">
        <v>1.5684928745031357E-2</v>
      </c>
      <c r="CA145" s="123">
        <v>1</v>
      </c>
      <c r="CB145" s="123">
        <v>29.113185882568359</v>
      </c>
      <c r="CC145" s="126"/>
      <c r="CD145" s="123">
        <v>359.865966796875</v>
      </c>
      <c r="CE145" s="123">
        <v>34.089813232421875</v>
      </c>
      <c r="CF145" s="123">
        <v>22.57366943359375</v>
      </c>
      <c r="CG145" s="123">
        <v>35.338191986083984</v>
      </c>
      <c r="CH145" s="123">
        <v>284.67544555664063</v>
      </c>
      <c r="CI145" s="123">
        <v>84.628646850585938</v>
      </c>
      <c r="CJ145" s="123">
        <v>37.301589965820313</v>
      </c>
      <c r="CK145" s="123">
        <v>51.366645812988281</v>
      </c>
      <c r="CL145" s="124">
        <v>36.786853790283203</v>
      </c>
      <c r="CM145" s="125">
        <v>229.13737487792969</v>
      </c>
      <c r="CN145" s="123">
        <v>75.333976745605469</v>
      </c>
      <c r="CO145" s="123">
        <v>74.441368103027344</v>
      </c>
      <c r="CP145" s="123">
        <v>74.009208679199219</v>
      </c>
      <c r="CQ145" s="123">
        <v>0</v>
      </c>
      <c r="CR145" s="123">
        <v>51.693477630615234</v>
      </c>
      <c r="CS145" s="123">
        <v>8.9748897552490234</v>
      </c>
      <c r="CT145" s="123">
        <v>34.670326232910156</v>
      </c>
      <c r="CU145" s="123">
        <v>48.431613922119141</v>
      </c>
      <c r="CV145" s="124">
        <v>67.75909423828125</v>
      </c>
      <c r="CW145" s="125">
        <v>7</v>
      </c>
      <c r="CX145" s="123">
        <v>332</v>
      </c>
      <c r="CY145" s="123">
        <v>127.27460479736328</v>
      </c>
      <c r="CZ145" s="123">
        <v>53.13427734375</v>
      </c>
      <c r="DA145" s="123">
        <v>19.600004196166992</v>
      </c>
      <c r="DB145" s="123">
        <v>33.013721466064453</v>
      </c>
      <c r="DC145" s="123">
        <v>83.301063537597656</v>
      </c>
      <c r="DD145" s="123">
        <v>68</v>
      </c>
      <c r="DE145" s="123">
        <v>183</v>
      </c>
      <c r="DF145" s="123">
        <v>107.98573303222656</v>
      </c>
      <c r="DG145" s="123">
        <v>79.361198425292969</v>
      </c>
      <c r="DH145" s="123">
        <v>52.338916778564453</v>
      </c>
      <c r="DI145" s="128">
        <v>39.505622863769531</v>
      </c>
      <c r="DJ145" s="127">
        <v>209</v>
      </c>
      <c r="DK145" s="123">
        <v>107.13099670410156</v>
      </c>
      <c r="DL145" s="123">
        <v>24.089000701904297</v>
      </c>
      <c r="DM145" s="123">
        <v>26.329999923706055</v>
      </c>
      <c r="DN145" s="123">
        <v>50.893001556396484</v>
      </c>
      <c r="DO145" s="124">
        <v>113.12863159179688</v>
      </c>
      <c r="DP145" s="125">
        <v>15.522000312805176</v>
      </c>
      <c r="DQ145" s="123"/>
      <c r="DR145" s="125">
        <v>0</v>
      </c>
      <c r="DS145" s="128">
        <v>35.299999237060547</v>
      </c>
      <c r="DT145" s="127">
        <v>12</v>
      </c>
      <c r="DU145" s="123"/>
      <c r="DV145" s="123">
        <v>11</v>
      </c>
      <c r="DW145" s="123">
        <v>2.0678110122680664</v>
      </c>
      <c r="DX145" s="125">
        <v>10</v>
      </c>
      <c r="DY145" s="128"/>
      <c r="DZ145" s="127">
        <v>45</v>
      </c>
      <c r="EA145" s="123">
        <v>3</v>
      </c>
      <c r="EB145" s="123">
        <v>0</v>
      </c>
      <c r="EC145" s="123">
        <v>1</v>
      </c>
      <c r="ED145" s="123">
        <v>266.5</v>
      </c>
      <c r="EE145" s="129"/>
      <c r="EF145" s="129"/>
      <c r="EG145" s="129"/>
    </row>
    <row r="146" spans="1:137" x14ac:dyDescent="0.3">
      <c r="A146" s="226">
        <f t="shared" si="6"/>
        <v>46020.098611111433</v>
      </c>
      <c r="B146" s="123">
        <v>248</v>
      </c>
      <c r="C146" s="123">
        <v>54.398998260498047</v>
      </c>
      <c r="D146" s="123">
        <v>103.03099822998047</v>
      </c>
      <c r="E146" s="123">
        <v>17.982000350952148</v>
      </c>
      <c r="F146" s="123">
        <v>0</v>
      </c>
      <c r="G146" s="124">
        <v>18.320999145507813</v>
      </c>
      <c r="H146" s="125">
        <v>312</v>
      </c>
      <c r="I146" s="123">
        <v>278</v>
      </c>
      <c r="J146" s="123">
        <v>62.881999969482422</v>
      </c>
      <c r="K146" s="123">
        <v>62.474346160888672</v>
      </c>
      <c r="L146" s="123">
        <v>44.708000183105469</v>
      </c>
      <c r="M146" s="123">
        <v>12.779000282287598</v>
      </c>
      <c r="N146" s="123">
        <v>17.367000579833984</v>
      </c>
      <c r="O146" s="123">
        <v>17</v>
      </c>
      <c r="P146" s="123">
        <v>0</v>
      </c>
      <c r="Q146" s="123">
        <v>17.464099884033203</v>
      </c>
      <c r="R146" s="123">
        <v>12</v>
      </c>
      <c r="S146" s="123">
        <v>11.468911170959473</v>
      </c>
      <c r="T146" s="123">
        <v>9</v>
      </c>
      <c r="U146" s="123">
        <v>9</v>
      </c>
      <c r="V146" s="125">
        <v>939</v>
      </c>
      <c r="W146" s="123">
        <v>27.968955993652344</v>
      </c>
      <c r="X146" s="123">
        <v>28.613000869750977</v>
      </c>
      <c r="Y146" s="123">
        <v>7.4429998397827148</v>
      </c>
      <c r="Z146" s="123">
        <v>0</v>
      </c>
      <c r="AA146" s="123">
        <v>23.52400016784668</v>
      </c>
      <c r="AB146" s="123">
        <v>0</v>
      </c>
      <c r="AC146" s="123">
        <v>56.501800537109375</v>
      </c>
      <c r="AD146" s="123">
        <v>6.1069998741149902</v>
      </c>
      <c r="AE146" s="123">
        <v>0</v>
      </c>
      <c r="AF146" s="123">
        <v>85.688621520996094</v>
      </c>
      <c r="AG146" s="123">
        <v>0</v>
      </c>
      <c r="AH146" s="123">
        <v>63.379981994628906</v>
      </c>
      <c r="AI146" s="123">
        <v>15.204000473022461</v>
      </c>
      <c r="AJ146" s="123">
        <v>20.842214584350586</v>
      </c>
      <c r="AK146" s="123">
        <v>45.841888427734375</v>
      </c>
      <c r="AL146" s="123">
        <v>39.053001403808594</v>
      </c>
      <c r="AM146" s="126">
        <v>55.4739990234375</v>
      </c>
      <c r="AN146" s="125">
        <v>122.0625</v>
      </c>
      <c r="AO146" s="127">
        <v>64</v>
      </c>
      <c r="AP146" s="123">
        <v>66.383293151855469</v>
      </c>
      <c r="AQ146" s="123">
        <v>39.043144226074219</v>
      </c>
      <c r="AR146" s="123">
        <v>87</v>
      </c>
      <c r="AS146" s="123"/>
      <c r="AT146" s="123">
        <v>123</v>
      </c>
      <c r="AU146" s="123"/>
      <c r="AV146" s="123">
        <v>72</v>
      </c>
      <c r="AW146" s="123"/>
      <c r="AX146" s="123">
        <v>30</v>
      </c>
      <c r="AY146" s="123">
        <v>33.244663238525391</v>
      </c>
      <c r="AZ146" s="123">
        <v>15</v>
      </c>
      <c r="BA146" s="123"/>
      <c r="BB146" s="123">
        <v>298</v>
      </c>
      <c r="BC146" s="123">
        <v>298.0128173828125</v>
      </c>
      <c r="BD146" s="123">
        <v>6.9000000953674316</v>
      </c>
      <c r="BE146" s="123">
        <v>6.9832034111022949</v>
      </c>
      <c r="BF146" s="123">
        <v>31</v>
      </c>
      <c r="BG146" s="123">
        <v>11</v>
      </c>
      <c r="BH146" s="123">
        <v>11.472844123840332</v>
      </c>
      <c r="BI146" s="123"/>
      <c r="BJ146" s="108">
        <f t="shared" si="7"/>
        <v>15</v>
      </c>
      <c r="BK146" s="123">
        <v>15</v>
      </c>
      <c r="BL146" s="123">
        <v>0</v>
      </c>
      <c r="BM146" s="126"/>
      <c r="BN146" s="108">
        <f t="shared" si="8"/>
        <v>123.20000076293945</v>
      </c>
      <c r="BO146" s="108">
        <v>74</v>
      </c>
      <c r="BP146" s="108">
        <v>49.200000762939453</v>
      </c>
      <c r="BQ146" s="108">
        <v>279</v>
      </c>
      <c r="BR146" s="123">
        <v>77.583999633789063</v>
      </c>
      <c r="BS146" s="123">
        <v>24.429000854492188</v>
      </c>
      <c r="BT146" s="123">
        <v>41.562999725341797</v>
      </c>
      <c r="BU146" s="123">
        <v>37.915000915527344</v>
      </c>
      <c r="BV146" s="123">
        <v>70</v>
      </c>
      <c r="BW146" s="123">
        <v>6.0999999046325684</v>
      </c>
      <c r="BX146" s="123">
        <v>13.5</v>
      </c>
      <c r="BY146" s="123">
        <v>28</v>
      </c>
      <c r="BZ146" s="123">
        <v>1.637650653719902E-2</v>
      </c>
      <c r="CA146" s="123">
        <v>1</v>
      </c>
      <c r="CB146" s="123">
        <v>29.067739486694336</v>
      </c>
      <c r="CC146" s="126"/>
      <c r="CD146" s="123">
        <v>354.13186645507813</v>
      </c>
      <c r="CE146" s="123">
        <v>35.081146240234375</v>
      </c>
      <c r="CF146" s="123">
        <v>22.880813598632813</v>
      </c>
      <c r="CG146" s="123">
        <v>35.338191986083984</v>
      </c>
      <c r="CH146" s="123">
        <v>283.16802978515625</v>
      </c>
      <c r="CI146" s="123">
        <v>84.110549926757813</v>
      </c>
      <c r="CJ146" s="123">
        <v>38.762008666992188</v>
      </c>
      <c r="CK146" s="123">
        <v>51.024734497070313</v>
      </c>
      <c r="CL146" s="124">
        <v>34.92010498046875</v>
      </c>
      <c r="CM146" s="125">
        <v>225.24723815917969</v>
      </c>
      <c r="CN146" s="123">
        <v>75.40960693359375</v>
      </c>
      <c r="CO146" s="123">
        <v>73.844223022460938</v>
      </c>
      <c r="CP146" s="123">
        <v>72.778244018554688</v>
      </c>
      <c r="CQ146" s="123">
        <v>0</v>
      </c>
      <c r="CR146" s="123">
        <v>50.814434051513672</v>
      </c>
      <c r="CS146" s="123">
        <v>9.0848274230957031</v>
      </c>
      <c r="CT146" s="123">
        <v>34.104145050048828</v>
      </c>
      <c r="CU146" s="123">
        <v>50.424034118652344</v>
      </c>
      <c r="CV146" s="124">
        <v>67.467994689941406</v>
      </c>
      <c r="CW146" s="125">
        <v>6</v>
      </c>
      <c r="CX146" s="123">
        <v>335</v>
      </c>
      <c r="CY146" s="123">
        <v>126.74319458007813</v>
      </c>
      <c r="CZ146" s="123">
        <v>53.048728942871094</v>
      </c>
      <c r="DA146" s="123">
        <v>20.188335418701172</v>
      </c>
      <c r="DB146" s="123">
        <v>33.013721466064453</v>
      </c>
      <c r="DC146" s="123">
        <v>82.823234558105469</v>
      </c>
      <c r="DD146" s="123">
        <v>74</v>
      </c>
      <c r="DE146" s="123">
        <v>182</v>
      </c>
      <c r="DF146" s="123">
        <v>107.98573303222656</v>
      </c>
      <c r="DG146" s="123">
        <v>76.833404541015625</v>
      </c>
      <c r="DH146" s="123">
        <v>52.890769958496094</v>
      </c>
      <c r="DI146" s="128">
        <v>39.727142333984375</v>
      </c>
      <c r="DJ146" s="127">
        <v>213</v>
      </c>
      <c r="DK146" s="123">
        <v>109.67600250244141</v>
      </c>
      <c r="DL146" s="123">
        <v>24.089000701904297</v>
      </c>
      <c r="DM146" s="123">
        <v>30.041000366210938</v>
      </c>
      <c r="DN146" s="123">
        <v>50.893001556396484</v>
      </c>
      <c r="DO146" s="124">
        <v>112.7445068359375</v>
      </c>
      <c r="DP146" s="125">
        <v>15.692000389099121</v>
      </c>
      <c r="DQ146" s="123"/>
      <c r="DR146" s="125">
        <v>0</v>
      </c>
      <c r="DS146" s="128">
        <v>35.599998474121094</v>
      </c>
      <c r="DT146" s="127">
        <v>12</v>
      </c>
      <c r="DU146" s="123"/>
      <c r="DV146" s="123">
        <v>11</v>
      </c>
      <c r="DW146" s="123">
        <v>2.1516437530517578</v>
      </c>
      <c r="DX146" s="125">
        <v>10</v>
      </c>
      <c r="DY146" s="128"/>
      <c r="DZ146" s="127">
        <v>45</v>
      </c>
      <c r="EA146" s="123">
        <v>3</v>
      </c>
      <c r="EB146" s="123">
        <v>0</v>
      </c>
      <c r="EC146" s="123">
        <v>1</v>
      </c>
      <c r="ED146" s="123">
        <v>262.20001220703125</v>
      </c>
      <c r="EE146" s="129"/>
      <c r="EF146" s="129"/>
      <c r="EG146" s="129"/>
    </row>
    <row r="147" spans="1:137" x14ac:dyDescent="0.3">
      <c r="A147" s="226">
        <f t="shared" si="6"/>
        <v>46020.099305555879</v>
      </c>
      <c r="B147" s="123">
        <v>245</v>
      </c>
      <c r="C147" s="123">
        <v>50.666999816894531</v>
      </c>
      <c r="D147" s="123">
        <v>102.01300048828125</v>
      </c>
      <c r="E147" s="123">
        <v>16.85099983215332</v>
      </c>
      <c r="F147" s="123">
        <v>3.1280555725097656</v>
      </c>
      <c r="G147" s="124">
        <v>17.756000518798828</v>
      </c>
      <c r="H147" s="125">
        <v>311</v>
      </c>
      <c r="I147" s="123">
        <v>278</v>
      </c>
      <c r="J147" s="123">
        <v>62.316001892089844</v>
      </c>
      <c r="K147" s="123">
        <v>62.576591491699219</v>
      </c>
      <c r="L147" s="123">
        <v>43.647998809814453</v>
      </c>
      <c r="M147" s="123">
        <v>12.779000282287598</v>
      </c>
      <c r="N147" s="123">
        <v>17.302999496459961</v>
      </c>
      <c r="O147" s="123">
        <v>18</v>
      </c>
      <c r="P147" s="123">
        <v>0</v>
      </c>
      <c r="Q147" s="123">
        <v>18.371500015258789</v>
      </c>
      <c r="R147" s="123">
        <v>10.996874809265137</v>
      </c>
      <c r="S147" s="123">
        <v>11.580582618713379</v>
      </c>
      <c r="T147" s="123">
        <v>9</v>
      </c>
      <c r="U147" s="123">
        <v>9</v>
      </c>
      <c r="V147" s="125">
        <v>923</v>
      </c>
      <c r="W147" s="123">
        <v>27.870054244995117</v>
      </c>
      <c r="X147" s="123">
        <v>28.160999298095703</v>
      </c>
      <c r="Y147" s="123">
        <v>7.060999870300293</v>
      </c>
      <c r="Z147" s="123">
        <v>0</v>
      </c>
      <c r="AA147" s="123">
        <v>22.506000518798828</v>
      </c>
      <c r="AB147" s="123">
        <v>0</v>
      </c>
      <c r="AC147" s="123">
        <v>56.238918304443359</v>
      </c>
      <c r="AD147" s="123">
        <v>6.1069998741149902</v>
      </c>
      <c r="AE147" s="123">
        <v>0</v>
      </c>
      <c r="AF147" s="123">
        <v>84.8857421875</v>
      </c>
      <c r="AG147" s="123">
        <v>0</v>
      </c>
      <c r="AH147" s="123">
        <v>64.620155334472656</v>
      </c>
      <c r="AI147" s="123">
        <v>15.713000297546387</v>
      </c>
      <c r="AJ147" s="123">
        <v>19.988334655761719</v>
      </c>
      <c r="AK147" s="123">
        <v>46.005123138427734</v>
      </c>
      <c r="AL147" s="123">
        <v>39.053001403808594</v>
      </c>
      <c r="AM147" s="126">
        <v>54.13800048828125</v>
      </c>
      <c r="AN147" s="125">
        <v>122.875</v>
      </c>
      <c r="AO147" s="127">
        <v>66</v>
      </c>
      <c r="AP147" s="123">
        <v>65.43231201171875</v>
      </c>
      <c r="AQ147" s="123">
        <v>39.311405181884766</v>
      </c>
      <c r="AR147" s="123">
        <v>84</v>
      </c>
      <c r="AS147" s="123"/>
      <c r="AT147" s="123">
        <v>124</v>
      </c>
      <c r="AU147" s="123"/>
      <c r="AV147" s="123">
        <v>72</v>
      </c>
      <c r="AW147" s="123"/>
      <c r="AX147" s="123">
        <v>30</v>
      </c>
      <c r="AY147" s="123">
        <v>33.244663238525391</v>
      </c>
      <c r="AZ147" s="123">
        <v>15</v>
      </c>
      <c r="BA147" s="123"/>
      <c r="BB147" s="123">
        <v>297</v>
      </c>
      <c r="BC147" s="123">
        <v>298.0128173828125</v>
      </c>
      <c r="BD147" s="123">
        <v>6.9000000953674316</v>
      </c>
      <c r="BE147" s="123">
        <v>6.93377685546875</v>
      </c>
      <c r="BF147" s="123">
        <v>30</v>
      </c>
      <c r="BG147" s="123">
        <v>10</v>
      </c>
      <c r="BH147" s="123">
        <v>11.21547794342041</v>
      </c>
      <c r="BI147" s="123"/>
      <c r="BJ147" s="108">
        <f t="shared" si="7"/>
        <v>14</v>
      </c>
      <c r="BK147" s="123">
        <v>14</v>
      </c>
      <c r="BL147" s="123">
        <v>0</v>
      </c>
      <c r="BM147" s="126"/>
      <c r="BN147" s="108">
        <f t="shared" si="8"/>
        <v>123</v>
      </c>
      <c r="BO147" s="108">
        <v>74</v>
      </c>
      <c r="BP147" s="108">
        <v>49</v>
      </c>
      <c r="BQ147" s="108">
        <v>279</v>
      </c>
      <c r="BR147" s="123">
        <v>72.155998229980469</v>
      </c>
      <c r="BS147" s="123">
        <v>23.410999298095703</v>
      </c>
      <c r="BT147" s="123">
        <v>43.294998168945313</v>
      </c>
      <c r="BU147" s="123">
        <v>38.423999786376953</v>
      </c>
      <c r="BV147" s="123">
        <v>69.199996948242188</v>
      </c>
      <c r="BW147" s="123">
        <v>6.0999999046325684</v>
      </c>
      <c r="BX147" s="123">
        <v>13.5</v>
      </c>
      <c r="BY147" s="123">
        <v>29</v>
      </c>
      <c r="BZ147" s="123">
        <v>1.3998743146657944E-2</v>
      </c>
      <c r="CA147" s="123">
        <v>1</v>
      </c>
      <c r="CB147" s="123">
        <v>29.067739486694336</v>
      </c>
      <c r="CC147" s="126"/>
      <c r="CD147" s="123">
        <v>354.13186645507813</v>
      </c>
      <c r="CE147" s="123">
        <v>34.789768218994141</v>
      </c>
      <c r="CF147" s="123">
        <v>22.556474685668945</v>
      </c>
      <c r="CG147" s="123">
        <v>35.338191986083984</v>
      </c>
      <c r="CH147" s="123">
        <v>283.11557006835938</v>
      </c>
      <c r="CI147" s="123">
        <v>84.068626403808594</v>
      </c>
      <c r="CJ147" s="123">
        <v>37.040042877197266</v>
      </c>
      <c r="CK147" s="123">
        <v>51.853794097900391</v>
      </c>
      <c r="CL147" s="124">
        <v>36.233573913574219</v>
      </c>
      <c r="CM147" s="125">
        <v>225.17596435546875</v>
      </c>
      <c r="CN147" s="123">
        <v>76.448295593261719</v>
      </c>
      <c r="CO147" s="123">
        <v>71.892974853515625</v>
      </c>
      <c r="CP147" s="123">
        <v>72.519340515136719</v>
      </c>
      <c r="CQ147" s="123">
        <v>0</v>
      </c>
      <c r="CR147" s="123">
        <v>51.508228302001953</v>
      </c>
      <c r="CS147" s="123">
        <v>9.2753524780273438</v>
      </c>
      <c r="CT147" s="123">
        <v>39.340354919433594</v>
      </c>
      <c r="CU147" s="123">
        <v>51.841293334960938</v>
      </c>
      <c r="CV147" s="124">
        <v>68.861885070800781</v>
      </c>
      <c r="CW147" s="125">
        <v>2</v>
      </c>
      <c r="CX147" s="123">
        <v>331</v>
      </c>
      <c r="CY147" s="123">
        <v>123.67664337158203</v>
      </c>
      <c r="CZ147" s="123">
        <v>53.62353515625</v>
      </c>
      <c r="DA147" s="123">
        <v>21.036931991577148</v>
      </c>
      <c r="DB147" s="123">
        <v>33.123939514160156</v>
      </c>
      <c r="DC147" s="123">
        <v>80.134757995605469</v>
      </c>
      <c r="DD147" s="123">
        <v>70</v>
      </c>
      <c r="DE147" s="123">
        <v>182</v>
      </c>
      <c r="DF147" s="123">
        <v>108.91116333007813</v>
      </c>
      <c r="DG147" s="123">
        <v>75.906768798828125</v>
      </c>
      <c r="DH147" s="123">
        <v>52.928630828857422</v>
      </c>
      <c r="DI147" s="128">
        <v>39.049667358398438</v>
      </c>
      <c r="DJ147" s="127">
        <v>210</v>
      </c>
      <c r="DK147" s="123">
        <v>109.67600250244141</v>
      </c>
      <c r="DL147" s="123">
        <v>24.089000701904297</v>
      </c>
      <c r="DM147" s="123">
        <v>30.041000366210938</v>
      </c>
      <c r="DN147" s="123">
        <v>50.893001556396484</v>
      </c>
      <c r="DO147" s="124">
        <v>110.95027923583984</v>
      </c>
      <c r="DP147" s="125">
        <v>15.692000389099121</v>
      </c>
      <c r="DQ147" s="123"/>
      <c r="DR147" s="125">
        <v>0</v>
      </c>
      <c r="DS147" s="128">
        <v>34.5</v>
      </c>
      <c r="DT147" s="127">
        <v>12</v>
      </c>
      <c r="DU147" s="123"/>
      <c r="DV147" s="123">
        <v>10</v>
      </c>
      <c r="DW147" s="123">
        <v>2.1976058483123779</v>
      </c>
      <c r="DX147" s="125">
        <v>10</v>
      </c>
      <c r="DY147" s="128"/>
      <c r="DZ147" s="127">
        <v>45</v>
      </c>
      <c r="EA147" s="123">
        <v>3</v>
      </c>
      <c r="EB147" s="123">
        <v>0</v>
      </c>
      <c r="EC147" s="123">
        <v>2</v>
      </c>
      <c r="ED147" s="123">
        <v>264.5</v>
      </c>
      <c r="EE147" s="129"/>
      <c r="EF147" s="129"/>
      <c r="EG147" s="129"/>
    </row>
    <row r="148" spans="1:137" x14ac:dyDescent="0.3">
      <c r="A148" s="226">
        <f t="shared" si="6"/>
        <v>46020.100000000326</v>
      </c>
      <c r="B148" s="123">
        <v>238</v>
      </c>
      <c r="C148" s="123">
        <v>46.708999633789063</v>
      </c>
      <c r="D148" s="123">
        <v>103.14399719238281</v>
      </c>
      <c r="E148" s="123">
        <v>16.285999298095703</v>
      </c>
      <c r="F148" s="123">
        <v>7.6072196960449219</v>
      </c>
      <c r="G148" s="124">
        <v>16.738000869750977</v>
      </c>
      <c r="H148" s="125">
        <v>308</v>
      </c>
      <c r="I148" s="123">
        <v>270</v>
      </c>
      <c r="J148" s="123">
        <v>63.446998596191406</v>
      </c>
      <c r="K148" s="123">
        <v>62.180267333984375</v>
      </c>
      <c r="L148" s="123">
        <v>43.647998809814453</v>
      </c>
      <c r="M148" s="123">
        <v>13.119000434875488</v>
      </c>
      <c r="N148" s="123">
        <v>17.048999786376953</v>
      </c>
      <c r="O148" s="123">
        <v>18</v>
      </c>
      <c r="P148" s="123">
        <v>0</v>
      </c>
      <c r="Q148" s="123">
        <v>17.500871658325195</v>
      </c>
      <c r="R148" s="123">
        <v>10.996874809265137</v>
      </c>
      <c r="S148" s="123">
        <v>11.767380714416504</v>
      </c>
      <c r="T148" s="123">
        <v>9</v>
      </c>
      <c r="U148" s="123">
        <v>9</v>
      </c>
      <c r="V148" s="125">
        <v>923</v>
      </c>
      <c r="W148" s="123">
        <v>27.620880126953125</v>
      </c>
      <c r="X148" s="123">
        <v>28.048000335693359</v>
      </c>
      <c r="Y148" s="123">
        <v>6.9970002174377441</v>
      </c>
      <c r="Z148" s="123">
        <v>0</v>
      </c>
      <c r="AA148" s="123">
        <v>23.184000015258789</v>
      </c>
      <c r="AB148" s="123">
        <v>0</v>
      </c>
      <c r="AC148" s="123">
        <v>56.234500885009766</v>
      </c>
      <c r="AD148" s="123">
        <v>6.3610000610351563</v>
      </c>
      <c r="AE148" s="123">
        <v>0</v>
      </c>
      <c r="AF148" s="123">
        <v>86.214515686035156</v>
      </c>
      <c r="AG148" s="123">
        <v>0</v>
      </c>
      <c r="AH148" s="123">
        <v>65.935173034667969</v>
      </c>
      <c r="AI148" s="123">
        <v>13.994999885559082</v>
      </c>
      <c r="AJ148" s="123">
        <v>21.270696640014648</v>
      </c>
      <c r="AK148" s="123">
        <v>46.308925628662109</v>
      </c>
      <c r="AL148" s="123">
        <v>37.816001892089844</v>
      </c>
      <c r="AM148" s="126">
        <v>54.838001251220703</v>
      </c>
      <c r="AN148" s="125">
        <v>124.8125</v>
      </c>
      <c r="AO148" s="127">
        <v>65</v>
      </c>
      <c r="AP148" s="123">
        <v>65.43231201171875</v>
      </c>
      <c r="AQ148" s="123">
        <v>38.646438598632813</v>
      </c>
      <c r="AR148" s="123">
        <v>84</v>
      </c>
      <c r="AS148" s="123"/>
      <c r="AT148" s="123">
        <v>122</v>
      </c>
      <c r="AU148" s="123"/>
      <c r="AV148" s="123">
        <v>72</v>
      </c>
      <c r="AW148" s="123"/>
      <c r="AX148" s="123">
        <v>30</v>
      </c>
      <c r="AY148" s="123">
        <v>33.377216339111328</v>
      </c>
      <c r="AZ148" s="123">
        <v>16</v>
      </c>
      <c r="BA148" s="123"/>
      <c r="BB148" s="123">
        <v>297</v>
      </c>
      <c r="BC148" s="123">
        <v>298.8101806640625</v>
      </c>
      <c r="BD148" s="123">
        <v>6.9000000953674316</v>
      </c>
      <c r="BE148" s="123">
        <v>6.9310054779052734</v>
      </c>
      <c r="BF148" s="123">
        <v>30</v>
      </c>
      <c r="BG148" s="123">
        <v>10</v>
      </c>
      <c r="BH148" s="123">
        <v>11.184809684753418</v>
      </c>
      <c r="BI148" s="123"/>
      <c r="BJ148" s="108">
        <f t="shared" si="7"/>
        <v>14</v>
      </c>
      <c r="BK148" s="123">
        <v>14</v>
      </c>
      <c r="BL148" s="123">
        <v>0</v>
      </c>
      <c r="BM148" s="126"/>
      <c r="BN148" s="108">
        <f t="shared" si="8"/>
        <v>122.20000076293945</v>
      </c>
      <c r="BO148" s="108">
        <v>73</v>
      </c>
      <c r="BP148" s="108">
        <v>49.200000762939453</v>
      </c>
      <c r="BQ148" s="108">
        <v>269</v>
      </c>
      <c r="BR148" s="123">
        <v>71.476997375488281</v>
      </c>
      <c r="BS148" s="123">
        <v>24.429000854492188</v>
      </c>
      <c r="BT148" s="123">
        <v>40.869998931884766</v>
      </c>
      <c r="BU148" s="123">
        <v>38.615001678466797</v>
      </c>
      <c r="BV148" s="123">
        <v>69.699996948242188</v>
      </c>
      <c r="BW148" s="123">
        <v>6</v>
      </c>
      <c r="BX148" s="123">
        <v>13.5</v>
      </c>
      <c r="BY148" s="123">
        <v>29</v>
      </c>
      <c r="BZ148" s="123">
        <v>1.4142986387014389E-2</v>
      </c>
      <c r="CA148" s="123">
        <v>1</v>
      </c>
      <c r="CB148" s="123">
        <v>29.145221710205078</v>
      </c>
      <c r="CC148" s="126"/>
      <c r="CD148" s="123">
        <v>366.33404541015625</v>
      </c>
      <c r="CE148" s="123">
        <v>36.584453582763672</v>
      </c>
      <c r="CF148" s="123">
        <v>22.38524055480957</v>
      </c>
      <c r="CG148" s="123">
        <v>35.338191986083984</v>
      </c>
      <c r="CH148" s="123">
        <v>283.03805541992188</v>
      </c>
      <c r="CI148" s="123">
        <v>82.309951782226563</v>
      </c>
      <c r="CJ148" s="123">
        <v>35.357440948486328</v>
      </c>
      <c r="CK148" s="123">
        <v>51.542327880859375</v>
      </c>
      <c r="CL148" s="124">
        <v>34.810928344726563</v>
      </c>
      <c r="CM148" s="125">
        <v>224.37152099609375</v>
      </c>
      <c r="CN148" s="123">
        <v>75.997467041015625</v>
      </c>
      <c r="CO148" s="123">
        <v>73.505691528320313</v>
      </c>
      <c r="CP148" s="123">
        <v>71.181060791015625</v>
      </c>
      <c r="CQ148" s="123">
        <v>0</v>
      </c>
      <c r="CR148" s="123">
        <v>51.211627960205078</v>
      </c>
      <c r="CS148" s="123">
        <v>9.3478002548217773</v>
      </c>
      <c r="CT148" s="123">
        <v>35.514564514160156</v>
      </c>
      <c r="CU148" s="123">
        <v>49.875534057617188</v>
      </c>
      <c r="CV148" s="124">
        <v>71.089714050292969</v>
      </c>
      <c r="CW148" s="125">
        <v>4</v>
      </c>
      <c r="CX148" s="123">
        <v>331</v>
      </c>
      <c r="CY148" s="123">
        <v>126.26500701904297</v>
      </c>
      <c r="CZ148" s="123">
        <v>52.909126281738281</v>
      </c>
      <c r="DA148" s="123">
        <v>20.291759490966797</v>
      </c>
      <c r="DB148" s="123">
        <v>32.301197052001953</v>
      </c>
      <c r="DC148" s="123">
        <v>81.013824462890625</v>
      </c>
      <c r="DD148" s="123">
        <v>68</v>
      </c>
      <c r="DE148" s="123">
        <v>184</v>
      </c>
      <c r="DF148" s="123">
        <v>109.31226348876953</v>
      </c>
      <c r="DG148" s="123">
        <v>75.755622863769531</v>
      </c>
      <c r="DH148" s="123">
        <v>53.899394989013672</v>
      </c>
      <c r="DI148" s="128">
        <v>38.716274261474609</v>
      </c>
      <c r="DJ148" s="127">
        <v>210</v>
      </c>
      <c r="DK148" s="123">
        <v>109.67600250244141</v>
      </c>
      <c r="DL148" s="123">
        <v>24.089000701904297</v>
      </c>
      <c r="DM148" s="123">
        <v>30.041000366210938</v>
      </c>
      <c r="DN148" s="123">
        <v>50.893001556396484</v>
      </c>
      <c r="DO148" s="124">
        <v>109.84603881835938</v>
      </c>
      <c r="DP148" s="125">
        <v>15.35200023651123</v>
      </c>
      <c r="DQ148" s="123"/>
      <c r="DR148" s="125">
        <v>0</v>
      </c>
      <c r="DS148" s="128">
        <v>33.5</v>
      </c>
      <c r="DT148" s="127">
        <v>12</v>
      </c>
      <c r="DU148" s="123"/>
      <c r="DV148" s="123">
        <v>10</v>
      </c>
      <c r="DW148" s="123">
        <v>2.3136529922485352</v>
      </c>
      <c r="DX148" s="125">
        <v>10</v>
      </c>
      <c r="DY148" s="128"/>
      <c r="DZ148" s="127">
        <v>45</v>
      </c>
      <c r="EA148" s="123">
        <v>3</v>
      </c>
      <c r="EB148" s="123">
        <v>0</v>
      </c>
      <c r="EC148" s="123">
        <v>1</v>
      </c>
      <c r="ED148" s="123">
        <v>263.29998779296875</v>
      </c>
      <c r="EE148" s="129"/>
      <c r="EF148" s="129"/>
      <c r="EG148" s="129"/>
    </row>
    <row r="149" spans="1:137" x14ac:dyDescent="0.3">
      <c r="A149" s="226">
        <f t="shared" si="6"/>
        <v>46020.100694444773</v>
      </c>
      <c r="B149" s="123">
        <v>238</v>
      </c>
      <c r="C149" s="123">
        <v>48.743999481201172</v>
      </c>
      <c r="D149" s="123">
        <v>103.03099822998047</v>
      </c>
      <c r="E149" s="123">
        <v>17.756000518798828</v>
      </c>
      <c r="F149" s="123">
        <v>7.7196516990661621</v>
      </c>
      <c r="G149" s="124">
        <v>19</v>
      </c>
      <c r="H149" s="125">
        <v>309</v>
      </c>
      <c r="I149" s="123">
        <v>279</v>
      </c>
      <c r="J149" s="123">
        <v>62.202999114990234</v>
      </c>
      <c r="K149" s="123">
        <v>61.54443359375</v>
      </c>
      <c r="L149" s="123">
        <v>43.825000762939453</v>
      </c>
      <c r="M149" s="123">
        <v>13.684000015258789</v>
      </c>
      <c r="N149" s="123">
        <v>18.257999420166016</v>
      </c>
      <c r="O149" s="123">
        <v>17</v>
      </c>
      <c r="P149" s="123">
        <v>0</v>
      </c>
      <c r="Q149" s="123">
        <v>17.987421035766602</v>
      </c>
      <c r="R149" s="123">
        <v>12</v>
      </c>
      <c r="S149" s="123">
        <v>11.449115753173828</v>
      </c>
      <c r="T149" s="123">
        <v>9</v>
      </c>
      <c r="U149" s="123">
        <v>9</v>
      </c>
      <c r="V149" s="125">
        <v>923</v>
      </c>
      <c r="W149" s="123">
        <v>27.578996658325195</v>
      </c>
      <c r="X149" s="123">
        <v>27.820999145507813</v>
      </c>
      <c r="Y149" s="123">
        <v>7.315000057220459</v>
      </c>
      <c r="Z149" s="123">
        <v>0</v>
      </c>
      <c r="AA149" s="123">
        <v>23.75</v>
      </c>
      <c r="AB149" s="123">
        <v>0</v>
      </c>
      <c r="AC149" s="123">
        <v>57.079303741455078</v>
      </c>
      <c r="AD149" s="123">
        <v>6.3610000610351563</v>
      </c>
      <c r="AE149" s="123">
        <v>0</v>
      </c>
      <c r="AF149" s="123">
        <v>85.603233337402344</v>
      </c>
      <c r="AG149" s="123">
        <v>0</v>
      </c>
      <c r="AH149" s="123">
        <v>66.793769836425781</v>
      </c>
      <c r="AI149" s="123">
        <v>12.468000411987305</v>
      </c>
      <c r="AJ149" s="123">
        <v>21.208255767822266</v>
      </c>
      <c r="AK149" s="123">
        <v>46.148490905761719</v>
      </c>
      <c r="AL149" s="123">
        <v>39.937000274658203</v>
      </c>
      <c r="AM149" s="126">
        <v>54.709999084472656</v>
      </c>
      <c r="AN149" s="125">
        <v>123.5625</v>
      </c>
      <c r="AO149" s="127">
        <v>64</v>
      </c>
      <c r="AP149" s="123">
        <v>66.51806640625</v>
      </c>
      <c r="AQ149" s="123">
        <v>38.757061004638672</v>
      </c>
      <c r="AR149" s="123">
        <v>85</v>
      </c>
      <c r="AS149" s="123"/>
      <c r="AT149" s="123">
        <v>122</v>
      </c>
      <c r="AU149" s="123"/>
      <c r="AV149" s="123">
        <v>79</v>
      </c>
      <c r="AW149" s="123"/>
      <c r="AX149" s="123">
        <v>32</v>
      </c>
      <c r="AY149" s="123">
        <v>34.038799285888672</v>
      </c>
      <c r="AZ149" s="123">
        <v>15</v>
      </c>
      <c r="BA149" s="123"/>
      <c r="BB149" s="123">
        <v>297</v>
      </c>
      <c r="BC149" s="123">
        <v>297.10556030273438</v>
      </c>
      <c r="BD149" s="123">
        <v>7.1999998092651367</v>
      </c>
      <c r="BE149" s="123">
        <v>7.2529988288879395</v>
      </c>
      <c r="BF149" s="123">
        <v>30</v>
      </c>
      <c r="BG149" s="123">
        <v>10</v>
      </c>
      <c r="BH149" s="123">
        <v>11.141317367553711</v>
      </c>
      <c r="BI149" s="123"/>
      <c r="BJ149" s="108">
        <f t="shared" si="7"/>
        <v>14</v>
      </c>
      <c r="BK149" s="123">
        <v>14</v>
      </c>
      <c r="BL149" s="123">
        <v>0</v>
      </c>
      <c r="BM149" s="126"/>
      <c r="BN149" s="108">
        <f t="shared" si="8"/>
        <v>122.20000076293945</v>
      </c>
      <c r="BO149" s="108">
        <v>73</v>
      </c>
      <c r="BP149" s="108">
        <v>49.200000762939453</v>
      </c>
      <c r="BQ149" s="108">
        <v>269</v>
      </c>
      <c r="BR149" s="123">
        <v>76.226997375488281</v>
      </c>
      <c r="BS149" s="123">
        <v>25.191999435424805</v>
      </c>
      <c r="BT149" s="123">
        <v>42.255001068115234</v>
      </c>
      <c r="BU149" s="123">
        <v>38.742000579833984</v>
      </c>
      <c r="BV149" s="123">
        <v>68.400001525878906</v>
      </c>
      <c r="BW149" s="123">
        <v>6</v>
      </c>
      <c r="BX149" s="123">
        <v>13.800000190734863</v>
      </c>
      <c r="BY149" s="123">
        <v>29</v>
      </c>
      <c r="BZ149" s="123">
        <v>1.4142986387014389E-2</v>
      </c>
      <c r="CA149" s="123">
        <v>1</v>
      </c>
      <c r="CB149" s="123">
        <v>29.145221710205078</v>
      </c>
      <c r="CC149" s="126"/>
      <c r="CD149" s="123">
        <v>356.25967407226563</v>
      </c>
      <c r="CE149" s="123">
        <v>36.921092987060547</v>
      </c>
      <c r="CF149" s="123">
        <v>22.440557479858398</v>
      </c>
      <c r="CG149" s="123">
        <v>35.338191986083984</v>
      </c>
      <c r="CH149" s="123">
        <v>283.63446044921875</v>
      </c>
      <c r="CI149" s="123">
        <v>83.398193359375</v>
      </c>
      <c r="CJ149" s="123">
        <v>35.924240112304688</v>
      </c>
      <c r="CK149" s="123">
        <v>53.438026428222656</v>
      </c>
      <c r="CL149" s="124">
        <v>34.089687347412109</v>
      </c>
      <c r="CM149" s="125">
        <v>221.5980224609375</v>
      </c>
      <c r="CN149" s="123">
        <v>74.122329711914063</v>
      </c>
      <c r="CO149" s="123">
        <v>73.142349243164063</v>
      </c>
      <c r="CP149" s="123">
        <v>71.764350891113281</v>
      </c>
      <c r="CQ149" s="123">
        <v>0</v>
      </c>
      <c r="CR149" s="123">
        <v>50.547985076904297</v>
      </c>
      <c r="CS149" s="123">
        <v>9.0980358123779297</v>
      </c>
      <c r="CT149" s="123">
        <v>35.047126770019531</v>
      </c>
      <c r="CU149" s="123">
        <v>51.446372985839844</v>
      </c>
      <c r="CV149" s="124">
        <v>70.249557495117188</v>
      </c>
      <c r="CW149" s="125">
        <v>12</v>
      </c>
      <c r="CX149" s="123">
        <v>332</v>
      </c>
      <c r="CY149" s="123">
        <v>124.97512817382813</v>
      </c>
      <c r="CZ149" s="123">
        <v>52.006496429443359</v>
      </c>
      <c r="DA149" s="123">
        <v>20.632518768310547</v>
      </c>
      <c r="DB149" s="123">
        <v>32.945114135742188</v>
      </c>
      <c r="DC149" s="123">
        <v>81.102485656738281</v>
      </c>
      <c r="DD149" s="123">
        <v>68</v>
      </c>
      <c r="DE149" s="123">
        <v>179</v>
      </c>
      <c r="DF149" s="123">
        <v>109.06776428222656</v>
      </c>
      <c r="DG149" s="123">
        <v>79.667434692382813</v>
      </c>
      <c r="DH149" s="123">
        <v>53.851703643798828</v>
      </c>
      <c r="DI149" s="128">
        <v>40.158199310302734</v>
      </c>
      <c r="DJ149" s="127">
        <v>213</v>
      </c>
      <c r="DK149" s="123">
        <v>109.67600250244141</v>
      </c>
      <c r="DL149" s="123">
        <v>24.089000701904297</v>
      </c>
      <c r="DM149" s="123">
        <v>30.041000366210938</v>
      </c>
      <c r="DN149" s="123">
        <v>50.893001556396484</v>
      </c>
      <c r="DO149" s="124">
        <v>113.58908081054688</v>
      </c>
      <c r="DP149" s="125">
        <v>15.35200023651123</v>
      </c>
      <c r="DQ149" s="123"/>
      <c r="DR149" s="125">
        <v>0</v>
      </c>
      <c r="DS149" s="128">
        <v>32.700000762939453</v>
      </c>
      <c r="DT149" s="127">
        <v>12</v>
      </c>
      <c r="DU149" s="123"/>
      <c r="DV149" s="123">
        <v>9</v>
      </c>
      <c r="DW149" s="123">
        <v>2.2635350227355957</v>
      </c>
      <c r="DX149" s="125">
        <v>10</v>
      </c>
      <c r="DY149" s="128"/>
      <c r="DZ149" s="127">
        <v>45</v>
      </c>
      <c r="EA149" s="123">
        <v>3</v>
      </c>
      <c r="EB149" s="123">
        <v>0</v>
      </c>
      <c r="EC149" s="123">
        <v>2</v>
      </c>
      <c r="ED149" s="123">
        <v>268.79998779296875</v>
      </c>
      <c r="EE149" s="129"/>
      <c r="EF149" s="129"/>
      <c r="EG149" s="129"/>
    </row>
    <row r="150" spans="1:137" x14ac:dyDescent="0.3">
      <c r="A150" s="226">
        <f t="shared" si="6"/>
        <v>46020.101388889219</v>
      </c>
      <c r="B150" s="123">
        <v>239</v>
      </c>
      <c r="C150" s="123">
        <v>47.952999114990234</v>
      </c>
      <c r="D150" s="123">
        <v>102.46600341796875</v>
      </c>
      <c r="E150" s="123">
        <v>16.511999130249023</v>
      </c>
      <c r="F150" s="123">
        <v>0</v>
      </c>
      <c r="G150" s="124">
        <v>17.416000366210938</v>
      </c>
      <c r="H150" s="125">
        <v>311</v>
      </c>
      <c r="I150" s="123">
        <v>277</v>
      </c>
      <c r="J150" s="123">
        <v>64.01300048828125</v>
      </c>
      <c r="K150" s="123">
        <v>61.674633026123047</v>
      </c>
      <c r="L150" s="123">
        <v>44.532001495361328</v>
      </c>
      <c r="M150" s="123">
        <v>12.779000282287598</v>
      </c>
      <c r="N150" s="123">
        <v>18.066999435424805</v>
      </c>
      <c r="O150" s="123">
        <v>17</v>
      </c>
      <c r="P150" s="123">
        <v>0</v>
      </c>
      <c r="Q150" s="123">
        <v>17.987421035766602</v>
      </c>
      <c r="R150" s="123">
        <v>10.996874809265137</v>
      </c>
      <c r="S150" s="123">
        <v>9.7315826416015625</v>
      </c>
      <c r="T150" s="123">
        <v>9</v>
      </c>
      <c r="U150" s="123">
        <v>9</v>
      </c>
      <c r="V150" s="125">
        <v>922</v>
      </c>
      <c r="W150" s="123">
        <v>27.052886962890625</v>
      </c>
      <c r="X150" s="123">
        <v>27.708000183105469</v>
      </c>
      <c r="Y150" s="123">
        <v>7.2519998550415039</v>
      </c>
      <c r="Z150" s="123">
        <v>0</v>
      </c>
      <c r="AA150" s="123">
        <v>25.445999145507813</v>
      </c>
      <c r="AB150" s="123">
        <v>0</v>
      </c>
      <c r="AC150" s="123">
        <v>56.557239532470703</v>
      </c>
      <c r="AD150" s="123">
        <v>6.3610000610351563</v>
      </c>
      <c r="AE150" s="123">
        <v>0</v>
      </c>
      <c r="AF150" s="123">
        <v>85.581024169921875</v>
      </c>
      <c r="AG150" s="123">
        <v>0</v>
      </c>
      <c r="AH150" s="123">
        <v>64.814239501953125</v>
      </c>
      <c r="AI150" s="123">
        <v>13.295999526977539</v>
      </c>
      <c r="AJ150" s="123">
        <v>20.041669845581055</v>
      </c>
      <c r="AK150" s="123">
        <v>45.597335815429688</v>
      </c>
      <c r="AL150" s="123">
        <v>42.588001251220703</v>
      </c>
      <c r="AM150" s="126">
        <v>54.519001007080078</v>
      </c>
      <c r="AN150" s="125">
        <v>123.1875</v>
      </c>
      <c r="AO150" s="127">
        <v>66</v>
      </c>
      <c r="AP150" s="123">
        <v>67.133369445800781</v>
      </c>
      <c r="AQ150" s="123">
        <v>39.459293365478516</v>
      </c>
      <c r="AR150" s="123">
        <v>85</v>
      </c>
      <c r="AS150" s="123"/>
      <c r="AT150" s="123">
        <v>123</v>
      </c>
      <c r="AU150" s="123"/>
      <c r="AV150" s="123">
        <v>79</v>
      </c>
      <c r="AW150" s="123"/>
      <c r="AX150" s="123">
        <v>32</v>
      </c>
      <c r="AY150" s="123">
        <v>34.202690124511719</v>
      </c>
      <c r="AZ150" s="123">
        <v>15</v>
      </c>
      <c r="BA150" s="123"/>
      <c r="BB150" s="123">
        <v>298</v>
      </c>
      <c r="BC150" s="123">
        <v>297.10556030273438</v>
      </c>
      <c r="BD150" s="123">
        <v>6.8000001907348633</v>
      </c>
      <c r="BE150" s="123">
        <v>6.9198369979858398</v>
      </c>
      <c r="BF150" s="123">
        <v>30</v>
      </c>
      <c r="BG150" s="123">
        <v>10</v>
      </c>
      <c r="BH150" s="123">
        <v>11.103860855102539</v>
      </c>
      <c r="BI150" s="123"/>
      <c r="BJ150" s="108">
        <f t="shared" si="7"/>
        <v>14</v>
      </c>
      <c r="BK150" s="123">
        <v>14</v>
      </c>
      <c r="BL150" s="123">
        <v>0</v>
      </c>
      <c r="BM150" s="126"/>
      <c r="BN150" s="108">
        <f t="shared" si="8"/>
        <v>123</v>
      </c>
      <c r="BO150" s="108">
        <v>74</v>
      </c>
      <c r="BP150" s="108">
        <v>49</v>
      </c>
      <c r="BQ150" s="108">
        <v>276</v>
      </c>
      <c r="BR150" s="123">
        <v>68.536003112792969</v>
      </c>
      <c r="BS150" s="123">
        <v>24.937000274658203</v>
      </c>
      <c r="BT150" s="123">
        <v>42.255001068115234</v>
      </c>
      <c r="BU150" s="123">
        <v>38.361000061035156</v>
      </c>
      <c r="BV150" s="123">
        <v>68.699996948242188</v>
      </c>
      <c r="BW150" s="123">
        <v>6</v>
      </c>
      <c r="BX150" s="123">
        <v>14.100000381469727</v>
      </c>
      <c r="BY150" s="123">
        <v>29</v>
      </c>
      <c r="BZ150" s="123">
        <v>1.5575719065964222E-2</v>
      </c>
      <c r="CA150" s="123">
        <v>1</v>
      </c>
      <c r="CB150" s="123">
        <v>29.07220458984375</v>
      </c>
      <c r="CC150" s="126"/>
      <c r="CD150" s="123">
        <v>363.12445068359375</v>
      </c>
      <c r="CE150" s="123">
        <v>36.870502471923828</v>
      </c>
      <c r="CF150" s="123">
        <v>22.235935211181641</v>
      </c>
      <c r="CG150" s="123">
        <v>35.338191986083984</v>
      </c>
      <c r="CH150" s="123">
        <v>283.63446044921875</v>
      </c>
      <c r="CI150" s="123">
        <v>83.272682189941406</v>
      </c>
      <c r="CJ150" s="123">
        <v>37.054183959960938</v>
      </c>
      <c r="CK150" s="123">
        <v>50.362102508544922</v>
      </c>
      <c r="CL150" s="124">
        <v>33.232063293457031</v>
      </c>
      <c r="CM150" s="125">
        <v>221.5980224609375</v>
      </c>
      <c r="CN150" s="123">
        <v>74.7664794921875</v>
      </c>
      <c r="CO150" s="123">
        <v>73.635215759277344</v>
      </c>
      <c r="CP150" s="123">
        <v>71.937744140625</v>
      </c>
      <c r="CQ150" s="123">
        <v>0</v>
      </c>
      <c r="CR150" s="123">
        <v>50.327156066894531</v>
      </c>
      <c r="CS150" s="123">
        <v>9.1097640991210938</v>
      </c>
      <c r="CT150" s="123">
        <v>35.592029571533203</v>
      </c>
      <c r="CU150" s="123">
        <v>51.482067108154297</v>
      </c>
      <c r="CV150" s="124">
        <v>68.097145080566406</v>
      </c>
      <c r="CW150" s="125">
        <v>3</v>
      </c>
      <c r="CX150" s="123">
        <v>332</v>
      </c>
      <c r="CY150" s="123">
        <v>126.61901092529297</v>
      </c>
      <c r="CZ150" s="123">
        <v>51.580352783203125</v>
      </c>
      <c r="DA150" s="123">
        <v>21.043630599975586</v>
      </c>
      <c r="DB150" s="123">
        <v>32.439811706542969</v>
      </c>
      <c r="DC150" s="123">
        <v>81.402313232421875</v>
      </c>
      <c r="DD150" s="123">
        <v>69</v>
      </c>
      <c r="DE150" s="123">
        <v>181</v>
      </c>
      <c r="DF150" s="123">
        <v>109.07246398925781</v>
      </c>
      <c r="DG150" s="123">
        <v>74.098747253417969</v>
      </c>
      <c r="DH150" s="123">
        <v>53.552635192871094</v>
      </c>
      <c r="DI150" s="128">
        <v>39.552204132080078</v>
      </c>
      <c r="DJ150" s="127">
        <v>211</v>
      </c>
      <c r="DK150" s="123">
        <v>109.42099761962891</v>
      </c>
      <c r="DL150" s="123">
        <v>24.089000701904297</v>
      </c>
      <c r="DM150" s="123">
        <v>27.743999481201172</v>
      </c>
      <c r="DN150" s="123">
        <v>50.893001556396484</v>
      </c>
      <c r="DO150" s="124">
        <v>113.40501403808594</v>
      </c>
      <c r="DP150" s="125">
        <v>15.465999603271484</v>
      </c>
      <c r="DQ150" s="123"/>
      <c r="DR150" s="125">
        <v>65</v>
      </c>
      <c r="DS150" s="128">
        <v>33.599998474121094</v>
      </c>
      <c r="DT150" s="127">
        <v>12</v>
      </c>
      <c r="DU150" s="123"/>
      <c r="DV150" s="123">
        <v>10</v>
      </c>
      <c r="DW150" s="123">
        <v>2.2949886322021484</v>
      </c>
      <c r="DX150" s="125">
        <v>11</v>
      </c>
      <c r="DY150" s="128"/>
      <c r="DZ150" s="127">
        <v>45</v>
      </c>
      <c r="EA150" s="123">
        <v>3</v>
      </c>
      <c r="EB150" s="123">
        <v>0</v>
      </c>
      <c r="EC150" s="123">
        <v>1</v>
      </c>
      <c r="ED150" s="123">
        <v>263</v>
      </c>
      <c r="EE150" s="129"/>
      <c r="EF150" s="129"/>
      <c r="EG150" s="129"/>
    </row>
    <row r="151" spans="1:137" x14ac:dyDescent="0.3">
      <c r="A151" s="226">
        <f t="shared" si="6"/>
        <v>46020.102083333666</v>
      </c>
      <c r="B151" s="123">
        <v>241</v>
      </c>
      <c r="C151" s="123">
        <v>52.023998260498047</v>
      </c>
      <c r="D151" s="123">
        <v>104.16200256347656</v>
      </c>
      <c r="E151" s="123">
        <v>14.58899974822998</v>
      </c>
      <c r="F151" s="123">
        <v>8.1028547286987305</v>
      </c>
      <c r="G151" s="124">
        <v>17.302999496459961</v>
      </c>
      <c r="H151" s="125">
        <v>308</v>
      </c>
      <c r="I151" s="123">
        <v>277</v>
      </c>
      <c r="J151" s="123">
        <v>62.994998931884766</v>
      </c>
      <c r="K151" s="123">
        <v>61.315055847167969</v>
      </c>
      <c r="L151" s="123">
        <v>44.000999450683594</v>
      </c>
      <c r="M151" s="123">
        <v>13.232000350952148</v>
      </c>
      <c r="N151" s="123">
        <v>16.857999801635742</v>
      </c>
      <c r="O151" s="123">
        <v>18</v>
      </c>
      <c r="P151" s="123">
        <v>0</v>
      </c>
      <c r="Q151" s="123">
        <v>17.685480117797852</v>
      </c>
      <c r="R151" s="123">
        <v>10.003125190734863</v>
      </c>
      <c r="S151" s="123">
        <v>9.810725212097168</v>
      </c>
      <c r="T151" s="123">
        <v>9</v>
      </c>
      <c r="U151" s="123">
        <v>9</v>
      </c>
      <c r="V151" s="125">
        <v>915</v>
      </c>
      <c r="W151" s="123">
        <v>28.592531204223633</v>
      </c>
      <c r="X151" s="123">
        <v>27.934999465942383</v>
      </c>
      <c r="Y151" s="123">
        <v>7.8239998817443848</v>
      </c>
      <c r="Z151" s="123">
        <v>0</v>
      </c>
      <c r="AA151" s="123">
        <v>24.201999664306641</v>
      </c>
      <c r="AB151" s="123">
        <v>0</v>
      </c>
      <c r="AC151" s="123">
        <v>56.645595550537109</v>
      </c>
      <c r="AD151" s="123">
        <v>6.3610000610351563</v>
      </c>
      <c r="AE151" s="123">
        <v>0</v>
      </c>
      <c r="AF151" s="123">
        <v>86.026412963867188</v>
      </c>
      <c r="AG151" s="123">
        <v>0</v>
      </c>
      <c r="AH151" s="123">
        <v>64.04229736328125</v>
      </c>
      <c r="AI151" s="123">
        <v>11.513999938964844</v>
      </c>
      <c r="AJ151" s="123">
        <v>22.367950439453125</v>
      </c>
      <c r="AK151" s="123">
        <v>45.498935699462891</v>
      </c>
      <c r="AL151" s="123">
        <v>39.229999542236328</v>
      </c>
      <c r="AM151" s="126">
        <v>54.646999359130859</v>
      </c>
      <c r="AN151" s="125">
        <v>119.875</v>
      </c>
      <c r="AO151" s="127">
        <v>63</v>
      </c>
      <c r="AP151" s="123">
        <v>66.123283386230469</v>
      </c>
      <c r="AQ151" s="123">
        <v>37.212368011474609</v>
      </c>
      <c r="AR151" s="123">
        <v>86</v>
      </c>
      <c r="AS151" s="123"/>
      <c r="AT151" s="123">
        <v>123</v>
      </c>
      <c r="AU151" s="123"/>
      <c r="AV151" s="123">
        <v>80</v>
      </c>
      <c r="AW151" s="123"/>
      <c r="AX151" s="123">
        <v>32</v>
      </c>
      <c r="AY151" s="123">
        <v>32.366729736328125</v>
      </c>
      <c r="AZ151" s="123">
        <v>15</v>
      </c>
      <c r="BA151" s="123"/>
      <c r="BB151" s="123">
        <v>297</v>
      </c>
      <c r="BC151" s="123">
        <v>299.04296875</v>
      </c>
      <c r="BD151" s="123">
        <v>6.9000000953674316</v>
      </c>
      <c r="BE151" s="123">
        <v>6.8698544502258301</v>
      </c>
      <c r="BF151" s="123">
        <v>31</v>
      </c>
      <c r="BG151" s="123">
        <v>10</v>
      </c>
      <c r="BH151" s="123">
        <v>11.103860855102539</v>
      </c>
      <c r="BI151" s="123"/>
      <c r="BJ151" s="108">
        <f t="shared" si="7"/>
        <v>15</v>
      </c>
      <c r="BK151" s="123">
        <v>15</v>
      </c>
      <c r="BL151" s="123">
        <v>0</v>
      </c>
      <c r="BM151" s="126"/>
      <c r="BN151" s="108">
        <f t="shared" si="8"/>
        <v>123</v>
      </c>
      <c r="BO151" s="108">
        <v>74</v>
      </c>
      <c r="BP151" s="108">
        <v>49</v>
      </c>
      <c r="BQ151" s="108">
        <v>275</v>
      </c>
      <c r="BR151" s="123">
        <v>68.988998413085938</v>
      </c>
      <c r="BS151" s="123">
        <v>25.445999145507813</v>
      </c>
      <c r="BT151" s="123">
        <v>42.948001861572266</v>
      </c>
      <c r="BU151" s="123">
        <v>37.724998474121094</v>
      </c>
      <c r="BV151" s="123">
        <v>69.5</v>
      </c>
      <c r="BW151" s="123">
        <v>6</v>
      </c>
      <c r="BX151" s="123">
        <v>14.100000381469727</v>
      </c>
      <c r="BY151" s="123">
        <v>28</v>
      </c>
      <c r="BZ151" s="123">
        <v>1.4566383324563503E-2</v>
      </c>
      <c r="CA151" s="123">
        <v>1</v>
      </c>
      <c r="CB151" s="123">
        <v>29.337472915649414</v>
      </c>
      <c r="CC151" s="126"/>
      <c r="CD151" s="123">
        <v>362.0498046875</v>
      </c>
      <c r="CE151" s="123">
        <v>37.893943786621094</v>
      </c>
      <c r="CF151" s="123">
        <v>22.302055358886719</v>
      </c>
      <c r="CG151" s="123">
        <v>35.338191986083984</v>
      </c>
      <c r="CH151" s="123">
        <v>283.92193603515625</v>
      </c>
      <c r="CI151" s="123">
        <v>81.505119323730469</v>
      </c>
      <c r="CJ151" s="123">
        <v>35.112155914306641</v>
      </c>
      <c r="CK151" s="123">
        <v>50.479488372802734</v>
      </c>
      <c r="CL151" s="124">
        <v>32.885078430175781</v>
      </c>
      <c r="CM151" s="125">
        <v>225.8621826171875</v>
      </c>
      <c r="CN151" s="123">
        <v>75.384254455566406</v>
      </c>
      <c r="CO151" s="123">
        <v>72.16748046875</v>
      </c>
      <c r="CP151" s="123">
        <v>74.70306396484375</v>
      </c>
      <c r="CQ151" s="123">
        <v>0</v>
      </c>
      <c r="CR151" s="123">
        <v>50.162120819091797</v>
      </c>
      <c r="CS151" s="123">
        <v>8.6264715194702148</v>
      </c>
      <c r="CT151" s="123">
        <v>36.904132843017578</v>
      </c>
      <c r="CU151" s="123">
        <v>50.701667785644531</v>
      </c>
      <c r="CV151" s="124">
        <v>68.117774963378906</v>
      </c>
      <c r="CW151" s="125">
        <v>3</v>
      </c>
      <c r="CX151" s="123">
        <v>327</v>
      </c>
      <c r="CY151" s="123">
        <v>123.10458374023438</v>
      </c>
      <c r="CZ151" s="123">
        <v>53.312801361083984</v>
      </c>
      <c r="DA151" s="123">
        <v>21.073974609375</v>
      </c>
      <c r="DB151" s="123">
        <v>32.084041595458984</v>
      </c>
      <c r="DC151" s="123">
        <v>81.525115966796875</v>
      </c>
      <c r="DD151" s="123">
        <v>61</v>
      </c>
      <c r="DE151" s="123">
        <v>184</v>
      </c>
      <c r="DF151" s="123">
        <v>107.86408233642578</v>
      </c>
      <c r="DG151" s="123">
        <v>76.395904541015625</v>
      </c>
      <c r="DH151" s="123">
        <v>53.662345886230469</v>
      </c>
      <c r="DI151" s="128">
        <v>40.216865539550781</v>
      </c>
      <c r="DJ151" s="127">
        <v>211</v>
      </c>
      <c r="DK151" s="123">
        <v>113.49299621582031</v>
      </c>
      <c r="DL151" s="123">
        <v>25.559000015258789</v>
      </c>
      <c r="DM151" s="123">
        <v>32.514999389648438</v>
      </c>
      <c r="DN151" s="123">
        <v>50.716999053955078</v>
      </c>
      <c r="DO151" s="124">
        <v>114.64725494384766</v>
      </c>
      <c r="DP151" s="125">
        <v>15.663000106811523</v>
      </c>
      <c r="DQ151" s="123"/>
      <c r="DR151" s="125">
        <v>68</v>
      </c>
      <c r="DS151" s="128">
        <v>32.299999237060547</v>
      </c>
      <c r="DT151" s="127">
        <v>12</v>
      </c>
      <c r="DU151" s="123"/>
      <c r="DV151" s="123">
        <v>9</v>
      </c>
      <c r="DW151" s="123">
        <v>2.2572762966156006</v>
      </c>
      <c r="DX151" s="125">
        <v>10</v>
      </c>
      <c r="DY151" s="128"/>
      <c r="DZ151" s="127">
        <v>46</v>
      </c>
      <c r="EA151" s="123">
        <v>3</v>
      </c>
      <c r="EB151" s="123">
        <v>0</v>
      </c>
      <c r="EC151" s="123">
        <v>1</v>
      </c>
      <c r="ED151" s="123">
        <v>263.10000610351563</v>
      </c>
      <c r="EE151" s="129"/>
      <c r="EF151" s="129"/>
      <c r="EG151" s="129"/>
    </row>
    <row r="152" spans="1:137" x14ac:dyDescent="0.3">
      <c r="A152" s="226">
        <f t="shared" si="6"/>
        <v>46020.102777778113</v>
      </c>
      <c r="B152" s="123">
        <v>239</v>
      </c>
      <c r="C152" s="123">
        <v>51.798000335693359</v>
      </c>
      <c r="D152" s="123">
        <v>102.01300048828125</v>
      </c>
      <c r="E152" s="123">
        <v>18.094999313354492</v>
      </c>
      <c r="F152" s="123">
        <v>0</v>
      </c>
      <c r="G152" s="124">
        <v>17.642999649047852</v>
      </c>
      <c r="H152" s="125">
        <v>310</v>
      </c>
      <c r="I152" s="123">
        <v>278</v>
      </c>
      <c r="J152" s="123">
        <v>62.769001007080078</v>
      </c>
      <c r="K152" s="123">
        <v>62.923286437988281</v>
      </c>
      <c r="L152" s="123">
        <v>44.708000183105469</v>
      </c>
      <c r="M152" s="123">
        <v>13.119000434875488</v>
      </c>
      <c r="N152" s="123">
        <v>17.684999465942383</v>
      </c>
      <c r="O152" s="123">
        <v>18</v>
      </c>
      <c r="P152" s="123">
        <v>0</v>
      </c>
      <c r="Q152" s="123">
        <v>18.538925170898438</v>
      </c>
      <c r="R152" s="123">
        <v>9</v>
      </c>
      <c r="S152" s="123">
        <v>8.299835205078125</v>
      </c>
      <c r="T152" s="123">
        <v>9</v>
      </c>
      <c r="U152" s="123">
        <v>9</v>
      </c>
      <c r="V152" s="125">
        <v>915</v>
      </c>
      <c r="W152" s="123">
        <v>27.489898681640625</v>
      </c>
      <c r="X152" s="123">
        <v>29.857000350952148</v>
      </c>
      <c r="Y152" s="123">
        <v>7.1880002021789551</v>
      </c>
      <c r="Z152" s="123">
        <v>0</v>
      </c>
      <c r="AA152" s="123">
        <v>24.201999664306641</v>
      </c>
      <c r="AB152" s="123">
        <v>0</v>
      </c>
      <c r="AC152" s="123">
        <v>55.675914764404297</v>
      </c>
      <c r="AD152" s="123">
        <v>6.3610000610351563</v>
      </c>
      <c r="AE152" s="123">
        <v>0</v>
      </c>
      <c r="AF152" s="123">
        <v>82.680122375488281</v>
      </c>
      <c r="AG152" s="123">
        <v>0</v>
      </c>
      <c r="AH152" s="123">
        <v>64.391304016113281</v>
      </c>
      <c r="AI152" s="123">
        <v>13.61400032043457</v>
      </c>
      <c r="AJ152" s="123">
        <v>20.299715042114258</v>
      </c>
      <c r="AK152" s="123">
        <v>44.035881042480469</v>
      </c>
      <c r="AL152" s="123">
        <v>41.351001739501953</v>
      </c>
      <c r="AM152" s="126">
        <v>54.391998291015625</v>
      </c>
      <c r="AN152" s="125">
        <v>122</v>
      </c>
      <c r="AO152" s="127">
        <v>63</v>
      </c>
      <c r="AP152" s="123">
        <v>65.951240539550781</v>
      </c>
      <c r="AQ152" s="123">
        <v>38.035232543945313</v>
      </c>
      <c r="AR152" s="123">
        <v>84</v>
      </c>
      <c r="AS152" s="123"/>
      <c r="AT152" s="123">
        <v>123</v>
      </c>
      <c r="AU152" s="123"/>
      <c r="AV152" s="123">
        <v>71</v>
      </c>
      <c r="AW152" s="123"/>
      <c r="AX152" s="123">
        <v>30</v>
      </c>
      <c r="AY152" s="123">
        <v>32.806476593017578</v>
      </c>
      <c r="AZ152" s="123">
        <v>15</v>
      </c>
      <c r="BA152" s="123"/>
      <c r="BB152" s="123">
        <v>299</v>
      </c>
      <c r="BC152" s="123">
        <v>300.62762451171875</v>
      </c>
      <c r="BD152" s="123">
        <v>7</v>
      </c>
      <c r="BE152" s="123">
        <v>6.936671257019043</v>
      </c>
      <c r="BF152" s="123">
        <v>30</v>
      </c>
      <c r="BG152" s="123">
        <v>10</v>
      </c>
      <c r="BH152" s="123">
        <v>11.115649223327637</v>
      </c>
      <c r="BI152" s="123"/>
      <c r="BJ152" s="108">
        <f t="shared" si="7"/>
        <v>14</v>
      </c>
      <c r="BK152" s="123">
        <v>14</v>
      </c>
      <c r="BL152" s="123">
        <v>0</v>
      </c>
      <c r="BM152" s="126"/>
      <c r="BN152" s="108">
        <f t="shared" si="8"/>
        <v>122</v>
      </c>
      <c r="BO152" s="108">
        <v>73</v>
      </c>
      <c r="BP152" s="108">
        <v>49</v>
      </c>
      <c r="BQ152" s="108">
        <v>278</v>
      </c>
      <c r="BR152" s="123">
        <v>68.422996520996094</v>
      </c>
      <c r="BS152" s="123">
        <v>25.445999145507813</v>
      </c>
      <c r="BT152" s="123">
        <v>41.562999725341797</v>
      </c>
      <c r="BU152" s="123">
        <v>38.932998657226563</v>
      </c>
      <c r="BV152" s="123">
        <v>69.800003051757813</v>
      </c>
      <c r="BW152" s="123">
        <v>6.0999999046325684</v>
      </c>
      <c r="BX152" s="123">
        <v>14</v>
      </c>
      <c r="BY152" s="123">
        <v>28</v>
      </c>
      <c r="BZ152" s="123">
        <v>1.5777807682752609E-2</v>
      </c>
      <c r="CA152" s="123">
        <v>1</v>
      </c>
      <c r="CB152" s="123">
        <v>29.235681533813477</v>
      </c>
      <c r="CC152" s="126"/>
      <c r="CD152" s="123">
        <v>359.8944091796875</v>
      </c>
      <c r="CE152" s="123">
        <v>35.270877838134766</v>
      </c>
      <c r="CF152" s="123">
        <v>22.648477554321289</v>
      </c>
      <c r="CG152" s="123">
        <v>35.338191986083984</v>
      </c>
      <c r="CH152" s="123">
        <v>284.14688110351563</v>
      </c>
      <c r="CI152" s="123">
        <v>82.109886169433594</v>
      </c>
      <c r="CJ152" s="123">
        <v>32.731658935546875</v>
      </c>
      <c r="CK152" s="123">
        <v>52.842147827148438</v>
      </c>
      <c r="CL152" s="124">
        <v>33.052349090576172</v>
      </c>
      <c r="CM152" s="125">
        <v>224.56660461425781</v>
      </c>
      <c r="CN152" s="123">
        <v>75.445381164550781</v>
      </c>
      <c r="CO152" s="123">
        <v>72.16748046875</v>
      </c>
      <c r="CP152" s="123">
        <v>74.695838928222656</v>
      </c>
      <c r="CQ152" s="123">
        <v>0</v>
      </c>
      <c r="CR152" s="123">
        <v>50.474853515625</v>
      </c>
      <c r="CS152" s="123">
        <v>9.2228975296020508</v>
      </c>
      <c r="CT152" s="123">
        <v>33.994258880615234</v>
      </c>
      <c r="CU152" s="123">
        <v>53.940700531005859</v>
      </c>
      <c r="CV152" s="124">
        <v>63.917335510253906</v>
      </c>
      <c r="CW152" s="125">
        <v>2</v>
      </c>
      <c r="CX152" s="123">
        <v>327</v>
      </c>
      <c r="CY152" s="123">
        <v>122.45039367675781</v>
      </c>
      <c r="CZ152" s="123">
        <v>50.578704833984375</v>
      </c>
      <c r="DA152" s="123">
        <v>19.952926635742188</v>
      </c>
      <c r="DB152" s="123">
        <v>33.429904937744141</v>
      </c>
      <c r="DC152" s="123">
        <v>81.000091552734375</v>
      </c>
      <c r="DD152" s="123">
        <v>69</v>
      </c>
      <c r="DE152" s="123">
        <v>182</v>
      </c>
      <c r="DF152" s="123">
        <v>106.33793640136719</v>
      </c>
      <c r="DG152" s="123">
        <v>73.159446716308594</v>
      </c>
      <c r="DH152" s="123">
        <v>52.636272430419922</v>
      </c>
      <c r="DI152" s="128">
        <v>40.345584869384766</v>
      </c>
      <c r="DJ152" s="127">
        <v>212</v>
      </c>
      <c r="DK152" s="123">
        <v>112.98400115966797</v>
      </c>
      <c r="DL152" s="123">
        <v>25.559000015258789</v>
      </c>
      <c r="DM152" s="123">
        <v>31.985000610351563</v>
      </c>
      <c r="DN152" s="123">
        <v>52.306999206542969</v>
      </c>
      <c r="DO152" s="124">
        <v>112.49455261230469</v>
      </c>
      <c r="DP152" s="125">
        <v>15.522000312805176</v>
      </c>
      <c r="DQ152" s="123"/>
      <c r="DR152" s="125">
        <v>68</v>
      </c>
      <c r="DS152" s="128">
        <v>31.700000762939453</v>
      </c>
      <c r="DT152" s="127">
        <v>12</v>
      </c>
      <c r="DU152" s="123"/>
      <c r="DV152" s="123">
        <v>9</v>
      </c>
      <c r="DW152" s="123">
        <v>2.3019850254058838</v>
      </c>
      <c r="DX152" s="125">
        <v>10</v>
      </c>
      <c r="DY152" s="128"/>
      <c r="DZ152" s="127">
        <v>44</v>
      </c>
      <c r="EA152" s="123">
        <v>3</v>
      </c>
      <c r="EB152" s="123">
        <v>0</v>
      </c>
      <c r="EC152" s="123">
        <v>1</v>
      </c>
      <c r="ED152" s="123">
        <v>261.5</v>
      </c>
      <c r="EE152" s="129"/>
      <c r="EF152" s="129"/>
      <c r="EG152" s="129"/>
    </row>
    <row r="153" spans="1:137" x14ac:dyDescent="0.3">
      <c r="A153" s="226">
        <f t="shared" ref="A153:A216" si="9">A152 + TIME(,1,)</f>
        <v>46020.10347222256</v>
      </c>
      <c r="B153" s="123">
        <v>244</v>
      </c>
      <c r="C153" s="123">
        <v>50.215000152587891</v>
      </c>
      <c r="D153" s="123">
        <v>102.23899841308594</v>
      </c>
      <c r="E153" s="123">
        <v>18.094999313354492</v>
      </c>
      <c r="F153" s="123">
        <v>9.2520103454589844</v>
      </c>
      <c r="G153" s="124">
        <v>17.416000366210938</v>
      </c>
      <c r="H153" s="125">
        <v>310</v>
      </c>
      <c r="I153" s="123">
        <v>277</v>
      </c>
      <c r="J153" s="123">
        <v>62.994998931884766</v>
      </c>
      <c r="K153" s="123">
        <v>62.571281433105469</v>
      </c>
      <c r="L153" s="123">
        <v>44.178001403808594</v>
      </c>
      <c r="M153" s="123">
        <v>13.458000183105469</v>
      </c>
      <c r="N153" s="123">
        <v>17.048999786376953</v>
      </c>
      <c r="O153" s="123">
        <v>18</v>
      </c>
      <c r="P153" s="123">
        <v>0</v>
      </c>
      <c r="Q153" s="123">
        <v>18.364751815795898</v>
      </c>
      <c r="R153" s="123">
        <v>10.003125190734863</v>
      </c>
      <c r="S153" s="123">
        <v>9.8205194473266602</v>
      </c>
      <c r="T153" s="123">
        <v>9</v>
      </c>
      <c r="U153" s="123">
        <v>9</v>
      </c>
      <c r="V153" s="125">
        <v>916</v>
      </c>
      <c r="W153" s="123">
        <v>28.156484603881836</v>
      </c>
      <c r="X153" s="123">
        <v>29.179000854492188</v>
      </c>
      <c r="Y153" s="123">
        <v>6.9340000152587891</v>
      </c>
      <c r="Z153" s="123">
        <v>0</v>
      </c>
      <c r="AA153" s="123">
        <v>25.559000015258789</v>
      </c>
      <c r="AB153" s="123">
        <v>0</v>
      </c>
      <c r="AC153" s="123">
        <v>55.820049285888672</v>
      </c>
      <c r="AD153" s="123">
        <v>6.3610000610351563</v>
      </c>
      <c r="AE153" s="123">
        <v>0</v>
      </c>
      <c r="AF153" s="123">
        <v>82.07928466796875</v>
      </c>
      <c r="AG153" s="123">
        <v>0</v>
      </c>
      <c r="AH153" s="123">
        <v>65.402656555175781</v>
      </c>
      <c r="AI153" s="123">
        <v>13.041000366210938</v>
      </c>
      <c r="AJ153" s="123">
        <v>19.783435821533203</v>
      </c>
      <c r="AK153" s="123">
        <v>44.702594757080078</v>
      </c>
      <c r="AL153" s="123">
        <v>40.466999053955078</v>
      </c>
      <c r="AM153" s="126">
        <v>55.918998718261719</v>
      </c>
      <c r="AN153" s="125">
        <v>118.6875</v>
      </c>
      <c r="AO153" s="127">
        <v>63</v>
      </c>
      <c r="AP153" s="123">
        <v>64.67108154296875</v>
      </c>
      <c r="AQ153" s="123">
        <v>36.979755401611328</v>
      </c>
      <c r="AR153" s="123">
        <v>83</v>
      </c>
      <c r="AS153" s="123"/>
      <c r="AT153" s="123">
        <v>123</v>
      </c>
      <c r="AU153" s="123"/>
      <c r="AV153" s="123">
        <v>74</v>
      </c>
      <c r="AW153" s="123"/>
      <c r="AX153" s="123">
        <v>30</v>
      </c>
      <c r="AY153" s="123">
        <v>33.216941833496094</v>
      </c>
      <c r="AZ153" s="123">
        <v>15</v>
      </c>
      <c r="BA153" s="123"/>
      <c r="BB153" s="123">
        <v>298</v>
      </c>
      <c r="BC153" s="123">
        <v>300.37997436523438</v>
      </c>
      <c r="BD153" s="123">
        <v>7</v>
      </c>
      <c r="BE153" s="123">
        <v>6.9353532791137695</v>
      </c>
      <c r="BF153" s="123">
        <v>30</v>
      </c>
      <c r="BG153" s="123">
        <v>10</v>
      </c>
      <c r="BH153" s="123">
        <v>11.082888603210449</v>
      </c>
      <c r="BI153" s="123"/>
      <c r="BJ153" s="108">
        <f t="shared" si="7"/>
        <v>14</v>
      </c>
      <c r="BK153" s="123">
        <v>14</v>
      </c>
      <c r="BL153" s="123">
        <v>0</v>
      </c>
      <c r="BM153" s="126"/>
      <c r="BN153" s="108">
        <f t="shared" si="8"/>
        <v>122</v>
      </c>
      <c r="BO153" s="108">
        <v>73</v>
      </c>
      <c r="BP153" s="108">
        <v>49</v>
      </c>
      <c r="BQ153" s="108">
        <v>281</v>
      </c>
      <c r="BR153" s="123">
        <v>70.571998596191406</v>
      </c>
      <c r="BS153" s="123">
        <v>25.445999145507813</v>
      </c>
      <c r="BT153" s="123">
        <v>41.909000396728516</v>
      </c>
      <c r="BU153" s="123">
        <v>38.423999786376953</v>
      </c>
      <c r="BV153" s="123">
        <v>70.199996948242188</v>
      </c>
      <c r="BW153" s="123">
        <v>6.0999999046325684</v>
      </c>
      <c r="BX153" s="123">
        <v>14</v>
      </c>
      <c r="BY153" s="123">
        <v>29</v>
      </c>
      <c r="BZ153" s="123">
        <v>1.5474126674234867E-2</v>
      </c>
      <c r="CA153" s="123">
        <v>1</v>
      </c>
      <c r="CB153" s="123">
        <v>29.327522277832031</v>
      </c>
      <c r="CC153" s="126"/>
      <c r="CD153" s="123">
        <v>360.05075073242188</v>
      </c>
      <c r="CE153" s="123">
        <v>36.448085784912109</v>
      </c>
      <c r="CF153" s="123">
        <v>22.555702209472656</v>
      </c>
      <c r="CG153" s="123">
        <v>35.338191986083984</v>
      </c>
      <c r="CH153" s="123">
        <v>284.8916015625</v>
      </c>
      <c r="CI153" s="123">
        <v>83.969329833984375</v>
      </c>
      <c r="CJ153" s="123">
        <v>35.191158294677734</v>
      </c>
      <c r="CK153" s="123">
        <v>51.652938842773438</v>
      </c>
      <c r="CL153" s="124">
        <v>33.275146484375</v>
      </c>
      <c r="CM153" s="125">
        <v>215.30592346191406</v>
      </c>
      <c r="CN153" s="123">
        <v>67.470726013183594</v>
      </c>
      <c r="CO153" s="123">
        <v>70.461746215820313</v>
      </c>
      <c r="CP153" s="123">
        <v>73.689353942871094</v>
      </c>
      <c r="CQ153" s="123">
        <v>0</v>
      </c>
      <c r="CR153" s="123">
        <v>49.256511688232422</v>
      </c>
      <c r="CS153" s="123">
        <v>8.9761266708374023</v>
      </c>
      <c r="CT153" s="123">
        <v>36.078472137451172</v>
      </c>
      <c r="CU153" s="123">
        <v>51.426109313964844</v>
      </c>
      <c r="CV153" s="124">
        <v>64.789825439453125</v>
      </c>
      <c r="CW153" s="125">
        <v>11</v>
      </c>
      <c r="CX153" s="123">
        <v>326</v>
      </c>
      <c r="CY153" s="123">
        <v>122.73051452636719</v>
      </c>
      <c r="CZ153" s="123">
        <v>53.905849456787109</v>
      </c>
      <c r="DA153" s="123">
        <v>20.832763671875</v>
      </c>
      <c r="DB153" s="123">
        <v>33.510196685791016</v>
      </c>
      <c r="DC153" s="123">
        <v>83.512519836425781</v>
      </c>
      <c r="DD153" s="123">
        <v>70</v>
      </c>
      <c r="DE153" s="123">
        <v>182</v>
      </c>
      <c r="DF153" s="123">
        <v>107.50139617919922</v>
      </c>
      <c r="DG153" s="123">
        <v>74.576057434082031</v>
      </c>
      <c r="DH153" s="123">
        <v>51.905475616455078</v>
      </c>
      <c r="DI153" s="128">
        <v>37.936473846435547</v>
      </c>
      <c r="DJ153" s="127">
        <v>208</v>
      </c>
      <c r="DK153" s="123">
        <v>106.36799621582031</v>
      </c>
      <c r="DL153" s="123">
        <v>24.655000686645508</v>
      </c>
      <c r="DM153" s="123">
        <v>28.451000213623047</v>
      </c>
      <c r="DN153" s="123">
        <v>49.833000183105469</v>
      </c>
      <c r="DO153" s="124">
        <v>112.16794586181641</v>
      </c>
      <c r="DP153" s="125">
        <v>15.494000434875488</v>
      </c>
      <c r="DQ153" s="123"/>
      <c r="DR153" s="125">
        <v>68</v>
      </c>
      <c r="DS153" s="128">
        <v>31.899999618530273</v>
      </c>
      <c r="DT153" s="127">
        <v>12</v>
      </c>
      <c r="DU153" s="123"/>
      <c r="DV153" s="123">
        <v>9</v>
      </c>
      <c r="DW153" s="123">
        <v>2.2837021350860596</v>
      </c>
      <c r="DX153" s="125">
        <v>10</v>
      </c>
      <c r="DY153" s="128"/>
      <c r="DZ153" s="127">
        <v>44</v>
      </c>
      <c r="EA153" s="123">
        <v>3</v>
      </c>
      <c r="EB153" s="123">
        <v>0</v>
      </c>
      <c r="EC153" s="123">
        <v>1</v>
      </c>
      <c r="ED153" s="123">
        <v>259.39999389648438</v>
      </c>
      <c r="EE153" s="129"/>
      <c r="EF153" s="129"/>
      <c r="EG153" s="129"/>
    </row>
    <row r="154" spans="1:137" x14ac:dyDescent="0.3">
      <c r="A154" s="226">
        <f t="shared" si="9"/>
        <v>46020.104166667006</v>
      </c>
      <c r="B154" s="123">
        <v>239</v>
      </c>
      <c r="C154" s="123">
        <v>50.215000152587891</v>
      </c>
      <c r="D154" s="123">
        <v>101.90000152587891</v>
      </c>
      <c r="E154" s="123">
        <v>17.868999481201172</v>
      </c>
      <c r="F154" s="123">
        <v>6.3676266670227051</v>
      </c>
      <c r="G154" s="124">
        <v>17.302999496459961</v>
      </c>
      <c r="H154" s="125">
        <v>309</v>
      </c>
      <c r="I154" s="123">
        <v>275</v>
      </c>
      <c r="J154" s="123">
        <v>60.846000671386719</v>
      </c>
      <c r="K154" s="123">
        <v>62.981498718261719</v>
      </c>
      <c r="L154" s="123">
        <v>41.703998565673828</v>
      </c>
      <c r="M154" s="123">
        <v>13.232000350952148</v>
      </c>
      <c r="N154" s="123">
        <v>17.048999786376953</v>
      </c>
      <c r="O154" s="123">
        <v>17</v>
      </c>
      <c r="P154" s="123">
        <v>0</v>
      </c>
      <c r="Q154" s="123">
        <v>17.11114501953125</v>
      </c>
      <c r="R154" s="123">
        <v>10.996874809265137</v>
      </c>
      <c r="S154" s="123">
        <v>9.8649816513061523</v>
      </c>
      <c r="T154" s="123">
        <v>9</v>
      </c>
      <c r="U154" s="123">
        <v>9</v>
      </c>
      <c r="V154" s="125">
        <v>916</v>
      </c>
      <c r="W154" s="123">
        <v>27.762544631958008</v>
      </c>
      <c r="X154" s="123">
        <v>28.27400016784668</v>
      </c>
      <c r="Y154" s="123">
        <v>7.125</v>
      </c>
      <c r="Z154" s="123">
        <v>0</v>
      </c>
      <c r="AA154" s="123">
        <v>25.89900016784668</v>
      </c>
      <c r="AB154" s="123">
        <v>0</v>
      </c>
      <c r="AC154" s="123">
        <v>56.723289489746094</v>
      </c>
      <c r="AD154" s="123">
        <v>6.3610000610351563</v>
      </c>
      <c r="AE154" s="123">
        <v>0</v>
      </c>
      <c r="AF154" s="123">
        <v>81.832489013671875</v>
      </c>
      <c r="AG154" s="123">
        <v>0</v>
      </c>
      <c r="AH154" s="123">
        <v>63.713100433349609</v>
      </c>
      <c r="AI154" s="123">
        <v>13.168000221252441</v>
      </c>
      <c r="AJ154" s="123">
        <v>19.33873176574707</v>
      </c>
      <c r="AK154" s="123">
        <v>45.194828033447266</v>
      </c>
      <c r="AL154" s="123">
        <v>39.229999542236328</v>
      </c>
      <c r="AM154" s="126">
        <v>56.937000274658203</v>
      </c>
      <c r="AN154" s="125">
        <v>118.6875</v>
      </c>
      <c r="AO154" s="127">
        <v>64</v>
      </c>
      <c r="AP154" s="123">
        <v>64.7103271484375</v>
      </c>
      <c r="AQ154" s="123">
        <v>38.798027038574219</v>
      </c>
      <c r="AR154" s="123">
        <v>83</v>
      </c>
      <c r="AS154" s="123"/>
      <c r="AT154" s="123">
        <v>123</v>
      </c>
      <c r="AU154" s="123"/>
      <c r="AV154" s="123">
        <v>75</v>
      </c>
      <c r="AW154" s="123"/>
      <c r="AX154" s="123">
        <v>30</v>
      </c>
      <c r="AY154" s="123">
        <v>33.656753540039063</v>
      </c>
      <c r="AZ154" s="123">
        <v>16</v>
      </c>
      <c r="BA154" s="123"/>
      <c r="BB154" s="123">
        <v>298</v>
      </c>
      <c r="BC154" s="123">
        <v>300.19320678710938</v>
      </c>
      <c r="BD154" s="123">
        <v>6.8000001907348633</v>
      </c>
      <c r="BE154" s="123">
        <v>6.9228415489196777</v>
      </c>
      <c r="BF154" s="123">
        <v>30</v>
      </c>
      <c r="BG154" s="123">
        <v>10</v>
      </c>
      <c r="BH154" s="123">
        <v>11.121730804443359</v>
      </c>
      <c r="BI154" s="123"/>
      <c r="BJ154" s="108">
        <f t="shared" si="7"/>
        <v>14</v>
      </c>
      <c r="BK154" s="123">
        <v>14</v>
      </c>
      <c r="BL154" s="123">
        <v>0</v>
      </c>
      <c r="BM154" s="126"/>
      <c r="BN154" s="108">
        <f t="shared" si="8"/>
        <v>121</v>
      </c>
      <c r="BO154" s="108">
        <v>72</v>
      </c>
      <c r="BP154" s="108">
        <v>49</v>
      </c>
      <c r="BQ154" s="108">
        <v>266</v>
      </c>
      <c r="BR154" s="123">
        <v>68.083999633789063</v>
      </c>
      <c r="BS154" s="123">
        <v>25.191999435424805</v>
      </c>
      <c r="BT154" s="123">
        <v>40.523998260498047</v>
      </c>
      <c r="BU154" s="123">
        <v>37.724998474121094</v>
      </c>
      <c r="BV154" s="123">
        <v>70.400001525878906</v>
      </c>
      <c r="BW154" s="123">
        <v>6.4000000953674316</v>
      </c>
      <c r="BX154" s="123">
        <v>13.899999618530273</v>
      </c>
      <c r="BY154" s="123">
        <v>28</v>
      </c>
      <c r="BZ154" s="123">
        <v>1.5078428201377392E-2</v>
      </c>
      <c r="CA154" s="123">
        <v>1</v>
      </c>
      <c r="CB154" s="123">
        <v>29.117532730102539</v>
      </c>
      <c r="CC154" s="126"/>
      <c r="CD154" s="123">
        <v>357.39797973632813</v>
      </c>
      <c r="CE154" s="123">
        <v>38.069522857666016</v>
      </c>
      <c r="CF154" s="123">
        <v>22.519224166870117</v>
      </c>
      <c r="CG154" s="123">
        <v>35.338191986083984</v>
      </c>
      <c r="CH154" s="123">
        <v>283.42800903320313</v>
      </c>
      <c r="CI154" s="123">
        <v>85.547599792480469</v>
      </c>
      <c r="CJ154" s="123">
        <v>35.530426025390625</v>
      </c>
      <c r="CK154" s="123">
        <v>52.855827331542969</v>
      </c>
      <c r="CL154" s="124">
        <v>34.500125885009766</v>
      </c>
      <c r="CM154" s="125">
        <v>209.49571228027344</v>
      </c>
      <c r="CN154" s="123">
        <v>63.916088104248047</v>
      </c>
      <c r="CO154" s="123">
        <v>70.003814697265625</v>
      </c>
      <c r="CP154" s="123">
        <v>72.043624877929688</v>
      </c>
      <c r="CQ154" s="123">
        <v>0</v>
      </c>
      <c r="CR154" s="123">
        <v>49.479743957519531</v>
      </c>
      <c r="CS154" s="123">
        <v>8.888667106628418</v>
      </c>
      <c r="CT154" s="123">
        <v>35.238292694091797</v>
      </c>
      <c r="CU154" s="123">
        <v>49.5234375</v>
      </c>
      <c r="CV154" s="124">
        <v>65.099952697753906</v>
      </c>
      <c r="CW154" s="125">
        <v>41</v>
      </c>
      <c r="CX154" s="123">
        <v>326</v>
      </c>
      <c r="CY154" s="123">
        <v>123.10299682617188</v>
      </c>
      <c r="CZ154" s="123">
        <v>52.227283477783203</v>
      </c>
      <c r="DA154" s="123">
        <v>20.771963119506836</v>
      </c>
      <c r="DB154" s="123">
        <v>33.247882843017578</v>
      </c>
      <c r="DC154" s="123">
        <v>82.199554443359375</v>
      </c>
      <c r="DD154" s="123">
        <v>62</v>
      </c>
      <c r="DE154" s="123">
        <v>179</v>
      </c>
      <c r="DF154" s="123">
        <v>111.85755157470703</v>
      </c>
      <c r="DG154" s="123">
        <v>74.508956909179688</v>
      </c>
      <c r="DH154" s="123">
        <v>52.440269470214844</v>
      </c>
      <c r="DI154" s="128">
        <v>40.467273712158203</v>
      </c>
      <c r="DJ154" s="127">
        <v>208</v>
      </c>
      <c r="DK154" s="123">
        <v>110.43900299072266</v>
      </c>
      <c r="DL154" s="123">
        <v>24.993999481201172</v>
      </c>
      <c r="DM154" s="123">
        <v>28.451000213623047</v>
      </c>
      <c r="DN154" s="123">
        <v>49.833000183105469</v>
      </c>
      <c r="DO154" s="124">
        <v>110.39692687988281</v>
      </c>
      <c r="DP154" s="125">
        <v>16.115999221801758</v>
      </c>
      <c r="DQ154" s="123"/>
      <c r="DR154" s="125">
        <v>67</v>
      </c>
      <c r="DS154" s="128">
        <v>31.100000381469727</v>
      </c>
      <c r="DT154" s="127">
        <v>12</v>
      </c>
      <c r="DU154" s="123"/>
      <c r="DV154" s="123">
        <v>9</v>
      </c>
      <c r="DW154" s="123">
        <v>2.2471604347229004</v>
      </c>
      <c r="DX154" s="125">
        <v>10</v>
      </c>
      <c r="DY154" s="128"/>
      <c r="DZ154" s="127">
        <v>45</v>
      </c>
      <c r="EA154" s="123">
        <v>3</v>
      </c>
      <c r="EB154" s="123">
        <v>0</v>
      </c>
      <c r="EC154" s="123">
        <v>1</v>
      </c>
      <c r="ED154" s="123">
        <v>264.70001220703125</v>
      </c>
      <c r="EE154" s="129"/>
      <c r="EF154" s="129"/>
      <c r="EG154" s="129"/>
    </row>
    <row r="155" spans="1:137" x14ac:dyDescent="0.3">
      <c r="A155" s="226">
        <f t="shared" si="9"/>
        <v>46020.104861111453</v>
      </c>
      <c r="B155" s="123">
        <v>239</v>
      </c>
      <c r="C155" s="123">
        <v>46.143001556396484</v>
      </c>
      <c r="D155" s="123">
        <v>101.447998046875</v>
      </c>
      <c r="E155" s="123">
        <v>17.868999481201172</v>
      </c>
      <c r="F155" s="123">
        <v>0</v>
      </c>
      <c r="G155" s="124">
        <v>17.642999649047852</v>
      </c>
      <c r="H155" s="125">
        <v>307</v>
      </c>
      <c r="I155" s="123">
        <v>276</v>
      </c>
      <c r="J155" s="123">
        <v>63.560001373291016</v>
      </c>
      <c r="K155" s="123">
        <v>61.392341613769531</v>
      </c>
      <c r="L155" s="123">
        <v>42.234001159667969</v>
      </c>
      <c r="M155" s="123">
        <v>12.779000282287598</v>
      </c>
      <c r="N155" s="123">
        <v>18.066999435424805</v>
      </c>
      <c r="O155" s="123">
        <v>18</v>
      </c>
      <c r="P155" s="123">
        <v>0</v>
      </c>
      <c r="Q155" s="123">
        <v>18.589426040649414</v>
      </c>
      <c r="R155" s="123">
        <v>10.003125190734863</v>
      </c>
      <c r="S155" s="123">
        <v>9.5198125839233398</v>
      </c>
      <c r="T155" s="123">
        <v>9</v>
      </c>
      <c r="U155" s="123">
        <v>9</v>
      </c>
      <c r="V155" s="125">
        <v>921</v>
      </c>
      <c r="W155" s="123">
        <v>27.257322311401367</v>
      </c>
      <c r="X155" s="123">
        <v>26.464000701904297</v>
      </c>
      <c r="Y155" s="123">
        <v>6.4879999160766602</v>
      </c>
      <c r="Z155" s="123">
        <v>0</v>
      </c>
      <c r="AA155" s="123">
        <v>24.993999481201172</v>
      </c>
      <c r="AB155" s="123">
        <v>0</v>
      </c>
      <c r="AC155" s="123">
        <v>56.6512451171875</v>
      </c>
      <c r="AD155" s="123">
        <v>6.3610000610351563</v>
      </c>
      <c r="AE155" s="123">
        <v>0</v>
      </c>
      <c r="AF155" s="123">
        <v>85.564506530761719</v>
      </c>
      <c r="AG155" s="123">
        <v>0</v>
      </c>
      <c r="AH155" s="123">
        <v>64.050498962402344</v>
      </c>
      <c r="AI155" s="123">
        <v>10.687000274658203</v>
      </c>
      <c r="AJ155" s="123">
        <v>21.019443511962891</v>
      </c>
      <c r="AK155" s="123">
        <v>44.957035064697266</v>
      </c>
      <c r="AL155" s="123">
        <v>40.290000915527344</v>
      </c>
      <c r="AM155" s="126">
        <v>54.391998291015625</v>
      </c>
      <c r="AN155" s="125">
        <v>121.6875</v>
      </c>
      <c r="AO155" s="127">
        <v>64</v>
      </c>
      <c r="AP155" s="123">
        <v>65.903823852539063</v>
      </c>
      <c r="AQ155" s="123">
        <v>39.076316833496094</v>
      </c>
      <c r="AR155" s="123">
        <v>84</v>
      </c>
      <c r="AS155" s="123"/>
      <c r="AT155" s="123">
        <v>123</v>
      </c>
      <c r="AU155" s="123"/>
      <c r="AV155" s="123">
        <v>75</v>
      </c>
      <c r="AW155" s="123"/>
      <c r="AX155" s="123">
        <v>33</v>
      </c>
      <c r="AY155" s="123">
        <v>34.646171569824219</v>
      </c>
      <c r="AZ155" s="123">
        <v>17</v>
      </c>
      <c r="BA155" s="123"/>
      <c r="BB155" s="123">
        <v>296</v>
      </c>
      <c r="BC155" s="123">
        <v>299.31793212890625</v>
      </c>
      <c r="BD155" s="123">
        <v>6.8000001907348633</v>
      </c>
      <c r="BE155" s="123">
        <v>6.9142980575561523</v>
      </c>
      <c r="BF155" s="123">
        <v>31</v>
      </c>
      <c r="BG155" s="123">
        <v>10</v>
      </c>
      <c r="BH155" s="123">
        <v>11.094974517822266</v>
      </c>
      <c r="BI155" s="123"/>
      <c r="BJ155" s="108">
        <f t="shared" si="7"/>
        <v>14</v>
      </c>
      <c r="BK155" s="123">
        <v>14</v>
      </c>
      <c r="BL155" s="123">
        <v>0</v>
      </c>
      <c r="BM155" s="126"/>
      <c r="BN155" s="108">
        <f t="shared" si="8"/>
        <v>123</v>
      </c>
      <c r="BO155" s="108">
        <v>74</v>
      </c>
      <c r="BP155" s="108">
        <v>49</v>
      </c>
      <c r="BQ155" s="108">
        <v>276</v>
      </c>
      <c r="BR155" s="123">
        <v>72.268997192382813</v>
      </c>
      <c r="BS155" s="123">
        <v>24.683000564575195</v>
      </c>
      <c r="BT155" s="123">
        <v>40.869998931884766</v>
      </c>
      <c r="BU155" s="123">
        <v>37.215999603271484</v>
      </c>
      <c r="BV155" s="123">
        <v>69.400001525878906</v>
      </c>
      <c r="BW155" s="123">
        <v>6.3000001907348633</v>
      </c>
      <c r="BX155" s="123">
        <v>13.699999809265137</v>
      </c>
      <c r="BY155" s="123">
        <v>28</v>
      </c>
      <c r="BZ155" s="123">
        <v>1.6126135364174843E-2</v>
      </c>
      <c r="CA155" s="123">
        <v>1</v>
      </c>
      <c r="CB155" s="123">
        <v>29.117532730102539</v>
      </c>
      <c r="CC155" s="126"/>
      <c r="CD155" s="123">
        <v>358.78790283203125</v>
      </c>
      <c r="CE155" s="123">
        <v>35.870708465576172</v>
      </c>
      <c r="CF155" s="123">
        <v>22.592432022094727</v>
      </c>
      <c r="CG155" s="123">
        <v>35.338191986083984</v>
      </c>
      <c r="CH155" s="123">
        <v>283.23599243164063</v>
      </c>
      <c r="CI155" s="123">
        <v>84.968101501464844</v>
      </c>
      <c r="CJ155" s="123">
        <v>36.307014465332031</v>
      </c>
      <c r="CK155" s="123">
        <v>52.313755035400391</v>
      </c>
      <c r="CL155" s="124">
        <v>34.479900360107422</v>
      </c>
      <c r="CM155" s="125">
        <v>205.57623291015625</v>
      </c>
      <c r="CN155" s="123">
        <v>62.622272491455078</v>
      </c>
      <c r="CO155" s="123">
        <v>70.27789306640625</v>
      </c>
      <c r="CP155" s="123">
        <v>69.748908996582031</v>
      </c>
      <c r="CQ155" s="123">
        <v>0</v>
      </c>
      <c r="CR155" s="123">
        <v>51.205509185791016</v>
      </c>
      <c r="CS155" s="123">
        <v>9.0971260070800781</v>
      </c>
      <c r="CT155" s="123">
        <v>33.660144805908203</v>
      </c>
      <c r="CU155" s="123">
        <v>50.407634735107422</v>
      </c>
      <c r="CV155" s="124">
        <v>63.511505126953125</v>
      </c>
      <c r="CW155" s="125">
        <v>41</v>
      </c>
      <c r="CX155" s="123">
        <v>327</v>
      </c>
      <c r="CY155" s="123">
        <v>119.80271148681641</v>
      </c>
      <c r="CZ155" s="123">
        <v>53.230926513671875</v>
      </c>
      <c r="DA155" s="123">
        <v>19.871871948242188</v>
      </c>
      <c r="DB155" s="123">
        <v>35.188446044921875</v>
      </c>
      <c r="DC155" s="123">
        <v>80.536819458007813</v>
      </c>
      <c r="DD155" s="123">
        <v>62</v>
      </c>
      <c r="DE155" s="123">
        <v>179</v>
      </c>
      <c r="DF155" s="123">
        <v>111.52187347412109</v>
      </c>
      <c r="DG155" s="123">
        <v>74.365859985351563</v>
      </c>
      <c r="DH155" s="123">
        <v>51.292339324951172</v>
      </c>
      <c r="DI155" s="128">
        <v>38.042766571044922</v>
      </c>
      <c r="DJ155" s="127">
        <v>210</v>
      </c>
      <c r="DK155" s="123">
        <v>106.36799621582031</v>
      </c>
      <c r="DL155" s="123">
        <v>24.767999649047852</v>
      </c>
      <c r="DM155" s="123">
        <v>27.920000076293945</v>
      </c>
      <c r="DN155" s="123">
        <v>50.893001556396484</v>
      </c>
      <c r="DO155" s="124">
        <v>110.63603210449219</v>
      </c>
      <c r="DP155" s="125">
        <v>15.946000099182129</v>
      </c>
      <c r="DQ155" s="123"/>
      <c r="DR155" s="125">
        <v>68</v>
      </c>
      <c r="DS155" s="128">
        <v>31.5</v>
      </c>
      <c r="DT155" s="127">
        <v>12</v>
      </c>
      <c r="DU155" s="123"/>
      <c r="DV155" s="123">
        <v>9</v>
      </c>
      <c r="DW155" s="123">
        <v>2.2360830307006836</v>
      </c>
      <c r="DX155" s="125">
        <v>9</v>
      </c>
      <c r="DY155" s="128"/>
      <c r="DZ155" s="127">
        <v>44</v>
      </c>
      <c r="EA155" s="123">
        <v>3</v>
      </c>
      <c r="EB155" s="123">
        <v>0</v>
      </c>
      <c r="EC155" s="123">
        <v>1</v>
      </c>
      <c r="ED155" s="123">
        <v>263.20001220703125</v>
      </c>
      <c r="EE155" s="129"/>
      <c r="EF155" s="129"/>
      <c r="EG155" s="129"/>
    </row>
    <row r="156" spans="1:137" x14ac:dyDescent="0.3">
      <c r="A156" s="226">
        <f t="shared" si="9"/>
        <v>46020.1055555559</v>
      </c>
      <c r="B156" s="123">
        <v>234</v>
      </c>
      <c r="C156" s="123">
        <v>46.143001556396484</v>
      </c>
      <c r="D156" s="123">
        <v>101.447998046875</v>
      </c>
      <c r="E156" s="123">
        <v>18.434000015258789</v>
      </c>
      <c r="F156" s="123">
        <v>2.1556949615478516</v>
      </c>
      <c r="G156" s="124">
        <v>16.511999130249023</v>
      </c>
      <c r="H156" s="125">
        <v>311</v>
      </c>
      <c r="I156" s="123">
        <v>277</v>
      </c>
      <c r="J156" s="123">
        <v>65.370002746582031</v>
      </c>
      <c r="K156" s="123">
        <v>61.291812896728516</v>
      </c>
      <c r="L156" s="123">
        <v>44.532001495361328</v>
      </c>
      <c r="M156" s="123">
        <v>12.553000450134277</v>
      </c>
      <c r="N156" s="123">
        <v>18.320999145507813</v>
      </c>
      <c r="O156" s="123">
        <v>16</v>
      </c>
      <c r="P156" s="123">
        <v>0</v>
      </c>
      <c r="Q156" s="123">
        <v>16.947505950927734</v>
      </c>
      <c r="R156" s="123">
        <v>10.996874809265137</v>
      </c>
      <c r="S156" s="123">
        <v>9.5663747787475586</v>
      </c>
      <c r="T156" s="123">
        <v>9</v>
      </c>
      <c r="U156" s="123">
        <v>9</v>
      </c>
      <c r="V156" s="125">
        <v>916</v>
      </c>
      <c r="W156" s="123">
        <v>26.075820922851563</v>
      </c>
      <c r="X156" s="123">
        <v>28.048000335693359</v>
      </c>
      <c r="Y156" s="123">
        <v>7.6339998245239258</v>
      </c>
      <c r="Z156" s="123">
        <v>0</v>
      </c>
      <c r="AA156" s="123">
        <v>24.993999481201172</v>
      </c>
      <c r="AB156" s="123">
        <v>0</v>
      </c>
      <c r="AC156" s="123">
        <v>56.276576995849609</v>
      </c>
      <c r="AD156" s="123">
        <v>6.3610000610351563</v>
      </c>
      <c r="AE156" s="123">
        <v>0</v>
      </c>
      <c r="AF156" s="123">
        <v>84.840232849121094</v>
      </c>
      <c r="AG156" s="123">
        <v>0</v>
      </c>
      <c r="AH156" s="123">
        <v>64.48004150390625</v>
      </c>
      <c r="AI156" s="123">
        <v>10.241999626159668</v>
      </c>
      <c r="AJ156" s="123">
        <v>22.653955459594727</v>
      </c>
      <c r="AK156" s="123">
        <v>46.089908599853516</v>
      </c>
      <c r="AL156" s="123">
        <v>38.347000122070313</v>
      </c>
      <c r="AM156" s="126">
        <v>53.501998901367188</v>
      </c>
      <c r="AN156" s="125">
        <v>121.125</v>
      </c>
      <c r="AO156" s="127">
        <v>64</v>
      </c>
      <c r="AP156" s="123">
        <v>65.304367065429688</v>
      </c>
      <c r="AQ156" s="123">
        <v>39.076316833496094</v>
      </c>
      <c r="AR156" s="123">
        <v>83</v>
      </c>
      <c r="AS156" s="123"/>
      <c r="AT156" s="123">
        <v>122</v>
      </c>
      <c r="AU156" s="123"/>
      <c r="AV156" s="123">
        <v>75</v>
      </c>
      <c r="AW156" s="123"/>
      <c r="AX156" s="123">
        <v>32</v>
      </c>
      <c r="AY156" s="123">
        <v>33.585727691650391</v>
      </c>
      <c r="AZ156" s="123">
        <v>16</v>
      </c>
      <c r="BA156" s="123"/>
      <c r="BB156" s="123">
        <v>296</v>
      </c>
      <c r="BC156" s="123">
        <v>296.5845947265625</v>
      </c>
      <c r="BD156" s="123">
        <v>6.8000001907348633</v>
      </c>
      <c r="BE156" s="123">
        <v>6.9217491149902344</v>
      </c>
      <c r="BF156" s="123">
        <v>31</v>
      </c>
      <c r="BG156" s="123">
        <v>10</v>
      </c>
      <c r="BH156" s="123">
        <v>11.091585159301758</v>
      </c>
      <c r="BI156" s="123"/>
      <c r="BJ156" s="108">
        <f t="shared" si="7"/>
        <v>13</v>
      </c>
      <c r="BK156" s="123">
        <v>13</v>
      </c>
      <c r="BL156" s="123">
        <v>0</v>
      </c>
      <c r="BM156" s="126"/>
      <c r="BN156" s="108">
        <f t="shared" si="8"/>
        <v>121</v>
      </c>
      <c r="BO156" s="108">
        <v>72</v>
      </c>
      <c r="BP156" s="108">
        <v>49</v>
      </c>
      <c r="BQ156" s="108">
        <v>277</v>
      </c>
      <c r="BR156" s="123">
        <v>69.666999816894531</v>
      </c>
      <c r="BS156" s="123">
        <v>25.701000213623047</v>
      </c>
      <c r="BT156" s="123">
        <v>40.869998931884766</v>
      </c>
      <c r="BU156" s="123">
        <v>38.233001708984375</v>
      </c>
      <c r="BV156" s="123">
        <v>68.900001525878906</v>
      </c>
      <c r="BW156" s="123">
        <v>6.1999998092651367</v>
      </c>
      <c r="BX156" s="123">
        <v>13.699999809265137</v>
      </c>
      <c r="BY156" s="123">
        <v>28</v>
      </c>
      <c r="BZ156" s="123">
        <v>1.6126135364174843E-2</v>
      </c>
      <c r="CA156" s="123">
        <v>0</v>
      </c>
      <c r="CB156" s="123">
        <v>29.054330825805664</v>
      </c>
      <c r="CC156" s="126"/>
      <c r="CD156" s="123">
        <v>358.78790283203125</v>
      </c>
      <c r="CE156" s="123">
        <v>35.859573364257813</v>
      </c>
      <c r="CF156" s="123">
        <v>22.597925186157227</v>
      </c>
      <c r="CG156" s="123">
        <v>35.338191986083984</v>
      </c>
      <c r="CH156" s="123">
        <v>283.71295166015625</v>
      </c>
      <c r="CI156" s="123">
        <v>86.564010620117188</v>
      </c>
      <c r="CJ156" s="123">
        <v>37.5369873046875</v>
      </c>
      <c r="CK156" s="123">
        <v>52.417118072509766</v>
      </c>
      <c r="CL156" s="124">
        <v>33.504947662353516</v>
      </c>
      <c r="CM156" s="125">
        <v>210.36247253417969</v>
      </c>
      <c r="CN156" s="123">
        <v>65.382087707519531</v>
      </c>
      <c r="CO156" s="123">
        <v>68.942352294921875</v>
      </c>
      <c r="CP156" s="123">
        <v>72.907096862792969</v>
      </c>
      <c r="CQ156" s="123">
        <v>0</v>
      </c>
      <c r="CR156" s="123">
        <v>49.393020629882813</v>
      </c>
      <c r="CS156" s="123">
        <v>9.2437143325805664</v>
      </c>
      <c r="CT156" s="123">
        <v>34.643058776855469</v>
      </c>
      <c r="CU156" s="123">
        <v>50.326511383056641</v>
      </c>
      <c r="CV156" s="124">
        <v>63.270046234130859</v>
      </c>
      <c r="CW156" s="125">
        <v>40</v>
      </c>
      <c r="CX156" s="123">
        <v>330</v>
      </c>
      <c r="CY156" s="123">
        <v>121.88416290283203</v>
      </c>
      <c r="CZ156" s="123">
        <v>51.820487976074219</v>
      </c>
      <c r="DA156" s="123">
        <v>20.15350341796875</v>
      </c>
      <c r="DB156" s="123">
        <v>34.255558013916016</v>
      </c>
      <c r="DC156" s="123">
        <v>80.870010375976563</v>
      </c>
      <c r="DD156" s="123">
        <v>65</v>
      </c>
      <c r="DE156" s="123">
        <v>181</v>
      </c>
      <c r="DF156" s="123">
        <v>108.93621826171875</v>
      </c>
      <c r="DG156" s="123">
        <v>74.073890686035156</v>
      </c>
      <c r="DH156" s="123">
        <v>50.593845367431641</v>
      </c>
      <c r="DI156" s="128">
        <v>36.831501007080078</v>
      </c>
      <c r="DJ156" s="127">
        <v>210</v>
      </c>
      <c r="DK156" s="123">
        <v>109.16699981689453</v>
      </c>
      <c r="DL156" s="123">
        <v>24.767999649047852</v>
      </c>
      <c r="DM156" s="123">
        <v>30.924999237060547</v>
      </c>
      <c r="DN156" s="123">
        <v>49.479999542236328</v>
      </c>
      <c r="DO156" s="124">
        <v>110.31043243408203</v>
      </c>
      <c r="DP156" s="125">
        <v>15.267999649047852</v>
      </c>
      <c r="DQ156" s="123"/>
      <c r="DR156" s="125">
        <v>67</v>
      </c>
      <c r="DS156" s="128">
        <v>30.600000381469727</v>
      </c>
      <c r="DT156" s="127">
        <v>12</v>
      </c>
      <c r="DU156" s="123"/>
      <c r="DV156" s="123">
        <v>9</v>
      </c>
      <c r="DW156" s="123">
        <v>2.2298338413238525</v>
      </c>
      <c r="DX156" s="125">
        <v>10</v>
      </c>
      <c r="DY156" s="128"/>
      <c r="DZ156" s="127">
        <v>44</v>
      </c>
      <c r="EA156" s="123">
        <v>3</v>
      </c>
      <c r="EB156" s="123">
        <v>0</v>
      </c>
      <c r="EC156" s="123">
        <v>1</v>
      </c>
      <c r="ED156" s="123">
        <v>255.80000305175781</v>
      </c>
      <c r="EE156" s="129"/>
      <c r="EF156" s="129"/>
      <c r="EG156" s="129"/>
    </row>
    <row r="157" spans="1:137" x14ac:dyDescent="0.3">
      <c r="A157" s="226">
        <f t="shared" si="9"/>
        <v>46020.106250000346</v>
      </c>
      <c r="B157" s="123">
        <v>240</v>
      </c>
      <c r="C157" s="123">
        <v>47.273998260498047</v>
      </c>
      <c r="D157" s="123">
        <v>103.25700378417969</v>
      </c>
      <c r="E157" s="123">
        <v>18.208000183105469</v>
      </c>
      <c r="F157" s="123">
        <v>0</v>
      </c>
      <c r="G157" s="124">
        <v>17.190000534057617</v>
      </c>
      <c r="H157" s="125">
        <v>310</v>
      </c>
      <c r="I157" s="123">
        <v>275</v>
      </c>
      <c r="J157" s="123">
        <v>62.654998779296875</v>
      </c>
      <c r="K157" s="123">
        <v>61.72833251953125</v>
      </c>
      <c r="L157" s="123">
        <v>45.237998962402344</v>
      </c>
      <c r="M157" s="123">
        <v>12.666000366210938</v>
      </c>
      <c r="N157" s="123">
        <v>17.940000534057617</v>
      </c>
      <c r="O157" s="123">
        <v>19</v>
      </c>
      <c r="P157" s="123">
        <v>0</v>
      </c>
      <c r="Q157" s="123">
        <v>17.820510864257813</v>
      </c>
      <c r="R157" s="123">
        <v>9</v>
      </c>
      <c r="S157" s="123">
        <v>7.9900517463684082</v>
      </c>
      <c r="T157" s="123">
        <v>9</v>
      </c>
      <c r="U157" s="123">
        <v>9</v>
      </c>
      <c r="V157" s="125">
        <v>917</v>
      </c>
      <c r="W157" s="123">
        <v>26.1151123046875</v>
      </c>
      <c r="X157" s="123">
        <v>27.482000350952148</v>
      </c>
      <c r="Y157" s="123">
        <v>8.0790004730224609</v>
      </c>
      <c r="Z157" s="123">
        <v>0</v>
      </c>
      <c r="AA157" s="123">
        <v>23.97599983215332</v>
      </c>
      <c r="AB157" s="123">
        <v>0</v>
      </c>
      <c r="AC157" s="123">
        <v>55.895793914794922</v>
      </c>
      <c r="AD157" s="123">
        <v>6.3610000610351563</v>
      </c>
      <c r="AE157" s="123">
        <v>0</v>
      </c>
      <c r="AF157" s="123">
        <v>85.198928833007813</v>
      </c>
      <c r="AG157" s="123">
        <v>0</v>
      </c>
      <c r="AH157" s="123">
        <v>65.674888610839844</v>
      </c>
      <c r="AI157" s="123">
        <v>11.133000373840332</v>
      </c>
      <c r="AJ157" s="123">
        <v>23.184614181518555</v>
      </c>
      <c r="AK157" s="123">
        <v>44.286689758300781</v>
      </c>
      <c r="AL157" s="123">
        <v>39.937000274658203</v>
      </c>
      <c r="AM157" s="126">
        <v>55.409999847412109</v>
      </c>
      <c r="AN157" s="125">
        <v>118.5625</v>
      </c>
      <c r="AO157" s="127">
        <v>65</v>
      </c>
      <c r="AP157" s="123">
        <v>64.040496826171875</v>
      </c>
      <c r="AQ157" s="123">
        <v>39.234317779541016</v>
      </c>
      <c r="AR157" s="123">
        <v>83</v>
      </c>
      <c r="AS157" s="123"/>
      <c r="AT157" s="123">
        <v>121</v>
      </c>
      <c r="AU157" s="123"/>
      <c r="AV157" s="123">
        <v>82</v>
      </c>
      <c r="AW157" s="123"/>
      <c r="AX157" s="123">
        <v>32</v>
      </c>
      <c r="AY157" s="123">
        <v>33.780647277832031</v>
      </c>
      <c r="AZ157" s="123">
        <v>16</v>
      </c>
      <c r="BA157" s="123"/>
      <c r="BB157" s="123">
        <v>297</v>
      </c>
      <c r="BC157" s="123">
        <v>296.25445556640625</v>
      </c>
      <c r="BD157" s="123">
        <v>6.9000000953674316</v>
      </c>
      <c r="BE157" s="123">
        <v>6.9163532257080078</v>
      </c>
      <c r="BF157" s="123">
        <v>30</v>
      </c>
      <c r="BG157" s="123">
        <v>10</v>
      </c>
      <c r="BH157" s="123">
        <v>11.104838371276855</v>
      </c>
      <c r="BI157" s="123"/>
      <c r="BJ157" s="108">
        <f t="shared" si="7"/>
        <v>14</v>
      </c>
      <c r="BK157" s="123">
        <v>14</v>
      </c>
      <c r="BL157" s="123">
        <v>0</v>
      </c>
      <c r="BM157" s="126"/>
      <c r="BN157" s="108">
        <f t="shared" si="8"/>
        <v>122</v>
      </c>
      <c r="BO157" s="108">
        <v>73</v>
      </c>
      <c r="BP157" s="108">
        <v>49</v>
      </c>
      <c r="BQ157" s="108">
        <v>268</v>
      </c>
      <c r="BR157" s="123">
        <v>67.971000671386719</v>
      </c>
      <c r="BS157" s="123">
        <v>24.937000274658203</v>
      </c>
      <c r="BT157" s="123">
        <v>42.602001190185547</v>
      </c>
      <c r="BU157" s="123">
        <v>37.724998474121094</v>
      </c>
      <c r="BV157" s="123">
        <v>68.900001525878906</v>
      </c>
      <c r="BW157" s="123">
        <v>6</v>
      </c>
      <c r="BX157" s="123">
        <v>13.5</v>
      </c>
      <c r="BY157" s="123">
        <v>28</v>
      </c>
      <c r="BZ157" s="123">
        <v>1.3283693231642246E-2</v>
      </c>
      <c r="CA157" s="123">
        <v>1</v>
      </c>
      <c r="CB157" s="123">
        <v>29.078823089599609</v>
      </c>
      <c r="CC157" s="126"/>
      <c r="CD157" s="123">
        <v>355.06610107421875</v>
      </c>
      <c r="CE157" s="123">
        <v>36.704837799072266</v>
      </c>
      <c r="CF157" s="123">
        <v>22.554025650024414</v>
      </c>
      <c r="CG157" s="123">
        <v>35.338191986083984</v>
      </c>
      <c r="CH157" s="123">
        <v>282.05850219726563</v>
      </c>
      <c r="CI157" s="123">
        <v>86.201057434082031</v>
      </c>
      <c r="CJ157" s="123">
        <v>38.633811950683594</v>
      </c>
      <c r="CK157" s="123">
        <v>50.900375366210938</v>
      </c>
      <c r="CL157" s="124">
        <v>33.273536682128906</v>
      </c>
      <c r="CM157" s="125">
        <v>212.19534301757813</v>
      </c>
      <c r="CN157" s="123">
        <v>64.895706176757813</v>
      </c>
      <c r="CO157" s="123">
        <v>69.502159118652344</v>
      </c>
      <c r="CP157" s="123">
        <v>72.853530883789063</v>
      </c>
      <c r="CQ157" s="123">
        <v>0</v>
      </c>
      <c r="CR157" s="123">
        <v>48.900226593017578</v>
      </c>
      <c r="CS157" s="123">
        <v>8.9108142852783203</v>
      </c>
      <c r="CT157" s="123">
        <v>34.776008605957031</v>
      </c>
      <c r="CU157" s="123">
        <v>49.247318267822266</v>
      </c>
      <c r="CV157" s="124">
        <v>62.682594299316406</v>
      </c>
      <c r="CW157" s="125">
        <v>17</v>
      </c>
      <c r="CX157" s="123">
        <v>325</v>
      </c>
      <c r="CY157" s="123">
        <v>123.34526824951172</v>
      </c>
      <c r="CZ157" s="123">
        <v>50.803958892822266</v>
      </c>
      <c r="DA157" s="123">
        <v>20.725286483764648</v>
      </c>
      <c r="DB157" s="123">
        <v>33.444602966308594</v>
      </c>
      <c r="DC157" s="123">
        <v>80.49896240234375</v>
      </c>
      <c r="DD157" s="123">
        <v>63</v>
      </c>
      <c r="DE157" s="123">
        <v>180</v>
      </c>
      <c r="DF157" s="123">
        <v>108.93621826171875</v>
      </c>
      <c r="DG157" s="123">
        <v>75.583351135253906</v>
      </c>
      <c r="DH157" s="123">
        <v>50.408870697021484</v>
      </c>
      <c r="DI157" s="128">
        <v>36.572818756103516</v>
      </c>
      <c r="DJ157" s="127">
        <v>209</v>
      </c>
      <c r="DK157" s="123">
        <v>111.96600341796875</v>
      </c>
      <c r="DL157" s="123">
        <v>26.238000869750977</v>
      </c>
      <c r="DM157" s="123">
        <v>31.454999923706055</v>
      </c>
      <c r="DN157" s="123">
        <v>50.540000915527344</v>
      </c>
      <c r="DO157" s="124">
        <v>110.10626220703125</v>
      </c>
      <c r="DP157" s="125">
        <v>15.777000427246094</v>
      </c>
      <c r="DQ157" s="123"/>
      <c r="DR157" s="125">
        <v>67</v>
      </c>
      <c r="DS157" s="128">
        <v>31.799999237060547</v>
      </c>
      <c r="DT157" s="127">
        <v>12</v>
      </c>
      <c r="DU157" s="123"/>
      <c r="DV157" s="123">
        <v>8</v>
      </c>
      <c r="DW157" s="123">
        <v>1.1806086301803589</v>
      </c>
      <c r="DX157" s="125">
        <v>10</v>
      </c>
      <c r="DY157" s="128"/>
      <c r="DZ157" s="127">
        <v>45</v>
      </c>
      <c r="EA157" s="123">
        <v>3</v>
      </c>
      <c r="EB157" s="123">
        <v>0</v>
      </c>
      <c r="EC157" s="123">
        <v>1</v>
      </c>
      <c r="ED157" s="123">
        <v>258.10000610351563</v>
      </c>
      <c r="EE157" s="129"/>
      <c r="EF157" s="129"/>
      <c r="EG157" s="129"/>
    </row>
    <row r="158" spans="1:137" x14ac:dyDescent="0.3">
      <c r="A158" s="226">
        <f t="shared" si="9"/>
        <v>46020.106944444793</v>
      </c>
      <c r="B158" s="123">
        <v>233</v>
      </c>
      <c r="C158" s="123">
        <v>49.762001037597656</v>
      </c>
      <c r="D158" s="123">
        <v>101.90000152587891</v>
      </c>
      <c r="E158" s="123">
        <v>17.190000534057617</v>
      </c>
      <c r="F158" s="123">
        <v>9.2730236053466797</v>
      </c>
      <c r="G158" s="124">
        <v>18.208000183105469</v>
      </c>
      <c r="H158" s="125">
        <v>307</v>
      </c>
      <c r="I158" s="123">
        <v>275</v>
      </c>
      <c r="J158" s="123">
        <v>63.333999633789063</v>
      </c>
      <c r="K158" s="123">
        <v>62.19287109375</v>
      </c>
      <c r="L158" s="123">
        <v>45.237998962402344</v>
      </c>
      <c r="M158" s="123">
        <v>12.439999580383301</v>
      </c>
      <c r="N158" s="123">
        <v>17.621000289916992</v>
      </c>
      <c r="O158" s="123">
        <v>18</v>
      </c>
      <c r="P158" s="123">
        <v>0</v>
      </c>
      <c r="Q158" s="123">
        <v>18.920499801635742</v>
      </c>
      <c r="R158" s="123">
        <v>9</v>
      </c>
      <c r="S158" s="123">
        <v>8.3565559387207031</v>
      </c>
      <c r="T158" s="123">
        <v>9</v>
      </c>
      <c r="U158" s="123">
        <v>9</v>
      </c>
      <c r="V158" s="125">
        <v>910</v>
      </c>
      <c r="W158" s="123">
        <v>27.500038146972656</v>
      </c>
      <c r="X158" s="123">
        <v>26.690000534057617</v>
      </c>
      <c r="Y158" s="123">
        <v>8.0790004730224609</v>
      </c>
      <c r="Z158" s="123">
        <v>0</v>
      </c>
      <c r="AA158" s="123">
        <v>22.166999816894531</v>
      </c>
      <c r="AB158" s="123">
        <v>0</v>
      </c>
      <c r="AC158" s="123">
        <v>57.060462951660156</v>
      </c>
      <c r="AD158" s="123">
        <v>6.6160001754760742</v>
      </c>
      <c r="AE158" s="123">
        <v>0</v>
      </c>
      <c r="AF158" s="123">
        <v>84.928474426269531</v>
      </c>
      <c r="AG158" s="123">
        <v>0</v>
      </c>
      <c r="AH158" s="123">
        <v>63.954643249511719</v>
      </c>
      <c r="AI158" s="123">
        <v>11.005000114440918</v>
      </c>
      <c r="AJ158" s="123">
        <v>22.162252426147461</v>
      </c>
      <c r="AK158" s="123">
        <v>44.888172149658203</v>
      </c>
      <c r="AL158" s="123">
        <v>37.639999389648438</v>
      </c>
      <c r="AM158" s="126">
        <v>54.13800048828125</v>
      </c>
      <c r="AN158" s="125">
        <v>124.1875</v>
      </c>
      <c r="AO158" s="127">
        <v>63</v>
      </c>
      <c r="AP158" s="123">
        <v>63.429454803466797</v>
      </c>
      <c r="AQ158" s="123">
        <v>39.476230621337891</v>
      </c>
      <c r="AR158" s="123">
        <v>85</v>
      </c>
      <c r="AS158" s="123"/>
      <c r="AT158" s="123">
        <v>121</v>
      </c>
      <c r="AU158" s="123"/>
      <c r="AV158" s="123">
        <v>84</v>
      </c>
      <c r="AW158" s="123"/>
      <c r="AX158" s="123">
        <v>31</v>
      </c>
      <c r="AY158" s="123">
        <v>33.40191650390625</v>
      </c>
      <c r="AZ158" s="123">
        <v>17</v>
      </c>
      <c r="BA158" s="123"/>
      <c r="BB158" s="123">
        <v>297</v>
      </c>
      <c r="BC158" s="123">
        <v>298.31573486328125</v>
      </c>
      <c r="BD158" s="123">
        <v>6.9000000953674316</v>
      </c>
      <c r="BE158" s="123">
        <v>6.9015874862670898</v>
      </c>
      <c r="BF158" s="123">
        <v>30</v>
      </c>
      <c r="BG158" s="123">
        <v>10</v>
      </c>
      <c r="BH158" s="123">
        <v>11.104838371276855</v>
      </c>
      <c r="BI158" s="123"/>
      <c r="BJ158" s="108">
        <f t="shared" si="7"/>
        <v>13</v>
      </c>
      <c r="BK158" s="123">
        <v>13</v>
      </c>
      <c r="BL158" s="123">
        <v>0</v>
      </c>
      <c r="BM158" s="126"/>
      <c r="BN158" s="108">
        <f t="shared" si="8"/>
        <v>122</v>
      </c>
      <c r="BO158" s="108">
        <v>73</v>
      </c>
      <c r="BP158" s="108">
        <v>49</v>
      </c>
      <c r="BQ158" s="108">
        <v>274</v>
      </c>
      <c r="BR158" s="123">
        <v>70.233001708984375</v>
      </c>
      <c r="BS158" s="123">
        <v>24.683000564575195</v>
      </c>
      <c r="BT158" s="123">
        <v>42.255001068115234</v>
      </c>
      <c r="BU158" s="123">
        <v>37.470001220703125</v>
      </c>
      <c r="BV158" s="123">
        <v>68.199996948242188</v>
      </c>
      <c r="BW158" s="123">
        <v>6</v>
      </c>
      <c r="BX158" s="123">
        <v>13.399999618530273</v>
      </c>
      <c r="BY158" s="123">
        <v>28</v>
      </c>
      <c r="BZ158" s="123">
        <v>1.4664152637124062E-2</v>
      </c>
      <c r="CA158" s="123">
        <v>1</v>
      </c>
      <c r="CB158" s="123">
        <v>29.281408309936523</v>
      </c>
      <c r="CC158" s="126"/>
      <c r="CD158" s="123">
        <v>361.9781494140625</v>
      </c>
      <c r="CE158" s="123">
        <v>38.291641235351563</v>
      </c>
      <c r="CF158" s="123">
        <v>23.344829559326172</v>
      </c>
      <c r="CG158" s="123">
        <v>35.338191986083984</v>
      </c>
      <c r="CH158" s="123">
        <v>280.911865234375</v>
      </c>
      <c r="CI158" s="123">
        <v>86.949394226074219</v>
      </c>
      <c r="CJ158" s="123">
        <v>39.037670135498047</v>
      </c>
      <c r="CK158" s="123">
        <v>50.162673950195313</v>
      </c>
      <c r="CL158" s="124">
        <v>31.812068939208984</v>
      </c>
      <c r="CM158" s="125">
        <v>209.12295532226563</v>
      </c>
      <c r="CN158" s="123">
        <v>62.958633422851563</v>
      </c>
      <c r="CO158" s="123">
        <v>70.677848815917969</v>
      </c>
      <c r="CP158" s="123">
        <v>72.036323547363281</v>
      </c>
      <c r="CQ158" s="123">
        <v>0</v>
      </c>
      <c r="CR158" s="123">
        <v>50.790203094482422</v>
      </c>
      <c r="CS158" s="123">
        <v>9.2984561920166016</v>
      </c>
      <c r="CT158" s="123">
        <v>33.547523498535156</v>
      </c>
      <c r="CU158" s="123">
        <v>51.8665771484375</v>
      </c>
      <c r="CV158" s="124">
        <v>63.917877197265625</v>
      </c>
      <c r="CW158" s="125">
        <v>5</v>
      </c>
      <c r="CX158" s="123">
        <v>324</v>
      </c>
      <c r="CY158" s="123">
        <v>121.65608215332031</v>
      </c>
      <c r="CZ158" s="123">
        <v>51.278488159179688</v>
      </c>
      <c r="DA158" s="123">
        <v>19.98979377746582</v>
      </c>
      <c r="DB158" s="123">
        <v>34.460250854492188</v>
      </c>
      <c r="DC158" s="123">
        <v>80.49896240234375</v>
      </c>
      <c r="DD158" s="123">
        <v>74</v>
      </c>
      <c r="DE158" s="123">
        <v>181</v>
      </c>
      <c r="DF158" s="123">
        <v>107.05294799804688</v>
      </c>
      <c r="DG158" s="123">
        <v>78.559768676757813</v>
      </c>
      <c r="DH158" s="123">
        <v>50.264629364013672</v>
      </c>
      <c r="DI158" s="128">
        <v>36.494819641113281</v>
      </c>
      <c r="DJ158" s="127">
        <v>210</v>
      </c>
      <c r="DK158" s="123">
        <v>107.63999938964844</v>
      </c>
      <c r="DL158" s="123">
        <v>25.89900016784668</v>
      </c>
      <c r="DM158" s="123">
        <v>29.51099967956543</v>
      </c>
      <c r="DN158" s="123">
        <v>49.655998229980469</v>
      </c>
      <c r="DO158" s="124">
        <v>110.519775390625</v>
      </c>
      <c r="DP158" s="125">
        <v>15.550000190734863</v>
      </c>
      <c r="DQ158" s="123"/>
      <c r="DR158" s="125">
        <v>67</v>
      </c>
      <c r="DS158" s="128">
        <v>30.299999237060547</v>
      </c>
      <c r="DT158" s="127">
        <v>13</v>
      </c>
      <c r="DU158" s="123"/>
      <c r="DV158" s="123">
        <v>8</v>
      </c>
      <c r="DW158" s="123">
        <v>1.1480717658996582</v>
      </c>
      <c r="DX158" s="125">
        <v>10</v>
      </c>
      <c r="DY158" s="128"/>
      <c r="DZ158" s="127">
        <v>45</v>
      </c>
      <c r="EA158" s="123">
        <v>3</v>
      </c>
      <c r="EB158" s="123">
        <v>0</v>
      </c>
      <c r="EC158" s="123">
        <v>1</v>
      </c>
      <c r="ED158" s="123">
        <v>256.39999389648438</v>
      </c>
      <c r="EE158" s="129"/>
      <c r="EF158" s="129"/>
      <c r="EG158" s="129"/>
    </row>
    <row r="159" spans="1:137" x14ac:dyDescent="0.3">
      <c r="A159" s="226">
        <f t="shared" si="9"/>
        <v>46020.10763888924</v>
      </c>
      <c r="B159" s="123">
        <v>234</v>
      </c>
      <c r="C159" s="123">
        <v>51.798000335693359</v>
      </c>
      <c r="D159" s="123">
        <v>101.67400360107422</v>
      </c>
      <c r="E159" s="123">
        <v>16.738000869750977</v>
      </c>
      <c r="F159" s="123">
        <v>6.1462669372558594</v>
      </c>
      <c r="G159" s="124">
        <v>16.738000869750977</v>
      </c>
      <c r="H159" s="125">
        <v>305</v>
      </c>
      <c r="I159" s="123">
        <v>269</v>
      </c>
      <c r="J159" s="123">
        <v>61.863998413085938</v>
      </c>
      <c r="K159" s="123">
        <v>62.945785522460938</v>
      </c>
      <c r="L159" s="123">
        <v>43.294998168945313</v>
      </c>
      <c r="M159" s="123">
        <v>12.553000450134277</v>
      </c>
      <c r="N159" s="123">
        <v>18.257999420166016</v>
      </c>
      <c r="O159" s="123">
        <v>18</v>
      </c>
      <c r="P159" s="123">
        <v>0</v>
      </c>
      <c r="Q159" s="123">
        <v>18.263822555541992</v>
      </c>
      <c r="R159" s="123">
        <v>7.0031251907348633</v>
      </c>
      <c r="S159" s="123">
        <v>7.3856139183044434</v>
      </c>
      <c r="T159" s="123">
        <v>9</v>
      </c>
      <c r="U159" s="123">
        <v>9</v>
      </c>
      <c r="V159" s="125">
        <v>910</v>
      </c>
      <c r="W159" s="123">
        <v>27.491262435913086</v>
      </c>
      <c r="X159" s="123">
        <v>26.804000854492188</v>
      </c>
      <c r="Y159" s="123">
        <v>7.570000171661377</v>
      </c>
      <c r="Z159" s="123">
        <v>0</v>
      </c>
      <c r="AA159" s="123">
        <v>22.618999481201172</v>
      </c>
      <c r="AB159" s="123">
        <v>0</v>
      </c>
      <c r="AC159" s="123">
        <v>55.592144012451172</v>
      </c>
      <c r="AD159" s="123">
        <v>6.6160001754760742</v>
      </c>
      <c r="AE159" s="123">
        <v>0</v>
      </c>
      <c r="AF159" s="123">
        <v>82.842849731445313</v>
      </c>
      <c r="AG159" s="123">
        <v>0</v>
      </c>
      <c r="AH159" s="123">
        <v>63.984550476074219</v>
      </c>
      <c r="AI159" s="123">
        <v>10.496000289916992</v>
      </c>
      <c r="AJ159" s="123">
        <v>19.364423751831055</v>
      </c>
      <c r="AK159" s="123">
        <v>44.243717193603516</v>
      </c>
      <c r="AL159" s="123">
        <v>37.816001892089844</v>
      </c>
      <c r="AM159" s="126">
        <v>54.13800048828125</v>
      </c>
      <c r="AN159" s="125">
        <v>120.125</v>
      </c>
      <c r="AO159" s="127">
        <v>62</v>
      </c>
      <c r="AP159" s="123">
        <v>63.992851257324219</v>
      </c>
      <c r="AQ159" s="123">
        <v>38.403327941894531</v>
      </c>
      <c r="AR159" s="123">
        <v>86</v>
      </c>
      <c r="AS159" s="123"/>
      <c r="AT159" s="123">
        <v>121</v>
      </c>
      <c r="AU159" s="123"/>
      <c r="AV159" s="123">
        <v>82</v>
      </c>
      <c r="AW159" s="123"/>
      <c r="AX159" s="123">
        <v>31</v>
      </c>
      <c r="AY159" s="123">
        <v>33.40191650390625</v>
      </c>
      <c r="AZ159" s="123">
        <v>15</v>
      </c>
      <c r="BA159" s="123"/>
      <c r="BB159" s="123">
        <v>298</v>
      </c>
      <c r="BC159" s="123">
        <v>298.54409790039063</v>
      </c>
      <c r="BD159" s="123">
        <v>6.8000001907348633</v>
      </c>
      <c r="BE159" s="123">
        <v>6.8731522560119629</v>
      </c>
      <c r="BF159" s="123">
        <v>30</v>
      </c>
      <c r="BG159" s="123">
        <v>10</v>
      </c>
      <c r="BH159" s="123">
        <v>11.12580680847168</v>
      </c>
      <c r="BI159" s="123"/>
      <c r="BJ159" s="108">
        <f t="shared" si="7"/>
        <v>13</v>
      </c>
      <c r="BK159" s="123">
        <v>13</v>
      </c>
      <c r="BL159" s="123">
        <v>0</v>
      </c>
      <c r="BM159" s="126"/>
      <c r="BN159" s="108">
        <f t="shared" si="8"/>
        <v>122</v>
      </c>
      <c r="BO159" s="108">
        <v>73</v>
      </c>
      <c r="BP159" s="108">
        <v>49</v>
      </c>
      <c r="BQ159" s="108">
        <v>272</v>
      </c>
      <c r="BR159" s="123">
        <v>68.422996520996094</v>
      </c>
      <c r="BS159" s="123">
        <v>26.209999084472656</v>
      </c>
      <c r="BT159" s="123">
        <v>40.869998931884766</v>
      </c>
      <c r="BU159" s="123">
        <v>36.707000732421875</v>
      </c>
      <c r="BV159" s="123">
        <v>68.5</v>
      </c>
      <c r="BW159" s="123">
        <v>6</v>
      </c>
      <c r="BX159" s="123">
        <v>13.399999618530273</v>
      </c>
      <c r="BY159" s="123">
        <v>28</v>
      </c>
      <c r="BZ159" s="123">
        <v>1.4027064666152E-2</v>
      </c>
      <c r="CA159" s="123">
        <v>1</v>
      </c>
      <c r="CB159" s="123">
        <v>29.189119338989258</v>
      </c>
      <c r="CC159" s="126"/>
      <c r="CD159" s="123">
        <v>356.882568359375</v>
      </c>
      <c r="CE159" s="123">
        <v>38.535366058349609</v>
      </c>
      <c r="CF159" s="123">
        <v>23.344829559326172</v>
      </c>
      <c r="CG159" s="123">
        <v>35.338191986083984</v>
      </c>
      <c r="CH159" s="123">
        <v>280.8792724609375</v>
      </c>
      <c r="CI159" s="123">
        <v>83.306411743164063</v>
      </c>
      <c r="CJ159" s="123">
        <v>36.515201568603516</v>
      </c>
      <c r="CK159" s="123">
        <v>49.787445068359375</v>
      </c>
      <c r="CL159" s="124">
        <v>33.094284057617188</v>
      </c>
      <c r="CM159" s="125">
        <v>204.78314208984375</v>
      </c>
      <c r="CN159" s="123">
        <v>59.990264892578125</v>
      </c>
      <c r="CO159" s="123">
        <v>70.104667663574219</v>
      </c>
      <c r="CP159" s="123">
        <v>73.027656555175781</v>
      </c>
      <c r="CQ159" s="123">
        <v>0</v>
      </c>
      <c r="CR159" s="123">
        <v>51.633819580078125</v>
      </c>
      <c r="CS159" s="123">
        <v>8.8997802734375</v>
      </c>
      <c r="CT159" s="123">
        <v>34.149589538574219</v>
      </c>
      <c r="CU159" s="123">
        <v>50.386802673339844</v>
      </c>
      <c r="CV159" s="124">
        <v>63.827644348144531</v>
      </c>
      <c r="CW159" s="125">
        <v>2</v>
      </c>
      <c r="CX159" s="123">
        <v>324</v>
      </c>
      <c r="CY159" s="123">
        <v>121.13198852539063</v>
      </c>
      <c r="CZ159" s="123">
        <v>51.548770904541016</v>
      </c>
      <c r="DA159" s="123">
        <v>20.114494323730469</v>
      </c>
      <c r="DB159" s="123">
        <v>32.120773315429688</v>
      </c>
      <c r="DC159" s="123">
        <v>81.090141296386719</v>
      </c>
      <c r="DD159" s="123">
        <v>65</v>
      </c>
      <c r="DE159" s="123">
        <v>178</v>
      </c>
      <c r="DF159" s="123">
        <v>107.57915496826172</v>
      </c>
      <c r="DG159" s="123">
        <v>72.119224548339844</v>
      </c>
      <c r="DH159" s="123">
        <v>50.311622619628906</v>
      </c>
      <c r="DI159" s="128">
        <v>36.414360046386719</v>
      </c>
      <c r="DJ159" s="127">
        <v>212</v>
      </c>
      <c r="DK159" s="123">
        <v>109.93000030517578</v>
      </c>
      <c r="DL159" s="123">
        <v>26.125</v>
      </c>
      <c r="DM159" s="123">
        <v>29.51099967956543</v>
      </c>
      <c r="DN159" s="123">
        <v>50.893001556396484</v>
      </c>
      <c r="DO159" s="124">
        <v>109.80481719970703</v>
      </c>
      <c r="DP159" s="125">
        <v>15.861000061035156</v>
      </c>
      <c r="DQ159" s="123"/>
      <c r="DR159" s="125">
        <v>67</v>
      </c>
      <c r="DS159" s="128">
        <v>30.299999237060547</v>
      </c>
      <c r="DT159" s="127">
        <v>12</v>
      </c>
      <c r="DU159" s="123"/>
      <c r="DV159" s="123">
        <v>10</v>
      </c>
      <c r="DW159" s="123">
        <v>1.2675715684890747</v>
      </c>
      <c r="DX159" s="125">
        <v>10</v>
      </c>
      <c r="DY159" s="128"/>
      <c r="DZ159" s="127">
        <v>44</v>
      </c>
      <c r="EA159" s="123">
        <v>3</v>
      </c>
      <c r="EB159" s="123">
        <v>0</v>
      </c>
      <c r="EC159" s="123">
        <v>1</v>
      </c>
      <c r="ED159" s="123">
        <v>257.89999389648438</v>
      </c>
      <c r="EE159" s="129"/>
      <c r="EF159" s="129"/>
      <c r="EG159" s="129"/>
    </row>
    <row r="160" spans="1:137" x14ac:dyDescent="0.3">
      <c r="A160" s="226">
        <f t="shared" si="9"/>
        <v>46020.108333333686</v>
      </c>
      <c r="B160" s="123">
        <v>238</v>
      </c>
      <c r="C160" s="123">
        <v>50.779998779296875</v>
      </c>
      <c r="D160" s="123">
        <v>102.35299682617188</v>
      </c>
      <c r="E160" s="123">
        <v>14.25</v>
      </c>
      <c r="F160" s="123">
        <v>0</v>
      </c>
      <c r="G160" s="124">
        <v>16.85099983215332</v>
      </c>
      <c r="H160" s="125">
        <v>307</v>
      </c>
      <c r="I160" s="123">
        <v>275</v>
      </c>
      <c r="J160" s="123">
        <v>62.316001892089844</v>
      </c>
      <c r="K160" s="123">
        <v>62.160396575927734</v>
      </c>
      <c r="L160" s="123">
        <v>44.000999450683594</v>
      </c>
      <c r="M160" s="123">
        <v>12.779000282287598</v>
      </c>
      <c r="N160" s="123">
        <v>17.875999450683594</v>
      </c>
      <c r="O160" s="123">
        <v>16</v>
      </c>
      <c r="P160" s="123">
        <v>0</v>
      </c>
      <c r="Q160" s="123">
        <v>17.271383285522461</v>
      </c>
      <c r="R160" s="123">
        <v>7.0031251907348633</v>
      </c>
      <c r="S160" s="123">
        <v>7.3856139183044434</v>
      </c>
      <c r="T160" s="123">
        <v>9</v>
      </c>
      <c r="U160" s="123">
        <v>9</v>
      </c>
      <c r="V160" s="125">
        <v>901</v>
      </c>
      <c r="W160" s="123">
        <v>27.073028564453125</v>
      </c>
      <c r="X160" s="123">
        <v>26.238000869750977</v>
      </c>
      <c r="Y160" s="123">
        <v>6.2340002059936523</v>
      </c>
      <c r="Z160" s="123">
        <v>0</v>
      </c>
      <c r="AA160" s="123">
        <v>22.958000183105469</v>
      </c>
      <c r="AB160" s="123">
        <v>0</v>
      </c>
      <c r="AC160" s="123">
        <v>55.217578887939453</v>
      </c>
      <c r="AD160" s="123">
        <v>6.6160001754760742</v>
      </c>
      <c r="AE160" s="123">
        <v>0</v>
      </c>
      <c r="AF160" s="123">
        <v>82.161117553710938</v>
      </c>
      <c r="AG160" s="123">
        <v>0</v>
      </c>
      <c r="AH160" s="123">
        <v>64.479827880859375</v>
      </c>
      <c r="AI160" s="123">
        <v>10.942000389099121</v>
      </c>
      <c r="AJ160" s="123">
        <v>21.163902282714844</v>
      </c>
      <c r="AK160" s="123">
        <v>44.724800109863281</v>
      </c>
      <c r="AL160" s="123">
        <v>38.522998809814453</v>
      </c>
      <c r="AM160" s="126">
        <v>55.219001770019531</v>
      </c>
      <c r="AN160" s="125">
        <v>119.4375</v>
      </c>
      <c r="AO160" s="127">
        <v>65</v>
      </c>
      <c r="AP160" s="123">
        <v>63.975688934326172</v>
      </c>
      <c r="AQ160" s="123">
        <v>38.964141845703125</v>
      </c>
      <c r="AR160" s="123">
        <v>87</v>
      </c>
      <c r="AS160" s="123"/>
      <c r="AT160" s="123">
        <v>121</v>
      </c>
      <c r="AU160" s="123"/>
      <c r="AV160" s="123">
        <v>82</v>
      </c>
      <c r="AW160" s="123"/>
      <c r="AX160" s="123">
        <v>32</v>
      </c>
      <c r="AY160" s="123">
        <v>33.904365539550781</v>
      </c>
      <c r="AZ160" s="123">
        <v>14</v>
      </c>
      <c r="BA160" s="123"/>
      <c r="BB160" s="123">
        <v>297</v>
      </c>
      <c r="BC160" s="123">
        <v>300.69512939453125</v>
      </c>
      <c r="BD160" s="123">
        <v>6.5999999046325684</v>
      </c>
      <c r="BE160" s="123">
        <v>6.8731522560119629</v>
      </c>
      <c r="BF160" s="123">
        <v>29</v>
      </c>
      <c r="BG160" s="123">
        <v>11</v>
      </c>
      <c r="BH160" s="123">
        <v>11.333281517028809</v>
      </c>
      <c r="BI160" s="123"/>
      <c r="BJ160" s="108">
        <f t="shared" si="7"/>
        <v>13</v>
      </c>
      <c r="BK160" s="123">
        <v>13</v>
      </c>
      <c r="BL160" s="123">
        <v>0</v>
      </c>
      <c r="BM160" s="126"/>
      <c r="BN160" s="108">
        <f t="shared" si="8"/>
        <v>122</v>
      </c>
      <c r="BO160" s="108">
        <v>73</v>
      </c>
      <c r="BP160" s="108">
        <v>49</v>
      </c>
      <c r="BQ160" s="108">
        <v>266</v>
      </c>
      <c r="BR160" s="123">
        <v>65.93499755859375</v>
      </c>
      <c r="BS160" s="123">
        <v>24.173999786376953</v>
      </c>
      <c r="BT160" s="123">
        <v>40.523998260498047</v>
      </c>
      <c r="BU160" s="123">
        <v>37.215999603271484</v>
      </c>
      <c r="BV160" s="123">
        <v>70</v>
      </c>
      <c r="BW160" s="123">
        <v>5.9000000953674316</v>
      </c>
      <c r="BX160" s="123">
        <v>13.399999618530273</v>
      </c>
      <c r="BY160" s="123">
        <v>28</v>
      </c>
      <c r="BZ160" s="123">
        <v>1.4352630823850632E-2</v>
      </c>
      <c r="CA160" s="123">
        <v>1</v>
      </c>
      <c r="CB160" s="123">
        <v>29.146503448486328</v>
      </c>
      <c r="CC160" s="126"/>
      <c r="CD160" s="123">
        <v>356.92791748046875</v>
      </c>
      <c r="CE160" s="123">
        <v>37.445255279541016</v>
      </c>
      <c r="CF160" s="123">
        <v>22.436229705810547</v>
      </c>
      <c r="CG160" s="123">
        <v>35.338191986083984</v>
      </c>
      <c r="CH160" s="123">
        <v>280.8792724609375</v>
      </c>
      <c r="CI160" s="123">
        <v>83.330360412597656</v>
      </c>
      <c r="CJ160" s="123">
        <v>35.640609741210938</v>
      </c>
      <c r="CK160" s="123">
        <v>50.089027404785156</v>
      </c>
      <c r="CL160" s="124">
        <v>31.778375625610352</v>
      </c>
      <c r="CM160" s="125">
        <v>211.03828430175781</v>
      </c>
      <c r="CN160" s="123">
        <v>63.240627288818359</v>
      </c>
      <c r="CO160" s="123">
        <v>70.139938354492188</v>
      </c>
      <c r="CP160" s="123">
        <v>71.637184143066406</v>
      </c>
      <c r="CQ160" s="123">
        <v>0</v>
      </c>
      <c r="CR160" s="123">
        <v>48.982208251953125</v>
      </c>
      <c r="CS160" s="123">
        <v>8.5738630294799805</v>
      </c>
      <c r="CT160" s="123">
        <v>35.573879241943359</v>
      </c>
      <c r="CU160" s="123">
        <v>49.491920471191406</v>
      </c>
      <c r="CV160" s="124">
        <v>64.046585083007813</v>
      </c>
      <c r="CW160" s="125">
        <v>2</v>
      </c>
      <c r="CX160" s="123">
        <v>322</v>
      </c>
      <c r="CY160" s="123">
        <v>121.14549255371094</v>
      </c>
      <c r="CZ160" s="123">
        <v>50.12890625</v>
      </c>
      <c r="DA160" s="123">
        <v>19.861928939819336</v>
      </c>
      <c r="DB160" s="123">
        <v>31.165103912353516</v>
      </c>
      <c r="DC160" s="123">
        <v>80.56671142578125</v>
      </c>
      <c r="DD160" s="123">
        <v>65</v>
      </c>
      <c r="DE160" s="123">
        <v>178</v>
      </c>
      <c r="DF160" s="123">
        <v>108.56547546386719</v>
      </c>
      <c r="DG160" s="123">
        <v>70.984916687011719</v>
      </c>
      <c r="DH160" s="123">
        <v>51.043407440185547</v>
      </c>
      <c r="DI160" s="128">
        <v>37.041885375976563</v>
      </c>
      <c r="DJ160" s="127">
        <v>208</v>
      </c>
      <c r="DK160" s="123">
        <v>109.67600250244141</v>
      </c>
      <c r="DL160" s="123">
        <v>26.690000534057617</v>
      </c>
      <c r="DM160" s="123">
        <v>27.389999389648438</v>
      </c>
      <c r="DN160" s="123">
        <v>49.125999450683594</v>
      </c>
      <c r="DO160" s="124">
        <v>109.30002593994141</v>
      </c>
      <c r="DP160" s="125">
        <v>16.597000122070313</v>
      </c>
      <c r="DQ160" s="123"/>
      <c r="DR160" s="125">
        <v>67</v>
      </c>
      <c r="DS160" s="128">
        <v>32.200000762939453</v>
      </c>
      <c r="DT160" s="127">
        <v>12</v>
      </c>
      <c r="DU160" s="123"/>
      <c r="DV160" s="123">
        <v>10</v>
      </c>
      <c r="DW160" s="123">
        <v>1.2675715684890747</v>
      </c>
      <c r="DX160" s="125">
        <v>9</v>
      </c>
      <c r="DY160" s="128"/>
      <c r="DZ160" s="127">
        <v>45</v>
      </c>
      <c r="EA160" s="123">
        <v>3</v>
      </c>
      <c r="EB160" s="123">
        <v>0</v>
      </c>
      <c r="EC160" s="123">
        <v>1</v>
      </c>
      <c r="ED160" s="123">
        <v>256.29998779296875</v>
      </c>
      <c r="EE160" s="129"/>
      <c r="EF160" s="129"/>
      <c r="EG160" s="129"/>
    </row>
    <row r="161" spans="1:137" x14ac:dyDescent="0.3">
      <c r="A161" s="226">
        <f t="shared" si="9"/>
        <v>46020.109027778133</v>
      </c>
      <c r="B161" s="123">
        <v>236</v>
      </c>
      <c r="C161" s="123">
        <v>48.971000671386719</v>
      </c>
      <c r="D161" s="123">
        <v>103.37000274658203</v>
      </c>
      <c r="E161" s="123">
        <v>17.190000534057617</v>
      </c>
      <c r="F161" s="123">
        <v>9.6889743804931641</v>
      </c>
      <c r="G161" s="124">
        <v>17.302999496459961</v>
      </c>
      <c r="H161" s="125">
        <v>306</v>
      </c>
      <c r="I161" s="123">
        <v>273</v>
      </c>
      <c r="J161" s="123">
        <v>63.108001708984375</v>
      </c>
      <c r="K161" s="123">
        <v>61.981258392333984</v>
      </c>
      <c r="L161" s="123">
        <v>42.057998657226563</v>
      </c>
      <c r="M161" s="123">
        <v>12.779000282287598</v>
      </c>
      <c r="N161" s="123">
        <v>17.558000564575195</v>
      </c>
      <c r="O161" s="123">
        <v>16</v>
      </c>
      <c r="P161" s="123">
        <v>0</v>
      </c>
      <c r="Q161" s="123">
        <v>16.581335067749023</v>
      </c>
      <c r="R161" s="123">
        <v>7.9968748092651367</v>
      </c>
      <c r="S161" s="123">
        <v>6.9091649055480957</v>
      </c>
      <c r="T161" s="123">
        <v>0</v>
      </c>
      <c r="U161" s="123">
        <v>0</v>
      </c>
      <c r="V161" s="125">
        <v>913</v>
      </c>
      <c r="W161" s="123">
        <v>27.206867218017578</v>
      </c>
      <c r="X161" s="123">
        <v>27.708000183105469</v>
      </c>
      <c r="Y161" s="123">
        <v>7.315000057220459</v>
      </c>
      <c r="Z161" s="123">
        <v>0</v>
      </c>
      <c r="AA161" s="123">
        <v>23.070999145507813</v>
      </c>
      <c r="AB161" s="123">
        <v>0</v>
      </c>
      <c r="AC161" s="123">
        <v>55.414886474609375</v>
      </c>
      <c r="AD161" s="123">
        <v>6.3610000610351563</v>
      </c>
      <c r="AE161" s="123">
        <v>0</v>
      </c>
      <c r="AF161" s="123">
        <v>82.238327026367188</v>
      </c>
      <c r="AG161" s="123">
        <v>0</v>
      </c>
      <c r="AH161" s="123">
        <v>64.662742614746094</v>
      </c>
      <c r="AI161" s="123">
        <v>15.586000442504883</v>
      </c>
      <c r="AJ161" s="123">
        <v>20.340713500976563</v>
      </c>
      <c r="AK161" s="123">
        <v>45.243942260742188</v>
      </c>
      <c r="AL161" s="123">
        <v>39.053001403808594</v>
      </c>
      <c r="AM161" s="126">
        <v>56.046001434326172</v>
      </c>
      <c r="AN161" s="125">
        <v>118.0625</v>
      </c>
      <c r="AO161" s="127">
        <v>63</v>
      </c>
      <c r="AP161" s="123">
        <v>63.922664642333984</v>
      </c>
      <c r="AQ161" s="123">
        <v>38.125492095947266</v>
      </c>
      <c r="AR161" s="123">
        <v>86</v>
      </c>
      <c r="AS161" s="123"/>
      <c r="AT161" s="123">
        <v>120</v>
      </c>
      <c r="AU161" s="123"/>
      <c r="AV161" s="123">
        <v>82</v>
      </c>
      <c r="AW161" s="123"/>
      <c r="AX161" s="123">
        <v>31</v>
      </c>
      <c r="AY161" s="123">
        <v>33.904365539550781</v>
      </c>
      <c r="AZ161" s="123">
        <v>14</v>
      </c>
      <c r="BA161" s="123"/>
      <c r="BB161" s="123">
        <v>297</v>
      </c>
      <c r="BC161" s="123">
        <v>295.92990112304688</v>
      </c>
      <c r="BD161" s="123">
        <v>6.5999999046325684</v>
      </c>
      <c r="BE161" s="123">
        <v>6.8699450492858887</v>
      </c>
      <c r="BF161" s="123">
        <v>29</v>
      </c>
      <c r="BG161" s="123">
        <v>10</v>
      </c>
      <c r="BH161" s="123">
        <v>11.29136848449707</v>
      </c>
      <c r="BI161" s="123"/>
      <c r="BJ161" s="108">
        <f t="shared" si="7"/>
        <v>13</v>
      </c>
      <c r="BK161" s="123">
        <v>13</v>
      </c>
      <c r="BL161" s="123">
        <v>0</v>
      </c>
      <c r="BM161" s="126"/>
      <c r="BN161" s="108">
        <f t="shared" si="8"/>
        <v>122</v>
      </c>
      <c r="BO161" s="108">
        <v>73</v>
      </c>
      <c r="BP161" s="108">
        <v>49</v>
      </c>
      <c r="BQ161" s="108">
        <v>266</v>
      </c>
      <c r="BR161" s="123">
        <v>68.30999755859375</v>
      </c>
      <c r="BS161" s="123">
        <v>24.429000854492188</v>
      </c>
      <c r="BT161" s="123">
        <v>40.869998931884766</v>
      </c>
      <c r="BU161" s="123">
        <v>37.278999328613281</v>
      </c>
      <c r="BV161" s="123">
        <v>69.5</v>
      </c>
      <c r="BW161" s="123">
        <v>6</v>
      </c>
      <c r="BX161" s="123">
        <v>13.699999809265137</v>
      </c>
      <c r="BY161" s="123">
        <v>30</v>
      </c>
      <c r="BZ161" s="123">
        <v>1.4352630823850632E-2</v>
      </c>
      <c r="CA161" s="123">
        <v>1</v>
      </c>
      <c r="CB161" s="123">
        <v>29.183034896850586</v>
      </c>
      <c r="CC161" s="126"/>
      <c r="CD161" s="123">
        <v>359.292236328125</v>
      </c>
      <c r="CE161" s="123">
        <v>36.42889404296875</v>
      </c>
      <c r="CF161" s="123">
        <v>22.3756103515625</v>
      </c>
      <c r="CG161" s="123">
        <v>35.338191986083984</v>
      </c>
      <c r="CH161" s="123">
        <v>281.67752075195313</v>
      </c>
      <c r="CI161" s="123">
        <v>82.221237182617188</v>
      </c>
      <c r="CJ161" s="123">
        <v>35.011730194091797</v>
      </c>
      <c r="CK161" s="123">
        <v>49.412967681884766</v>
      </c>
      <c r="CL161" s="124">
        <v>30.887296676635742</v>
      </c>
      <c r="CM161" s="125">
        <v>207.449951171875</v>
      </c>
      <c r="CN161" s="123">
        <v>62.877475738525391</v>
      </c>
      <c r="CO161" s="123">
        <v>68.076034545898438</v>
      </c>
      <c r="CP161" s="123">
        <v>73.287521362304688</v>
      </c>
      <c r="CQ161" s="123">
        <v>0</v>
      </c>
      <c r="CR161" s="123">
        <v>50.516571044921875</v>
      </c>
      <c r="CS161" s="123">
        <v>8.8820228576660156</v>
      </c>
      <c r="CT161" s="123">
        <v>33.918811798095703</v>
      </c>
      <c r="CU161" s="123">
        <v>48.437328338623047</v>
      </c>
      <c r="CV161" s="124">
        <v>63.002796173095703</v>
      </c>
      <c r="CW161" s="125">
        <v>2</v>
      </c>
      <c r="CX161" s="123">
        <v>322</v>
      </c>
      <c r="CY161" s="123">
        <v>122.64363098144531</v>
      </c>
      <c r="CZ161" s="123">
        <v>51.365257263183594</v>
      </c>
      <c r="DA161" s="123">
        <v>20.029010772705078</v>
      </c>
      <c r="DB161" s="123">
        <v>31.450658798217773</v>
      </c>
      <c r="DC161" s="123">
        <v>79.746162414550781</v>
      </c>
      <c r="DD161" s="123">
        <v>63</v>
      </c>
      <c r="DE161" s="123">
        <v>180</v>
      </c>
      <c r="DF161" s="123">
        <v>107.06950378417969</v>
      </c>
      <c r="DG161" s="123">
        <v>74.819503784179688</v>
      </c>
      <c r="DH161" s="123">
        <v>51.444324493408203</v>
      </c>
      <c r="DI161" s="128">
        <v>36.659152984619141</v>
      </c>
      <c r="DJ161" s="127">
        <v>208</v>
      </c>
      <c r="DK161" s="123">
        <v>109.93000030517578</v>
      </c>
      <c r="DL161" s="123">
        <v>24.201999664306641</v>
      </c>
      <c r="DM161" s="123">
        <v>27.214000701904297</v>
      </c>
      <c r="DN161" s="123">
        <v>49.125999450683594</v>
      </c>
      <c r="DO161" s="124">
        <v>111.09622192382813</v>
      </c>
      <c r="DP161" s="125">
        <v>16.597000122070313</v>
      </c>
      <c r="DQ161" s="123"/>
      <c r="DR161" s="125">
        <v>67</v>
      </c>
      <c r="DS161" s="128">
        <v>32.400001525878906</v>
      </c>
      <c r="DT161" s="127">
        <v>12</v>
      </c>
      <c r="DU161" s="123"/>
      <c r="DV161" s="123">
        <v>10</v>
      </c>
      <c r="DW161" s="123">
        <v>1.2880783081054688</v>
      </c>
      <c r="DX161" s="125">
        <v>10</v>
      </c>
      <c r="DY161" s="128"/>
      <c r="DZ161" s="127">
        <v>44</v>
      </c>
      <c r="EA161" s="123">
        <v>3</v>
      </c>
      <c r="EB161" s="123">
        <v>0</v>
      </c>
      <c r="EC161" s="123">
        <v>1</v>
      </c>
      <c r="ED161" s="123">
        <v>256.5</v>
      </c>
      <c r="EE161" s="129"/>
      <c r="EF161" s="129"/>
      <c r="EG161" s="129"/>
    </row>
    <row r="162" spans="1:137" x14ac:dyDescent="0.3">
      <c r="A162" s="226">
        <f t="shared" si="9"/>
        <v>46020.10972222258</v>
      </c>
      <c r="B162" s="123">
        <v>237</v>
      </c>
      <c r="C162" s="123">
        <v>46.368999481201172</v>
      </c>
      <c r="D162" s="123">
        <v>103.48400115966797</v>
      </c>
      <c r="E162" s="123">
        <v>14.814999580383301</v>
      </c>
      <c r="F162" s="123">
        <v>6.1807761192321777</v>
      </c>
      <c r="G162" s="124">
        <v>16.964000701904297</v>
      </c>
      <c r="H162" s="125">
        <v>306</v>
      </c>
      <c r="I162" s="123">
        <v>273</v>
      </c>
      <c r="J162" s="123">
        <v>62.202999114990234</v>
      </c>
      <c r="K162" s="123">
        <v>62.137779235839844</v>
      </c>
      <c r="L162" s="123">
        <v>43.825000762939453</v>
      </c>
      <c r="M162" s="123">
        <v>12.439999580383301</v>
      </c>
      <c r="N162" s="123">
        <v>16.922000885009766</v>
      </c>
      <c r="O162" s="123">
        <v>18</v>
      </c>
      <c r="P162" s="123">
        <v>0</v>
      </c>
      <c r="Q162" s="123">
        <v>17.947555541992188</v>
      </c>
      <c r="R162" s="123">
        <v>4.9968748092651367</v>
      </c>
      <c r="S162" s="123">
        <v>6.9091649055480957</v>
      </c>
      <c r="T162" s="123">
        <v>0</v>
      </c>
      <c r="U162" s="123">
        <v>0</v>
      </c>
      <c r="V162" s="125">
        <v>906</v>
      </c>
      <c r="W162" s="123">
        <v>26.770923614501953</v>
      </c>
      <c r="X162" s="123">
        <v>27.594999313354492</v>
      </c>
      <c r="Y162" s="123">
        <v>6.2979998588562012</v>
      </c>
      <c r="Z162" s="123">
        <v>0</v>
      </c>
      <c r="AA162" s="123">
        <v>22.052999496459961</v>
      </c>
      <c r="AB162" s="123">
        <v>0</v>
      </c>
      <c r="AC162" s="123">
        <v>54.513141632080078</v>
      </c>
      <c r="AD162" s="123">
        <v>6.3610000610351563</v>
      </c>
      <c r="AE162" s="123">
        <v>0</v>
      </c>
      <c r="AF162" s="123">
        <v>82.341621398925781</v>
      </c>
      <c r="AG162" s="123">
        <v>0</v>
      </c>
      <c r="AH162" s="123">
        <v>62.485897064208984</v>
      </c>
      <c r="AI162" s="123">
        <v>13.741000175476074</v>
      </c>
      <c r="AJ162" s="123">
        <v>19.830963134765625</v>
      </c>
      <c r="AK162" s="123">
        <v>44.362804412841797</v>
      </c>
      <c r="AL162" s="123">
        <v>39.759998321533203</v>
      </c>
      <c r="AM162" s="126">
        <v>56.110000610351563</v>
      </c>
      <c r="AN162" s="125">
        <v>118.0625</v>
      </c>
      <c r="AO162" s="127">
        <v>61</v>
      </c>
      <c r="AP162" s="123">
        <v>63.845146179199219</v>
      </c>
      <c r="AQ162" s="123">
        <v>38.483406066894531</v>
      </c>
      <c r="AR162" s="123">
        <v>86</v>
      </c>
      <c r="AS162" s="123"/>
      <c r="AT162" s="123">
        <v>119</v>
      </c>
      <c r="AU162" s="123"/>
      <c r="AV162" s="123">
        <v>82</v>
      </c>
      <c r="AW162" s="123"/>
      <c r="AX162" s="123">
        <v>31</v>
      </c>
      <c r="AY162" s="123">
        <v>33.715511322021484</v>
      </c>
      <c r="AZ162" s="123">
        <v>15</v>
      </c>
      <c r="BA162" s="123"/>
      <c r="BB162" s="123">
        <v>297</v>
      </c>
      <c r="BC162" s="123">
        <v>297.92660522460938</v>
      </c>
      <c r="BD162" s="123">
        <v>6.8000001907348633</v>
      </c>
      <c r="BE162" s="123">
        <v>6.914736270904541</v>
      </c>
      <c r="BF162" s="123">
        <v>30</v>
      </c>
      <c r="BG162" s="123">
        <v>10</v>
      </c>
      <c r="BH162" s="123">
        <v>11.030769348144531</v>
      </c>
      <c r="BI162" s="123"/>
      <c r="BJ162" s="108">
        <f t="shared" si="7"/>
        <v>13</v>
      </c>
      <c r="BK162" s="123">
        <v>13</v>
      </c>
      <c r="BL162" s="123">
        <v>0</v>
      </c>
      <c r="BM162" s="126"/>
      <c r="BN162" s="108">
        <f t="shared" si="8"/>
        <v>122</v>
      </c>
      <c r="BO162" s="108">
        <v>73</v>
      </c>
      <c r="BP162" s="108">
        <v>49</v>
      </c>
      <c r="BQ162" s="108">
        <v>268</v>
      </c>
      <c r="BR162" s="123">
        <v>68.30999755859375</v>
      </c>
      <c r="BS162" s="123">
        <v>23.665000915527344</v>
      </c>
      <c r="BT162" s="123">
        <v>40.869998931884766</v>
      </c>
      <c r="BU162" s="123">
        <v>38.169998168945313</v>
      </c>
      <c r="BV162" s="123">
        <v>68.800003051757813</v>
      </c>
      <c r="BW162" s="123">
        <v>6</v>
      </c>
      <c r="BX162" s="123">
        <v>13.5</v>
      </c>
      <c r="BY162" s="123">
        <v>29</v>
      </c>
      <c r="BZ162" s="123">
        <v>1.3649256899952888E-2</v>
      </c>
      <c r="CA162" s="123">
        <v>1</v>
      </c>
      <c r="CB162" s="123">
        <v>29.214195251464844</v>
      </c>
      <c r="CC162" s="126"/>
      <c r="CD162" s="123">
        <v>357.46328735351563</v>
      </c>
      <c r="CE162" s="123">
        <v>34.600914001464844</v>
      </c>
      <c r="CF162" s="123">
        <v>22.751083374023438</v>
      </c>
      <c r="CG162" s="123">
        <v>35.338191986083984</v>
      </c>
      <c r="CH162" s="123">
        <v>283.02352905273438</v>
      </c>
      <c r="CI162" s="123">
        <v>83.679618835449219</v>
      </c>
      <c r="CJ162" s="123">
        <v>35.818538665771484</v>
      </c>
      <c r="CK162" s="123">
        <v>48.959857940673828</v>
      </c>
      <c r="CL162" s="124">
        <v>32.047122955322266</v>
      </c>
      <c r="CM162" s="125">
        <v>209.63064575195313</v>
      </c>
      <c r="CN162" s="123">
        <v>65.27252197265625</v>
      </c>
      <c r="CO162" s="123">
        <v>68.274742126464844</v>
      </c>
      <c r="CP162" s="123">
        <v>74.110519409179688</v>
      </c>
      <c r="CQ162" s="123">
        <v>0</v>
      </c>
      <c r="CR162" s="123">
        <v>51.250835418701172</v>
      </c>
      <c r="CS162" s="123">
        <v>9.3819503784179688</v>
      </c>
      <c r="CT162" s="123">
        <v>34.524379730224609</v>
      </c>
      <c r="CU162" s="123">
        <v>49.132007598876953</v>
      </c>
      <c r="CV162" s="124">
        <v>62.422714233398438</v>
      </c>
      <c r="CW162" s="125">
        <v>3</v>
      </c>
      <c r="CX162" s="123">
        <v>323</v>
      </c>
      <c r="CY162" s="123">
        <v>119.01425933837891</v>
      </c>
      <c r="CZ162" s="123">
        <v>50.331123352050781</v>
      </c>
      <c r="DA162" s="123">
        <v>20.029010772705078</v>
      </c>
      <c r="DB162" s="123">
        <v>33.359653472900391</v>
      </c>
      <c r="DC162" s="123">
        <v>81.336540222167969</v>
      </c>
      <c r="DD162" s="123">
        <v>67</v>
      </c>
      <c r="DE162" s="123">
        <v>179</v>
      </c>
      <c r="DF162" s="123">
        <v>108.32500457763672</v>
      </c>
      <c r="DG162" s="123">
        <v>69.877326965332031</v>
      </c>
      <c r="DH162" s="123">
        <v>51.491764068603516</v>
      </c>
      <c r="DI162" s="128">
        <v>38.597610473632813</v>
      </c>
      <c r="DJ162" s="127">
        <v>211</v>
      </c>
      <c r="DK162" s="123">
        <v>106.11299896240234</v>
      </c>
      <c r="DL162" s="123">
        <v>24.767999649047852</v>
      </c>
      <c r="DM162" s="123">
        <v>26.860000610351563</v>
      </c>
      <c r="DN162" s="123">
        <v>49.125999450683594</v>
      </c>
      <c r="DO162" s="124">
        <v>111.59817504882813</v>
      </c>
      <c r="DP162" s="125">
        <v>15.890000343322754</v>
      </c>
      <c r="DQ162" s="123"/>
      <c r="DR162" s="125">
        <v>67</v>
      </c>
      <c r="DS162" s="128">
        <v>30.899999618530273</v>
      </c>
      <c r="DT162" s="127">
        <v>12</v>
      </c>
      <c r="DU162" s="123"/>
      <c r="DV162" s="123">
        <v>9</v>
      </c>
      <c r="DW162" s="123">
        <v>1.2751007080078125</v>
      </c>
      <c r="DX162" s="125">
        <v>10</v>
      </c>
      <c r="DY162" s="128"/>
      <c r="DZ162" s="127">
        <v>45</v>
      </c>
      <c r="EA162" s="123">
        <v>3</v>
      </c>
      <c r="EB162" s="123">
        <v>0</v>
      </c>
      <c r="EC162" s="123">
        <v>1</v>
      </c>
      <c r="ED162" s="123">
        <v>258.5</v>
      </c>
      <c r="EE162" s="129"/>
      <c r="EF162" s="129"/>
      <c r="EG162" s="129"/>
    </row>
    <row r="163" spans="1:137" x14ac:dyDescent="0.3">
      <c r="A163" s="226">
        <f t="shared" si="9"/>
        <v>46020.110416667027</v>
      </c>
      <c r="B163" s="123">
        <v>238</v>
      </c>
      <c r="C163" s="123">
        <v>48.858001708984375</v>
      </c>
      <c r="D163" s="123">
        <v>101.90000152587891</v>
      </c>
      <c r="E163" s="123">
        <v>16.059000015258789</v>
      </c>
      <c r="F163" s="123">
        <v>0</v>
      </c>
      <c r="G163" s="124">
        <v>17.076999664306641</v>
      </c>
      <c r="H163" s="125">
        <v>312</v>
      </c>
      <c r="I163" s="123">
        <v>274</v>
      </c>
      <c r="J163" s="123">
        <v>62.654998779296875</v>
      </c>
      <c r="K163" s="123">
        <v>61.339298248291016</v>
      </c>
      <c r="L163" s="123">
        <v>43.471000671386719</v>
      </c>
      <c r="M163" s="123">
        <v>13.005999565124512</v>
      </c>
      <c r="N163" s="123">
        <v>16.922000885009766</v>
      </c>
      <c r="O163" s="123">
        <v>16</v>
      </c>
      <c r="P163" s="123">
        <v>0</v>
      </c>
      <c r="Q163" s="123">
        <v>16.612096786499023</v>
      </c>
      <c r="R163" s="123">
        <v>9</v>
      </c>
      <c r="S163" s="123">
        <v>6.8780531883239746</v>
      </c>
      <c r="T163" s="123">
        <v>0</v>
      </c>
      <c r="U163" s="123">
        <v>0</v>
      </c>
      <c r="V163" s="125">
        <v>900</v>
      </c>
      <c r="W163" s="123">
        <v>26.350292205810547</v>
      </c>
      <c r="X163" s="123">
        <v>27.820999145507813</v>
      </c>
      <c r="Y163" s="123">
        <v>5.4070000648498535</v>
      </c>
      <c r="Z163" s="123">
        <v>0</v>
      </c>
      <c r="AA163" s="123">
        <v>22.280000686645508</v>
      </c>
      <c r="AB163" s="123">
        <v>0</v>
      </c>
      <c r="AC163" s="123">
        <v>54.615303039550781</v>
      </c>
      <c r="AD163" s="123">
        <v>6.3610000610351563</v>
      </c>
      <c r="AE163" s="123">
        <v>0</v>
      </c>
      <c r="AF163" s="123">
        <v>84.202804565429688</v>
      </c>
      <c r="AG163" s="123">
        <v>0</v>
      </c>
      <c r="AH163" s="123">
        <v>60.357959747314453</v>
      </c>
      <c r="AI163" s="123">
        <v>12.659000396728516</v>
      </c>
      <c r="AJ163" s="123">
        <v>20.312185287475586</v>
      </c>
      <c r="AK163" s="123">
        <v>44.953235626220703</v>
      </c>
      <c r="AL163" s="123">
        <v>38.522998809814453</v>
      </c>
      <c r="AM163" s="126">
        <v>54.391998291015625</v>
      </c>
      <c r="AN163" s="125">
        <v>118.5625</v>
      </c>
      <c r="AO163" s="127">
        <v>61</v>
      </c>
      <c r="AP163" s="123">
        <v>63.672740936279297</v>
      </c>
      <c r="AQ163" s="123">
        <v>39.436744689941406</v>
      </c>
      <c r="AR163" s="123">
        <v>88</v>
      </c>
      <c r="AS163" s="123"/>
      <c r="AT163" s="123">
        <v>119</v>
      </c>
      <c r="AU163" s="123"/>
      <c r="AV163" s="123">
        <v>79</v>
      </c>
      <c r="AW163" s="123"/>
      <c r="AX163" s="123">
        <v>31</v>
      </c>
      <c r="AY163" s="123">
        <v>33.113956451416016</v>
      </c>
      <c r="AZ163" s="123">
        <v>14</v>
      </c>
      <c r="BA163" s="123"/>
      <c r="BB163" s="123">
        <v>298</v>
      </c>
      <c r="BC163" s="123">
        <v>296.14044189453125</v>
      </c>
      <c r="BD163" s="123">
        <v>6.8000001907348633</v>
      </c>
      <c r="BE163" s="123">
        <v>6.914736270904541</v>
      </c>
      <c r="BF163" s="123">
        <v>30</v>
      </c>
      <c r="BG163" s="123">
        <v>10</v>
      </c>
      <c r="BH163" s="123">
        <v>11.03024959564209</v>
      </c>
      <c r="BI163" s="123"/>
      <c r="BJ163" s="108">
        <f t="shared" si="7"/>
        <v>13</v>
      </c>
      <c r="BK163" s="123">
        <v>13</v>
      </c>
      <c r="BL163" s="123">
        <v>0</v>
      </c>
      <c r="BM163" s="126"/>
      <c r="BN163" s="108">
        <f t="shared" si="8"/>
        <v>122.20000076293945</v>
      </c>
      <c r="BO163" s="108">
        <v>74</v>
      </c>
      <c r="BP163" s="108">
        <v>48.200000762939453</v>
      </c>
      <c r="BQ163" s="108">
        <v>269</v>
      </c>
      <c r="BR163" s="123">
        <v>67.291999816894531</v>
      </c>
      <c r="BS163" s="123">
        <v>23.156000137329102</v>
      </c>
      <c r="BT163" s="123">
        <v>41.909000396728516</v>
      </c>
      <c r="BU163" s="123">
        <v>38.615001678466797</v>
      </c>
      <c r="BV163" s="123">
        <v>67.900001525878906</v>
      </c>
      <c r="BW163" s="123">
        <v>5.9000000953674316</v>
      </c>
      <c r="BX163" s="123">
        <v>13.5</v>
      </c>
      <c r="BY163" s="123">
        <v>29</v>
      </c>
      <c r="BZ163" s="123">
        <v>1.3649256899952888E-2</v>
      </c>
      <c r="CA163" s="123">
        <v>1</v>
      </c>
      <c r="CB163" s="123">
        <v>29.178354263305664</v>
      </c>
      <c r="CC163" s="126"/>
      <c r="CD163" s="123">
        <v>358.33486938476563</v>
      </c>
      <c r="CE163" s="123">
        <v>34.580852508544922</v>
      </c>
      <c r="CF163" s="123">
        <v>22.110395431518555</v>
      </c>
      <c r="CG163" s="123">
        <v>35.338191986083984</v>
      </c>
      <c r="CH163" s="123">
        <v>281.96295166015625</v>
      </c>
      <c r="CI163" s="123">
        <v>82.300918579101563</v>
      </c>
      <c r="CJ163" s="123">
        <v>34.711624145507813</v>
      </c>
      <c r="CK163" s="123">
        <v>51.789085388183594</v>
      </c>
      <c r="CL163" s="124">
        <v>32.030155181884766</v>
      </c>
      <c r="CM163" s="125">
        <v>213.92689514160156</v>
      </c>
      <c r="CN163" s="123">
        <v>67.450057983398438</v>
      </c>
      <c r="CO163" s="123">
        <v>68.209510803222656</v>
      </c>
      <c r="CP163" s="123">
        <v>74.338325500488281</v>
      </c>
      <c r="CQ163" s="123">
        <v>0</v>
      </c>
      <c r="CR163" s="123">
        <v>47.858619689941406</v>
      </c>
      <c r="CS163" s="123">
        <v>9.5472555160522461</v>
      </c>
      <c r="CT163" s="123">
        <v>35.335784912109375</v>
      </c>
      <c r="CU163" s="123">
        <v>45.487152099609375</v>
      </c>
      <c r="CV163" s="124">
        <v>61.915958404541016</v>
      </c>
      <c r="CW163" s="125">
        <v>3</v>
      </c>
      <c r="CX163" s="123">
        <v>322</v>
      </c>
      <c r="CY163" s="123">
        <v>119.27463531494141</v>
      </c>
      <c r="CZ163" s="123">
        <v>49.877113342285156</v>
      </c>
      <c r="DA163" s="123">
        <v>20.095293045043945</v>
      </c>
      <c r="DB163" s="123">
        <v>32.215400695800781</v>
      </c>
      <c r="DC163" s="123">
        <v>80.760612487792969</v>
      </c>
      <c r="DD163" s="123">
        <v>67</v>
      </c>
      <c r="DE163" s="123">
        <v>180</v>
      </c>
      <c r="DF163" s="123">
        <v>106.98278045654297</v>
      </c>
      <c r="DG163" s="123">
        <v>69.877326965332031</v>
      </c>
      <c r="DH163" s="123">
        <v>51.132602691650391</v>
      </c>
      <c r="DI163" s="128">
        <v>39.075477600097656</v>
      </c>
      <c r="DJ163" s="127">
        <v>207</v>
      </c>
      <c r="DK163" s="123">
        <v>104.33200073242188</v>
      </c>
      <c r="DL163" s="123">
        <v>25.219999313354492</v>
      </c>
      <c r="DM163" s="123">
        <v>27.743999481201172</v>
      </c>
      <c r="DN163" s="123">
        <v>49.125999450683594</v>
      </c>
      <c r="DO163" s="124">
        <v>111.42227172851563</v>
      </c>
      <c r="DP163" s="125">
        <v>15.890000343322754</v>
      </c>
      <c r="DQ163" s="123"/>
      <c r="DR163" s="125">
        <v>67</v>
      </c>
      <c r="DS163" s="128">
        <v>31</v>
      </c>
      <c r="DT163" s="127">
        <v>13</v>
      </c>
      <c r="DU163" s="123"/>
      <c r="DV163" s="123">
        <v>9</v>
      </c>
      <c r="DW163" s="123">
        <v>1.3196971416473389</v>
      </c>
      <c r="DX163" s="125">
        <v>10</v>
      </c>
      <c r="DY163" s="128"/>
      <c r="DZ163" s="127">
        <v>45</v>
      </c>
      <c r="EA163" s="123">
        <v>3</v>
      </c>
      <c r="EB163" s="123">
        <v>0</v>
      </c>
      <c r="EC163" s="123">
        <v>1</v>
      </c>
      <c r="ED163" s="123">
        <v>253.80000305175781</v>
      </c>
      <c r="EE163" s="129"/>
      <c r="EF163" s="129"/>
      <c r="EG163" s="129"/>
    </row>
    <row r="164" spans="1:137" x14ac:dyDescent="0.3">
      <c r="A164" s="226">
        <f t="shared" si="9"/>
        <v>46020.111111111473</v>
      </c>
      <c r="B164" s="123">
        <v>232</v>
      </c>
      <c r="C164" s="123">
        <v>46.368999481201172</v>
      </c>
      <c r="D164" s="123">
        <v>102.01300048828125</v>
      </c>
      <c r="E164" s="123">
        <v>17.190000534057617</v>
      </c>
      <c r="F164" s="123">
        <v>12.263519287109375</v>
      </c>
      <c r="G164" s="124">
        <v>18.094999313354492</v>
      </c>
      <c r="H164" s="125">
        <v>310</v>
      </c>
      <c r="I164" s="123">
        <v>272</v>
      </c>
      <c r="J164" s="123">
        <v>62.202999114990234</v>
      </c>
      <c r="K164" s="123">
        <v>62.2276611328125</v>
      </c>
      <c r="L164" s="123">
        <v>43.647998809814453</v>
      </c>
      <c r="M164" s="123">
        <v>12.666000366210938</v>
      </c>
      <c r="N164" s="123">
        <v>17.621000289916992</v>
      </c>
      <c r="O164" s="123">
        <v>18</v>
      </c>
      <c r="P164" s="123">
        <v>0</v>
      </c>
      <c r="Q164" s="123">
        <v>17.464588165283203</v>
      </c>
      <c r="R164" s="123">
        <v>10.003125190734863</v>
      </c>
      <c r="S164" s="123">
        <v>8.632110595703125</v>
      </c>
      <c r="T164" s="123">
        <v>0</v>
      </c>
      <c r="U164" s="123">
        <v>0</v>
      </c>
      <c r="V164" s="125">
        <v>907</v>
      </c>
      <c r="W164" s="123">
        <v>26.14030647277832</v>
      </c>
      <c r="X164" s="123">
        <v>26.464000701904297</v>
      </c>
      <c r="Y164" s="123">
        <v>6.4879999160766602</v>
      </c>
      <c r="Z164" s="123">
        <v>0</v>
      </c>
      <c r="AA164" s="123">
        <v>26.238000869750977</v>
      </c>
      <c r="AB164" s="123">
        <v>0</v>
      </c>
      <c r="AC164" s="123">
        <v>56.117710113525391</v>
      </c>
      <c r="AD164" s="123">
        <v>6.3610000610351563</v>
      </c>
      <c r="AE164" s="123">
        <v>0</v>
      </c>
      <c r="AF164" s="123">
        <v>83.180671691894531</v>
      </c>
      <c r="AG164" s="123">
        <v>0</v>
      </c>
      <c r="AH164" s="123">
        <v>64.536361694335938</v>
      </c>
      <c r="AI164" s="123">
        <v>10.942000389099121</v>
      </c>
      <c r="AJ164" s="123">
        <v>20.10835075378418</v>
      </c>
      <c r="AK164" s="123">
        <v>45.947551727294922</v>
      </c>
      <c r="AL164" s="123">
        <v>39.407001495361328</v>
      </c>
      <c r="AM164" s="126">
        <v>55.918998718261719</v>
      </c>
      <c r="AN164" s="125">
        <v>119.5625</v>
      </c>
      <c r="AO164" s="127">
        <v>62</v>
      </c>
      <c r="AP164" s="123">
        <v>62.813018798828125</v>
      </c>
      <c r="AQ164" s="123">
        <v>39.002388000488281</v>
      </c>
      <c r="AR164" s="123">
        <v>88</v>
      </c>
      <c r="AS164" s="123"/>
      <c r="AT164" s="123">
        <v>119</v>
      </c>
      <c r="AU164" s="123"/>
      <c r="AV164" s="123">
        <v>79</v>
      </c>
      <c r="AW164" s="123"/>
      <c r="AX164" s="123">
        <v>30</v>
      </c>
      <c r="AY164" s="123">
        <v>33.113956451416016</v>
      </c>
      <c r="AZ164" s="123">
        <v>14</v>
      </c>
      <c r="BA164" s="123"/>
      <c r="BB164" s="123">
        <v>296</v>
      </c>
      <c r="BC164" s="123">
        <v>297.13058471679688</v>
      </c>
      <c r="BD164" s="123">
        <v>6.8000001907348633</v>
      </c>
      <c r="BE164" s="123">
        <v>6.8806791305541992</v>
      </c>
      <c r="BF164" s="123">
        <v>30</v>
      </c>
      <c r="BG164" s="123">
        <v>10</v>
      </c>
      <c r="BH164" s="123">
        <v>11.03024959564209</v>
      </c>
      <c r="BI164" s="123"/>
      <c r="BJ164" s="108">
        <f t="shared" si="7"/>
        <v>13</v>
      </c>
      <c r="BK164" s="123">
        <v>13</v>
      </c>
      <c r="BL164" s="123">
        <v>0</v>
      </c>
      <c r="BM164" s="126"/>
      <c r="BN164" s="108">
        <f t="shared" si="8"/>
        <v>121.20000076293945</v>
      </c>
      <c r="BO164" s="108">
        <v>73</v>
      </c>
      <c r="BP164" s="108">
        <v>48.200000762939453</v>
      </c>
      <c r="BQ164" s="108">
        <v>264</v>
      </c>
      <c r="BR164" s="123">
        <v>67.745002746582031</v>
      </c>
      <c r="BS164" s="123">
        <v>24.429000854492188</v>
      </c>
      <c r="BT164" s="123">
        <v>41.562999725341797</v>
      </c>
      <c r="BU164" s="123">
        <v>36.96099853515625</v>
      </c>
      <c r="BV164" s="123">
        <v>70.5</v>
      </c>
      <c r="BW164" s="123">
        <v>6.0999999046325684</v>
      </c>
      <c r="BX164" s="123">
        <v>13.5</v>
      </c>
      <c r="BY164" s="123">
        <v>28</v>
      </c>
      <c r="BZ164" s="123">
        <v>1.571233756840229E-2</v>
      </c>
      <c r="CA164" s="123">
        <v>1</v>
      </c>
      <c r="CB164" s="123">
        <v>29.10260009765625</v>
      </c>
      <c r="CC164" s="126"/>
      <c r="CD164" s="123">
        <v>356.96145629882813</v>
      </c>
      <c r="CE164" s="123">
        <v>35.198654174804688</v>
      </c>
      <c r="CF164" s="123">
        <v>21.674026489257813</v>
      </c>
      <c r="CG164" s="123">
        <v>35.338191986083984</v>
      </c>
      <c r="CH164" s="123">
        <v>281.54541015625</v>
      </c>
      <c r="CI164" s="123">
        <v>82.947853088378906</v>
      </c>
      <c r="CJ164" s="123">
        <v>35.437614440917969</v>
      </c>
      <c r="CK164" s="123">
        <v>51.118556976318359</v>
      </c>
      <c r="CL164" s="124">
        <v>30.414096832275391</v>
      </c>
      <c r="CM164" s="125">
        <v>212.76860046386719</v>
      </c>
      <c r="CN164" s="123">
        <v>69.856048583984375</v>
      </c>
      <c r="CO164" s="123">
        <v>68.169868469238281</v>
      </c>
      <c r="CP164" s="123">
        <v>72.745010375976563</v>
      </c>
      <c r="CQ164" s="123">
        <v>0</v>
      </c>
      <c r="CR164" s="123">
        <v>48.89288330078125</v>
      </c>
      <c r="CS164" s="123">
        <v>9.3093366622924805</v>
      </c>
      <c r="CT164" s="123">
        <v>35.346336364746094</v>
      </c>
      <c r="CU164" s="123">
        <v>48.096366882324219</v>
      </c>
      <c r="CV164" s="124">
        <v>62.439456939697266</v>
      </c>
      <c r="CW164" s="125">
        <v>0</v>
      </c>
      <c r="CX164" s="123">
        <v>320</v>
      </c>
      <c r="CY164" s="123">
        <v>118.65315246582031</v>
      </c>
      <c r="CZ164" s="123">
        <v>50.452613830566406</v>
      </c>
      <c r="DA164" s="123">
        <v>20.572977066040039</v>
      </c>
      <c r="DB164" s="123">
        <v>32.827812194824219</v>
      </c>
      <c r="DC164" s="123">
        <v>81.184913635253906</v>
      </c>
      <c r="DD164" s="123">
        <v>67</v>
      </c>
      <c r="DE164" s="123">
        <v>179</v>
      </c>
      <c r="DF164" s="123">
        <v>106.98278045654297</v>
      </c>
      <c r="DG164" s="123">
        <v>69.901512145996094</v>
      </c>
      <c r="DH164" s="123">
        <v>50.481678009033203</v>
      </c>
      <c r="DI164" s="128">
        <v>36.565128326416016</v>
      </c>
      <c r="DJ164" s="127">
        <v>208</v>
      </c>
      <c r="DK164" s="123">
        <v>106.87599945068359</v>
      </c>
      <c r="DL164" s="123">
        <v>24.541999816894531</v>
      </c>
      <c r="DM164" s="123">
        <v>27.920000076293945</v>
      </c>
      <c r="DN164" s="123">
        <v>48.772998809814453</v>
      </c>
      <c r="DO164" s="124">
        <v>111.77861022949219</v>
      </c>
      <c r="DP164" s="125">
        <v>15.890000343322754</v>
      </c>
      <c r="DQ164" s="123"/>
      <c r="DR164" s="125">
        <v>67</v>
      </c>
      <c r="DS164" s="128">
        <v>33</v>
      </c>
      <c r="DT164" s="127">
        <v>12</v>
      </c>
      <c r="DU164" s="123"/>
      <c r="DV164" s="123">
        <v>9</v>
      </c>
      <c r="DW164" s="123">
        <v>1.3832094669342041</v>
      </c>
      <c r="DX164" s="125">
        <v>11</v>
      </c>
      <c r="DY164" s="128"/>
      <c r="DZ164" s="127">
        <v>45</v>
      </c>
      <c r="EA164" s="123">
        <v>3</v>
      </c>
      <c r="EB164" s="123">
        <v>0</v>
      </c>
      <c r="EC164" s="123">
        <v>1</v>
      </c>
      <c r="ED164" s="123">
        <v>252.19999694824219</v>
      </c>
      <c r="EE164" s="129"/>
      <c r="EF164" s="129"/>
      <c r="EG164" s="129"/>
    </row>
    <row r="165" spans="1:137" x14ac:dyDescent="0.3">
      <c r="A165" s="226">
        <f t="shared" si="9"/>
        <v>46020.11180555592</v>
      </c>
      <c r="B165" s="123">
        <v>232</v>
      </c>
      <c r="C165" s="123">
        <v>50.215000152587891</v>
      </c>
      <c r="D165" s="123">
        <v>103.14399719238281</v>
      </c>
      <c r="E165" s="123">
        <v>16.511999130249023</v>
      </c>
      <c r="F165" s="123">
        <v>5.4404568672180176</v>
      </c>
      <c r="G165" s="124">
        <v>17.530000686645508</v>
      </c>
      <c r="H165" s="125">
        <v>310</v>
      </c>
      <c r="I165" s="123">
        <v>272</v>
      </c>
      <c r="J165" s="123">
        <v>62.654998779296875</v>
      </c>
      <c r="K165" s="123">
        <v>61.30126953125</v>
      </c>
      <c r="L165" s="123">
        <v>43.647998809814453</v>
      </c>
      <c r="M165" s="123">
        <v>13.005999565124512</v>
      </c>
      <c r="N165" s="123">
        <v>18.448999404907227</v>
      </c>
      <c r="O165" s="123">
        <v>16</v>
      </c>
      <c r="P165" s="123">
        <v>0</v>
      </c>
      <c r="Q165" s="123">
        <v>16.373279571533203</v>
      </c>
      <c r="R165" s="123">
        <v>10.003125190734863</v>
      </c>
      <c r="S165" s="123">
        <v>10.197737693786621</v>
      </c>
      <c r="T165" s="123">
        <v>0</v>
      </c>
      <c r="U165" s="123">
        <v>0</v>
      </c>
      <c r="V165" s="125">
        <v>907</v>
      </c>
      <c r="W165" s="123">
        <v>26.329690933227539</v>
      </c>
      <c r="X165" s="123">
        <v>26.35099983215332</v>
      </c>
      <c r="Y165" s="123">
        <v>5.9159998893737793</v>
      </c>
      <c r="Z165" s="123">
        <v>0</v>
      </c>
      <c r="AA165" s="123">
        <v>23.184000015258789</v>
      </c>
      <c r="AB165" s="123">
        <v>0</v>
      </c>
      <c r="AC165" s="123">
        <v>54.912155151367188</v>
      </c>
      <c r="AD165" s="123">
        <v>6.3610000610351563</v>
      </c>
      <c r="AE165" s="123">
        <v>0</v>
      </c>
      <c r="AF165" s="123">
        <v>81.726402282714844</v>
      </c>
      <c r="AG165" s="123">
        <v>0</v>
      </c>
      <c r="AH165" s="123">
        <v>63.532665252685547</v>
      </c>
      <c r="AI165" s="123">
        <v>11.069000244140625</v>
      </c>
      <c r="AJ165" s="123">
        <v>19.643022537231445</v>
      </c>
      <c r="AK165" s="123">
        <v>45.770042419433594</v>
      </c>
      <c r="AL165" s="123">
        <v>38.700000762939453</v>
      </c>
      <c r="AM165" s="126">
        <v>56.173999786376953</v>
      </c>
      <c r="AN165" s="125">
        <v>119.5</v>
      </c>
      <c r="AO165" s="127">
        <v>62</v>
      </c>
      <c r="AP165" s="123">
        <v>62.874748229980469</v>
      </c>
      <c r="AQ165" s="123">
        <v>38.912643432617188</v>
      </c>
      <c r="AR165" s="123">
        <v>87</v>
      </c>
      <c r="AS165" s="123"/>
      <c r="AT165" s="123">
        <v>120</v>
      </c>
      <c r="AU165" s="123"/>
      <c r="AV165" s="123">
        <v>78</v>
      </c>
      <c r="AW165" s="123"/>
      <c r="AX165" s="123">
        <v>31</v>
      </c>
      <c r="AY165" s="123">
        <v>33.757892608642578</v>
      </c>
      <c r="AZ165" s="123">
        <v>14</v>
      </c>
      <c r="BA165" s="123"/>
      <c r="BB165" s="123">
        <v>297</v>
      </c>
      <c r="BC165" s="123">
        <v>295.05401611328125</v>
      </c>
      <c r="BD165" s="123">
        <v>6.8000001907348633</v>
      </c>
      <c r="BE165" s="123">
        <v>6.8789539337158203</v>
      </c>
      <c r="BF165" s="123">
        <v>30</v>
      </c>
      <c r="BG165" s="123">
        <v>10</v>
      </c>
      <c r="BH165" s="123">
        <v>11.063972473144531</v>
      </c>
      <c r="BI165" s="123"/>
      <c r="BJ165" s="108">
        <f t="shared" si="7"/>
        <v>13</v>
      </c>
      <c r="BK165" s="123">
        <v>13</v>
      </c>
      <c r="BL165" s="123">
        <v>0</v>
      </c>
      <c r="BM165" s="126"/>
      <c r="BN165" s="108">
        <f t="shared" si="8"/>
        <v>122</v>
      </c>
      <c r="BO165" s="108">
        <v>73</v>
      </c>
      <c r="BP165" s="108">
        <v>49</v>
      </c>
      <c r="BQ165" s="108">
        <v>269</v>
      </c>
      <c r="BR165" s="123">
        <v>69.893997192382813</v>
      </c>
      <c r="BS165" s="123">
        <v>24.429000854492188</v>
      </c>
      <c r="BT165" s="123">
        <v>40.523998260498047</v>
      </c>
      <c r="BU165" s="123">
        <v>36.770000457763672</v>
      </c>
      <c r="BV165" s="123">
        <v>69.400001525878906</v>
      </c>
      <c r="BW165" s="123">
        <v>6.0999999046325684</v>
      </c>
      <c r="BX165" s="123">
        <v>13.5</v>
      </c>
      <c r="BY165" s="123">
        <v>28</v>
      </c>
      <c r="BZ165" s="123">
        <v>1.1877436190843582E-2</v>
      </c>
      <c r="CA165" s="123">
        <v>1</v>
      </c>
      <c r="CB165" s="123">
        <v>29.379281997680664</v>
      </c>
      <c r="CC165" s="126"/>
      <c r="CD165" s="123">
        <v>352.960205078125</v>
      </c>
      <c r="CE165" s="123">
        <v>34.546165466308594</v>
      </c>
      <c r="CF165" s="123">
        <v>21.467504501342773</v>
      </c>
      <c r="CG165" s="123">
        <v>35.338191986083984</v>
      </c>
      <c r="CH165" s="123">
        <v>282.45648193359375</v>
      </c>
      <c r="CI165" s="123">
        <v>80.113533020019531</v>
      </c>
      <c r="CJ165" s="123">
        <v>33.621200561523438</v>
      </c>
      <c r="CK165" s="123">
        <v>51.434467315673828</v>
      </c>
      <c r="CL165" s="124">
        <v>30.143037796020508</v>
      </c>
      <c r="CM165" s="125">
        <v>216.26295471191406</v>
      </c>
      <c r="CN165" s="123">
        <v>68.550559997558594</v>
      </c>
      <c r="CO165" s="123">
        <v>68.7347412109375</v>
      </c>
      <c r="CP165" s="123">
        <v>74.2789306640625</v>
      </c>
      <c r="CQ165" s="123">
        <v>0</v>
      </c>
      <c r="CR165" s="123">
        <v>49.969425201416016</v>
      </c>
      <c r="CS165" s="123">
        <v>9.1076135635375977</v>
      </c>
      <c r="CT165" s="123">
        <v>34.365871429443359</v>
      </c>
      <c r="CU165" s="123">
        <v>48.637344360351563</v>
      </c>
      <c r="CV165" s="124">
        <v>63.175193786621094</v>
      </c>
      <c r="CW165" s="125">
        <v>0</v>
      </c>
      <c r="CX165" s="123">
        <v>320</v>
      </c>
      <c r="CY165" s="123">
        <v>119.21225738525391</v>
      </c>
      <c r="CZ165" s="123">
        <v>54.12811279296875</v>
      </c>
      <c r="DA165" s="123">
        <v>20.572977066040039</v>
      </c>
      <c r="DB165" s="123">
        <v>30.968210220336914</v>
      </c>
      <c r="DC165" s="123">
        <v>81.113502502441406</v>
      </c>
      <c r="DD165" s="123">
        <v>64</v>
      </c>
      <c r="DE165" s="123">
        <v>180</v>
      </c>
      <c r="DF165" s="123">
        <v>104.90171051025391</v>
      </c>
      <c r="DG165" s="123">
        <v>70.644805908203125</v>
      </c>
      <c r="DH165" s="123">
        <v>51.33551025390625</v>
      </c>
      <c r="DI165" s="128">
        <v>36.768684387207031</v>
      </c>
      <c r="DJ165" s="127">
        <v>208</v>
      </c>
      <c r="DK165" s="123">
        <v>104.58599853515625</v>
      </c>
      <c r="DL165" s="123">
        <v>23.52400016784668</v>
      </c>
      <c r="DM165" s="123">
        <v>26.329999923706055</v>
      </c>
      <c r="DN165" s="123">
        <v>48.772998809814453</v>
      </c>
      <c r="DO165" s="124">
        <v>112.26129913330078</v>
      </c>
      <c r="DP165" s="125">
        <v>16.08799934387207</v>
      </c>
      <c r="DQ165" s="123"/>
      <c r="DR165" s="125">
        <v>67</v>
      </c>
      <c r="DS165" s="128">
        <v>31.100000381469727</v>
      </c>
      <c r="DT165" s="127">
        <v>12</v>
      </c>
      <c r="DU165" s="123"/>
      <c r="DV165" s="123">
        <v>9</v>
      </c>
      <c r="DW165" s="123">
        <v>1.427807092666626</v>
      </c>
      <c r="DX165" s="125">
        <v>10</v>
      </c>
      <c r="DY165" s="128"/>
      <c r="DZ165" s="127">
        <v>45</v>
      </c>
      <c r="EA165" s="123">
        <v>3</v>
      </c>
      <c r="EB165" s="123">
        <v>0</v>
      </c>
      <c r="EC165" s="123">
        <v>1</v>
      </c>
      <c r="ED165" s="123">
        <v>255.39999389648438</v>
      </c>
      <c r="EE165" s="129"/>
      <c r="EF165" s="129"/>
      <c r="EG165" s="129"/>
    </row>
    <row r="166" spans="1:137" x14ac:dyDescent="0.3">
      <c r="A166" s="226">
        <f t="shared" si="9"/>
        <v>46020.112500000367</v>
      </c>
      <c r="B166" s="123">
        <v>238</v>
      </c>
      <c r="C166" s="123">
        <v>51.118999481201172</v>
      </c>
      <c r="D166" s="123">
        <v>103.48400115966797</v>
      </c>
      <c r="E166" s="123">
        <v>16.511999130249023</v>
      </c>
      <c r="F166" s="123">
        <v>2.3105568885803223</v>
      </c>
      <c r="G166" s="124">
        <v>18.208000183105469</v>
      </c>
      <c r="H166" s="125">
        <v>305</v>
      </c>
      <c r="I166" s="123">
        <v>273</v>
      </c>
      <c r="J166" s="123">
        <v>60.506999969482422</v>
      </c>
      <c r="K166" s="123">
        <v>60.637916564941406</v>
      </c>
      <c r="L166" s="123">
        <v>42.941001892089844</v>
      </c>
      <c r="M166" s="123">
        <v>13.345000267028809</v>
      </c>
      <c r="N166" s="123">
        <v>17.875999450683594</v>
      </c>
      <c r="O166" s="123">
        <v>17</v>
      </c>
      <c r="P166" s="123">
        <v>0</v>
      </c>
      <c r="Q166" s="123">
        <v>18.126142501831055</v>
      </c>
      <c r="R166" s="123">
        <v>9</v>
      </c>
      <c r="S166" s="123">
        <v>7.2706246376037598</v>
      </c>
      <c r="T166" s="123">
        <v>0</v>
      </c>
      <c r="U166" s="123">
        <v>0</v>
      </c>
      <c r="V166" s="125">
        <v>907</v>
      </c>
      <c r="W166" s="123">
        <v>26.723514556884766</v>
      </c>
      <c r="X166" s="123">
        <v>26.804000854492188</v>
      </c>
      <c r="Y166" s="123">
        <v>7.4429998397827148</v>
      </c>
      <c r="Z166" s="123">
        <v>0</v>
      </c>
      <c r="AA166" s="123">
        <v>21.826999664306641</v>
      </c>
      <c r="AB166" s="123">
        <v>0</v>
      </c>
      <c r="AC166" s="123">
        <v>53.818267822265625</v>
      </c>
      <c r="AD166" s="123">
        <v>6.3610000610351563</v>
      </c>
      <c r="AE166" s="123">
        <v>0</v>
      </c>
      <c r="AF166" s="123">
        <v>82.604248046875</v>
      </c>
      <c r="AG166" s="123">
        <v>0</v>
      </c>
      <c r="AH166" s="123">
        <v>62.530025482177734</v>
      </c>
      <c r="AI166" s="123">
        <v>14.567999839782715</v>
      </c>
      <c r="AJ166" s="123">
        <v>19.025178909301758</v>
      </c>
      <c r="AK166" s="123">
        <v>44.870986938476563</v>
      </c>
      <c r="AL166" s="123">
        <v>38.876998901367188</v>
      </c>
      <c r="AM166" s="126">
        <v>54.13800048828125</v>
      </c>
      <c r="AN166" s="125">
        <v>117.8125</v>
      </c>
      <c r="AO166" s="127">
        <v>64</v>
      </c>
      <c r="AP166" s="123">
        <v>62.707351684570313</v>
      </c>
      <c r="AQ166" s="123">
        <v>39.160049438476563</v>
      </c>
      <c r="AR166" s="123">
        <v>86</v>
      </c>
      <c r="AS166" s="123"/>
      <c r="AT166" s="123">
        <v>120</v>
      </c>
      <c r="AU166" s="123"/>
      <c r="AV166" s="123">
        <v>63</v>
      </c>
      <c r="AW166" s="123"/>
      <c r="AX166" s="123">
        <v>32</v>
      </c>
      <c r="AY166" s="123">
        <v>34.603370666503906</v>
      </c>
      <c r="AZ166" s="123">
        <v>14</v>
      </c>
      <c r="BA166" s="123"/>
      <c r="BB166" s="123">
        <v>296</v>
      </c>
      <c r="BC166" s="123">
        <v>297.98406982421875</v>
      </c>
      <c r="BD166" s="123">
        <v>6.8000001907348633</v>
      </c>
      <c r="BE166" s="123">
        <v>6.8486437797546387</v>
      </c>
      <c r="BF166" s="123">
        <v>30</v>
      </c>
      <c r="BG166" s="123">
        <v>10</v>
      </c>
      <c r="BH166" s="123">
        <v>11.063972473144531</v>
      </c>
      <c r="BI166" s="123"/>
      <c r="BJ166" s="108">
        <f t="shared" si="7"/>
        <v>13</v>
      </c>
      <c r="BK166" s="123">
        <v>13</v>
      </c>
      <c r="BL166" s="123">
        <v>0</v>
      </c>
      <c r="BM166" s="126"/>
      <c r="BN166" s="108">
        <f t="shared" si="8"/>
        <v>122</v>
      </c>
      <c r="BO166" s="108">
        <v>73</v>
      </c>
      <c r="BP166" s="108">
        <v>49</v>
      </c>
      <c r="BQ166" s="108">
        <v>277</v>
      </c>
      <c r="BR166" s="123">
        <v>71.816001892089844</v>
      </c>
      <c r="BS166" s="123">
        <v>24.429000854492188</v>
      </c>
      <c r="BT166" s="123">
        <v>40.869998931884766</v>
      </c>
      <c r="BU166" s="123">
        <v>38.679000854492188</v>
      </c>
      <c r="BV166" s="123">
        <v>69.5</v>
      </c>
      <c r="BW166" s="123">
        <v>6.0999999046325684</v>
      </c>
      <c r="BX166" s="123">
        <v>13.5</v>
      </c>
      <c r="BY166" s="123">
        <v>29</v>
      </c>
      <c r="BZ166" s="123">
        <v>1.6011958941817284E-2</v>
      </c>
      <c r="CA166" s="123">
        <v>1</v>
      </c>
      <c r="CB166" s="123">
        <v>29.25031852722168</v>
      </c>
      <c r="CC166" s="126"/>
      <c r="CD166" s="123">
        <v>355.40234375</v>
      </c>
      <c r="CE166" s="123">
        <v>36.407341003417969</v>
      </c>
      <c r="CF166" s="123">
        <v>21.437812805175781</v>
      </c>
      <c r="CG166" s="123">
        <v>35.338191986083984</v>
      </c>
      <c r="CH166" s="123">
        <v>282.81134033203125</v>
      </c>
      <c r="CI166" s="123">
        <v>82.128173828125</v>
      </c>
      <c r="CJ166" s="123">
        <v>33.246543884277344</v>
      </c>
      <c r="CK166" s="123">
        <v>52.574504852294922</v>
      </c>
      <c r="CL166" s="124">
        <v>31.40141487121582</v>
      </c>
      <c r="CM166" s="125">
        <v>211.47608947753906</v>
      </c>
      <c r="CN166" s="123">
        <v>67.787796020507813</v>
      </c>
      <c r="CO166" s="123">
        <v>67.746505737304688</v>
      </c>
      <c r="CP166" s="123">
        <v>74.174026489257813</v>
      </c>
      <c r="CQ166" s="123">
        <v>0</v>
      </c>
      <c r="CR166" s="123">
        <v>50.902805328369141</v>
      </c>
      <c r="CS166" s="123">
        <v>9.3270883560180664</v>
      </c>
      <c r="CT166" s="123">
        <v>35.905216217041016</v>
      </c>
      <c r="CU166" s="123">
        <v>50.456802368164063</v>
      </c>
      <c r="CV166" s="124">
        <v>61.115501403808594</v>
      </c>
      <c r="CW166" s="125">
        <v>6</v>
      </c>
      <c r="CX166" s="123">
        <v>322</v>
      </c>
      <c r="CY166" s="123">
        <v>117.62429809570313</v>
      </c>
      <c r="CZ166" s="123">
        <v>51.449993133544922</v>
      </c>
      <c r="DA166" s="123">
        <v>20.739139556884766</v>
      </c>
      <c r="DB166" s="123">
        <v>34.899452209472656</v>
      </c>
      <c r="DC166" s="123">
        <v>80.573944091796875</v>
      </c>
      <c r="DD166" s="123">
        <v>61</v>
      </c>
      <c r="DE166" s="123">
        <v>179</v>
      </c>
      <c r="DF166" s="123">
        <v>104.10556030273438</v>
      </c>
      <c r="DG166" s="123">
        <v>70.037223815917969</v>
      </c>
      <c r="DH166" s="123">
        <v>49.495437622070313</v>
      </c>
      <c r="DI166" s="128">
        <v>39.184280395507813</v>
      </c>
      <c r="DJ166" s="127">
        <v>206</v>
      </c>
      <c r="DK166" s="123">
        <v>104.33200073242188</v>
      </c>
      <c r="DL166" s="123">
        <v>22.844999313354492</v>
      </c>
      <c r="DM166" s="123">
        <v>26.860000610351563</v>
      </c>
      <c r="DN166" s="123">
        <v>48.418998718261719</v>
      </c>
      <c r="DO166" s="124">
        <v>111.58777618408203</v>
      </c>
      <c r="DP166" s="125">
        <v>16.115999221801758</v>
      </c>
      <c r="DQ166" s="123"/>
      <c r="DR166" s="125">
        <v>67</v>
      </c>
      <c r="DS166" s="128">
        <v>31.299999237060547</v>
      </c>
      <c r="DT166" s="127">
        <v>12</v>
      </c>
      <c r="DU166" s="123"/>
      <c r="DV166" s="123">
        <v>7</v>
      </c>
      <c r="DW166" s="123">
        <v>1.3807001113891602</v>
      </c>
      <c r="DX166" s="125">
        <v>10</v>
      </c>
      <c r="DY166" s="128"/>
      <c r="DZ166" s="127">
        <v>45</v>
      </c>
      <c r="EA166" s="123">
        <v>3</v>
      </c>
      <c r="EB166" s="123">
        <v>0</v>
      </c>
      <c r="EC166" s="123">
        <v>1</v>
      </c>
      <c r="ED166" s="123">
        <v>251.39999389648438</v>
      </c>
      <c r="EE166" s="129"/>
      <c r="EF166" s="129"/>
      <c r="EG166" s="129"/>
    </row>
    <row r="167" spans="1:137" x14ac:dyDescent="0.3">
      <c r="A167" s="226">
        <f t="shared" si="9"/>
        <v>46020.113194444813</v>
      </c>
      <c r="B167" s="123">
        <v>239</v>
      </c>
      <c r="C167" s="123">
        <v>51.571998596191406</v>
      </c>
      <c r="D167" s="123">
        <v>102.23899841308594</v>
      </c>
      <c r="E167" s="123">
        <v>16.625</v>
      </c>
      <c r="F167" s="123">
        <v>6.1256504058837891</v>
      </c>
      <c r="G167" s="124">
        <v>17.302999496459961</v>
      </c>
      <c r="H167" s="125">
        <v>304</v>
      </c>
      <c r="I167" s="123">
        <v>273</v>
      </c>
      <c r="J167" s="123">
        <v>59.375999450683594</v>
      </c>
      <c r="K167" s="123">
        <v>60.717361450195313</v>
      </c>
      <c r="L167" s="123">
        <v>42.588001251220703</v>
      </c>
      <c r="M167" s="123">
        <v>13.232000350952148</v>
      </c>
      <c r="N167" s="123">
        <v>17.875999450683594</v>
      </c>
      <c r="O167" s="123">
        <v>16</v>
      </c>
      <c r="P167" s="123">
        <v>0</v>
      </c>
      <c r="Q167" s="123">
        <v>17.538236618041992</v>
      </c>
      <c r="R167" s="123">
        <v>10.003125190734863</v>
      </c>
      <c r="S167" s="123">
        <v>10.068248748779297</v>
      </c>
      <c r="T167" s="123">
        <v>0</v>
      </c>
      <c r="U167" s="123">
        <v>0</v>
      </c>
      <c r="V167" s="125">
        <v>909</v>
      </c>
      <c r="W167" s="123">
        <v>25.801589965820313</v>
      </c>
      <c r="X167" s="123">
        <v>26.916999816894531</v>
      </c>
      <c r="Y167" s="123">
        <v>7.4429998397827148</v>
      </c>
      <c r="Z167" s="123">
        <v>0</v>
      </c>
      <c r="AA167" s="123">
        <v>22.052999496459961</v>
      </c>
      <c r="AB167" s="123">
        <v>0</v>
      </c>
      <c r="AC167" s="123">
        <v>54.872638702392578</v>
      </c>
      <c r="AD167" s="123">
        <v>6.6160001754760742</v>
      </c>
      <c r="AE167" s="123">
        <v>0</v>
      </c>
      <c r="AF167" s="123">
        <v>82.16302490234375</v>
      </c>
      <c r="AG167" s="123">
        <v>0</v>
      </c>
      <c r="AH167" s="123">
        <v>63.603118896484375</v>
      </c>
      <c r="AI167" s="123">
        <v>13.295999526977539</v>
      </c>
      <c r="AJ167" s="123">
        <v>20.012458801269531</v>
      </c>
      <c r="AK167" s="123">
        <v>44.386157989501953</v>
      </c>
      <c r="AL167" s="123">
        <v>36.932998657226563</v>
      </c>
      <c r="AM167" s="126">
        <v>54.583000183105469</v>
      </c>
      <c r="AN167" s="125">
        <v>118.5625</v>
      </c>
      <c r="AO167" s="127">
        <v>63</v>
      </c>
      <c r="AP167" s="123">
        <v>62.424980163574219</v>
      </c>
      <c r="AQ167" s="123">
        <v>38.059062957763672</v>
      </c>
      <c r="AR167" s="123">
        <v>88</v>
      </c>
      <c r="AS167" s="123"/>
      <c r="AT167" s="123">
        <v>120</v>
      </c>
      <c r="AU167" s="123"/>
      <c r="AV167" s="123">
        <v>66</v>
      </c>
      <c r="AW167" s="123"/>
      <c r="AX167" s="123">
        <v>31</v>
      </c>
      <c r="AY167" s="123">
        <v>33.177181243896484</v>
      </c>
      <c r="AZ167" s="123">
        <v>14</v>
      </c>
      <c r="BA167" s="123"/>
      <c r="BB167" s="123">
        <v>298</v>
      </c>
      <c r="BC167" s="123">
        <v>299.07000732421875</v>
      </c>
      <c r="BD167" s="123">
        <v>7.0999999046325684</v>
      </c>
      <c r="BE167" s="123">
        <v>7.1412386894226074</v>
      </c>
      <c r="BF167" s="123">
        <v>30</v>
      </c>
      <c r="BG167" s="123">
        <v>10</v>
      </c>
      <c r="BH167" s="123">
        <v>11.105181694030762</v>
      </c>
      <c r="BI167" s="123"/>
      <c r="BJ167" s="108">
        <f t="shared" si="7"/>
        <v>14</v>
      </c>
      <c r="BK167" s="123">
        <v>14</v>
      </c>
      <c r="BL167" s="123">
        <v>0</v>
      </c>
      <c r="BM167" s="126"/>
      <c r="BN167" s="108">
        <f t="shared" si="8"/>
        <v>122</v>
      </c>
      <c r="BO167" s="108">
        <v>73</v>
      </c>
      <c r="BP167" s="108">
        <v>49</v>
      </c>
      <c r="BQ167" s="108">
        <v>278</v>
      </c>
      <c r="BR167" s="123">
        <v>71.363998413085938</v>
      </c>
      <c r="BS167" s="123">
        <v>23.665000915527344</v>
      </c>
      <c r="BT167" s="123">
        <v>40.523998260498047</v>
      </c>
      <c r="BU167" s="123">
        <v>42.941001892089844</v>
      </c>
      <c r="BV167" s="123">
        <v>69.400001525878906</v>
      </c>
      <c r="BW167" s="123">
        <v>6.0999999046325684</v>
      </c>
      <c r="BX167" s="123">
        <v>13.5</v>
      </c>
      <c r="BY167" s="123">
        <v>28</v>
      </c>
      <c r="BZ167" s="123">
        <v>1.3818643055856228E-2</v>
      </c>
      <c r="CA167" s="123">
        <v>1</v>
      </c>
      <c r="CB167" s="123">
        <v>29.084863662719727</v>
      </c>
      <c r="CC167" s="126"/>
      <c r="CD167" s="123">
        <v>352.0421142578125</v>
      </c>
      <c r="CE167" s="123">
        <v>34.026969909667969</v>
      </c>
      <c r="CF167" s="123">
        <v>22.257001876831055</v>
      </c>
      <c r="CG167" s="123">
        <v>35.338191986083984</v>
      </c>
      <c r="CH167" s="123">
        <v>282.0455322265625</v>
      </c>
      <c r="CI167" s="123">
        <v>82.195854187011719</v>
      </c>
      <c r="CJ167" s="123">
        <v>36.100788116455078</v>
      </c>
      <c r="CK167" s="123">
        <v>48.971820831298828</v>
      </c>
      <c r="CL167" s="124">
        <v>30.547075271606445</v>
      </c>
      <c r="CM167" s="125">
        <v>213.44757080078125</v>
      </c>
      <c r="CN167" s="123">
        <v>69.503128051757813</v>
      </c>
      <c r="CO167" s="123">
        <v>68.036148071289063</v>
      </c>
      <c r="CP167" s="123">
        <v>72.540260314941406</v>
      </c>
      <c r="CQ167" s="123">
        <v>0</v>
      </c>
      <c r="CR167" s="123">
        <v>50.462806701660156</v>
      </c>
      <c r="CS167" s="123">
        <v>8.9989814758300781</v>
      </c>
      <c r="CT167" s="123">
        <v>34.754924774169922</v>
      </c>
      <c r="CU167" s="123">
        <v>47.530361175537109</v>
      </c>
      <c r="CV167" s="124">
        <v>58.269302368164063</v>
      </c>
      <c r="CW167" s="125">
        <v>0</v>
      </c>
      <c r="CX167" s="123">
        <v>316</v>
      </c>
      <c r="CY167" s="123">
        <v>116.79582214355469</v>
      </c>
      <c r="CZ167" s="123">
        <v>49.260250091552734</v>
      </c>
      <c r="DA167" s="123">
        <v>19.605535507202148</v>
      </c>
      <c r="DB167" s="123">
        <v>33.094425201416016</v>
      </c>
      <c r="DC167" s="123">
        <v>78.9227294921875</v>
      </c>
      <c r="DD167" s="123">
        <v>58</v>
      </c>
      <c r="DE167" s="123">
        <v>180</v>
      </c>
      <c r="DF167" s="123">
        <v>105.22412109375</v>
      </c>
      <c r="DG167" s="123">
        <v>70.322868347167969</v>
      </c>
      <c r="DH167" s="123">
        <v>48.964069366455078</v>
      </c>
      <c r="DI167" s="128">
        <v>39.797695159912109</v>
      </c>
      <c r="DJ167" s="127">
        <v>206</v>
      </c>
      <c r="DK167" s="123">
        <v>106.36799621582031</v>
      </c>
      <c r="DL167" s="123">
        <v>22.844999313354492</v>
      </c>
      <c r="DM167" s="123">
        <v>28.097000122070313</v>
      </c>
      <c r="DN167" s="123">
        <v>51.247001647949219</v>
      </c>
      <c r="DO167" s="124">
        <v>110.51991271972656</v>
      </c>
      <c r="DP167" s="125">
        <v>16.370000839233398</v>
      </c>
      <c r="DQ167" s="123"/>
      <c r="DR167" s="125">
        <v>67</v>
      </c>
      <c r="DS167" s="128">
        <v>31.600000381469727</v>
      </c>
      <c r="DT167" s="127">
        <v>12</v>
      </c>
      <c r="DU167" s="123"/>
      <c r="DV167" s="123">
        <v>7</v>
      </c>
      <c r="DW167" s="123">
        <v>1.3715952634811401</v>
      </c>
      <c r="DX167" s="125">
        <v>10</v>
      </c>
      <c r="DY167" s="128"/>
      <c r="DZ167" s="127">
        <v>45</v>
      </c>
      <c r="EA167" s="123">
        <v>3</v>
      </c>
      <c r="EB167" s="123">
        <v>0</v>
      </c>
      <c r="EC167" s="123">
        <v>1</v>
      </c>
      <c r="ED167" s="123">
        <v>252.5</v>
      </c>
      <c r="EE167" s="129"/>
      <c r="EF167" s="129"/>
      <c r="EG167" s="129"/>
    </row>
    <row r="168" spans="1:137" x14ac:dyDescent="0.3">
      <c r="A168" s="226">
        <f t="shared" si="9"/>
        <v>46020.11388888926</v>
      </c>
      <c r="B168" s="123">
        <v>239</v>
      </c>
      <c r="C168" s="123">
        <v>51.346000671386719</v>
      </c>
      <c r="D168" s="123">
        <v>102.91799926757813</v>
      </c>
      <c r="E168" s="123">
        <v>14.36299991607666</v>
      </c>
      <c r="F168" s="123">
        <v>6.5306062698364258</v>
      </c>
      <c r="G168" s="124">
        <v>17.868999481201172</v>
      </c>
      <c r="H168" s="125">
        <v>306</v>
      </c>
      <c r="I168" s="123">
        <v>270</v>
      </c>
      <c r="J168" s="123">
        <v>60.846000671386719</v>
      </c>
      <c r="K168" s="123">
        <v>62.293781280517578</v>
      </c>
      <c r="L168" s="123">
        <v>42.057998657226563</v>
      </c>
      <c r="M168" s="123">
        <v>11.875</v>
      </c>
      <c r="N168" s="123">
        <v>18.385000228881836</v>
      </c>
      <c r="O168" s="123">
        <v>17</v>
      </c>
      <c r="P168" s="123">
        <v>0</v>
      </c>
      <c r="Q168" s="123">
        <v>17.871980667114258</v>
      </c>
      <c r="R168" s="123">
        <v>10.003125190734863</v>
      </c>
      <c r="S168" s="123">
        <v>9.0797815322875977</v>
      </c>
      <c r="T168" s="123">
        <v>0</v>
      </c>
      <c r="U168" s="123">
        <v>0</v>
      </c>
      <c r="V168" s="125">
        <v>903</v>
      </c>
      <c r="W168" s="123">
        <v>27.329296112060547</v>
      </c>
      <c r="X168" s="123">
        <v>26.576999664306641</v>
      </c>
      <c r="Y168" s="123">
        <v>7.1880002021789551</v>
      </c>
      <c r="Z168" s="123">
        <v>0</v>
      </c>
      <c r="AA168" s="123">
        <v>20.809000015258789</v>
      </c>
      <c r="AB168" s="123">
        <v>0</v>
      </c>
      <c r="AC168" s="123">
        <v>55.180690765380859</v>
      </c>
      <c r="AD168" s="123">
        <v>6.6160001754760742</v>
      </c>
      <c r="AE168" s="123">
        <v>0</v>
      </c>
      <c r="AF168" s="123">
        <v>82.118049621582031</v>
      </c>
      <c r="AG168" s="123">
        <v>0</v>
      </c>
      <c r="AH168" s="123">
        <v>63.485431671142578</v>
      </c>
      <c r="AI168" s="123">
        <v>12.97700023651123</v>
      </c>
      <c r="AJ168" s="123">
        <v>21.316032409667969</v>
      </c>
      <c r="AK168" s="123">
        <v>45.375953674316406</v>
      </c>
      <c r="AL168" s="123">
        <v>37.110000610351563</v>
      </c>
      <c r="AM168" s="126">
        <v>55.854999542236328</v>
      </c>
      <c r="AN168" s="125">
        <v>118.25</v>
      </c>
      <c r="AO168" s="127">
        <v>63</v>
      </c>
      <c r="AP168" s="123">
        <v>62.892677307128906</v>
      </c>
      <c r="AQ168" s="123">
        <v>37.354949951171875</v>
      </c>
      <c r="AR168" s="123">
        <v>87</v>
      </c>
      <c r="AS168" s="123"/>
      <c r="AT168" s="123">
        <v>119</v>
      </c>
      <c r="AU168" s="123"/>
      <c r="AV168" s="123">
        <v>66</v>
      </c>
      <c r="AW168" s="123"/>
      <c r="AX168" s="123">
        <v>31</v>
      </c>
      <c r="AY168" s="123">
        <v>33.177181243896484</v>
      </c>
      <c r="AZ168" s="123">
        <v>14</v>
      </c>
      <c r="BA168" s="123"/>
      <c r="BB168" s="123">
        <v>296</v>
      </c>
      <c r="BC168" s="123">
        <v>298.6229248046875</v>
      </c>
      <c r="BD168" s="123">
        <v>6.8000001907348633</v>
      </c>
      <c r="BE168" s="123">
        <v>6.8654193878173828</v>
      </c>
      <c r="BF168" s="123">
        <v>30</v>
      </c>
      <c r="BG168" s="123">
        <v>10</v>
      </c>
      <c r="BH168" s="123">
        <v>10.999476432800293</v>
      </c>
      <c r="BI168" s="123"/>
      <c r="BJ168" s="108">
        <f t="shared" si="7"/>
        <v>14</v>
      </c>
      <c r="BK168" s="123">
        <v>14</v>
      </c>
      <c r="BL168" s="123">
        <v>0</v>
      </c>
      <c r="BM168" s="126"/>
      <c r="BN168" s="108">
        <f t="shared" si="8"/>
        <v>121</v>
      </c>
      <c r="BO168" s="108">
        <v>72</v>
      </c>
      <c r="BP168" s="108">
        <v>49</v>
      </c>
      <c r="BQ168" s="108">
        <v>273</v>
      </c>
      <c r="BR168" s="123">
        <v>67.291999816894531</v>
      </c>
      <c r="BS168" s="123">
        <v>24.429000854492188</v>
      </c>
      <c r="BT168" s="123">
        <v>40.523998260498047</v>
      </c>
      <c r="BU168" s="123">
        <v>43.068000793457031</v>
      </c>
      <c r="BV168" s="123">
        <v>69.199996948242188</v>
      </c>
      <c r="BW168" s="123">
        <v>6.1999998092651367</v>
      </c>
      <c r="BX168" s="123">
        <v>13.5</v>
      </c>
      <c r="BY168" s="123">
        <v>28</v>
      </c>
      <c r="BZ168" s="123">
        <v>1.2877357192337513E-2</v>
      </c>
      <c r="CA168" s="123">
        <v>0</v>
      </c>
      <c r="CB168" s="123">
        <v>29.011457443237305</v>
      </c>
      <c r="CC168" s="126"/>
      <c r="CD168" s="123">
        <v>351.32894897460938</v>
      </c>
      <c r="CE168" s="123">
        <v>33.573318481445313</v>
      </c>
      <c r="CF168" s="123">
        <v>21.358945846557617</v>
      </c>
      <c r="CG168" s="123">
        <v>35.338191986083984</v>
      </c>
      <c r="CH168" s="123">
        <v>281.83395385742188</v>
      </c>
      <c r="CI168" s="123">
        <v>80.81781005859375</v>
      </c>
      <c r="CJ168" s="123">
        <v>35.287994384765625</v>
      </c>
      <c r="CK168" s="123">
        <v>48.648754119873047</v>
      </c>
      <c r="CL168" s="124">
        <v>30.888204574584961</v>
      </c>
      <c r="CM168" s="125">
        <v>199.56280517578125</v>
      </c>
      <c r="CN168" s="123">
        <v>59.298618316650391</v>
      </c>
      <c r="CO168" s="123">
        <v>67.4844970703125</v>
      </c>
      <c r="CP168" s="123">
        <v>70.126739501953125</v>
      </c>
      <c r="CQ168" s="123">
        <v>0</v>
      </c>
      <c r="CR168" s="123">
        <v>50.220809936523438</v>
      </c>
      <c r="CS168" s="123">
        <v>8.6660747528076172</v>
      </c>
      <c r="CT168" s="123">
        <v>36.592861175537109</v>
      </c>
      <c r="CU168" s="123">
        <v>46.113616943359375</v>
      </c>
      <c r="CV168" s="124">
        <v>58.269302368164063</v>
      </c>
      <c r="CW168" s="125">
        <v>3</v>
      </c>
      <c r="CX168" s="123">
        <v>313</v>
      </c>
      <c r="CY168" s="123">
        <v>115.38691711425781</v>
      </c>
      <c r="CZ168" s="123">
        <v>49.351139068603516</v>
      </c>
      <c r="DA168" s="123">
        <v>19.623760223388672</v>
      </c>
      <c r="DB168" s="123">
        <v>33.135181427001953</v>
      </c>
      <c r="DC168" s="123">
        <v>79.195091247558594</v>
      </c>
      <c r="DD168" s="123">
        <v>58</v>
      </c>
      <c r="DE168" s="123">
        <v>180</v>
      </c>
      <c r="DF168" s="123">
        <v>105.24259185791016</v>
      </c>
      <c r="DG168" s="123">
        <v>70.019401550292969</v>
      </c>
      <c r="DH168" s="123">
        <v>48.646991729736328</v>
      </c>
      <c r="DI168" s="128">
        <v>38.380687713623047</v>
      </c>
      <c r="DJ168" s="127">
        <v>198</v>
      </c>
      <c r="DK168" s="123">
        <v>101.02400207519531</v>
      </c>
      <c r="DL168" s="123">
        <v>24.201999664306641</v>
      </c>
      <c r="DM168" s="123">
        <v>25.093000411987305</v>
      </c>
      <c r="DN168" s="123">
        <v>48.418998718261719</v>
      </c>
      <c r="DO168" s="124">
        <v>109.42235565185547</v>
      </c>
      <c r="DP168" s="125">
        <v>16.229000091552734</v>
      </c>
      <c r="DQ168" s="123"/>
      <c r="DR168" s="125">
        <v>67</v>
      </c>
      <c r="DS168" s="128">
        <v>31.600000381469727</v>
      </c>
      <c r="DT168" s="127">
        <v>12</v>
      </c>
      <c r="DU168" s="123"/>
      <c r="DV168" s="123">
        <v>9</v>
      </c>
      <c r="DW168" s="123">
        <v>1.3968613147735596</v>
      </c>
      <c r="DX168" s="125">
        <v>9</v>
      </c>
      <c r="DY168" s="128"/>
      <c r="DZ168" s="127">
        <v>45</v>
      </c>
      <c r="EA168" s="123">
        <v>3</v>
      </c>
      <c r="EB168" s="123">
        <v>0</v>
      </c>
      <c r="EC168" s="123">
        <v>1</v>
      </c>
      <c r="ED168" s="123">
        <v>249.60000610351563</v>
      </c>
      <c r="EE168" s="129"/>
      <c r="EF168" s="129"/>
      <c r="EG168" s="129"/>
    </row>
    <row r="169" spans="1:137" x14ac:dyDescent="0.3">
      <c r="A169" s="226">
        <f t="shared" si="9"/>
        <v>46020.114583333707</v>
      </c>
      <c r="B169" s="123">
        <v>238</v>
      </c>
      <c r="C169" s="123">
        <v>45.691001892089844</v>
      </c>
      <c r="D169" s="123">
        <v>103.14399719238281</v>
      </c>
      <c r="E169" s="123">
        <v>18.77400016784668</v>
      </c>
      <c r="F169" s="123">
        <v>2.8633837699890137</v>
      </c>
      <c r="G169" s="124">
        <v>16.511999130249023</v>
      </c>
      <c r="H169" s="125">
        <v>303</v>
      </c>
      <c r="I169" s="123">
        <v>270</v>
      </c>
      <c r="J169" s="123">
        <v>60.846000671386719</v>
      </c>
      <c r="K169" s="123">
        <v>61.558235168457031</v>
      </c>
      <c r="L169" s="123">
        <v>43.118000030517578</v>
      </c>
      <c r="M169" s="123">
        <v>12.666000366210938</v>
      </c>
      <c r="N169" s="123">
        <v>17.367000579833984</v>
      </c>
      <c r="O169" s="123">
        <v>16</v>
      </c>
      <c r="P169" s="123">
        <v>0</v>
      </c>
      <c r="Q169" s="123">
        <v>17.048664093017578</v>
      </c>
      <c r="R169" s="123">
        <v>10.996874809265137</v>
      </c>
      <c r="S169" s="123">
        <v>9.725529670715332</v>
      </c>
      <c r="T169" s="123">
        <v>0</v>
      </c>
      <c r="U169" s="123">
        <v>0</v>
      </c>
      <c r="V169" s="125">
        <v>903</v>
      </c>
      <c r="W169" s="123">
        <v>26.945749282836914</v>
      </c>
      <c r="X169" s="123">
        <v>26.690000534057617</v>
      </c>
      <c r="Y169" s="123">
        <v>6.2979998588562012</v>
      </c>
      <c r="Z169" s="123">
        <v>0</v>
      </c>
      <c r="AA169" s="123">
        <v>22.280000686645508</v>
      </c>
      <c r="AB169" s="123">
        <v>0</v>
      </c>
      <c r="AC169" s="123">
        <v>52.748046875</v>
      </c>
      <c r="AD169" s="123">
        <v>6.3610000610351563</v>
      </c>
      <c r="AE169" s="123">
        <v>0</v>
      </c>
      <c r="AF169" s="123">
        <v>82.315834045410156</v>
      </c>
      <c r="AG169" s="123">
        <v>0</v>
      </c>
      <c r="AH169" s="123">
        <v>62.912887573242188</v>
      </c>
      <c r="AI169" s="123">
        <v>11.005000114440918</v>
      </c>
      <c r="AJ169" s="123">
        <v>16.403566360473633</v>
      </c>
      <c r="AK169" s="123">
        <v>45.427322387695313</v>
      </c>
      <c r="AL169" s="123">
        <v>34.988998413085938</v>
      </c>
      <c r="AM169" s="126">
        <v>45.486000061035156</v>
      </c>
      <c r="AN169" s="125">
        <v>118.25</v>
      </c>
      <c r="AO169" s="127">
        <v>62</v>
      </c>
      <c r="AP169" s="123">
        <v>62.892677307128906</v>
      </c>
      <c r="AQ169" s="123">
        <v>37.554149627685547</v>
      </c>
      <c r="AR169" s="123">
        <v>87</v>
      </c>
      <c r="AS169" s="123"/>
      <c r="AT169" s="123">
        <v>119</v>
      </c>
      <c r="AU169" s="123"/>
      <c r="AV169" s="123">
        <v>66</v>
      </c>
      <c r="AW169" s="123"/>
      <c r="AX169" s="123">
        <v>31</v>
      </c>
      <c r="AY169" s="123">
        <v>32.815944671630859</v>
      </c>
      <c r="AZ169" s="123">
        <v>14</v>
      </c>
      <c r="BA169" s="123"/>
      <c r="BB169" s="123">
        <v>297</v>
      </c>
      <c r="BC169" s="123">
        <v>297.48321533203125</v>
      </c>
      <c r="BD169" s="123">
        <v>6.9000000953674316</v>
      </c>
      <c r="BE169" s="123">
        <v>6.8691248893737793</v>
      </c>
      <c r="BF169" s="123">
        <v>30</v>
      </c>
      <c r="BG169" s="123">
        <v>10</v>
      </c>
      <c r="BH169" s="123">
        <v>10.999476432800293</v>
      </c>
      <c r="BI169" s="123"/>
      <c r="BJ169" s="108">
        <f t="shared" si="7"/>
        <v>14</v>
      </c>
      <c r="BK169" s="123">
        <v>14</v>
      </c>
      <c r="BL169" s="123">
        <v>0</v>
      </c>
      <c r="BM169" s="126"/>
      <c r="BN169" s="108">
        <f t="shared" si="8"/>
        <v>121</v>
      </c>
      <c r="BO169" s="108">
        <v>72</v>
      </c>
      <c r="BP169" s="108">
        <v>49</v>
      </c>
      <c r="BQ169" s="108">
        <v>273</v>
      </c>
      <c r="BR169" s="123">
        <v>70.571998596191406</v>
      </c>
      <c r="BS169" s="123">
        <v>23.665000915527344</v>
      </c>
      <c r="BT169" s="123">
        <v>40.869998931884766</v>
      </c>
      <c r="BU169" s="123">
        <v>42.75</v>
      </c>
      <c r="BV169" s="123">
        <v>69</v>
      </c>
      <c r="BW169" s="123">
        <v>5.9000000953674316</v>
      </c>
      <c r="BX169" s="123">
        <v>13.5</v>
      </c>
      <c r="BY169" s="123">
        <v>28</v>
      </c>
      <c r="BZ169" s="123">
        <v>1.3603468425571918E-2</v>
      </c>
      <c r="CA169" s="123">
        <v>1</v>
      </c>
      <c r="CB169" s="123">
        <v>29.145908355712891</v>
      </c>
      <c r="CC169" s="126"/>
      <c r="CD169" s="123">
        <v>348.57101440429688</v>
      </c>
      <c r="CE169" s="123">
        <v>34.454860687255859</v>
      </c>
      <c r="CF169" s="123">
        <v>21.230607986450195</v>
      </c>
      <c r="CG169" s="123">
        <v>35.338191986083984</v>
      </c>
      <c r="CH169" s="123">
        <v>280.66177368164063</v>
      </c>
      <c r="CI169" s="123">
        <v>83.396614074707031</v>
      </c>
      <c r="CJ169" s="123">
        <v>35.694919586181641</v>
      </c>
      <c r="CK169" s="123">
        <v>49.076656341552734</v>
      </c>
      <c r="CL169" s="124">
        <v>29.419414520263672</v>
      </c>
      <c r="CM169" s="125">
        <v>201.28544616699219</v>
      </c>
      <c r="CN169" s="123">
        <v>60.872638702392578</v>
      </c>
      <c r="CO169" s="123">
        <v>68.425811767578125</v>
      </c>
      <c r="CP169" s="123">
        <v>72.110916137695313</v>
      </c>
      <c r="CQ169" s="123">
        <v>0</v>
      </c>
      <c r="CR169" s="123">
        <v>50.449577331542969</v>
      </c>
      <c r="CS169" s="123">
        <v>9.0560598373413086</v>
      </c>
      <c r="CT169" s="123">
        <v>35.061973571777344</v>
      </c>
      <c r="CU169" s="123">
        <v>50.306941986083984</v>
      </c>
      <c r="CV169" s="124">
        <v>60.885044097900391</v>
      </c>
      <c r="CW169" s="125">
        <v>2</v>
      </c>
      <c r="CX169" s="123">
        <v>314</v>
      </c>
      <c r="CY169" s="123">
        <v>115.55524444580078</v>
      </c>
      <c r="CZ169" s="123">
        <v>49.328456878662109</v>
      </c>
      <c r="DA169" s="123">
        <v>19.623760223388672</v>
      </c>
      <c r="DB169" s="123">
        <v>32.713359832763672</v>
      </c>
      <c r="DC169" s="123">
        <v>80.193290710449219</v>
      </c>
      <c r="DD169" s="123">
        <v>58</v>
      </c>
      <c r="DE169" s="123">
        <v>180</v>
      </c>
      <c r="DF169" s="123">
        <v>103.26157379150391</v>
      </c>
      <c r="DG169" s="123">
        <v>70.869621276855469</v>
      </c>
      <c r="DH169" s="123">
        <v>48.596675872802734</v>
      </c>
      <c r="DI169" s="128">
        <v>37.487983703613281</v>
      </c>
      <c r="DJ169" s="127">
        <v>198</v>
      </c>
      <c r="DK169" s="123">
        <v>101.02400207519531</v>
      </c>
      <c r="DL169" s="123">
        <v>25.89900016784668</v>
      </c>
      <c r="DM169" s="123">
        <v>23.326000213623047</v>
      </c>
      <c r="DN169" s="123">
        <v>48.772998809814453</v>
      </c>
      <c r="DO169" s="124">
        <v>109.40978240966797</v>
      </c>
      <c r="DP169" s="125">
        <v>16.031000137329102</v>
      </c>
      <c r="DQ169" s="123"/>
      <c r="DR169" s="125">
        <v>67</v>
      </c>
      <c r="DS169" s="128">
        <v>31.200000762939453</v>
      </c>
      <c r="DT169" s="127">
        <v>12</v>
      </c>
      <c r="DU169" s="123"/>
      <c r="DV169" s="123">
        <v>8</v>
      </c>
      <c r="DW169" s="123">
        <v>1.3849694728851318</v>
      </c>
      <c r="DX169" s="125">
        <v>10</v>
      </c>
      <c r="DY169" s="128"/>
      <c r="DZ169" s="127">
        <v>46</v>
      </c>
      <c r="EA169" s="123">
        <v>3</v>
      </c>
      <c r="EB169" s="123">
        <v>0</v>
      </c>
      <c r="EC169" s="123">
        <v>1</v>
      </c>
      <c r="ED169" s="123">
        <v>248.39999389648438</v>
      </c>
      <c r="EE169" s="129"/>
      <c r="EF169" s="129"/>
      <c r="EG169" s="129"/>
    </row>
    <row r="170" spans="1:137" x14ac:dyDescent="0.3">
      <c r="A170" s="226">
        <f t="shared" si="9"/>
        <v>46020.115277778154</v>
      </c>
      <c r="B170" s="123">
        <v>233</v>
      </c>
      <c r="C170" s="123">
        <v>46.368999481201172</v>
      </c>
      <c r="D170" s="123">
        <v>102.23899841308594</v>
      </c>
      <c r="E170" s="123">
        <v>15.833000183105469</v>
      </c>
      <c r="F170" s="123">
        <v>9.8029022216796875</v>
      </c>
      <c r="G170" s="124">
        <v>17.868999481201172</v>
      </c>
      <c r="H170" s="125">
        <v>303</v>
      </c>
      <c r="I170" s="123">
        <v>271</v>
      </c>
      <c r="J170" s="123">
        <v>64.238998413085938</v>
      </c>
      <c r="K170" s="123">
        <v>60.953205108642578</v>
      </c>
      <c r="L170" s="123">
        <v>42.057998657226563</v>
      </c>
      <c r="M170" s="123">
        <v>12.779000282287598</v>
      </c>
      <c r="N170" s="123">
        <v>17.113000869750977</v>
      </c>
      <c r="O170" s="123">
        <v>16</v>
      </c>
      <c r="P170" s="123">
        <v>0</v>
      </c>
      <c r="Q170" s="123">
        <v>17.048664093017578</v>
      </c>
      <c r="R170" s="123">
        <v>10.996874809265137</v>
      </c>
      <c r="S170" s="123">
        <v>9.725529670715332</v>
      </c>
      <c r="T170" s="123">
        <v>7</v>
      </c>
      <c r="U170" s="123">
        <v>7</v>
      </c>
      <c r="V170" s="125">
        <v>919</v>
      </c>
      <c r="W170" s="123">
        <v>26.597379684448242</v>
      </c>
      <c r="X170" s="123">
        <v>26.35099983215332</v>
      </c>
      <c r="Y170" s="123">
        <v>6.7430000305175781</v>
      </c>
      <c r="Z170" s="123">
        <v>0</v>
      </c>
      <c r="AA170" s="123">
        <v>20.131000518798828</v>
      </c>
      <c r="AB170" s="123">
        <v>0</v>
      </c>
      <c r="AC170" s="123">
        <v>54.163936614990234</v>
      </c>
      <c r="AD170" s="123">
        <v>6.6160001754760742</v>
      </c>
      <c r="AE170" s="123">
        <v>0</v>
      </c>
      <c r="AF170" s="123">
        <v>83.035140991210938</v>
      </c>
      <c r="AG170" s="123">
        <v>0</v>
      </c>
      <c r="AH170" s="123">
        <v>62.599990844726563</v>
      </c>
      <c r="AI170" s="123">
        <v>12.722999572753906</v>
      </c>
      <c r="AJ170" s="123">
        <v>16.832098007202148</v>
      </c>
      <c r="AK170" s="123">
        <v>44.808231353759766</v>
      </c>
      <c r="AL170" s="123">
        <v>37.639999389648438</v>
      </c>
      <c r="AM170" s="126">
        <v>51.847999572753906</v>
      </c>
      <c r="AN170" s="125">
        <v>118.5625</v>
      </c>
      <c r="AO170" s="127">
        <v>62</v>
      </c>
      <c r="AP170" s="123">
        <v>62.865016937255859</v>
      </c>
      <c r="AQ170" s="123">
        <v>36.355682373046875</v>
      </c>
      <c r="AR170" s="123">
        <v>86</v>
      </c>
      <c r="AS170" s="123"/>
      <c r="AT170" s="123">
        <v>118</v>
      </c>
      <c r="AU170" s="123"/>
      <c r="AV170" s="123">
        <v>65</v>
      </c>
      <c r="AW170" s="123"/>
      <c r="AX170" s="123">
        <v>31</v>
      </c>
      <c r="AY170" s="123">
        <v>33.047492980957031</v>
      </c>
      <c r="AZ170" s="123">
        <v>15</v>
      </c>
      <c r="BA170" s="123"/>
      <c r="BB170" s="123">
        <v>297</v>
      </c>
      <c r="BC170" s="123">
        <v>298.95083618164063</v>
      </c>
      <c r="BD170" s="123">
        <v>6.8000001907348633</v>
      </c>
      <c r="BE170" s="123">
        <v>6.9114770889282227</v>
      </c>
      <c r="BF170" s="123">
        <v>30</v>
      </c>
      <c r="BG170" s="123">
        <v>10</v>
      </c>
      <c r="BH170" s="123">
        <v>11.026799201965332</v>
      </c>
      <c r="BI170" s="123"/>
      <c r="BJ170" s="108">
        <f t="shared" si="7"/>
        <v>13</v>
      </c>
      <c r="BK170" s="123">
        <v>13</v>
      </c>
      <c r="BL170" s="123">
        <v>0</v>
      </c>
      <c r="BM170" s="126"/>
      <c r="BN170" s="108">
        <f t="shared" si="8"/>
        <v>121</v>
      </c>
      <c r="BO170" s="108">
        <v>72</v>
      </c>
      <c r="BP170" s="108">
        <v>49</v>
      </c>
      <c r="BQ170" s="108">
        <v>272</v>
      </c>
      <c r="BR170" s="123">
        <v>71.363998413085938</v>
      </c>
      <c r="BS170" s="123">
        <v>25.191999435424805</v>
      </c>
      <c r="BT170" s="123">
        <v>40.523998260498047</v>
      </c>
      <c r="BU170" s="123">
        <v>43.258998870849609</v>
      </c>
      <c r="BV170" s="123">
        <v>69.400001525878906</v>
      </c>
      <c r="BW170" s="123">
        <v>5.9000000953674316</v>
      </c>
      <c r="BX170" s="123">
        <v>13.5</v>
      </c>
      <c r="BY170" s="123">
        <v>29</v>
      </c>
      <c r="BZ170" s="123">
        <v>1.488724909722805E-2</v>
      </c>
      <c r="CA170" s="123">
        <v>1</v>
      </c>
      <c r="CB170" s="123">
        <v>29.387229919433594</v>
      </c>
      <c r="CC170" s="126"/>
      <c r="CD170" s="123">
        <v>351.60064697265625</v>
      </c>
      <c r="CE170" s="123">
        <v>34.529449462890625</v>
      </c>
      <c r="CF170" s="123">
        <v>21.272886276245117</v>
      </c>
      <c r="CG170" s="123">
        <v>35.338191986083984</v>
      </c>
      <c r="CH170" s="123">
        <v>280.4383544921875</v>
      </c>
      <c r="CI170" s="123">
        <v>83.811248779296875</v>
      </c>
      <c r="CJ170" s="123">
        <v>35.810028076171875</v>
      </c>
      <c r="CK170" s="123">
        <v>49.1451416015625</v>
      </c>
      <c r="CL170" s="124">
        <v>30.368131637573242</v>
      </c>
      <c r="CM170" s="125">
        <v>198.28334045410156</v>
      </c>
      <c r="CN170" s="123">
        <v>60.295986175537109</v>
      </c>
      <c r="CO170" s="123">
        <v>67.159820556640625</v>
      </c>
      <c r="CP170" s="123">
        <v>69.128715515136719</v>
      </c>
      <c r="CQ170" s="123">
        <v>0</v>
      </c>
      <c r="CR170" s="123">
        <v>49.098121643066406</v>
      </c>
      <c r="CS170" s="123">
        <v>9.3877696990966797</v>
      </c>
      <c r="CT170" s="123">
        <v>33.712978363037109</v>
      </c>
      <c r="CU170" s="123">
        <v>56.931583404541016</v>
      </c>
      <c r="CV170" s="124">
        <v>60.501625061035156</v>
      </c>
      <c r="CW170" s="125">
        <v>1</v>
      </c>
      <c r="CX170" s="123">
        <v>314</v>
      </c>
      <c r="CY170" s="123">
        <v>114.85894775390625</v>
      </c>
      <c r="CZ170" s="123">
        <v>50.066429138183594</v>
      </c>
      <c r="DA170" s="123">
        <v>19.706062316894531</v>
      </c>
      <c r="DB170" s="123">
        <v>32.492942810058594</v>
      </c>
      <c r="DC170" s="123">
        <v>79.255500793457031</v>
      </c>
      <c r="DD170" s="123">
        <v>52</v>
      </c>
      <c r="DE170" s="123">
        <v>175</v>
      </c>
      <c r="DF170" s="123">
        <v>104.44633483886719</v>
      </c>
      <c r="DG170" s="123">
        <v>69.962440490722656</v>
      </c>
      <c r="DH170" s="123">
        <v>49.283035278320313</v>
      </c>
      <c r="DI170" s="128">
        <v>38.516117095947266</v>
      </c>
      <c r="DJ170" s="127">
        <v>204</v>
      </c>
      <c r="DK170" s="123">
        <v>103.31400299072266</v>
      </c>
      <c r="DL170" s="123">
        <v>25.785999298095703</v>
      </c>
      <c r="DM170" s="123">
        <v>27.214000701904297</v>
      </c>
      <c r="DN170" s="123">
        <v>48.066001892089844</v>
      </c>
      <c r="DO170" s="124">
        <v>111.16869354248047</v>
      </c>
      <c r="DP170" s="125">
        <v>15.692000389099121</v>
      </c>
      <c r="DQ170" s="123"/>
      <c r="DR170" s="125">
        <v>67</v>
      </c>
      <c r="DS170" s="128">
        <v>31.700000762939453</v>
      </c>
      <c r="DT170" s="127">
        <v>12</v>
      </c>
      <c r="DU170" s="123"/>
      <c r="DV170" s="123">
        <v>8</v>
      </c>
      <c r="DW170" s="123">
        <v>1.4103415012359619</v>
      </c>
      <c r="DX170" s="125">
        <v>10</v>
      </c>
      <c r="DY170" s="128"/>
      <c r="DZ170" s="127">
        <v>44</v>
      </c>
      <c r="EA170" s="123">
        <v>3</v>
      </c>
      <c r="EB170" s="123">
        <v>0</v>
      </c>
      <c r="EC170" s="123">
        <v>1</v>
      </c>
      <c r="ED170" s="123">
        <v>251.60000610351563</v>
      </c>
      <c r="EE170" s="129"/>
      <c r="EF170" s="129"/>
      <c r="EG170" s="129"/>
    </row>
    <row r="171" spans="1:137" x14ac:dyDescent="0.3">
      <c r="A171" s="226">
        <f t="shared" si="9"/>
        <v>46020.1159722226</v>
      </c>
      <c r="B171" s="123">
        <v>225</v>
      </c>
      <c r="C171" s="123">
        <v>49.196998596191406</v>
      </c>
      <c r="D171" s="123">
        <v>101.78700256347656</v>
      </c>
      <c r="E171" s="123">
        <v>12.553000450134277</v>
      </c>
      <c r="F171" s="123">
        <v>0</v>
      </c>
      <c r="G171" s="124">
        <v>17.642999649047852</v>
      </c>
      <c r="H171" s="125">
        <v>303</v>
      </c>
      <c r="I171" s="123">
        <v>271</v>
      </c>
      <c r="J171" s="123">
        <v>64.464996337890625</v>
      </c>
      <c r="K171" s="123">
        <v>60.908073425292969</v>
      </c>
      <c r="L171" s="123">
        <v>42.941001892089844</v>
      </c>
      <c r="M171" s="123">
        <v>12.10099983215332</v>
      </c>
      <c r="N171" s="123">
        <v>17.367000579833984</v>
      </c>
      <c r="O171" s="123">
        <v>17</v>
      </c>
      <c r="P171" s="123">
        <v>0</v>
      </c>
      <c r="Q171" s="123">
        <v>17.05213737487793</v>
      </c>
      <c r="R171" s="123">
        <v>9</v>
      </c>
      <c r="S171" s="123">
        <v>9.5163373947143555</v>
      </c>
      <c r="T171" s="123">
        <v>7</v>
      </c>
      <c r="U171" s="123">
        <v>7</v>
      </c>
      <c r="V171" s="125">
        <v>969</v>
      </c>
      <c r="W171" s="123">
        <v>26.727115631103516</v>
      </c>
      <c r="X171" s="123">
        <v>25.89900016784668</v>
      </c>
      <c r="Y171" s="123">
        <v>7.060999870300293</v>
      </c>
      <c r="Z171" s="123">
        <v>0</v>
      </c>
      <c r="AA171" s="123">
        <v>22.280000686645508</v>
      </c>
      <c r="AB171" s="123">
        <v>0</v>
      </c>
      <c r="AC171" s="123">
        <v>54.954784393310547</v>
      </c>
      <c r="AD171" s="123">
        <v>6.3610000610351563</v>
      </c>
      <c r="AE171" s="123">
        <v>0</v>
      </c>
      <c r="AF171" s="123">
        <v>81.929069519042969</v>
      </c>
      <c r="AG171" s="123">
        <v>0</v>
      </c>
      <c r="AH171" s="123">
        <v>60.910636901855469</v>
      </c>
      <c r="AI171" s="123">
        <v>11.196000099182129</v>
      </c>
      <c r="AJ171" s="123">
        <v>17.633577346801758</v>
      </c>
      <c r="AK171" s="123">
        <v>45.127914428710938</v>
      </c>
      <c r="AL171" s="123">
        <v>39.229999542236328</v>
      </c>
      <c r="AM171" s="126">
        <v>54.391998291015625</v>
      </c>
      <c r="AN171" s="125">
        <v>119.75</v>
      </c>
      <c r="AO171" s="127">
        <v>62</v>
      </c>
      <c r="AP171" s="123">
        <v>63.385387420654297</v>
      </c>
      <c r="AQ171" s="123">
        <v>37.970596313476563</v>
      </c>
      <c r="AR171" s="123">
        <v>87</v>
      </c>
      <c r="AS171" s="123"/>
      <c r="AT171" s="123">
        <v>118</v>
      </c>
      <c r="AU171" s="123"/>
      <c r="AV171" s="123">
        <v>73</v>
      </c>
      <c r="AW171" s="123"/>
      <c r="AX171" s="123">
        <v>31</v>
      </c>
      <c r="AY171" s="123">
        <v>33.986495971679688</v>
      </c>
      <c r="AZ171" s="123">
        <v>15</v>
      </c>
      <c r="BA171" s="123"/>
      <c r="BB171" s="123">
        <v>296</v>
      </c>
      <c r="BC171" s="123">
        <v>298.33575439453125</v>
      </c>
      <c r="BD171" s="123">
        <v>6.8000001907348633</v>
      </c>
      <c r="BE171" s="123">
        <v>6.8982448577880859</v>
      </c>
      <c r="BF171" s="123">
        <v>30</v>
      </c>
      <c r="BG171" s="123">
        <v>10</v>
      </c>
      <c r="BH171" s="123">
        <v>11.226216316223145</v>
      </c>
      <c r="BI171" s="123"/>
      <c r="BJ171" s="108">
        <f t="shared" si="7"/>
        <v>14</v>
      </c>
      <c r="BK171" s="123">
        <v>14</v>
      </c>
      <c r="BL171" s="123">
        <v>0</v>
      </c>
      <c r="BM171" s="126"/>
      <c r="BN171" s="108">
        <f t="shared" si="8"/>
        <v>120</v>
      </c>
      <c r="BO171" s="108">
        <v>72</v>
      </c>
      <c r="BP171" s="108">
        <v>48</v>
      </c>
      <c r="BQ171" s="108">
        <v>270</v>
      </c>
      <c r="BR171" s="123">
        <v>66.38800048828125</v>
      </c>
      <c r="BS171" s="123">
        <v>23.920000076293945</v>
      </c>
      <c r="BT171" s="123">
        <v>40.523998260498047</v>
      </c>
      <c r="BU171" s="123">
        <v>43.450000762939453</v>
      </c>
      <c r="BV171" s="123">
        <v>70.099998474121094</v>
      </c>
      <c r="BW171" s="123">
        <v>6</v>
      </c>
      <c r="BX171" s="123">
        <v>13.5</v>
      </c>
      <c r="BY171" s="123">
        <v>29</v>
      </c>
      <c r="BZ171" s="123">
        <v>1.7574844881892204E-2</v>
      </c>
      <c r="CA171" s="123">
        <v>1</v>
      </c>
      <c r="CB171" s="123">
        <v>29.376920700073242</v>
      </c>
      <c r="CC171" s="126"/>
      <c r="CD171" s="123">
        <v>350.6595458984375</v>
      </c>
      <c r="CE171" s="123">
        <v>35.835903167724609</v>
      </c>
      <c r="CF171" s="123">
        <v>21.330253601074219</v>
      </c>
      <c r="CG171" s="123">
        <v>35.338191986083984</v>
      </c>
      <c r="CH171" s="123">
        <v>281.25750732421875</v>
      </c>
      <c r="CI171" s="123">
        <v>81.590827941894531</v>
      </c>
      <c r="CJ171" s="123">
        <v>35.561149597167969</v>
      </c>
      <c r="CK171" s="123">
        <v>50.231082916259766</v>
      </c>
      <c r="CL171" s="124">
        <v>30.821613311767578</v>
      </c>
      <c r="CM171" s="125">
        <v>199.92973327636719</v>
      </c>
      <c r="CN171" s="123">
        <v>61.597553253173828</v>
      </c>
      <c r="CO171" s="123">
        <v>66.387107849121094</v>
      </c>
      <c r="CP171" s="123">
        <v>69.621826171875</v>
      </c>
      <c r="CQ171" s="123">
        <v>0</v>
      </c>
      <c r="CR171" s="123">
        <v>49.631694793701172</v>
      </c>
      <c r="CS171" s="123">
        <v>9.8562717437744141</v>
      </c>
      <c r="CT171" s="123">
        <v>32.803569793701172</v>
      </c>
      <c r="CU171" s="123">
        <v>58.413864135742188</v>
      </c>
      <c r="CV171" s="124">
        <v>62.234096527099609</v>
      </c>
      <c r="CW171" s="125">
        <v>4</v>
      </c>
      <c r="CX171" s="123">
        <v>314</v>
      </c>
      <c r="CY171" s="123">
        <v>116.44498443603516</v>
      </c>
      <c r="CZ171" s="123">
        <v>49.166400909423828</v>
      </c>
      <c r="DA171" s="123">
        <v>19.606161117553711</v>
      </c>
      <c r="DB171" s="123">
        <v>32.232349395751953</v>
      </c>
      <c r="DC171" s="123">
        <v>79.990509033203125</v>
      </c>
      <c r="DD171" s="123">
        <v>58</v>
      </c>
      <c r="DE171" s="123">
        <v>181</v>
      </c>
      <c r="DF171" s="123">
        <v>105.24300384521484</v>
      </c>
      <c r="DG171" s="123">
        <v>67.721656799316406</v>
      </c>
      <c r="DH171" s="123">
        <v>48.281570434570313</v>
      </c>
      <c r="DI171" s="128">
        <v>38.620552062988281</v>
      </c>
      <c r="DJ171" s="127">
        <v>204</v>
      </c>
      <c r="DK171" s="123">
        <v>106.87599945068359</v>
      </c>
      <c r="DL171" s="123">
        <v>24.655000686645508</v>
      </c>
      <c r="DM171" s="123">
        <v>29.156999588012695</v>
      </c>
      <c r="DN171" s="123">
        <v>48.066001892089844</v>
      </c>
      <c r="DO171" s="124">
        <v>111.66535949707031</v>
      </c>
      <c r="DP171" s="125">
        <v>15.692000389099121</v>
      </c>
      <c r="DQ171" s="123"/>
      <c r="DR171" s="125">
        <v>67</v>
      </c>
      <c r="DS171" s="128">
        <v>31.799999237060547</v>
      </c>
      <c r="DT171" s="127">
        <v>12</v>
      </c>
      <c r="DU171" s="123"/>
      <c r="DV171" s="123">
        <v>8</v>
      </c>
      <c r="DW171" s="123">
        <v>1.3806339502334595</v>
      </c>
      <c r="DX171" s="125">
        <v>10</v>
      </c>
      <c r="DY171" s="128"/>
      <c r="DZ171" s="127">
        <v>45</v>
      </c>
      <c r="EA171" s="123">
        <v>3</v>
      </c>
      <c r="EB171" s="123">
        <v>0</v>
      </c>
      <c r="EC171" s="123">
        <v>1</v>
      </c>
      <c r="ED171" s="123">
        <v>248.80000305175781</v>
      </c>
      <c r="EE171" s="129"/>
      <c r="EF171" s="129"/>
      <c r="EG171" s="129"/>
    </row>
    <row r="172" spans="1:137" x14ac:dyDescent="0.3">
      <c r="A172" s="226">
        <f t="shared" si="9"/>
        <v>46020.116666667047</v>
      </c>
      <c r="B172" s="123">
        <v>227</v>
      </c>
      <c r="C172" s="123">
        <v>51.798000335693359</v>
      </c>
      <c r="D172" s="123">
        <v>100.54299926757813</v>
      </c>
      <c r="E172" s="123">
        <v>16.85099983215332</v>
      </c>
      <c r="F172" s="123">
        <v>6.366025447845459</v>
      </c>
      <c r="G172" s="124">
        <v>16.85099983215332</v>
      </c>
      <c r="H172" s="125">
        <v>305</v>
      </c>
      <c r="I172" s="123">
        <v>273</v>
      </c>
      <c r="J172" s="123">
        <v>64.238998413085938</v>
      </c>
      <c r="K172" s="123">
        <v>60.3787841796875</v>
      </c>
      <c r="L172" s="123">
        <v>45.237998962402344</v>
      </c>
      <c r="M172" s="123">
        <v>11.98799991607666</v>
      </c>
      <c r="N172" s="123">
        <v>18.066999435424805</v>
      </c>
      <c r="O172" s="123">
        <v>16</v>
      </c>
      <c r="P172" s="123">
        <v>0</v>
      </c>
      <c r="Q172" s="123">
        <v>16.801435470581055</v>
      </c>
      <c r="R172" s="123">
        <v>10.003125190734863</v>
      </c>
      <c r="S172" s="123">
        <v>9.6136922836303711</v>
      </c>
      <c r="T172" s="123">
        <v>9</v>
      </c>
      <c r="U172" s="123">
        <v>9</v>
      </c>
      <c r="V172" s="125">
        <v>964</v>
      </c>
      <c r="W172" s="123">
        <v>27.402824401855469</v>
      </c>
      <c r="X172" s="123">
        <v>25.89900016784668</v>
      </c>
      <c r="Y172" s="123">
        <v>6.6160001754760742</v>
      </c>
      <c r="Z172" s="123">
        <v>0</v>
      </c>
      <c r="AA172" s="123">
        <v>21.714000701904297</v>
      </c>
      <c r="AB172" s="123">
        <v>0</v>
      </c>
      <c r="AC172" s="123">
        <v>54.783733367919922</v>
      </c>
      <c r="AD172" s="123">
        <v>6.3610000610351563</v>
      </c>
      <c r="AE172" s="123">
        <v>0</v>
      </c>
      <c r="AF172" s="123">
        <v>82.520347595214844</v>
      </c>
      <c r="AG172" s="123">
        <v>0</v>
      </c>
      <c r="AH172" s="123">
        <v>62.070671081542969</v>
      </c>
      <c r="AI172" s="123">
        <v>12.850000381469727</v>
      </c>
      <c r="AJ172" s="123">
        <v>19.102045059204102</v>
      </c>
      <c r="AK172" s="123">
        <v>44.533500671386719</v>
      </c>
      <c r="AL172" s="123">
        <v>37.993000030517578</v>
      </c>
      <c r="AM172" s="126">
        <v>54.074001312255859</v>
      </c>
      <c r="AN172" s="125">
        <v>120.6875</v>
      </c>
      <c r="AO172" s="127">
        <v>62</v>
      </c>
      <c r="AP172" s="123">
        <v>62.799106597900391</v>
      </c>
      <c r="AQ172" s="123">
        <v>37.970596313476563</v>
      </c>
      <c r="AR172" s="123">
        <v>88</v>
      </c>
      <c r="AS172" s="123"/>
      <c r="AT172" s="123">
        <v>117</v>
      </c>
      <c r="AU172" s="123"/>
      <c r="AV172" s="123">
        <v>73</v>
      </c>
      <c r="AW172" s="123"/>
      <c r="AX172" s="123">
        <v>32</v>
      </c>
      <c r="AY172" s="123">
        <v>34.090194702148438</v>
      </c>
      <c r="AZ172" s="123">
        <v>15</v>
      </c>
      <c r="BA172" s="123"/>
      <c r="BB172" s="123">
        <v>296</v>
      </c>
      <c r="BC172" s="123">
        <v>297.256103515625</v>
      </c>
      <c r="BD172" s="123">
        <v>6.8000001907348633</v>
      </c>
      <c r="BE172" s="123">
        <v>6.839663028717041</v>
      </c>
      <c r="BF172" s="123">
        <v>31</v>
      </c>
      <c r="BG172" s="123">
        <v>11</v>
      </c>
      <c r="BH172" s="123">
        <v>11.226216316223145</v>
      </c>
      <c r="BI172" s="123"/>
      <c r="BJ172" s="108">
        <f t="shared" si="7"/>
        <v>14</v>
      </c>
      <c r="BK172" s="123">
        <v>14</v>
      </c>
      <c r="BL172" s="123">
        <v>0</v>
      </c>
      <c r="BM172" s="126"/>
      <c r="BN172" s="108">
        <f t="shared" si="8"/>
        <v>122.20000076293945</v>
      </c>
      <c r="BO172" s="108">
        <v>73</v>
      </c>
      <c r="BP172" s="108">
        <v>49.200000762939453</v>
      </c>
      <c r="BQ172" s="108">
        <v>270</v>
      </c>
      <c r="BR172" s="123">
        <v>67.291999816894531</v>
      </c>
      <c r="BS172" s="123">
        <v>25.445999145507813</v>
      </c>
      <c r="BT172" s="123">
        <v>40.869998931884766</v>
      </c>
      <c r="BU172" s="123">
        <v>42.178001403808594</v>
      </c>
      <c r="BV172" s="123">
        <v>69.199996948242188</v>
      </c>
      <c r="BW172" s="123">
        <v>6</v>
      </c>
      <c r="BX172" s="123">
        <v>13.699999809265137</v>
      </c>
      <c r="BY172" s="123">
        <v>29</v>
      </c>
      <c r="BZ172" s="123">
        <v>1.4876603148877621E-2</v>
      </c>
      <c r="CA172" s="123">
        <v>1</v>
      </c>
      <c r="CB172" s="123">
        <v>29.376920700073242</v>
      </c>
      <c r="CC172" s="126"/>
      <c r="CD172" s="123">
        <v>355.91262817382813</v>
      </c>
      <c r="CE172" s="123">
        <v>35.167533874511719</v>
      </c>
      <c r="CF172" s="123">
        <v>21.313343048095703</v>
      </c>
      <c r="CG172" s="123">
        <v>35.338191986083984</v>
      </c>
      <c r="CH172" s="123">
        <v>280.94595336914063</v>
      </c>
      <c r="CI172" s="123">
        <v>80.865379333496094</v>
      </c>
      <c r="CJ172" s="123">
        <v>35.52618408203125</v>
      </c>
      <c r="CK172" s="123">
        <v>49.617454528808594</v>
      </c>
      <c r="CL172" s="124">
        <v>29.990268707275391</v>
      </c>
      <c r="CM172" s="125">
        <v>200.64082336425781</v>
      </c>
      <c r="CN172" s="123">
        <v>57.564247131347656</v>
      </c>
      <c r="CO172" s="123">
        <v>65.214973449707031</v>
      </c>
      <c r="CP172" s="123">
        <v>69.890716552734375</v>
      </c>
      <c r="CQ172" s="123">
        <v>0</v>
      </c>
      <c r="CR172" s="123">
        <v>49.849788665771484</v>
      </c>
      <c r="CS172" s="123">
        <v>8.6576242446899414</v>
      </c>
      <c r="CT172" s="123">
        <v>31.954929351806641</v>
      </c>
      <c r="CU172" s="123">
        <v>58.045631408691406</v>
      </c>
      <c r="CV172" s="124">
        <v>60.965839385986328</v>
      </c>
      <c r="CW172" s="125">
        <v>4</v>
      </c>
      <c r="CX172" s="123">
        <v>314</v>
      </c>
      <c r="CY172" s="123">
        <v>115.30596160888672</v>
      </c>
      <c r="CZ172" s="123">
        <v>49.065719604492188</v>
      </c>
      <c r="DA172" s="123">
        <v>20.59327507019043</v>
      </c>
      <c r="DB172" s="123">
        <v>33.556133270263672</v>
      </c>
      <c r="DC172" s="123">
        <v>78.865440368652344</v>
      </c>
      <c r="DD172" s="123">
        <v>61</v>
      </c>
      <c r="DE172" s="123">
        <v>179</v>
      </c>
      <c r="DF172" s="123">
        <v>107.17484283447266</v>
      </c>
      <c r="DG172" s="123">
        <v>67.721656799316406</v>
      </c>
      <c r="DH172" s="123">
        <v>48.014293670654297</v>
      </c>
      <c r="DI172" s="128">
        <v>36.482692718505859</v>
      </c>
      <c r="DJ172" s="127">
        <v>209</v>
      </c>
      <c r="DK172" s="123">
        <v>106.87599945068359</v>
      </c>
      <c r="DL172" s="123">
        <v>23.410999298095703</v>
      </c>
      <c r="DM172" s="123">
        <v>28.62700080871582</v>
      </c>
      <c r="DN172" s="123">
        <v>48.949001312255859</v>
      </c>
      <c r="DO172" s="124">
        <v>111.41570281982422</v>
      </c>
      <c r="DP172" s="125">
        <v>15.23900032043457</v>
      </c>
      <c r="DQ172" s="123"/>
      <c r="DR172" s="125">
        <v>67</v>
      </c>
      <c r="DS172" s="128">
        <v>30.5</v>
      </c>
      <c r="DT172" s="127">
        <v>12</v>
      </c>
      <c r="DU172" s="123"/>
      <c r="DV172" s="123">
        <v>8</v>
      </c>
      <c r="DW172" s="123">
        <v>1.3806339502334595</v>
      </c>
      <c r="DX172" s="125">
        <v>11</v>
      </c>
      <c r="DY172" s="128"/>
      <c r="DZ172" s="127">
        <v>45</v>
      </c>
      <c r="EA172" s="123">
        <v>3</v>
      </c>
      <c r="EB172" s="123">
        <v>0</v>
      </c>
      <c r="EC172" s="123">
        <v>2</v>
      </c>
      <c r="ED172" s="123">
        <v>247</v>
      </c>
      <c r="EE172" s="129"/>
      <c r="EF172" s="129"/>
      <c r="EG172" s="129"/>
    </row>
    <row r="173" spans="1:137" x14ac:dyDescent="0.3">
      <c r="A173" s="226">
        <f t="shared" si="9"/>
        <v>46020.117361111494</v>
      </c>
      <c r="B173" s="123">
        <v>236</v>
      </c>
      <c r="C173" s="123">
        <v>53.381000518798828</v>
      </c>
      <c r="D173" s="123">
        <v>102.12599945068359</v>
      </c>
      <c r="E173" s="123">
        <v>15.041000366210938</v>
      </c>
      <c r="F173" s="123">
        <v>5.995389461517334</v>
      </c>
      <c r="G173" s="124">
        <v>16.85099983215332</v>
      </c>
      <c r="H173" s="125">
        <v>305</v>
      </c>
      <c r="I173" s="123">
        <v>268</v>
      </c>
      <c r="J173" s="123">
        <v>64.01300048828125</v>
      </c>
      <c r="K173" s="123">
        <v>60.215133666992188</v>
      </c>
      <c r="L173" s="123">
        <v>42.234001159667969</v>
      </c>
      <c r="M173" s="123">
        <v>11.98799991607666</v>
      </c>
      <c r="N173" s="123">
        <v>17.940000534057617</v>
      </c>
      <c r="O173" s="123">
        <v>17</v>
      </c>
      <c r="P173" s="123">
        <v>0</v>
      </c>
      <c r="Q173" s="123">
        <v>17.365671157836914</v>
      </c>
      <c r="R173" s="123">
        <v>10.003125190734863</v>
      </c>
      <c r="S173" s="123">
        <v>8.1286220550537109</v>
      </c>
      <c r="T173" s="123">
        <v>9</v>
      </c>
      <c r="U173" s="123">
        <v>9</v>
      </c>
      <c r="V173" s="125">
        <v>893</v>
      </c>
      <c r="W173" s="123">
        <v>29.059581756591797</v>
      </c>
      <c r="X173" s="123">
        <v>26.464000701904297</v>
      </c>
      <c r="Y173" s="123">
        <v>6.9970002174377441</v>
      </c>
      <c r="Z173" s="123">
        <v>0</v>
      </c>
      <c r="AA173" s="123">
        <v>20.695999145507813</v>
      </c>
      <c r="AB173" s="123">
        <v>0</v>
      </c>
      <c r="AC173" s="123">
        <v>55.714828491210938</v>
      </c>
      <c r="AD173" s="123">
        <v>6.3610000610351563</v>
      </c>
      <c r="AE173" s="123">
        <v>0</v>
      </c>
      <c r="AF173" s="123">
        <v>82.004867553710938</v>
      </c>
      <c r="AG173" s="123">
        <v>0</v>
      </c>
      <c r="AH173" s="123">
        <v>63.893585205078125</v>
      </c>
      <c r="AI173" s="123">
        <v>12.531999588012695</v>
      </c>
      <c r="AJ173" s="123">
        <v>20.815834045410156</v>
      </c>
      <c r="AK173" s="123">
        <v>44.365188598632813</v>
      </c>
      <c r="AL173" s="123">
        <v>37.816001892089844</v>
      </c>
      <c r="AM173" s="126">
        <v>51.784000396728516</v>
      </c>
      <c r="AN173" s="125">
        <v>118.375</v>
      </c>
      <c r="AO173" s="127">
        <v>61</v>
      </c>
      <c r="AP173" s="123">
        <v>62.356334686279297</v>
      </c>
      <c r="AQ173" s="123">
        <v>37.670497894287109</v>
      </c>
      <c r="AR173" s="123">
        <v>88</v>
      </c>
      <c r="AS173" s="123"/>
      <c r="AT173" s="123">
        <v>117</v>
      </c>
      <c r="AU173" s="123"/>
      <c r="AV173" s="123">
        <v>73</v>
      </c>
      <c r="AW173" s="123"/>
      <c r="AX173" s="123">
        <v>31</v>
      </c>
      <c r="AY173" s="123">
        <v>32.745647430419922</v>
      </c>
      <c r="AZ173" s="123">
        <v>15</v>
      </c>
      <c r="BA173" s="123"/>
      <c r="BB173" s="123">
        <v>296</v>
      </c>
      <c r="BC173" s="123">
        <v>298.72299194335938</v>
      </c>
      <c r="BD173" s="123">
        <v>6.8000001907348633</v>
      </c>
      <c r="BE173" s="123">
        <v>6.8374433517456055</v>
      </c>
      <c r="BF173" s="123">
        <v>31</v>
      </c>
      <c r="BG173" s="123">
        <v>11</v>
      </c>
      <c r="BH173" s="123">
        <v>11.290801048278809</v>
      </c>
      <c r="BI173" s="123"/>
      <c r="BJ173" s="108">
        <f t="shared" si="7"/>
        <v>14</v>
      </c>
      <c r="BK173" s="123">
        <v>14</v>
      </c>
      <c r="BL173" s="123">
        <v>0</v>
      </c>
      <c r="BM173" s="126"/>
      <c r="BN173" s="108">
        <f t="shared" si="8"/>
        <v>121.29999923706055</v>
      </c>
      <c r="BO173" s="108">
        <v>73</v>
      </c>
      <c r="BP173" s="108">
        <v>48.299999237060547</v>
      </c>
      <c r="BQ173" s="108">
        <v>274</v>
      </c>
      <c r="BR173" s="123">
        <v>69.666999816894531</v>
      </c>
      <c r="BS173" s="123">
        <v>23.920000076293945</v>
      </c>
      <c r="BT173" s="123">
        <v>40.869998931884766</v>
      </c>
      <c r="BU173" s="123">
        <v>36.707000732421875</v>
      </c>
      <c r="BV173" s="123">
        <v>69.300003051757813</v>
      </c>
      <c r="BW173" s="123">
        <v>5.9000000953674316</v>
      </c>
      <c r="BX173" s="123">
        <v>14</v>
      </c>
      <c r="BY173" s="123">
        <v>28</v>
      </c>
      <c r="BZ173" s="123">
        <v>1.5986911952495575E-2</v>
      </c>
      <c r="CA173" s="123">
        <v>1</v>
      </c>
      <c r="CB173" s="123">
        <v>29.092899322509766</v>
      </c>
      <c r="CC173" s="126"/>
      <c r="CD173" s="123">
        <v>345.66888427734375</v>
      </c>
      <c r="CE173" s="123">
        <v>34.608127593994141</v>
      </c>
      <c r="CF173" s="123">
        <v>20.659194946289063</v>
      </c>
      <c r="CG173" s="123">
        <v>35.338191986083984</v>
      </c>
      <c r="CH173" s="123">
        <v>280.79769897460938</v>
      </c>
      <c r="CI173" s="123">
        <v>79.059722900390625</v>
      </c>
      <c r="CJ173" s="123">
        <v>31.094942092895508</v>
      </c>
      <c r="CK173" s="123">
        <v>49.802574157714844</v>
      </c>
      <c r="CL173" s="124">
        <v>30.090974807739258</v>
      </c>
      <c r="CM173" s="125">
        <v>207.43505859375</v>
      </c>
      <c r="CN173" s="123">
        <v>57.564247131347656</v>
      </c>
      <c r="CO173" s="123">
        <v>67.124832153320313</v>
      </c>
      <c r="CP173" s="123">
        <v>86.682197570800781</v>
      </c>
      <c r="CQ173" s="123">
        <v>0</v>
      </c>
      <c r="CR173" s="123">
        <v>49.438102722167969</v>
      </c>
      <c r="CS173" s="123">
        <v>9.0252828598022461</v>
      </c>
      <c r="CT173" s="123">
        <v>32.952243804931641</v>
      </c>
      <c r="CU173" s="123">
        <v>56.690948486328125</v>
      </c>
      <c r="CV173" s="124">
        <v>60.965839385986328</v>
      </c>
      <c r="CW173" s="125">
        <v>2</v>
      </c>
      <c r="CX173" s="123">
        <v>314</v>
      </c>
      <c r="CY173" s="123">
        <v>116.43678283691406</v>
      </c>
      <c r="CZ173" s="123">
        <v>51.501934051513672</v>
      </c>
      <c r="DA173" s="123">
        <v>20.255990982055664</v>
      </c>
      <c r="DB173" s="123">
        <v>32.705741882324219</v>
      </c>
      <c r="DC173" s="123">
        <v>79.622749328613281</v>
      </c>
      <c r="DD173" s="123">
        <v>62</v>
      </c>
      <c r="DE173" s="123">
        <v>178</v>
      </c>
      <c r="DF173" s="123">
        <v>105.74922180175781</v>
      </c>
      <c r="DG173" s="123">
        <v>70.704421997070313</v>
      </c>
      <c r="DH173" s="123">
        <v>49.809032440185547</v>
      </c>
      <c r="DI173" s="128">
        <v>37.599643707275391</v>
      </c>
      <c r="DJ173" s="127">
        <v>207</v>
      </c>
      <c r="DK173" s="123">
        <v>104.33200073242188</v>
      </c>
      <c r="DL173" s="123">
        <v>23.410999298095703</v>
      </c>
      <c r="DM173" s="123">
        <v>25.445999145507813</v>
      </c>
      <c r="DN173" s="123">
        <v>49.125999450683594</v>
      </c>
      <c r="DO173" s="124">
        <v>112.44473266601563</v>
      </c>
      <c r="DP173" s="125">
        <v>15.409000396728516</v>
      </c>
      <c r="DQ173" s="123"/>
      <c r="DR173" s="125">
        <v>67</v>
      </c>
      <c r="DS173" s="128">
        <v>31.100000381469727</v>
      </c>
      <c r="DT173" s="127">
        <v>12</v>
      </c>
      <c r="DU173" s="123"/>
      <c r="DV173" s="123">
        <v>8</v>
      </c>
      <c r="DW173" s="123">
        <v>1.3817147016525269</v>
      </c>
      <c r="DX173" s="125">
        <v>9</v>
      </c>
      <c r="DY173" s="128"/>
      <c r="DZ173" s="127">
        <v>45</v>
      </c>
      <c r="EA173" s="123">
        <v>3</v>
      </c>
      <c r="EB173" s="123">
        <v>0</v>
      </c>
      <c r="EC173" s="123">
        <v>2</v>
      </c>
      <c r="ED173" s="123">
        <v>253.39999389648438</v>
      </c>
      <c r="EE173" s="129"/>
      <c r="EF173" s="129"/>
      <c r="EG173" s="129"/>
    </row>
    <row r="174" spans="1:137" x14ac:dyDescent="0.3">
      <c r="A174" s="226">
        <f t="shared" si="9"/>
        <v>46020.11805555594</v>
      </c>
      <c r="B174" s="123">
        <v>239</v>
      </c>
      <c r="C174" s="123">
        <v>51.458999633789063</v>
      </c>
      <c r="D174" s="123">
        <v>102.46600341796875</v>
      </c>
      <c r="E174" s="123">
        <v>14.13700008392334</v>
      </c>
      <c r="F174" s="123">
        <v>3.0477559566497803</v>
      </c>
      <c r="G174" s="124">
        <v>16.964000701904297</v>
      </c>
      <c r="H174" s="125">
        <v>305</v>
      </c>
      <c r="I174" s="123">
        <v>273</v>
      </c>
      <c r="J174" s="123">
        <v>64.01300048828125</v>
      </c>
      <c r="K174" s="123">
        <v>61.438541412353516</v>
      </c>
      <c r="L174" s="123">
        <v>42.410999298095703</v>
      </c>
      <c r="M174" s="123">
        <v>13.119000434875488</v>
      </c>
      <c r="N174" s="123">
        <v>17.684999465942383</v>
      </c>
      <c r="O174" s="123">
        <v>16</v>
      </c>
      <c r="P174" s="123">
        <v>0</v>
      </c>
      <c r="Q174" s="123">
        <v>17.802982330322266</v>
      </c>
      <c r="R174" s="123">
        <v>7.0031251907348633</v>
      </c>
      <c r="S174" s="123">
        <v>8.8543510437011719</v>
      </c>
      <c r="T174" s="123">
        <v>9</v>
      </c>
      <c r="U174" s="123">
        <v>9</v>
      </c>
      <c r="V174" s="125">
        <v>893</v>
      </c>
      <c r="W174" s="123">
        <v>27.999990463256836</v>
      </c>
      <c r="X174" s="123">
        <v>26.690000534057617</v>
      </c>
      <c r="Y174" s="123">
        <v>6.7430000305175781</v>
      </c>
      <c r="Z174" s="123">
        <v>0</v>
      </c>
      <c r="AA174" s="123">
        <v>21.261999130249023</v>
      </c>
      <c r="AB174" s="123">
        <v>0</v>
      </c>
      <c r="AC174" s="123">
        <v>55.567108154296875</v>
      </c>
      <c r="AD174" s="123">
        <v>6.3610000610351563</v>
      </c>
      <c r="AE174" s="123">
        <v>0</v>
      </c>
      <c r="AF174" s="123">
        <v>81.740837097167969</v>
      </c>
      <c r="AG174" s="123">
        <v>0</v>
      </c>
      <c r="AH174" s="123">
        <v>60.506645202636719</v>
      </c>
      <c r="AI174" s="123">
        <v>10.62399959564209</v>
      </c>
      <c r="AJ174" s="123">
        <v>19.771600723266602</v>
      </c>
      <c r="AK174" s="123">
        <v>44.786235809326172</v>
      </c>
      <c r="AL174" s="123">
        <v>37.463001251220703</v>
      </c>
      <c r="AM174" s="126">
        <v>54.773998260498047</v>
      </c>
      <c r="AN174" s="125">
        <v>116.8125</v>
      </c>
      <c r="AO174" s="127">
        <v>61</v>
      </c>
      <c r="AP174" s="123">
        <v>62.876197814941406</v>
      </c>
      <c r="AQ174" s="123">
        <v>36.124076843261719</v>
      </c>
      <c r="AR174" s="123">
        <v>88</v>
      </c>
      <c r="AS174" s="123"/>
      <c r="AT174" s="123">
        <v>117</v>
      </c>
      <c r="AU174" s="123"/>
      <c r="AV174" s="123">
        <v>73</v>
      </c>
      <c r="AW174" s="123"/>
      <c r="AX174" s="123">
        <v>32</v>
      </c>
      <c r="AY174" s="123">
        <v>33.341644287109375</v>
      </c>
      <c r="AZ174" s="123">
        <v>14</v>
      </c>
      <c r="BA174" s="123"/>
      <c r="BB174" s="123">
        <v>296</v>
      </c>
      <c r="BC174" s="123">
        <v>295.7042236328125</v>
      </c>
      <c r="BD174" s="123">
        <v>6.6999998092651367</v>
      </c>
      <c r="BE174" s="123">
        <v>6.7887444496154785</v>
      </c>
      <c r="BF174" s="123">
        <v>30</v>
      </c>
      <c r="BG174" s="123">
        <v>11</v>
      </c>
      <c r="BH174" s="123">
        <v>11.335859298706055</v>
      </c>
      <c r="BI174" s="123"/>
      <c r="BJ174" s="108">
        <f t="shared" si="7"/>
        <v>13</v>
      </c>
      <c r="BK174" s="123">
        <v>13</v>
      </c>
      <c r="BL174" s="123">
        <v>0</v>
      </c>
      <c r="BM174" s="126"/>
      <c r="BN174" s="108">
        <f t="shared" si="8"/>
        <v>121.29999923706055</v>
      </c>
      <c r="BO174" s="108">
        <v>73</v>
      </c>
      <c r="BP174" s="108">
        <v>48.299999237060547</v>
      </c>
      <c r="BQ174" s="108">
        <v>266</v>
      </c>
      <c r="BR174" s="123">
        <v>67.971000671386719</v>
      </c>
      <c r="BS174" s="123">
        <v>23.665000915527344</v>
      </c>
      <c r="BT174" s="123">
        <v>40.523998260498047</v>
      </c>
      <c r="BU174" s="123">
        <v>36.897998809814453</v>
      </c>
      <c r="BV174" s="123">
        <v>69.400001525878906</v>
      </c>
      <c r="BW174" s="123">
        <v>6</v>
      </c>
      <c r="BX174" s="123">
        <v>14.100000381469727</v>
      </c>
      <c r="BY174" s="123">
        <v>27</v>
      </c>
      <c r="BZ174" s="123">
        <v>1.4198276214301586E-2</v>
      </c>
      <c r="CA174" s="123">
        <v>0</v>
      </c>
      <c r="CB174" s="123">
        <v>29.092899322509766</v>
      </c>
      <c r="CC174" s="126"/>
      <c r="CD174" s="123">
        <v>350.63211059570313</v>
      </c>
      <c r="CE174" s="123">
        <v>34.523014068603516</v>
      </c>
      <c r="CF174" s="123">
        <v>20.604717254638672</v>
      </c>
      <c r="CG174" s="123">
        <v>35.338191986083984</v>
      </c>
      <c r="CH174" s="123">
        <v>280.18630981445313</v>
      </c>
      <c r="CI174" s="123">
        <v>79.947158813476563</v>
      </c>
      <c r="CJ174" s="123">
        <v>33.801013946533203</v>
      </c>
      <c r="CK174" s="123">
        <v>50.284580230712891</v>
      </c>
      <c r="CL174" s="124">
        <v>30.176668167114258</v>
      </c>
      <c r="CM174" s="125">
        <v>214.88072204589844</v>
      </c>
      <c r="CN174" s="123">
        <v>59.960575103759766</v>
      </c>
      <c r="CO174" s="123">
        <v>66.469123840332031</v>
      </c>
      <c r="CP174" s="123">
        <v>84.215713500976563</v>
      </c>
      <c r="CQ174" s="123">
        <v>0</v>
      </c>
      <c r="CR174" s="123">
        <v>50.804443359375</v>
      </c>
      <c r="CS174" s="123">
        <v>8.525914192199707</v>
      </c>
      <c r="CT174" s="123">
        <v>32.810443878173828</v>
      </c>
      <c r="CU174" s="123">
        <v>55.836921691894531</v>
      </c>
      <c r="CV174" s="124">
        <v>62.262344360351563</v>
      </c>
      <c r="CW174" s="125">
        <v>0</v>
      </c>
      <c r="CX174" s="123">
        <v>315</v>
      </c>
      <c r="CY174" s="123">
        <v>117.07253265380859</v>
      </c>
      <c r="CZ174" s="123">
        <v>52.953708648681641</v>
      </c>
      <c r="DA174" s="123">
        <v>20.597564697265625</v>
      </c>
      <c r="DB174" s="123">
        <v>33.281234741210938</v>
      </c>
      <c r="DC174" s="123">
        <v>79.994819641113281</v>
      </c>
      <c r="DD174" s="123">
        <v>63</v>
      </c>
      <c r="DE174" s="123">
        <v>180</v>
      </c>
      <c r="DF174" s="123">
        <v>108.28314971923828</v>
      </c>
      <c r="DG174" s="123">
        <v>71.05596923828125</v>
      </c>
      <c r="DH174" s="123">
        <v>49.287406921386719</v>
      </c>
      <c r="DI174" s="128">
        <v>37.599643707275391</v>
      </c>
      <c r="DJ174" s="127">
        <v>209</v>
      </c>
      <c r="DK174" s="123">
        <v>104.33200073242188</v>
      </c>
      <c r="DL174" s="123">
        <v>23.52400016784668</v>
      </c>
      <c r="DM174" s="123">
        <v>26.329999923706055</v>
      </c>
      <c r="DN174" s="123">
        <v>49.125999450683594</v>
      </c>
      <c r="DO174" s="124">
        <v>113.48448944091797</v>
      </c>
      <c r="DP174" s="125">
        <v>15.777000427246094</v>
      </c>
      <c r="DQ174" s="123"/>
      <c r="DR174" s="125">
        <v>67</v>
      </c>
      <c r="DS174" s="128">
        <v>30.799999237060547</v>
      </c>
      <c r="DT174" s="127">
        <v>12</v>
      </c>
      <c r="DU174" s="123"/>
      <c r="DV174" s="123">
        <v>9</v>
      </c>
      <c r="DW174" s="123">
        <v>1.4082678556442261</v>
      </c>
      <c r="DX174" s="125">
        <v>9</v>
      </c>
      <c r="DY174" s="128"/>
      <c r="DZ174" s="127">
        <v>45</v>
      </c>
      <c r="EA174" s="123">
        <v>3</v>
      </c>
      <c r="EB174" s="123">
        <v>0</v>
      </c>
      <c r="EC174" s="123">
        <v>1</v>
      </c>
      <c r="ED174" s="123">
        <v>255.10000610351563</v>
      </c>
      <c r="EE174" s="129"/>
      <c r="EF174" s="129"/>
      <c r="EG174" s="129"/>
    </row>
    <row r="175" spans="1:137" x14ac:dyDescent="0.3">
      <c r="A175" s="226">
        <f t="shared" si="9"/>
        <v>46020.118750000387</v>
      </c>
      <c r="B175" s="123">
        <v>234</v>
      </c>
      <c r="C175" s="123">
        <v>48.858001708984375</v>
      </c>
      <c r="D175" s="123">
        <v>102.12599945068359</v>
      </c>
      <c r="E175" s="123">
        <v>17.530000686645508</v>
      </c>
      <c r="F175" s="123">
        <v>8.2938995361328125</v>
      </c>
      <c r="G175" s="124">
        <v>16.85099983215332</v>
      </c>
      <c r="H175" s="125">
        <v>308</v>
      </c>
      <c r="I175" s="123">
        <v>276</v>
      </c>
      <c r="J175" s="123">
        <v>64.916999816894531</v>
      </c>
      <c r="K175" s="123">
        <v>61.243515014648438</v>
      </c>
      <c r="L175" s="123">
        <v>42.941001892089844</v>
      </c>
      <c r="M175" s="123">
        <v>12.10099983215332</v>
      </c>
      <c r="N175" s="123">
        <v>17.430999755859375</v>
      </c>
      <c r="O175" s="123">
        <v>16</v>
      </c>
      <c r="P175" s="123">
        <v>0</v>
      </c>
      <c r="Q175" s="123">
        <v>17.014986038208008</v>
      </c>
      <c r="R175" s="123">
        <v>7.0031251907348633</v>
      </c>
      <c r="S175" s="123">
        <v>7.0213932991027832</v>
      </c>
      <c r="T175" s="123">
        <v>9</v>
      </c>
      <c r="U175" s="123">
        <v>9</v>
      </c>
      <c r="V175" s="125">
        <v>883</v>
      </c>
      <c r="W175" s="123">
        <v>26.640750885009766</v>
      </c>
      <c r="X175" s="123">
        <v>26.238000869750977</v>
      </c>
      <c r="Y175" s="123">
        <v>6.2979998588562012</v>
      </c>
      <c r="Z175" s="123">
        <v>0</v>
      </c>
      <c r="AA175" s="123">
        <v>19.791999816894531</v>
      </c>
      <c r="AB175" s="123">
        <v>0</v>
      </c>
      <c r="AC175" s="123">
        <v>55.472671508789063</v>
      </c>
      <c r="AD175" s="123">
        <v>6.3610000610351563</v>
      </c>
      <c r="AE175" s="123">
        <v>0</v>
      </c>
      <c r="AF175" s="123">
        <v>80.859344482421875</v>
      </c>
      <c r="AG175" s="123">
        <v>0</v>
      </c>
      <c r="AH175" s="123">
        <v>60.363697052001953</v>
      </c>
      <c r="AI175" s="123">
        <v>10.814000129699707</v>
      </c>
      <c r="AJ175" s="123">
        <v>20.649673461914063</v>
      </c>
      <c r="AK175" s="123">
        <v>44.953372955322266</v>
      </c>
      <c r="AL175" s="123">
        <v>36.756000518798828</v>
      </c>
      <c r="AM175" s="126">
        <v>54.9010009765625</v>
      </c>
      <c r="AN175" s="125">
        <v>120.0625</v>
      </c>
      <c r="AO175" s="127">
        <v>62</v>
      </c>
      <c r="AP175" s="123">
        <v>63.000743865966797</v>
      </c>
      <c r="AQ175" s="123">
        <v>37.780990600585938</v>
      </c>
      <c r="AR175" s="123">
        <v>87</v>
      </c>
      <c r="AS175" s="123"/>
      <c r="AT175" s="123">
        <v>117</v>
      </c>
      <c r="AU175" s="123"/>
      <c r="AV175" s="123">
        <v>65</v>
      </c>
      <c r="AW175" s="123"/>
      <c r="AX175" s="123">
        <v>32</v>
      </c>
      <c r="AY175" s="123">
        <v>33.584430694580078</v>
      </c>
      <c r="AZ175" s="123">
        <v>13</v>
      </c>
      <c r="BA175" s="123"/>
      <c r="BB175" s="123">
        <v>297</v>
      </c>
      <c r="BC175" s="123">
        <v>295.7042236328125</v>
      </c>
      <c r="BD175" s="123">
        <v>6.8000001907348633</v>
      </c>
      <c r="BE175" s="123">
        <v>6.804039478302002</v>
      </c>
      <c r="BF175" s="123">
        <v>30</v>
      </c>
      <c r="BG175" s="123">
        <v>10</v>
      </c>
      <c r="BH175" s="123">
        <v>11.084091186523438</v>
      </c>
      <c r="BI175" s="123"/>
      <c r="BJ175" s="108">
        <f t="shared" si="7"/>
        <v>13</v>
      </c>
      <c r="BK175" s="123">
        <v>13</v>
      </c>
      <c r="BL175" s="123">
        <v>0</v>
      </c>
      <c r="BM175" s="126"/>
      <c r="BN175" s="108">
        <f t="shared" si="8"/>
        <v>121</v>
      </c>
      <c r="BO175" s="108">
        <v>72</v>
      </c>
      <c r="BP175" s="108">
        <v>49</v>
      </c>
      <c r="BQ175" s="108">
        <v>268</v>
      </c>
      <c r="BR175" s="123">
        <v>66.839996337890625</v>
      </c>
      <c r="BS175" s="123">
        <v>24.429000854492188</v>
      </c>
      <c r="BT175" s="123">
        <v>40.869998931884766</v>
      </c>
      <c r="BU175" s="123">
        <v>37.342998504638672</v>
      </c>
      <c r="BV175" s="123">
        <v>69.400001525878906</v>
      </c>
      <c r="BW175" s="123">
        <v>6.0999999046325684</v>
      </c>
      <c r="BX175" s="123">
        <v>14.199999809265137</v>
      </c>
      <c r="BY175" s="123">
        <v>29</v>
      </c>
      <c r="BZ175" s="123">
        <v>1.3701179996132851E-2</v>
      </c>
      <c r="CA175" s="123">
        <v>1</v>
      </c>
      <c r="CB175" s="123">
        <v>29.335628509521484</v>
      </c>
      <c r="CC175" s="126"/>
      <c r="CD175" s="123">
        <v>350.18759155273438</v>
      </c>
      <c r="CE175" s="123">
        <v>34.523014068603516</v>
      </c>
      <c r="CF175" s="123">
        <v>20.601551055908203</v>
      </c>
      <c r="CG175" s="123">
        <v>35.338191986083984</v>
      </c>
      <c r="CH175" s="123">
        <v>279.94796752929688</v>
      </c>
      <c r="CI175" s="123">
        <v>80.9881591796875</v>
      </c>
      <c r="CJ175" s="123">
        <v>32.636466979980469</v>
      </c>
      <c r="CK175" s="123">
        <v>50.449962615966797</v>
      </c>
      <c r="CL175" s="124">
        <v>29.298616409301758</v>
      </c>
      <c r="CM175" s="125">
        <v>213.50473022460938</v>
      </c>
      <c r="CN175" s="123">
        <v>60.49810791015625</v>
      </c>
      <c r="CO175" s="123">
        <v>66.460502624511719</v>
      </c>
      <c r="CP175" s="123">
        <v>83.6644287109375</v>
      </c>
      <c r="CQ175" s="123">
        <v>0</v>
      </c>
      <c r="CR175" s="123">
        <v>49.880634307861328</v>
      </c>
      <c r="CS175" s="123">
        <v>8.6161041259765625</v>
      </c>
      <c r="CT175" s="123">
        <v>33.755611419677734</v>
      </c>
      <c r="CU175" s="123">
        <v>56.028278350830078</v>
      </c>
      <c r="CV175" s="124">
        <v>61.736042022705078</v>
      </c>
      <c r="CW175" s="125">
        <v>6</v>
      </c>
      <c r="CX175" s="123">
        <v>314</v>
      </c>
      <c r="CY175" s="123">
        <v>118.11690521240234</v>
      </c>
      <c r="CZ175" s="123">
        <v>51.575084686279297</v>
      </c>
      <c r="DA175" s="123">
        <v>20.156589508056641</v>
      </c>
      <c r="DB175" s="123">
        <v>33.761188507080078</v>
      </c>
      <c r="DC175" s="123">
        <v>78.746574401855469</v>
      </c>
      <c r="DD175" s="123">
        <v>65</v>
      </c>
      <c r="DE175" s="123">
        <v>179</v>
      </c>
      <c r="DF175" s="123">
        <v>103.72869110107422</v>
      </c>
      <c r="DG175" s="123">
        <v>71.391380310058594</v>
      </c>
      <c r="DH175" s="123">
        <v>51.146961212158203</v>
      </c>
      <c r="DI175" s="128">
        <v>37.40240478515625</v>
      </c>
      <c r="DJ175" s="127">
        <v>209</v>
      </c>
      <c r="DK175" s="123">
        <v>108.65799713134766</v>
      </c>
      <c r="DL175" s="123">
        <v>25.673000335693359</v>
      </c>
      <c r="DM175" s="123">
        <v>26.683000564575195</v>
      </c>
      <c r="DN175" s="123">
        <v>51.599998474121094</v>
      </c>
      <c r="DO175" s="124">
        <v>111.33229827880859</v>
      </c>
      <c r="DP175" s="125">
        <v>15.465999603271484</v>
      </c>
      <c r="DQ175" s="123"/>
      <c r="DR175" s="125">
        <v>67</v>
      </c>
      <c r="DS175" s="128">
        <v>30.799999237060547</v>
      </c>
      <c r="DT175" s="127">
        <v>12</v>
      </c>
      <c r="DU175" s="123"/>
      <c r="DV175" s="123">
        <v>7</v>
      </c>
      <c r="DW175" s="123">
        <v>1.4151040315628052</v>
      </c>
      <c r="DX175" s="125">
        <v>10</v>
      </c>
      <c r="DY175" s="128"/>
      <c r="DZ175" s="127">
        <v>44</v>
      </c>
      <c r="EA175" s="123">
        <v>3</v>
      </c>
      <c r="EB175" s="123">
        <v>0</v>
      </c>
      <c r="EC175" s="123">
        <v>1</v>
      </c>
      <c r="ED175" s="123">
        <v>251.69999694824219</v>
      </c>
      <c r="EE175" s="129"/>
      <c r="EF175" s="129"/>
      <c r="EG175" s="129"/>
    </row>
    <row r="176" spans="1:137" x14ac:dyDescent="0.3">
      <c r="A176" s="226">
        <f t="shared" si="9"/>
        <v>46020.119444444834</v>
      </c>
      <c r="B176" s="123">
        <v>233</v>
      </c>
      <c r="C176" s="123">
        <v>46.483001708984375</v>
      </c>
      <c r="D176" s="123">
        <v>102.80500030517578</v>
      </c>
      <c r="E176" s="123">
        <v>17.756000518798828</v>
      </c>
      <c r="F176" s="123">
        <v>6.8438882827758789</v>
      </c>
      <c r="G176" s="124">
        <v>17.416000366210938</v>
      </c>
      <c r="H176" s="125">
        <v>311</v>
      </c>
      <c r="I176" s="123">
        <v>274</v>
      </c>
      <c r="J176" s="123">
        <v>65.143997192382813</v>
      </c>
      <c r="K176" s="123">
        <v>60.030208587646484</v>
      </c>
      <c r="L176" s="123">
        <v>44.532001495361328</v>
      </c>
      <c r="M176" s="123">
        <v>12.439999580383301</v>
      </c>
      <c r="N176" s="123">
        <v>17.302999496459961</v>
      </c>
      <c r="O176" s="123">
        <v>17</v>
      </c>
      <c r="P176" s="123">
        <v>0</v>
      </c>
      <c r="Q176" s="123">
        <v>17.881961822509766</v>
      </c>
      <c r="R176" s="123">
        <v>7.9968748092651367</v>
      </c>
      <c r="S176" s="123">
        <v>7.5712013244628906</v>
      </c>
      <c r="T176" s="123">
        <v>9</v>
      </c>
      <c r="U176" s="123">
        <v>9</v>
      </c>
      <c r="V176" s="125">
        <v>884</v>
      </c>
      <c r="W176" s="123">
        <v>26.602571487426758</v>
      </c>
      <c r="X176" s="123">
        <v>26.916999816894531</v>
      </c>
      <c r="Y176" s="123">
        <v>6.5520000457763672</v>
      </c>
      <c r="Z176" s="123">
        <v>0</v>
      </c>
      <c r="AA176" s="123">
        <v>18.77400016784668</v>
      </c>
      <c r="AB176" s="123">
        <v>0</v>
      </c>
      <c r="AC176" s="123">
        <v>54.877166748046875</v>
      </c>
      <c r="AD176" s="123">
        <v>6.6160001754760742</v>
      </c>
      <c r="AE176" s="123">
        <v>0</v>
      </c>
      <c r="AF176" s="123">
        <v>81.602188110351563</v>
      </c>
      <c r="AG176" s="123">
        <v>0</v>
      </c>
      <c r="AH176" s="123">
        <v>60.212924957275391</v>
      </c>
      <c r="AI176" s="123">
        <v>11.322999954223633</v>
      </c>
      <c r="AJ176" s="123">
        <v>19.490806579589844</v>
      </c>
      <c r="AK176" s="123">
        <v>46.000160217285156</v>
      </c>
      <c r="AL176" s="123">
        <v>35.166000366210938</v>
      </c>
      <c r="AM176" s="126">
        <v>55.665000915527344</v>
      </c>
      <c r="AN176" s="125">
        <v>117.5625</v>
      </c>
      <c r="AO176" s="127">
        <v>62</v>
      </c>
      <c r="AP176" s="123">
        <v>63.632698059082031</v>
      </c>
      <c r="AQ176" s="123">
        <v>36.267566680908203</v>
      </c>
      <c r="AR176" s="123">
        <v>87</v>
      </c>
      <c r="AS176" s="123"/>
      <c r="AT176" s="123">
        <v>118</v>
      </c>
      <c r="AU176" s="123"/>
      <c r="AV176" s="123">
        <v>66</v>
      </c>
      <c r="AW176" s="123"/>
      <c r="AX176" s="123">
        <v>30</v>
      </c>
      <c r="AY176" s="123">
        <v>32.932533264160156</v>
      </c>
      <c r="AZ176" s="123">
        <v>13</v>
      </c>
      <c r="BA176" s="123"/>
      <c r="BB176" s="123">
        <v>295</v>
      </c>
      <c r="BC176" s="123">
        <v>297.51611328125</v>
      </c>
      <c r="BD176" s="123">
        <v>6.8000001907348633</v>
      </c>
      <c r="BE176" s="123">
        <v>6.800389289855957</v>
      </c>
      <c r="BF176" s="123">
        <v>30</v>
      </c>
      <c r="BG176" s="123">
        <v>10</v>
      </c>
      <c r="BH176" s="123">
        <v>11.086197853088379</v>
      </c>
      <c r="BI176" s="123"/>
      <c r="BJ176" s="108">
        <f t="shared" si="7"/>
        <v>13</v>
      </c>
      <c r="BK176" s="123">
        <v>13</v>
      </c>
      <c r="BL176" s="123">
        <v>0</v>
      </c>
      <c r="BM176" s="126"/>
      <c r="BN176" s="108">
        <f t="shared" si="8"/>
        <v>122.20000076293945</v>
      </c>
      <c r="BO176" s="108">
        <v>73</v>
      </c>
      <c r="BP176" s="108">
        <v>49.200000762939453</v>
      </c>
      <c r="BQ176" s="108">
        <v>270</v>
      </c>
      <c r="BR176" s="123">
        <v>69.3280029296875</v>
      </c>
      <c r="BS176" s="123">
        <v>24.173999786376953</v>
      </c>
      <c r="BT176" s="123">
        <v>40.523998260498047</v>
      </c>
      <c r="BU176" s="123">
        <v>37.660999298095703</v>
      </c>
      <c r="BV176" s="123">
        <v>69</v>
      </c>
      <c r="BW176" s="123">
        <v>6.0999999046325684</v>
      </c>
      <c r="BX176" s="123">
        <v>14</v>
      </c>
      <c r="BY176" s="123">
        <v>29</v>
      </c>
      <c r="BZ176" s="123">
        <v>1.6479028388857841E-2</v>
      </c>
      <c r="CA176" s="123">
        <v>1</v>
      </c>
      <c r="CB176" s="123">
        <v>29.070714950561523</v>
      </c>
      <c r="CC176" s="126"/>
      <c r="CD176" s="123">
        <v>347.87277221679688</v>
      </c>
      <c r="CE176" s="123">
        <v>33.196529388427734</v>
      </c>
      <c r="CF176" s="123">
        <v>20.573263168334961</v>
      </c>
      <c r="CG176" s="123">
        <v>35.338191986083984</v>
      </c>
      <c r="CH176" s="123">
        <v>281.16635131835938</v>
      </c>
      <c r="CI176" s="123">
        <v>80.791610717773438</v>
      </c>
      <c r="CJ176" s="123">
        <v>32.998023986816406</v>
      </c>
      <c r="CK176" s="123">
        <v>51.727935791015625</v>
      </c>
      <c r="CL176" s="124">
        <v>29.072898864746094</v>
      </c>
      <c r="CM176" s="125">
        <v>212.903076171875</v>
      </c>
      <c r="CN176" s="123">
        <v>61.058021545410156</v>
      </c>
      <c r="CO176" s="123">
        <v>65.859245300292969</v>
      </c>
      <c r="CP176" s="123">
        <v>82.55670166015625</v>
      </c>
      <c r="CQ176" s="123">
        <v>0</v>
      </c>
      <c r="CR176" s="123">
        <v>50.839836120605469</v>
      </c>
      <c r="CS176" s="123">
        <v>8.7492055892944336</v>
      </c>
      <c r="CT176" s="123">
        <v>35.185596466064453</v>
      </c>
      <c r="CU176" s="123">
        <v>55.120681762695313</v>
      </c>
      <c r="CV176" s="124">
        <v>61.736042022705078</v>
      </c>
      <c r="CW176" s="125">
        <v>1</v>
      </c>
      <c r="CX176" s="123">
        <v>314</v>
      </c>
      <c r="CY176" s="123">
        <v>117.33641815185547</v>
      </c>
      <c r="CZ176" s="123">
        <v>50.554275512695313</v>
      </c>
      <c r="DA176" s="123">
        <v>20.664909362792969</v>
      </c>
      <c r="DB176" s="123">
        <v>29.886148452758789</v>
      </c>
      <c r="DC176" s="123">
        <v>79.409080505371094</v>
      </c>
      <c r="DD176" s="123">
        <v>57</v>
      </c>
      <c r="DE176" s="123">
        <v>179</v>
      </c>
      <c r="DF176" s="123">
        <v>105.31552886962891</v>
      </c>
      <c r="DG176" s="123">
        <v>70.675102233886719</v>
      </c>
      <c r="DH176" s="123">
        <v>48.277179718017578</v>
      </c>
      <c r="DI176" s="128">
        <v>38.970516204833984</v>
      </c>
      <c r="DJ176" s="127">
        <v>211</v>
      </c>
      <c r="DK176" s="123">
        <v>106.62200164794922</v>
      </c>
      <c r="DL176" s="123">
        <v>26.011999130249023</v>
      </c>
      <c r="DM176" s="123">
        <v>28.451000213623047</v>
      </c>
      <c r="DN176" s="123">
        <v>48.596000671386719</v>
      </c>
      <c r="DO176" s="124">
        <v>114.37590789794922</v>
      </c>
      <c r="DP176" s="125">
        <v>15.324000358581543</v>
      </c>
      <c r="DQ176" s="123"/>
      <c r="DR176" s="125">
        <v>67</v>
      </c>
      <c r="DS176" s="128">
        <v>30.5</v>
      </c>
      <c r="DT176" s="127">
        <v>12</v>
      </c>
      <c r="DU176" s="123"/>
      <c r="DV176" s="123">
        <v>7</v>
      </c>
      <c r="DW176" s="123">
        <v>1.4086697101593018</v>
      </c>
      <c r="DX176" s="125">
        <v>10</v>
      </c>
      <c r="DY176" s="128"/>
      <c r="DZ176" s="127">
        <v>44</v>
      </c>
      <c r="EA176" s="123">
        <v>3</v>
      </c>
      <c r="EB176" s="123">
        <v>0</v>
      </c>
      <c r="EC176" s="123">
        <v>1</v>
      </c>
      <c r="ED176" s="123">
        <v>251.30000305175781</v>
      </c>
      <c r="EE176" s="129"/>
      <c r="EF176" s="129"/>
      <c r="EG176" s="129"/>
    </row>
    <row r="177" spans="1:137" x14ac:dyDescent="0.3">
      <c r="A177" s="226">
        <f t="shared" si="9"/>
        <v>46020.12013888928</v>
      </c>
      <c r="B177" s="123">
        <v>235</v>
      </c>
      <c r="C177" s="123">
        <v>46.483001708984375</v>
      </c>
      <c r="D177" s="123">
        <v>102.23899841308594</v>
      </c>
      <c r="E177" s="123">
        <v>16.172000885009766</v>
      </c>
      <c r="F177" s="123">
        <v>0</v>
      </c>
      <c r="G177" s="124">
        <v>17.190000534057617</v>
      </c>
      <c r="H177" s="125">
        <v>308</v>
      </c>
      <c r="I177" s="123">
        <v>274</v>
      </c>
      <c r="J177" s="123">
        <v>65.257003784179688</v>
      </c>
      <c r="K177" s="123">
        <v>60.384525299072266</v>
      </c>
      <c r="L177" s="123">
        <v>44.708000183105469</v>
      </c>
      <c r="M177" s="123">
        <v>12.21399974822998</v>
      </c>
      <c r="N177" s="123">
        <v>17.684999465942383</v>
      </c>
      <c r="O177" s="123">
        <v>18</v>
      </c>
      <c r="P177" s="123">
        <v>0</v>
      </c>
      <c r="Q177" s="123">
        <v>17.974786758422852</v>
      </c>
      <c r="R177" s="123">
        <v>9</v>
      </c>
      <c r="S177" s="123">
        <v>8.4628562927246094</v>
      </c>
      <c r="T177" s="123">
        <v>9</v>
      </c>
      <c r="U177" s="123">
        <v>9</v>
      </c>
      <c r="V177" s="125">
        <v>884</v>
      </c>
      <c r="W177" s="123">
        <v>25.909454345703125</v>
      </c>
      <c r="X177" s="123">
        <v>25.673000335693359</v>
      </c>
      <c r="Y177" s="123">
        <v>6.9970002174377441</v>
      </c>
      <c r="Z177" s="123">
        <v>0</v>
      </c>
      <c r="AA177" s="123">
        <v>21.375</v>
      </c>
      <c r="AB177" s="123">
        <v>0</v>
      </c>
      <c r="AC177" s="123">
        <v>55.898197174072266</v>
      </c>
      <c r="AD177" s="123">
        <v>6.3610000610351563</v>
      </c>
      <c r="AE177" s="123">
        <v>0</v>
      </c>
      <c r="AF177" s="123">
        <v>82.270988464355469</v>
      </c>
      <c r="AG177" s="123">
        <v>0</v>
      </c>
      <c r="AH177" s="123">
        <v>64.116386413574219</v>
      </c>
      <c r="AI177" s="123">
        <v>11.38700008392334</v>
      </c>
      <c r="AJ177" s="123">
        <v>18.347888946533203</v>
      </c>
      <c r="AK177" s="123">
        <v>45.602222442626953</v>
      </c>
      <c r="AL177" s="123">
        <v>39.937000274658203</v>
      </c>
      <c r="AM177" s="126">
        <v>55.155998229980469</v>
      </c>
      <c r="AN177" s="125">
        <v>118.8125</v>
      </c>
      <c r="AO177" s="127">
        <v>62</v>
      </c>
      <c r="AP177" s="123">
        <v>62.776447296142578</v>
      </c>
      <c r="AQ177" s="123">
        <v>37.942962646484375</v>
      </c>
      <c r="AR177" s="123">
        <v>89</v>
      </c>
      <c r="AS177" s="123"/>
      <c r="AT177" s="123">
        <v>117</v>
      </c>
      <c r="AU177" s="123"/>
      <c r="AV177" s="123">
        <v>67</v>
      </c>
      <c r="AW177" s="123"/>
      <c r="AX177" s="123">
        <v>30</v>
      </c>
      <c r="AY177" s="123">
        <v>32.932533264160156</v>
      </c>
      <c r="AZ177" s="123">
        <v>13</v>
      </c>
      <c r="BA177" s="123"/>
      <c r="BB177" s="123">
        <v>295</v>
      </c>
      <c r="BC177" s="123">
        <v>295.82244873046875</v>
      </c>
      <c r="BD177" s="123">
        <v>6.6999998092651367</v>
      </c>
      <c r="BE177" s="123">
        <v>6.7889747619628906</v>
      </c>
      <c r="BF177" s="123">
        <v>29</v>
      </c>
      <c r="BG177" s="123">
        <v>10</v>
      </c>
      <c r="BH177" s="123">
        <v>11.032718658447266</v>
      </c>
      <c r="BI177" s="123"/>
      <c r="BJ177" s="108">
        <f t="shared" si="7"/>
        <v>13</v>
      </c>
      <c r="BK177" s="123">
        <v>13</v>
      </c>
      <c r="BL177" s="123">
        <v>0</v>
      </c>
      <c r="BM177" s="126"/>
      <c r="BN177" s="108">
        <f t="shared" si="8"/>
        <v>122</v>
      </c>
      <c r="BO177" s="108">
        <v>73</v>
      </c>
      <c r="BP177" s="108">
        <v>49</v>
      </c>
      <c r="BQ177" s="108">
        <v>272</v>
      </c>
      <c r="BR177" s="123">
        <v>69.893997192382813</v>
      </c>
      <c r="BS177" s="123">
        <v>24.683000564575195</v>
      </c>
      <c r="BT177" s="123">
        <v>41.562999725341797</v>
      </c>
      <c r="BU177" s="123">
        <v>37.597000122070313</v>
      </c>
      <c r="BV177" s="123">
        <v>69.400001525878906</v>
      </c>
      <c r="BW177" s="123">
        <v>6.0999999046325684</v>
      </c>
      <c r="BX177" s="123">
        <v>13.699999809265137</v>
      </c>
      <c r="BY177" s="123">
        <v>28</v>
      </c>
      <c r="BZ177" s="123">
        <v>1.4261099509894848E-2</v>
      </c>
      <c r="CA177" s="123">
        <v>1</v>
      </c>
      <c r="CB177" s="123">
        <v>29.048524856567383</v>
      </c>
      <c r="CC177" s="126"/>
      <c r="CD177" s="123">
        <v>350.36676025390625</v>
      </c>
      <c r="CE177" s="123">
        <v>34.460079193115234</v>
      </c>
      <c r="CF177" s="123">
        <v>21.43763542175293</v>
      </c>
      <c r="CG177" s="123">
        <v>35.338191986083984</v>
      </c>
      <c r="CH177" s="123">
        <v>281.29776000976563</v>
      </c>
      <c r="CI177" s="123">
        <v>80.654731750488281</v>
      </c>
      <c r="CJ177" s="123">
        <v>34.672676086425781</v>
      </c>
      <c r="CK177" s="123">
        <v>51.059459686279297</v>
      </c>
      <c r="CL177" s="124">
        <v>29.222295761108398</v>
      </c>
      <c r="CM177" s="125">
        <v>207.84007263183594</v>
      </c>
      <c r="CN177" s="123">
        <v>57.833091735839844</v>
      </c>
      <c r="CO177" s="123">
        <v>64.760200500488281</v>
      </c>
      <c r="CP177" s="123">
        <v>81.858467102050781</v>
      </c>
      <c r="CQ177" s="123">
        <v>0</v>
      </c>
      <c r="CR177" s="123">
        <v>52.266555786132813</v>
      </c>
      <c r="CS177" s="123">
        <v>9.631688117980957</v>
      </c>
      <c r="CT177" s="123">
        <v>34.639484405517578</v>
      </c>
      <c r="CU177" s="123">
        <v>52.10400390625</v>
      </c>
      <c r="CV177" s="124">
        <v>60.556045532226563</v>
      </c>
      <c r="CW177" s="125">
        <v>1</v>
      </c>
      <c r="CX177" s="123">
        <v>313</v>
      </c>
      <c r="CY177" s="123">
        <v>115.56364440917969</v>
      </c>
      <c r="CZ177" s="123">
        <v>50.554275512695313</v>
      </c>
      <c r="DA177" s="123">
        <v>19.996007919311523</v>
      </c>
      <c r="DB177" s="123">
        <v>32.159553527832031</v>
      </c>
      <c r="DC177" s="123">
        <v>80.119483947753906</v>
      </c>
      <c r="DD177" s="123">
        <v>50</v>
      </c>
      <c r="DE177" s="123">
        <v>176</v>
      </c>
      <c r="DF177" s="123">
        <v>104.70233154296875</v>
      </c>
      <c r="DG177" s="123">
        <v>67.950485229492188</v>
      </c>
      <c r="DH177" s="123">
        <v>48.162872314453125</v>
      </c>
      <c r="DI177" s="128">
        <v>38.078380584716797</v>
      </c>
      <c r="DJ177" s="127">
        <v>205</v>
      </c>
      <c r="DK177" s="123">
        <v>106.62200164794922</v>
      </c>
      <c r="DL177" s="123">
        <v>26.011999130249023</v>
      </c>
      <c r="DM177" s="123">
        <v>27.743999481201172</v>
      </c>
      <c r="DN177" s="123">
        <v>50.540000915527344</v>
      </c>
      <c r="DO177" s="124">
        <v>112.90753173828125</v>
      </c>
      <c r="DP177" s="125">
        <v>15.324000358581543</v>
      </c>
      <c r="DQ177" s="123"/>
      <c r="DR177" s="125">
        <v>67</v>
      </c>
      <c r="DS177" s="128">
        <v>29.700000762939453</v>
      </c>
      <c r="DT177" s="127">
        <v>12</v>
      </c>
      <c r="DU177" s="123"/>
      <c r="DV177" s="123">
        <v>7</v>
      </c>
      <c r="DW177" s="123">
        <v>1.4183359146118164</v>
      </c>
      <c r="DX177" s="125">
        <v>10</v>
      </c>
      <c r="DY177" s="128"/>
      <c r="DZ177" s="127">
        <v>45</v>
      </c>
      <c r="EA177" s="123">
        <v>3</v>
      </c>
      <c r="EB177" s="123">
        <v>0</v>
      </c>
      <c r="EC177" s="123">
        <v>1</v>
      </c>
      <c r="ED177" s="123">
        <v>246.5</v>
      </c>
      <c r="EE177" s="129"/>
      <c r="EF177" s="129"/>
      <c r="EG177" s="129"/>
    </row>
    <row r="178" spans="1:137" x14ac:dyDescent="0.3">
      <c r="A178" s="226">
        <f t="shared" si="9"/>
        <v>46020.120833333727</v>
      </c>
      <c r="B178" s="123">
        <v>231</v>
      </c>
      <c r="C178" s="123">
        <v>45.804000854492188</v>
      </c>
      <c r="D178" s="123">
        <v>101.33499908447266</v>
      </c>
      <c r="E178" s="123">
        <v>18.77400016784668</v>
      </c>
      <c r="F178" s="123">
        <v>5.6688742637634277</v>
      </c>
      <c r="G178" s="124">
        <v>16.625</v>
      </c>
      <c r="H178" s="125">
        <v>311</v>
      </c>
      <c r="I178" s="123">
        <v>276</v>
      </c>
      <c r="J178" s="123">
        <v>64.125999450683594</v>
      </c>
      <c r="K178" s="123">
        <v>60.166526794433594</v>
      </c>
      <c r="L178" s="123">
        <v>44.532001495361328</v>
      </c>
      <c r="M178" s="123">
        <v>12.10099983215332</v>
      </c>
      <c r="N178" s="123">
        <v>17.493999481201172</v>
      </c>
      <c r="O178" s="123">
        <v>17</v>
      </c>
      <c r="P178" s="123">
        <v>0</v>
      </c>
      <c r="Q178" s="123">
        <v>17.209938049316406</v>
      </c>
      <c r="R178" s="123">
        <v>10.003125190734863</v>
      </c>
      <c r="S178" s="123">
        <v>8.6453008651733398</v>
      </c>
      <c r="T178" s="123">
        <v>9</v>
      </c>
      <c r="U178" s="123">
        <v>9</v>
      </c>
      <c r="V178" s="125">
        <v>892</v>
      </c>
      <c r="W178" s="123">
        <v>26.995393753051758</v>
      </c>
      <c r="X178" s="123">
        <v>25.673000335693359</v>
      </c>
      <c r="Y178" s="123">
        <v>6.2340002059936523</v>
      </c>
      <c r="Z178" s="123">
        <v>0</v>
      </c>
      <c r="AA178" s="123">
        <v>22.618999481201172</v>
      </c>
      <c r="AB178" s="123">
        <v>0</v>
      </c>
      <c r="AC178" s="123">
        <v>55.768829345703125</v>
      </c>
      <c r="AD178" s="123">
        <v>6.3610000610351563</v>
      </c>
      <c r="AE178" s="123">
        <v>0</v>
      </c>
      <c r="AF178" s="123">
        <v>82.104301452636719</v>
      </c>
      <c r="AG178" s="123">
        <v>0</v>
      </c>
      <c r="AH178" s="123">
        <v>61.382598876953125</v>
      </c>
      <c r="AI178" s="123">
        <v>11.640999794006348</v>
      </c>
      <c r="AJ178" s="123">
        <v>18.487499237060547</v>
      </c>
      <c r="AK178" s="123">
        <v>45.602222442626953</v>
      </c>
      <c r="AL178" s="123">
        <v>39.407001495361328</v>
      </c>
      <c r="AM178" s="126">
        <v>54.583000183105469</v>
      </c>
      <c r="AN178" s="125">
        <v>119.125</v>
      </c>
      <c r="AO178" s="127">
        <v>62</v>
      </c>
      <c r="AP178" s="123">
        <v>62.379268646240234</v>
      </c>
      <c r="AQ178" s="123">
        <v>36.972736358642578</v>
      </c>
      <c r="AR178" s="123">
        <v>91</v>
      </c>
      <c r="AS178" s="123"/>
      <c r="AT178" s="123">
        <v>116</v>
      </c>
      <c r="AU178" s="123"/>
      <c r="AV178" s="123">
        <v>67</v>
      </c>
      <c r="AW178" s="123"/>
      <c r="AX178" s="123">
        <v>31</v>
      </c>
      <c r="AY178" s="123">
        <v>33.145351409912109</v>
      </c>
      <c r="AZ178" s="123">
        <v>14</v>
      </c>
      <c r="BA178" s="123"/>
      <c r="BB178" s="123">
        <v>296</v>
      </c>
      <c r="BC178" s="123">
        <v>297.31472778320313</v>
      </c>
      <c r="BD178" s="123">
        <v>6.8000001907348633</v>
      </c>
      <c r="BE178" s="123">
        <v>6.7674036026000977</v>
      </c>
      <c r="BF178" s="123">
        <v>29</v>
      </c>
      <c r="BG178" s="123">
        <v>10</v>
      </c>
      <c r="BH178" s="123">
        <v>11.054525375366211</v>
      </c>
      <c r="BI178" s="123"/>
      <c r="BJ178" s="108">
        <f t="shared" si="7"/>
        <v>13</v>
      </c>
      <c r="BK178" s="123">
        <v>13</v>
      </c>
      <c r="BL178" s="123">
        <v>0</v>
      </c>
      <c r="BM178" s="126"/>
      <c r="BN178" s="108">
        <f t="shared" si="8"/>
        <v>121</v>
      </c>
      <c r="BO178" s="108">
        <v>72</v>
      </c>
      <c r="BP178" s="108">
        <v>49</v>
      </c>
      <c r="BQ178" s="108">
        <v>266</v>
      </c>
      <c r="BR178" s="123">
        <v>66.9530029296875</v>
      </c>
      <c r="BS178" s="123">
        <v>25.445999145507813</v>
      </c>
      <c r="BT178" s="123">
        <v>41.562999725341797</v>
      </c>
      <c r="BU178" s="123">
        <v>36.770000457763672</v>
      </c>
      <c r="BV178" s="123">
        <v>69.900001525878906</v>
      </c>
      <c r="BW178" s="123">
        <v>6.0999999046325684</v>
      </c>
      <c r="BX178" s="123">
        <v>13.600000381469727</v>
      </c>
      <c r="BY178" s="123">
        <v>28</v>
      </c>
      <c r="BZ178" s="123">
        <v>1.4503054320812225E-2</v>
      </c>
      <c r="CA178" s="123">
        <v>1</v>
      </c>
      <c r="CB178" s="123">
        <v>29.195779800415039</v>
      </c>
      <c r="CC178" s="126"/>
      <c r="CD178" s="123">
        <v>354.89483642578125</v>
      </c>
      <c r="CE178" s="123">
        <v>35.5584716796875</v>
      </c>
      <c r="CF178" s="123">
        <v>21.179769515991211</v>
      </c>
      <c r="CG178" s="123">
        <v>35.338191986083984</v>
      </c>
      <c r="CH178" s="123">
        <v>281.7054443359375</v>
      </c>
      <c r="CI178" s="123">
        <v>77.956253051757813</v>
      </c>
      <c r="CJ178" s="123">
        <v>34.302028656005859</v>
      </c>
      <c r="CK178" s="123">
        <v>49.766891479492188</v>
      </c>
      <c r="CL178" s="124">
        <v>31.348995208740234</v>
      </c>
      <c r="CM178" s="125">
        <v>211.03012084960938</v>
      </c>
      <c r="CN178" s="123">
        <v>59.54644775390625</v>
      </c>
      <c r="CO178" s="123">
        <v>64.567169189453125</v>
      </c>
      <c r="CP178" s="123">
        <v>83.622711181640625</v>
      </c>
      <c r="CQ178" s="123">
        <v>0</v>
      </c>
      <c r="CR178" s="123">
        <v>49.424816131591797</v>
      </c>
      <c r="CS178" s="123">
        <v>10.07681941986084</v>
      </c>
      <c r="CT178" s="123">
        <v>35.491054534912109</v>
      </c>
      <c r="CU178" s="123">
        <v>51.303092956542969</v>
      </c>
      <c r="CV178" s="124">
        <v>61.597236633300781</v>
      </c>
      <c r="CW178" s="125">
        <v>2</v>
      </c>
      <c r="CX178" s="123">
        <v>312</v>
      </c>
      <c r="CY178" s="123">
        <v>116.85781097412109</v>
      </c>
      <c r="CZ178" s="123">
        <v>50.575553894042969</v>
      </c>
      <c r="DA178" s="123">
        <v>19.720254898071289</v>
      </c>
      <c r="DB178" s="123">
        <v>31.631032943725586</v>
      </c>
      <c r="DC178" s="123">
        <v>80.518348693847656</v>
      </c>
      <c r="DD178" s="123">
        <v>54</v>
      </c>
      <c r="DE178" s="123">
        <v>177</v>
      </c>
      <c r="DF178" s="123">
        <v>102.82818603515625</v>
      </c>
      <c r="DG178" s="123">
        <v>67.073440551757813</v>
      </c>
      <c r="DH178" s="123">
        <v>47.621139526367188</v>
      </c>
      <c r="DI178" s="128">
        <v>38.296039581298828</v>
      </c>
      <c r="DJ178" s="127">
        <v>207</v>
      </c>
      <c r="DK178" s="123">
        <v>110.18499755859375</v>
      </c>
      <c r="DL178" s="123">
        <v>24.201999664306641</v>
      </c>
      <c r="DM178" s="123">
        <v>26.683000564575195</v>
      </c>
      <c r="DN178" s="123">
        <v>51.423000335693359</v>
      </c>
      <c r="DO178" s="124">
        <v>111.40602874755859</v>
      </c>
      <c r="DP178" s="125">
        <v>15.409000396728516</v>
      </c>
      <c r="DQ178" s="123"/>
      <c r="DR178" s="125">
        <v>67</v>
      </c>
      <c r="DS178" s="128">
        <v>29.899999618530273</v>
      </c>
      <c r="DT178" s="127">
        <v>12</v>
      </c>
      <c r="DU178" s="123"/>
      <c r="DV178" s="123">
        <v>7</v>
      </c>
      <c r="DW178" s="123">
        <v>1.2719588279724121</v>
      </c>
      <c r="DX178" s="125">
        <v>10</v>
      </c>
      <c r="DY178" s="128"/>
      <c r="DZ178" s="127">
        <v>45</v>
      </c>
      <c r="EA178" s="123">
        <v>3</v>
      </c>
      <c r="EB178" s="123">
        <v>0</v>
      </c>
      <c r="EC178" s="123">
        <v>1</v>
      </c>
      <c r="ED178" s="123">
        <v>242.69999694824219</v>
      </c>
      <c r="EE178" s="129"/>
      <c r="EF178" s="129"/>
      <c r="EG178" s="129"/>
    </row>
    <row r="179" spans="1:137" x14ac:dyDescent="0.3">
      <c r="A179" s="226">
        <f t="shared" si="9"/>
        <v>46020.121527778174</v>
      </c>
      <c r="B179" s="123">
        <v>231</v>
      </c>
      <c r="C179" s="123">
        <v>49.535999298095703</v>
      </c>
      <c r="D179" s="123">
        <v>100.99500274658203</v>
      </c>
      <c r="E179" s="123">
        <v>18.660999298095703</v>
      </c>
      <c r="F179" s="123">
        <v>3.9558720588684082</v>
      </c>
      <c r="G179" s="124">
        <v>16.172000885009766</v>
      </c>
      <c r="H179" s="125">
        <v>306</v>
      </c>
      <c r="I179" s="123">
        <v>273</v>
      </c>
      <c r="J179" s="123">
        <v>64.01300048828125</v>
      </c>
      <c r="K179" s="123">
        <v>61.647167205810547</v>
      </c>
      <c r="L179" s="123">
        <v>42.057998657226563</v>
      </c>
      <c r="M179" s="123">
        <v>12.21399974822998</v>
      </c>
      <c r="N179" s="123">
        <v>17.493999481201172</v>
      </c>
      <c r="O179" s="123">
        <v>16</v>
      </c>
      <c r="P179" s="123">
        <v>0</v>
      </c>
      <c r="Q179" s="123">
        <v>17.066398620605469</v>
      </c>
      <c r="R179" s="123">
        <v>7.9968748092651367</v>
      </c>
      <c r="S179" s="123">
        <v>7.0875091552734375</v>
      </c>
      <c r="T179" s="123">
        <v>9</v>
      </c>
      <c r="U179" s="123">
        <v>9</v>
      </c>
      <c r="V179" s="125">
        <v>880</v>
      </c>
      <c r="W179" s="123">
        <v>26.415927886962891</v>
      </c>
      <c r="X179" s="123">
        <v>25.219999313354492</v>
      </c>
      <c r="Y179" s="123">
        <v>6.4879999160766602</v>
      </c>
      <c r="Z179" s="123">
        <v>0</v>
      </c>
      <c r="AA179" s="123">
        <v>21.035999298095703</v>
      </c>
      <c r="AB179" s="123">
        <v>0</v>
      </c>
      <c r="AC179" s="123">
        <v>55.80328369140625</v>
      </c>
      <c r="AD179" s="123">
        <v>6.3610000610351563</v>
      </c>
      <c r="AE179" s="123">
        <v>0</v>
      </c>
      <c r="AF179" s="123">
        <v>83.086509704589844</v>
      </c>
      <c r="AG179" s="123">
        <v>0</v>
      </c>
      <c r="AH179" s="123">
        <v>61.835735321044922</v>
      </c>
      <c r="AI179" s="123">
        <v>10.050999641418457</v>
      </c>
      <c r="AJ179" s="123">
        <v>18.322317123413086</v>
      </c>
      <c r="AK179" s="123">
        <v>44.89532470703125</v>
      </c>
      <c r="AL179" s="123">
        <v>40.290000915527344</v>
      </c>
      <c r="AM179" s="126">
        <v>53.882999420166016</v>
      </c>
      <c r="AN179" s="125">
        <v>118.25</v>
      </c>
      <c r="AO179" s="127">
        <v>62</v>
      </c>
      <c r="AP179" s="123">
        <v>62.505771636962891</v>
      </c>
      <c r="AQ179" s="123">
        <v>37.036838531494141</v>
      </c>
      <c r="AR179" s="123">
        <v>89</v>
      </c>
      <c r="AS179" s="123"/>
      <c r="AT179" s="123">
        <v>116</v>
      </c>
      <c r="AU179" s="123"/>
      <c r="AV179" s="123">
        <v>67</v>
      </c>
      <c r="AW179" s="123"/>
      <c r="AX179" s="123">
        <v>30</v>
      </c>
      <c r="AY179" s="123">
        <v>32.935951232910156</v>
      </c>
      <c r="AZ179" s="123">
        <v>13</v>
      </c>
      <c r="BA179" s="123"/>
      <c r="BB179" s="123">
        <v>296</v>
      </c>
      <c r="BC179" s="123">
        <v>298.47933959960938</v>
      </c>
      <c r="BD179" s="123">
        <v>6.8000001907348633</v>
      </c>
      <c r="BE179" s="123">
        <v>6.7674036026000977</v>
      </c>
      <c r="BF179" s="123">
        <v>29</v>
      </c>
      <c r="BG179" s="123">
        <v>11</v>
      </c>
      <c r="BH179" s="123">
        <v>11.353425025939941</v>
      </c>
      <c r="BI179" s="123"/>
      <c r="BJ179" s="108">
        <f t="shared" si="7"/>
        <v>13</v>
      </c>
      <c r="BK179" s="123">
        <v>13</v>
      </c>
      <c r="BL179" s="123">
        <v>0</v>
      </c>
      <c r="BM179" s="126"/>
      <c r="BN179" s="108">
        <f t="shared" si="8"/>
        <v>122</v>
      </c>
      <c r="BO179" s="108">
        <v>73</v>
      </c>
      <c r="BP179" s="108">
        <v>49</v>
      </c>
      <c r="BQ179" s="108">
        <v>264</v>
      </c>
      <c r="BR179" s="123">
        <v>64.804000854492188</v>
      </c>
      <c r="BS179" s="123">
        <v>25.191999435424805</v>
      </c>
      <c r="BT179" s="123">
        <v>40.869998931884766</v>
      </c>
      <c r="BU179" s="123">
        <v>36.006999969482422</v>
      </c>
      <c r="BV179" s="123">
        <v>68.699996948242188</v>
      </c>
      <c r="BW179" s="123">
        <v>5.9000000953674316</v>
      </c>
      <c r="BX179" s="123">
        <v>13.5</v>
      </c>
      <c r="BY179" s="123">
        <v>28</v>
      </c>
      <c r="BZ179" s="123">
        <v>1.4411620795726776E-2</v>
      </c>
      <c r="CA179" s="123">
        <v>1</v>
      </c>
      <c r="CB179" s="123">
        <v>29.631109237670898</v>
      </c>
      <c r="CC179" s="126"/>
      <c r="CD179" s="123">
        <v>352.94094848632813</v>
      </c>
      <c r="CE179" s="123">
        <v>35.827075958251953</v>
      </c>
      <c r="CF179" s="123">
        <v>20.721096038818359</v>
      </c>
      <c r="CG179" s="123">
        <v>35.338191986083984</v>
      </c>
      <c r="CH179" s="123">
        <v>281.4375</v>
      </c>
      <c r="CI179" s="123">
        <v>80.387939453125</v>
      </c>
      <c r="CJ179" s="123">
        <v>35.670242309570313</v>
      </c>
      <c r="CK179" s="123">
        <v>51.017539978027344</v>
      </c>
      <c r="CL179" s="124">
        <v>30.278032302856445</v>
      </c>
      <c r="CM179" s="125">
        <v>205.45936584472656</v>
      </c>
      <c r="CN179" s="123">
        <v>61.243602752685547</v>
      </c>
      <c r="CO179" s="123">
        <v>63.640121459960938</v>
      </c>
      <c r="CP179" s="123">
        <v>79.84173583984375</v>
      </c>
      <c r="CQ179" s="123">
        <v>0</v>
      </c>
      <c r="CR179" s="123">
        <v>49.508731842041016</v>
      </c>
      <c r="CS179" s="123">
        <v>8.8414163589477539</v>
      </c>
      <c r="CT179" s="123">
        <v>34.912391662597656</v>
      </c>
      <c r="CU179" s="123">
        <v>53.075859069824219</v>
      </c>
      <c r="CV179" s="124">
        <v>62.265537261962891</v>
      </c>
      <c r="CW179" s="125">
        <v>1</v>
      </c>
      <c r="CX179" s="123">
        <v>321</v>
      </c>
      <c r="CY179" s="123">
        <v>117.72377777099609</v>
      </c>
      <c r="CZ179" s="123">
        <v>49.348155975341797</v>
      </c>
      <c r="DA179" s="123">
        <v>20.821908950805664</v>
      </c>
      <c r="DB179" s="123">
        <v>31.40962028503418</v>
      </c>
      <c r="DC179" s="123">
        <v>81.221549987792969</v>
      </c>
      <c r="DD179" s="123">
        <v>47</v>
      </c>
      <c r="DE179" s="123">
        <v>173</v>
      </c>
      <c r="DF179" s="123">
        <v>102.88681793212891</v>
      </c>
      <c r="DG179" s="123">
        <v>67.063560485839844</v>
      </c>
      <c r="DH179" s="123">
        <v>47.029453277587891</v>
      </c>
      <c r="DI179" s="128">
        <v>37.330547332763672</v>
      </c>
      <c r="DJ179" s="127">
        <v>207</v>
      </c>
      <c r="DK179" s="123">
        <v>105.85900115966797</v>
      </c>
      <c r="DL179" s="123">
        <v>24.089000701904297</v>
      </c>
      <c r="DM179" s="123">
        <v>26.683000564575195</v>
      </c>
      <c r="DN179" s="123">
        <v>49.833000183105469</v>
      </c>
      <c r="DO179" s="124">
        <v>111.70977783203125</v>
      </c>
      <c r="DP179" s="125">
        <v>15.23900032043457</v>
      </c>
      <c r="DQ179" s="123"/>
      <c r="DR179" s="125">
        <v>67</v>
      </c>
      <c r="DS179" s="128">
        <v>30.899999618530273</v>
      </c>
      <c r="DT179" s="127">
        <v>12</v>
      </c>
      <c r="DU179" s="123"/>
      <c r="DV179" s="123">
        <v>8</v>
      </c>
      <c r="DW179" s="123">
        <v>1.4007004499435425</v>
      </c>
      <c r="DX179" s="125">
        <v>9</v>
      </c>
      <c r="DY179" s="128"/>
      <c r="DZ179" s="127">
        <v>45</v>
      </c>
      <c r="EA179" s="123">
        <v>3</v>
      </c>
      <c r="EB179" s="123">
        <v>0</v>
      </c>
      <c r="EC179" s="123">
        <v>1</v>
      </c>
      <c r="ED179" s="123">
        <v>244.19999694824219</v>
      </c>
      <c r="EE179" s="129"/>
      <c r="EF179" s="129"/>
      <c r="EG179" s="129"/>
    </row>
    <row r="180" spans="1:137" x14ac:dyDescent="0.3">
      <c r="A180" s="226">
        <f t="shared" si="9"/>
        <v>46020.122222222621</v>
      </c>
      <c r="B180" s="123">
        <v>236</v>
      </c>
      <c r="C180" s="123">
        <v>50.441001892089844</v>
      </c>
      <c r="D180" s="123">
        <v>102.12599945068359</v>
      </c>
      <c r="E180" s="123">
        <v>19.113000869750977</v>
      </c>
      <c r="F180" s="123">
        <v>0</v>
      </c>
      <c r="G180" s="124">
        <v>15.833000183105469</v>
      </c>
      <c r="H180" s="125">
        <v>309</v>
      </c>
      <c r="I180" s="123">
        <v>272</v>
      </c>
      <c r="J180" s="123">
        <v>64.01300048828125</v>
      </c>
      <c r="K180" s="123">
        <v>60.591552734375</v>
      </c>
      <c r="L180" s="123">
        <v>44.354999542236328</v>
      </c>
      <c r="M180" s="123">
        <v>13.119000434875488</v>
      </c>
      <c r="N180" s="123">
        <v>18.257999420166016</v>
      </c>
      <c r="O180" s="123">
        <v>17</v>
      </c>
      <c r="P180" s="123">
        <v>0</v>
      </c>
      <c r="Q180" s="123">
        <v>17.406160354614258</v>
      </c>
      <c r="R180" s="123">
        <v>7.0031251907348633</v>
      </c>
      <c r="S180" s="123">
        <v>6.908754825592041</v>
      </c>
      <c r="T180" s="123">
        <v>9</v>
      </c>
      <c r="U180" s="123">
        <v>9</v>
      </c>
      <c r="V180" s="125">
        <v>883</v>
      </c>
      <c r="W180" s="123">
        <v>25.664360046386719</v>
      </c>
      <c r="X180" s="123">
        <v>25.333000183105469</v>
      </c>
      <c r="Y180" s="123">
        <v>6.2340002059936523</v>
      </c>
      <c r="Z180" s="123">
        <v>0</v>
      </c>
      <c r="AA180" s="123">
        <v>20.583000183105469</v>
      </c>
      <c r="AB180" s="123">
        <v>0</v>
      </c>
      <c r="AC180" s="123">
        <v>55.783832550048828</v>
      </c>
      <c r="AD180" s="123">
        <v>6.3610000610351563</v>
      </c>
      <c r="AE180" s="123">
        <v>0</v>
      </c>
      <c r="AF180" s="123">
        <v>82.395652770996094</v>
      </c>
      <c r="AG180" s="123">
        <v>0</v>
      </c>
      <c r="AH180" s="123">
        <v>59.450225830078125</v>
      </c>
      <c r="AI180" s="123">
        <v>11.451000213623047</v>
      </c>
      <c r="AJ180" s="123">
        <v>18.643955230712891</v>
      </c>
      <c r="AK180" s="123">
        <v>44.628105163574219</v>
      </c>
      <c r="AL180" s="123">
        <v>37.993000030517578</v>
      </c>
      <c r="AM180" s="126">
        <v>53.882999420166016</v>
      </c>
      <c r="AN180" s="125">
        <v>117.5</v>
      </c>
      <c r="AO180" s="127">
        <v>62</v>
      </c>
      <c r="AP180" s="123">
        <v>63.122051239013672</v>
      </c>
      <c r="AQ180" s="123">
        <v>35.290882110595703</v>
      </c>
      <c r="AR180" s="123">
        <v>91</v>
      </c>
      <c r="AS180" s="123"/>
      <c r="AT180" s="123">
        <v>115</v>
      </c>
      <c r="AU180" s="123"/>
      <c r="AV180" s="123">
        <v>73</v>
      </c>
      <c r="AW180" s="123"/>
      <c r="AX180" s="123">
        <v>30</v>
      </c>
      <c r="AY180" s="123">
        <v>32.45233154296875</v>
      </c>
      <c r="AZ180" s="123">
        <v>14</v>
      </c>
      <c r="BA180" s="123"/>
      <c r="BB180" s="123">
        <v>296</v>
      </c>
      <c r="BC180" s="123">
        <v>295.88705444335938</v>
      </c>
      <c r="BD180" s="123">
        <v>6.6999998092651367</v>
      </c>
      <c r="BE180" s="123">
        <v>6.7649955749511719</v>
      </c>
      <c r="BF180" s="123">
        <v>30</v>
      </c>
      <c r="BG180" s="123">
        <v>10</v>
      </c>
      <c r="BH180" s="123">
        <v>11.010749816894531</v>
      </c>
      <c r="BI180" s="123"/>
      <c r="BJ180" s="108">
        <f t="shared" si="7"/>
        <v>13</v>
      </c>
      <c r="BK180" s="123">
        <v>13</v>
      </c>
      <c r="BL180" s="123">
        <v>0</v>
      </c>
      <c r="BM180" s="126"/>
      <c r="BN180" s="108">
        <f t="shared" si="8"/>
        <v>122</v>
      </c>
      <c r="BO180" s="108">
        <v>73</v>
      </c>
      <c r="BP180" s="108">
        <v>49</v>
      </c>
      <c r="BQ180" s="108">
        <v>265</v>
      </c>
      <c r="BR180" s="123">
        <v>65.708999633789063</v>
      </c>
      <c r="BS180" s="123">
        <v>24.173999786376953</v>
      </c>
      <c r="BT180" s="123">
        <v>40.523998260498047</v>
      </c>
      <c r="BU180" s="123">
        <v>36.833999633789063</v>
      </c>
      <c r="BV180" s="123">
        <v>69.400001525878906</v>
      </c>
      <c r="BW180" s="123">
        <v>5.9000000953674316</v>
      </c>
      <c r="BX180" s="123">
        <v>13.5</v>
      </c>
      <c r="BY180" s="123">
        <v>29</v>
      </c>
      <c r="BZ180" s="123">
        <v>1.3874678872525692E-2</v>
      </c>
      <c r="CA180" s="123">
        <v>0</v>
      </c>
      <c r="CB180" s="123">
        <v>29.103860855102539</v>
      </c>
      <c r="CC180" s="126"/>
      <c r="CD180" s="123">
        <v>358.7093505859375</v>
      </c>
      <c r="CE180" s="123">
        <v>33.329147338867188</v>
      </c>
      <c r="CF180" s="123">
        <v>20.689586639404297</v>
      </c>
      <c r="CG180" s="123">
        <v>35.338191986083984</v>
      </c>
      <c r="CH180" s="123">
        <v>282.18051147460938</v>
      </c>
      <c r="CI180" s="123">
        <v>82.481124877929688</v>
      </c>
      <c r="CJ180" s="123">
        <v>36.957416534423828</v>
      </c>
      <c r="CK180" s="123">
        <v>50.773662567138672</v>
      </c>
      <c r="CL180" s="124">
        <v>29.595729827880859</v>
      </c>
      <c r="CM180" s="125">
        <v>209.47921752929688</v>
      </c>
      <c r="CN180" s="123">
        <v>58.490898132324219</v>
      </c>
      <c r="CO180" s="123">
        <v>63.698341369628906</v>
      </c>
      <c r="CP180" s="123">
        <v>81.985458374023438</v>
      </c>
      <c r="CQ180" s="123">
        <v>0</v>
      </c>
      <c r="CR180" s="123">
        <v>50.293895721435547</v>
      </c>
      <c r="CS180" s="123">
        <v>8.9949417114257813</v>
      </c>
      <c r="CT180" s="123">
        <v>34.90423583984375</v>
      </c>
      <c r="CU180" s="123">
        <v>52.839035034179688</v>
      </c>
      <c r="CV180" s="124">
        <v>61.443740844726563</v>
      </c>
      <c r="CW180" s="125">
        <v>3</v>
      </c>
      <c r="CX180" s="123">
        <v>319</v>
      </c>
      <c r="CY180" s="123">
        <v>115.72764587402344</v>
      </c>
      <c r="CZ180" s="123">
        <v>49.508029937744141</v>
      </c>
      <c r="DA180" s="123">
        <v>20.622106552124023</v>
      </c>
      <c r="DB180" s="123">
        <v>32.602790832519531</v>
      </c>
      <c r="DC180" s="123">
        <v>82.778739929199219</v>
      </c>
      <c r="DD180" s="123">
        <v>47</v>
      </c>
      <c r="DE180" s="123">
        <v>173</v>
      </c>
      <c r="DF180" s="123">
        <v>105.47285461425781</v>
      </c>
      <c r="DG180" s="123">
        <v>65.922920227050781</v>
      </c>
      <c r="DH180" s="123">
        <v>46.672981262207031</v>
      </c>
      <c r="DI180" s="128">
        <v>36.352890014648438</v>
      </c>
      <c r="DJ180" s="127">
        <v>208</v>
      </c>
      <c r="DK180" s="123">
        <v>103.05899810791016</v>
      </c>
      <c r="DL180" s="123">
        <v>24.089000701904297</v>
      </c>
      <c r="DM180" s="123">
        <v>26.152999877929688</v>
      </c>
      <c r="DN180" s="123">
        <v>49.125999450683594</v>
      </c>
      <c r="DO180" s="124">
        <v>113.62252044677734</v>
      </c>
      <c r="DP180" s="125">
        <v>15.465999603271484</v>
      </c>
      <c r="DQ180" s="123"/>
      <c r="DR180" s="125">
        <v>67</v>
      </c>
      <c r="DS180" s="128">
        <v>33.799999237060547</v>
      </c>
      <c r="DT180" s="127">
        <v>12</v>
      </c>
      <c r="DU180" s="123"/>
      <c r="DV180" s="123">
        <v>8</v>
      </c>
      <c r="DW180" s="123">
        <v>1.3858799934387207</v>
      </c>
      <c r="DX180" s="125">
        <v>10</v>
      </c>
      <c r="DY180" s="128"/>
      <c r="DZ180" s="127">
        <v>45</v>
      </c>
      <c r="EA180" s="123">
        <v>3</v>
      </c>
      <c r="EB180" s="123">
        <v>0</v>
      </c>
      <c r="EC180" s="123">
        <v>1</v>
      </c>
      <c r="ED180" s="123">
        <v>242.80000305175781</v>
      </c>
      <c r="EE180" s="129"/>
      <c r="EF180" s="129"/>
      <c r="EG180" s="129"/>
    </row>
    <row r="181" spans="1:137" x14ac:dyDescent="0.3">
      <c r="A181" s="226">
        <f t="shared" si="9"/>
        <v>46020.122916667067</v>
      </c>
      <c r="B181" s="123">
        <v>230</v>
      </c>
      <c r="C181" s="123">
        <v>48.518001556396484</v>
      </c>
      <c r="D181" s="123">
        <v>101.67400360107422</v>
      </c>
      <c r="E181" s="123">
        <v>18.434000015258789</v>
      </c>
      <c r="F181" s="123">
        <v>7.5057582855224609</v>
      </c>
      <c r="G181" s="124">
        <v>16.059000015258789</v>
      </c>
      <c r="H181" s="125">
        <v>311</v>
      </c>
      <c r="I181" s="123">
        <v>275</v>
      </c>
      <c r="J181" s="123">
        <v>63.898998260498047</v>
      </c>
      <c r="K181" s="123">
        <v>60.799812316894531</v>
      </c>
      <c r="L181" s="123">
        <v>43.118000030517578</v>
      </c>
      <c r="M181" s="123">
        <v>12.553000450134277</v>
      </c>
      <c r="N181" s="123">
        <v>17.048999786376953</v>
      </c>
      <c r="O181" s="123">
        <v>20</v>
      </c>
      <c r="P181" s="123">
        <v>0</v>
      </c>
      <c r="Q181" s="123">
        <v>19.964216232299805</v>
      </c>
      <c r="R181" s="123">
        <v>10.003125190734863</v>
      </c>
      <c r="S181" s="123">
        <v>8.7941503524780273</v>
      </c>
      <c r="T181" s="123">
        <v>9</v>
      </c>
      <c r="U181" s="123">
        <v>9</v>
      </c>
      <c r="V181" s="125">
        <v>883</v>
      </c>
      <c r="W181" s="123">
        <v>26.03596305847168</v>
      </c>
      <c r="X181" s="123">
        <v>26.35099983215332</v>
      </c>
      <c r="Y181" s="123">
        <v>6.3610000610351563</v>
      </c>
      <c r="Z181" s="123">
        <v>0</v>
      </c>
      <c r="AA181" s="123">
        <v>21.261999130249023</v>
      </c>
      <c r="AB181" s="123">
        <v>0</v>
      </c>
      <c r="AC181" s="123">
        <v>55.658489227294922</v>
      </c>
      <c r="AD181" s="123">
        <v>6.3610000610351563</v>
      </c>
      <c r="AE181" s="123">
        <v>0</v>
      </c>
      <c r="AF181" s="123">
        <v>83.739356994628906</v>
      </c>
      <c r="AG181" s="123">
        <v>0</v>
      </c>
      <c r="AH181" s="123">
        <v>59.424400329589844</v>
      </c>
      <c r="AI181" s="123">
        <v>11.831999778747559</v>
      </c>
      <c r="AJ181" s="123">
        <v>18.724483489990234</v>
      </c>
      <c r="AK181" s="123">
        <v>44.553874969482422</v>
      </c>
      <c r="AL181" s="123">
        <v>39.229999542236328</v>
      </c>
      <c r="AM181" s="126">
        <v>54.074001312255859</v>
      </c>
      <c r="AN181" s="125">
        <v>117.0625</v>
      </c>
      <c r="AO181" s="127">
        <v>63</v>
      </c>
      <c r="AP181" s="123">
        <v>61.556137084960938</v>
      </c>
      <c r="AQ181" s="123">
        <v>37.693958282470703</v>
      </c>
      <c r="AR181" s="123">
        <v>89</v>
      </c>
      <c r="AS181" s="123"/>
      <c r="AT181" s="123">
        <v>115</v>
      </c>
      <c r="AU181" s="123"/>
      <c r="AV181" s="123">
        <v>74</v>
      </c>
      <c r="AW181" s="123"/>
      <c r="AX181" s="123">
        <v>30</v>
      </c>
      <c r="AY181" s="123">
        <v>32.380344390869141</v>
      </c>
      <c r="AZ181" s="123">
        <v>13</v>
      </c>
      <c r="BA181" s="123"/>
      <c r="BB181" s="123">
        <v>297</v>
      </c>
      <c r="BC181" s="123">
        <v>297.29293823242188</v>
      </c>
      <c r="BD181" s="123">
        <v>7</v>
      </c>
      <c r="BE181" s="123">
        <v>7.1737074851989746</v>
      </c>
      <c r="BF181" s="123">
        <v>29</v>
      </c>
      <c r="BG181" s="123">
        <v>10</v>
      </c>
      <c r="BH181" s="123">
        <v>11.024374008178711</v>
      </c>
      <c r="BI181" s="123"/>
      <c r="BJ181" s="108">
        <f t="shared" si="7"/>
        <v>13</v>
      </c>
      <c r="BK181" s="123">
        <v>13</v>
      </c>
      <c r="BL181" s="123">
        <v>0</v>
      </c>
      <c r="BM181" s="126"/>
      <c r="BN181" s="108">
        <f t="shared" si="8"/>
        <v>122</v>
      </c>
      <c r="BO181" s="108">
        <v>73</v>
      </c>
      <c r="BP181" s="108">
        <v>49</v>
      </c>
      <c r="BQ181" s="108">
        <v>270</v>
      </c>
      <c r="BR181" s="123">
        <v>69.214996337890625</v>
      </c>
      <c r="BS181" s="123">
        <v>24.937000274658203</v>
      </c>
      <c r="BT181" s="123">
        <v>40.869998931884766</v>
      </c>
      <c r="BU181" s="123">
        <v>37.088001251220703</v>
      </c>
      <c r="BV181" s="123">
        <v>68.800003051757813</v>
      </c>
      <c r="BW181" s="123">
        <v>5.9000000953674316</v>
      </c>
      <c r="BX181" s="123">
        <v>13.5</v>
      </c>
      <c r="BY181" s="123">
        <v>29</v>
      </c>
      <c r="BZ181" s="123">
        <v>1.577899232506752E-2</v>
      </c>
      <c r="CA181" s="123">
        <v>1</v>
      </c>
      <c r="CB181" s="123">
        <v>29.06144905090332</v>
      </c>
      <c r="CC181" s="126"/>
      <c r="CD181" s="123">
        <v>350.85003662109375</v>
      </c>
      <c r="CE181" s="123">
        <v>33.368816375732422</v>
      </c>
      <c r="CF181" s="123">
        <v>20.726181030273438</v>
      </c>
      <c r="CG181" s="123">
        <v>35.338191986083984</v>
      </c>
      <c r="CH181" s="123">
        <v>281.62918090820313</v>
      </c>
      <c r="CI181" s="123">
        <v>81.359603881835938</v>
      </c>
      <c r="CJ181" s="123">
        <v>34.796745300292969</v>
      </c>
      <c r="CK181" s="123">
        <v>51.802692413330078</v>
      </c>
      <c r="CL181" s="124">
        <v>30.5205078125</v>
      </c>
      <c r="CM181" s="125">
        <v>212.36817932128906</v>
      </c>
      <c r="CN181" s="123">
        <v>58.496852874755859</v>
      </c>
      <c r="CO181" s="123">
        <v>63.542102813720703</v>
      </c>
      <c r="CP181" s="123">
        <v>85.369308471679688</v>
      </c>
      <c r="CQ181" s="123">
        <v>0</v>
      </c>
      <c r="CR181" s="123">
        <v>50.293895721435547</v>
      </c>
      <c r="CS181" s="123">
        <v>9.0284175872802734</v>
      </c>
      <c r="CT181" s="123">
        <v>35.325981140136719</v>
      </c>
      <c r="CU181" s="123">
        <v>52.369602203369141</v>
      </c>
      <c r="CV181" s="124">
        <v>60.249355316162109</v>
      </c>
      <c r="CW181" s="125">
        <v>7</v>
      </c>
      <c r="CX181" s="123">
        <v>312</v>
      </c>
      <c r="CY181" s="123">
        <v>117.31316375732422</v>
      </c>
      <c r="CZ181" s="123">
        <v>48.54962158203125</v>
      </c>
      <c r="DA181" s="123">
        <v>20.1661376953125</v>
      </c>
      <c r="DB181" s="123">
        <v>31.516422271728516</v>
      </c>
      <c r="DC181" s="123">
        <v>78.714561462402344</v>
      </c>
      <c r="DD181" s="123">
        <v>51</v>
      </c>
      <c r="DE181" s="123">
        <v>176</v>
      </c>
      <c r="DF181" s="123">
        <v>105.47063446044922</v>
      </c>
      <c r="DG181" s="123">
        <v>65.922920227050781</v>
      </c>
      <c r="DH181" s="123">
        <v>46.905216217041016</v>
      </c>
      <c r="DI181" s="128">
        <v>36.352890014648438</v>
      </c>
      <c r="DJ181" s="127">
        <v>207</v>
      </c>
      <c r="DK181" s="123">
        <v>104.07700347900391</v>
      </c>
      <c r="DL181" s="123">
        <v>22.392999649047852</v>
      </c>
      <c r="DM181" s="123">
        <v>26.152999877929688</v>
      </c>
      <c r="DN181" s="123">
        <v>49.833000183105469</v>
      </c>
      <c r="DO181" s="124">
        <v>112.36248016357422</v>
      </c>
      <c r="DP181" s="125">
        <v>15.465999603271484</v>
      </c>
      <c r="DQ181" s="123"/>
      <c r="DR181" s="125">
        <v>67</v>
      </c>
      <c r="DS181" s="128">
        <v>32.700000762939453</v>
      </c>
      <c r="DT181" s="127">
        <v>12</v>
      </c>
      <c r="DU181" s="123"/>
      <c r="DV181" s="123">
        <v>7</v>
      </c>
      <c r="DW181" s="123">
        <v>1.3829038143157959</v>
      </c>
      <c r="DX181" s="125">
        <v>10</v>
      </c>
      <c r="DY181" s="128"/>
      <c r="DZ181" s="127">
        <v>46</v>
      </c>
      <c r="EA181" s="123">
        <v>3</v>
      </c>
      <c r="EB181" s="123">
        <v>0</v>
      </c>
      <c r="EC181" s="123">
        <v>1</v>
      </c>
      <c r="ED181" s="123">
        <v>243.80000305175781</v>
      </c>
      <c r="EE181" s="129"/>
      <c r="EF181" s="129"/>
      <c r="EG181" s="129"/>
    </row>
    <row r="182" spans="1:137" x14ac:dyDescent="0.3">
      <c r="A182" s="226">
        <f t="shared" si="9"/>
        <v>46020.123611111514</v>
      </c>
      <c r="B182" s="123">
        <v>237</v>
      </c>
      <c r="C182" s="123">
        <v>44.446998596191406</v>
      </c>
      <c r="D182" s="123">
        <v>102.23899841308594</v>
      </c>
      <c r="E182" s="123">
        <v>20.243999481201172</v>
      </c>
      <c r="F182" s="123">
        <v>6.7959957122802734</v>
      </c>
      <c r="G182" s="124">
        <v>16.625</v>
      </c>
      <c r="H182" s="125">
        <v>308</v>
      </c>
      <c r="I182" s="123">
        <v>273</v>
      </c>
      <c r="J182" s="123">
        <v>64.125999450683594</v>
      </c>
      <c r="K182" s="123">
        <v>61.355422973632813</v>
      </c>
      <c r="L182" s="123">
        <v>42.234001159667969</v>
      </c>
      <c r="M182" s="123">
        <v>12.10099983215332</v>
      </c>
      <c r="N182" s="123">
        <v>16.540000915527344</v>
      </c>
      <c r="O182" s="123">
        <v>17</v>
      </c>
      <c r="P182" s="123">
        <v>0</v>
      </c>
      <c r="Q182" s="123">
        <v>17.898445129394531</v>
      </c>
      <c r="R182" s="123">
        <v>7.9968748092651367</v>
      </c>
      <c r="S182" s="123">
        <v>8.2004470825195313</v>
      </c>
      <c r="T182" s="123">
        <v>9</v>
      </c>
      <c r="U182" s="123">
        <v>9</v>
      </c>
      <c r="V182" s="125">
        <v>879</v>
      </c>
      <c r="W182" s="123">
        <v>26.772178649902344</v>
      </c>
      <c r="X182" s="123">
        <v>25.785999298095703</v>
      </c>
      <c r="Y182" s="123">
        <v>6.3610000610351563</v>
      </c>
      <c r="Z182" s="123">
        <v>0</v>
      </c>
      <c r="AA182" s="123">
        <v>22.052999496459961</v>
      </c>
      <c r="AB182" s="123">
        <v>0</v>
      </c>
      <c r="AC182" s="123">
        <v>54.752597808837891</v>
      </c>
      <c r="AD182" s="123">
        <v>6.3610000610351563</v>
      </c>
      <c r="AE182" s="123">
        <v>0</v>
      </c>
      <c r="AF182" s="123">
        <v>81.408950805664063</v>
      </c>
      <c r="AG182" s="123">
        <v>0</v>
      </c>
      <c r="AH182" s="123">
        <v>61.318023681640625</v>
      </c>
      <c r="AI182" s="123">
        <v>12.277999877929688</v>
      </c>
      <c r="AJ182" s="123">
        <v>18.724483489990234</v>
      </c>
      <c r="AK182" s="123">
        <v>39.749855041503906</v>
      </c>
      <c r="AL182" s="123">
        <v>40.290000915527344</v>
      </c>
      <c r="AM182" s="126">
        <v>56.363998413085938</v>
      </c>
      <c r="AN182" s="125">
        <v>114.125</v>
      </c>
      <c r="AO182" s="127">
        <v>60</v>
      </c>
      <c r="AP182" s="123">
        <v>61.219123840332031</v>
      </c>
      <c r="AQ182" s="123">
        <v>36.153118133544922</v>
      </c>
      <c r="AR182" s="123">
        <v>90</v>
      </c>
      <c r="AS182" s="123"/>
      <c r="AT182" s="123">
        <v>115</v>
      </c>
      <c r="AU182" s="123"/>
      <c r="AV182" s="123">
        <v>72</v>
      </c>
      <c r="AW182" s="123"/>
      <c r="AX182" s="123">
        <v>30</v>
      </c>
      <c r="AY182" s="123">
        <v>32.023082733154297</v>
      </c>
      <c r="AZ182" s="123">
        <v>13</v>
      </c>
      <c r="BA182" s="123"/>
      <c r="BB182" s="123">
        <v>295</v>
      </c>
      <c r="BC182" s="123">
        <v>295.88726806640625</v>
      </c>
      <c r="BD182" s="123">
        <v>7.1999998092651367</v>
      </c>
      <c r="BE182" s="123">
        <v>7.183342456817627</v>
      </c>
      <c r="BF182" s="123">
        <v>30</v>
      </c>
      <c r="BG182" s="123">
        <v>10</v>
      </c>
      <c r="BH182" s="123">
        <v>11.197412490844727</v>
      </c>
      <c r="BI182" s="123"/>
      <c r="BJ182" s="108">
        <f t="shared" si="7"/>
        <v>13</v>
      </c>
      <c r="BK182" s="123">
        <v>13</v>
      </c>
      <c r="BL182" s="123">
        <v>0</v>
      </c>
      <c r="BM182" s="126"/>
      <c r="BN182" s="108">
        <f t="shared" si="8"/>
        <v>120</v>
      </c>
      <c r="BO182" s="108">
        <v>72</v>
      </c>
      <c r="BP182" s="108">
        <v>48</v>
      </c>
      <c r="BQ182" s="108">
        <v>267</v>
      </c>
      <c r="BR182" s="123">
        <v>67.745002746582031</v>
      </c>
      <c r="BS182" s="123">
        <v>25.191999435424805</v>
      </c>
      <c r="BT182" s="123">
        <v>40.869998931884766</v>
      </c>
      <c r="BU182" s="123">
        <v>36.770000457763672</v>
      </c>
      <c r="BV182" s="123">
        <v>68.400001525878906</v>
      </c>
      <c r="BW182" s="123">
        <v>5.9000000953674316</v>
      </c>
      <c r="BX182" s="123">
        <v>13.5</v>
      </c>
      <c r="BY182" s="123">
        <v>28</v>
      </c>
      <c r="BZ182" s="123">
        <v>1.4053735882043839E-2</v>
      </c>
      <c r="CA182" s="123">
        <v>1</v>
      </c>
      <c r="CB182" s="123">
        <v>29.016456604003906</v>
      </c>
      <c r="CC182" s="126"/>
      <c r="CD182" s="123">
        <v>351.47042846679688</v>
      </c>
      <c r="CE182" s="123">
        <v>32.753559112548828</v>
      </c>
      <c r="CF182" s="123">
        <v>20.927433013916016</v>
      </c>
      <c r="CG182" s="123">
        <v>35.338191986083984</v>
      </c>
      <c r="CH182" s="123">
        <v>280.73208618164063</v>
      </c>
      <c r="CI182" s="123">
        <v>82.364616394042969</v>
      </c>
      <c r="CJ182" s="123">
        <v>34.872386932373047</v>
      </c>
      <c r="CK182" s="123">
        <v>52.620750427246094</v>
      </c>
      <c r="CL182" s="124">
        <v>30.167364120483398</v>
      </c>
      <c r="CM182" s="125">
        <v>206.64851379394531</v>
      </c>
      <c r="CN182" s="123">
        <v>57.783607482910156</v>
      </c>
      <c r="CO182" s="123">
        <v>64.201362609863281</v>
      </c>
      <c r="CP182" s="123">
        <v>83.286140441894531</v>
      </c>
      <c r="CQ182" s="123">
        <v>0</v>
      </c>
      <c r="CR182" s="123">
        <v>49.206516265869141</v>
      </c>
      <c r="CS182" s="123">
        <v>9.4030542373657227</v>
      </c>
      <c r="CT182" s="123">
        <v>28.855566024780273</v>
      </c>
      <c r="CU182" s="123">
        <v>50.730270385742188</v>
      </c>
      <c r="CV182" s="124">
        <v>58.804985046386719</v>
      </c>
      <c r="CW182" s="125">
        <v>1</v>
      </c>
      <c r="CX182" s="123">
        <v>306</v>
      </c>
      <c r="CY182" s="123">
        <v>113.7730712890625</v>
      </c>
      <c r="CZ182" s="123">
        <v>48.921928405761719</v>
      </c>
      <c r="DA182" s="123">
        <v>20.156675338745117</v>
      </c>
      <c r="DB182" s="123">
        <v>31.360755920410156</v>
      </c>
      <c r="DC182" s="123">
        <v>78.714561462402344</v>
      </c>
      <c r="DD182" s="123">
        <v>53</v>
      </c>
      <c r="DE182" s="123">
        <v>176</v>
      </c>
      <c r="DF182" s="123">
        <v>102.69516754150391</v>
      </c>
      <c r="DG182" s="123">
        <v>66.479843139648438</v>
      </c>
      <c r="DH182" s="123">
        <v>47.547039031982422</v>
      </c>
      <c r="DI182" s="128">
        <v>36.175090789794922</v>
      </c>
      <c r="DJ182" s="127">
        <v>207</v>
      </c>
      <c r="DK182" s="123">
        <v>108.14900207519531</v>
      </c>
      <c r="DL182" s="123">
        <v>25.107000350952148</v>
      </c>
      <c r="DM182" s="123">
        <v>28.981000900268555</v>
      </c>
      <c r="DN182" s="123">
        <v>52.484001159667969</v>
      </c>
      <c r="DO182" s="124">
        <v>113.16478729248047</v>
      </c>
      <c r="DP182" s="125">
        <v>15.861000061035156</v>
      </c>
      <c r="DQ182" s="123"/>
      <c r="DR182" s="125">
        <v>67</v>
      </c>
      <c r="DS182" s="128">
        <v>33</v>
      </c>
      <c r="DT182" s="127">
        <v>12</v>
      </c>
      <c r="DU182" s="123"/>
      <c r="DV182" s="123">
        <v>8</v>
      </c>
      <c r="DW182" s="123">
        <v>1.3573106527328491</v>
      </c>
      <c r="DX182" s="125">
        <v>10</v>
      </c>
      <c r="DY182" s="128"/>
      <c r="DZ182" s="127">
        <v>45</v>
      </c>
      <c r="EA182" s="123">
        <v>3</v>
      </c>
      <c r="EB182" s="123">
        <v>0</v>
      </c>
      <c r="EC182" s="123">
        <v>1</v>
      </c>
      <c r="ED182" s="123">
        <v>240.60000610351563</v>
      </c>
      <c r="EE182" s="129"/>
      <c r="EF182" s="129"/>
      <c r="EG182" s="129"/>
    </row>
    <row r="183" spans="1:137" x14ac:dyDescent="0.3">
      <c r="A183" s="226">
        <f t="shared" si="9"/>
        <v>46020.124305555961</v>
      </c>
      <c r="B183" s="123">
        <v>232</v>
      </c>
      <c r="C183" s="123">
        <v>46.256000518798828</v>
      </c>
      <c r="D183" s="123">
        <v>101.56099700927734</v>
      </c>
      <c r="E183" s="123">
        <v>19.451999664306641</v>
      </c>
      <c r="F183" s="123">
        <v>0</v>
      </c>
      <c r="G183" s="124">
        <v>16.625</v>
      </c>
      <c r="H183" s="125">
        <v>303</v>
      </c>
      <c r="I183" s="123">
        <v>274</v>
      </c>
      <c r="J183" s="123">
        <v>65.143997192382813</v>
      </c>
      <c r="K183" s="123">
        <v>60.886730194091797</v>
      </c>
      <c r="L183" s="123">
        <v>42.941001892089844</v>
      </c>
      <c r="M183" s="123">
        <v>12.892999649047852</v>
      </c>
      <c r="N183" s="123">
        <v>17.812000274658203</v>
      </c>
      <c r="O183" s="123">
        <v>19</v>
      </c>
      <c r="P183" s="123">
        <v>0</v>
      </c>
      <c r="Q183" s="123">
        <v>19.271230697631836</v>
      </c>
      <c r="R183" s="123">
        <v>9</v>
      </c>
      <c r="S183" s="123">
        <v>9.4660177230834961</v>
      </c>
      <c r="T183" s="123">
        <v>9</v>
      </c>
      <c r="U183" s="123">
        <v>9</v>
      </c>
      <c r="V183" s="125">
        <v>867</v>
      </c>
      <c r="W183" s="123">
        <v>28.171859741210938</v>
      </c>
      <c r="X183" s="123">
        <v>25.445999145507813</v>
      </c>
      <c r="Y183" s="123">
        <v>6.8070001602172852</v>
      </c>
      <c r="Z183" s="123">
        <v>0</v>
      </c>
      <c r="AA183" s="123">
        <v>21.940000534057617</v>
      </c>
      <c r="AB183" s="123">
        <v>0</v>
      </c>
      <c r="AC183" s="123">
        <v>54.815006256103516</v>
      </c>
      <c r="AD183" s="123">
        <v>6.1069998741149902</v>
      </c>
      <c r="AE183" s="123">
        <v>0</v>
      </c>
      <c r="AF183" s="123">
        <v>83.201301574707031</v>
      </c>
      <c r="AG183" s="123">
        <v>0</v>
      </c>
      <c r="AH183" s="123">
        <v>62.452892303466797</v>
      </c>
      <c r="AI183" s="123">
        <v>11.704999923706055</v>
      </c>
      <c r="AJ183" s="123">
        <v>17.57154655456543</v>
      </c>
      <c r="AK183" s="123">
        <v>37.602180480957031</v>
      </c>
      <c r="AL183" s="123">
        <v>40.466999053955078</v>
      </c>
      <c r="AM183" s="126">
        <v>54.709999084472656</v>
      </c>
      <c r="AN183" s="125">
        <v>113.875</v>
      </c>
      <c r="AO183" s="127">
        <v>59</v>
      </c>
      <c r="AP183" s="123">
        <v>61.199974060058594</v>
      </c>
      <c r="AQ183" s="123">
        <v>36.153118133544922</v>
      </c>
      <c r="AR183" s="123">
        <v>90</v>
      </c>
      <c r="AS183" s="123"/>
      <c r="AT183" s="123">
        <v>115</v>
      </c>
      <c r="AU183" s="123"/>
      <c r="AV183" s="123">
        <v>72</v>
      </c>
      <c r="AW183" s="123"/>
      <c r="AX183" s="123">
        <v>29</v>
      </c>
      <c r="AY183" s="123">
        <v>32.023082733154297</v>
      </c>
      <c r="AZ183" s="123">
        <v>14</v>
      </c>
      <c r="BA183" s="123"/>
      <c r="BB183" s="123">
        <v>295</v>
      </c>
      <c r="BC183" s="123">
        <v>294.66229248046875</v>
      </c>
      <c r="BD183" s="123">
        <v>6.6999998092651367</v>
      </c>
      <c r="BE183" s="123">
        <v>6.7487826347351074</v>
      </c>
      <c r="BF183" s="123">
        <v>30</v>
      </c>
      <c r="BG183" s="123">
        <v>10</v>
      </c>
      <c r="BH183" s="123">
        <v>10.993376731872559</v>
      </c>
      <c r="BI183" s="123"/>
      <c r="BJ183" s="108">
        <f t="shared" si="7"/>
        <v>14</v>
      </c>
      <c r="BK183" s="123">
        <v>14</v>
      </c>
      <c r="BL183" s="123">
        <v>0</v>
      </c>
      <c r="BM183" s="126"/>
      <c r="BN183" s="108">
        <f t="shared" si="8"/>
        <v>121.20000076293945</v>
      </c>
      <c r="BO183" s="108">
        <v>73</v>
      </c>
      <c r="BP183" s="108">
        <v>48.200000762939453</v>
      </c>
      <c r="BQ183" s="108">
        <v>269</v>
      </c>
      <c r="BR183" s="123">
        <v>66.726997375488281</v>
      </c>
      <c r="BS183" s="123">
        <v>25.191999435424805</v>
      </c>
      <c r="BT183" s="123">
        <v>40.523998260498047</v>
      </c>
      <c r="BU183" s="123">
        <v>36.707000732421875</v>
      </c>
      <c r="BV183" s="123">
        <v>69.400001525878906</v>
      </c>
      <c r="BW183" s="123">
        <v>5.9000000953674316</v>
      </c>
      <c r="BX183" s="123">
        <v>13.5</v>
      </c>
      <c r="BY183" s="123">
        <v>28</v>
      </c>
      <c r="BZ183" s="123">
        <v>1.4053735882043839E-2</v>
      </c>
      <c r="CA183" s="123">
        <v>1</v>
      </c>
      <c r="CB183" s="123">
        <v>29.055376052856445</v>
      </c>
      <c r="CC183" s="126"/>
      <c r="CD183" s="123">
        <v>340.77182006835938</v>
      </c>
      <c r="CE183" s="123">
        <v>31.915924072265625</v>
      </c>
      <c r="CF183" s="123">
        <v>20.903530120849609</v>
      </c>
      <c r="CG183" s="123">
        <v>35.338191986083984</v>
      </c>
      <c r="CH183" s="123">
        <v>277.11956787109375</v>
      </c>
      <c r="CI183" s="123">
        <v>81.729324340820313</v>
      </c>
      <c r="CJ183" s="123">
        <v>34.561988830566406</v>
      </c>
      <c r="CK183" s="123">
        <v>52.8372802734375</v>
      </c>
      <c r="CL183" s="124">
        <v>28.561489105224609</v>
      </c>
      <c r="CM183" s="125">
        <v>206.48739624023438</v>
      </c>
      <c r="CN183" s="123">
        <v>60.119026184082031</v>
      </c>
      <c r="CO183" s="123">
        <v>63.161708831787109</v>
      </c>
      <c r="CP183" s="123">
        <v>82.69769287109375</v>
      </c>
      <c r="CQ183" s="123">
        <v>0</v>
      </c>
      <c r="CR183" s="123">
        <v>49.881992340087891</v>
      </c>
      <c r="CS183" s="123">
        <v>7.598151683807373</v>
      </c>
      <c r="CT183" s="123">
        <v>25.689416885375977</v>
      </c>
      <c r="CU183" s="123">
        <v>84.280265808105469</v>
      </c>
      <c r="CV183" s="124">
        <v>53.869785308837891</v>
      </c>
      <c r="CW183" s="125">
        <v>1</v>
      </c>
      <c r="CX183" s="123">
        <v>314</v>
      </c>
      <c r="CY183" s="123">
        <v>114.20981597900391</v>
      </c>
      <c r="CZ183" s="123">
        <v>50.51361083984375</v>
      </c>
      <c r="DA183" s="123">
        <v>19.345462799072266</v>
      </c>
      <c r="DB183" s="123">
        <v>31.668394088745117</v>
      </c>
      <c r="DC183" s="123">
        <v>79.506965637207031</v>
      </c>
      <c r="DD183" s="123">
        <v>55</v>
      </c>
      <c r="DE183" s="123">
        <v>176</v>
      </c>
      <c r="DF183" s="123">
        <v>103.27266693115234</v>
      </c>
      <c r="DG183" s="123">
        <v>68.175582885742188</v>
      </c>
      <c r="DH183" s="123">
        <v>48.588642120361328</v>
      </c>
      <c r="DI183" s="128">
        <v>36.175090789794922</v>
      </c>
      <c r="DJ183" s="127">
        <v>203</v>
      </c>
      <c r="DK183" s="123">
        <v>103.822998046875</v>
      </c>
      <c r="DL183" s="123">
        <v>25.107000350952148</v>
      </c>
      <c r="DM183" s="123">
        <v>26.152999877929688</v>
      </c>
      <c r="DN183" s="123">
        <v>49.125999450683594</v>
      </c>
      <c r="DO183" s="124">
        <v>110.22631072998047</v>
      </c>
      <c r="DP183" s="125">
        <v>15.918000221252441</v>
      </c>
      <c r="DQ183" s="123"/>
      <c r="DR183" s="125">
        <v>67</v>
      </c>
      <c r="DS183" s="128">
        <v>32.700000762939453</v>
      </c>
      <c r="DT183" s="127">
        <v>12</v>
      </c>
      <c r="DU183" s="123"/>
      <c r="DV183" s="123">
        <v>8</v>
      </c>
      <c r="DW183" s="123">
        <v>1.3897581100463867</v>
      </c>
      <c r="DX183" s="125">
        <v>10</v>
      </c>
      <c r="DY183" s="128"/>
      <c r="DZ183" s="127">
        <v>45</v>
      </c>
      <c r="EA183" s="123">
        <v>3</v>
      </c>
      <c r="EB183" s="123">
        <v>0</v>
      </c>
      <c r="EC183" s="123">
        <v>2</v>
      </c>
      <c r="ED183" s="123">
        <v>243.10000610351563</v>
      </c>
      <c r="EE183" s="129"/>
      <c r="EF183" s="129"/>
      <c r="EG183" s="129"/>
    </row>
    <row r="184" spans="1:137" x14ac:dyDescent="0.3">
      <c r="A184" s="226">
        <f t="shared" si="9"/>
        <v>46020.125000000407</v>
      </c>
      <c r="B184" s="123">
        <v>229</v>
      </c>
      <c r="C184" s="123">
        <v>45.916999816894531</v>
      </c>
      <c r="D184" s="123">
        <v>101.67400360107422</v>
      </c>
      <c r="E184" s="123">
        <v>17.076999664306641</v>
      </c>
      <c r="F184" s="123">
        <v>6.1016149520874023</v>
      </c>
      <c r="G184" s="124">
        <v>16.85099983215332</v>
      </c>
      <c r="H184" s="125">
        <v>303</v>
      </c>
      <c r="I184" s="123">
        <v>278</v>
      </c>
      <c r="J184" s="123">
        <v>63.785999298095703</v>
      </c>
      <c r="K184" s="123">
        <v>60.96563720703125</v>
      </c>
      <c r="L184" s="123">
        <v>44.178001403808594</v>
      </c>
      <c r="M184" s="123">
        <v>12.21399974822998</v>
      </c>
      <c r="N184" s="123">
        <v>17.621000289916992</v>
      </c>
      <c r="O184" s="123">
        <v>16</v>
      </c>
      <c r="P184" s="123">
        <v>0</v>
      </c>
      <c r="Q184" s="123">
        <v>17.79438591003418</v>
      </c>
      <c r="R184" s="123">
        <v>10.996874809265137</v>
      </c>
      <c r="S184" s="123">
        <v>10.31777286529541</v>
      </c>
      <c r="T184" s="123">
        <v>9</v>
      </c>
      <c r="U184" s="123">
        <v>9</v>
      </c>
      <c r="V184" s="125">
        <v>867</v>
      </c>
      <c r="W184" s="123">
        <v>27.755388259887695</v>
      </c>
      <c r="X184" s="123">
        <v>26.125</v>
      </c>
      <c r="Y184" s="123">
        <v>7.2519998550415039</v>
      </c>
      <c r="Z184" s="123">
        <v>0</v>
      </c>
      <c r="AA184" s="123">
        <v>20.469999313354492</v>
      </c>
      <c r="AB184" s="123">
        <v>0</v>
      </c>
      <c r="AC184" s="123">
        <v>56.054737091064453</v>
      </c>
      <c r="AD184" s="123">
        <v>6.3610000610351563</v>
      </c>
      <c r="AE184" s="123">
        <v>0</v>
      </c>
      <c r="AF184" s="123">
        <v>82.60064697265625</v>
      </c>
      <c r="AG184" s="123">
        <v>0</v>
      </c>
      <c r="AH184" s="123">
        <v>61.221214294433594</v>
      </c>
      <c r="AI184" s="123">
        <v>10.305000305175781</v>
      </c>
      <c r="AJ184" s="123">
        <v>17.72004508972168</v>
      </c>
      <c r="AK184" s="123">
        <v>36.857429504394531</v>
      </c>
      <c r="AL184" s="123">
        <v>37.993000030517578</v>
      </c>
      <c r="AM184" s="126">
        <v>55.536998748779297</v>
      </c>
      <c r="AN184" s="125">
        <v>115.8125</v>
      </c>
      <c r="AO184" s="127">
        <v>59</v>
      </c>
      <c r="AP184" s="123">
        <v>61.679859161376953</v>
      </c>
      <c r="AQ184" s="123">
        <v>36.227375030517578</v>
      </c>
      <c r="AR184" s="123">
        <v>91</v>
      </c>
      <c r="AS184" s="123"/>
      <c r="AT184" s="123">
        <v>115</v>
      </c>
      <c r="AU184" s="123"/>
      <c r="AV184" s="123">
        <v>64</v>
      </c>
      <c r="AW184" s="123"/>
      <c r="AX184" s="123">
        <v>30</v>
      </c>
      <c r="AY184" s="123">
        <v>32.827110290527344</v>
      </c>
      <c r="AZ184" s="123">
        <v>13</v>
      </c>
      <c r="BA184" s="123"/>
      <c r="BB184" s="123">
        <v>295</v>
      </c>
      <c r="BC184" s="123">
        <v>294.66229248046875</v>
      </c>
      <c r="BD184" s="123">
        <v>6.6999998092651367</v>
      </c>
      <c r="BE184" s="123">
        <v>6.7487826347351074</v>
      </c>
      <c r="BF184" s="123">
        <v>30</v>
      </c>
      <c r="BG184" s="123">
        <v>10</v>
      </c>
      <c r="BH184" s="123">
        <v>10.993376731872559</v>
      </c>
      <c r="BI184" s="123"/>
      <c r="BJ184" s="108">
        <f t="shared" si="7"/>
        <v>13</v>
      </c>
      <c r="BK184" s="123">
        <v>13</v>
      </c>
      <c r="BL184" s="123">
        <v>0</v>
      </c>
      <c r="BM184" s="126"/>
      <c r="BN184" s="108">
        <f t="shared" si="8"/>
        <v>122</v>
      </c>
      <c r="BO184" s="108">
        <v>73</v>
      </c>
      <c r="BP184" s="108">
        <v>49</v>
      </c>
      <c r="BQ184" s="108">
        <v>265</v>
      </c>
      <c r="BR184" s="123">
        <v>67.858001708984375</v>
      </c>
      <c r="BS184" s="123">
        <v>24.937000274658203</v>
      </c>
      <c r="BT184" s="123">
        <v>40.869998931884766</v>
      </c>
      <c r="BU184" s="123">
        <v>36.388999938964844</v>
      </c>
      <c r="BV184" s="123">
        <v>69.300003051757813</v>
      </c>
      <c r="BW184" s="123">
        <v>5.8000001907348633</v>
      </c>
      <c r="BX184" s="123">
        <v>13.5</v>
      </c>
      <c r="BY184" s="123">
        <v>27</v>
      </c>
      <c r="BZ184" s="123">
        <v>1.4519100077450275E-2</v>
      </c>
      <c r="CA184" s="123">
        <v>1</v>
      </c>
      <c r="CB184" s="123">
        <v>29.272882461547852</v>
      </c>
      <c r="CC184" s="126"/>
      <c r="CD184" s="123">
        <v>342.18612670898438</v>
      </c>
      <c r="CE184" s="123">
        <v>33.371444702148438</v>
      </c>
      <c r="CF184" s="123">
        <v>20.423862457275391</v>
      </c>
      <c r="CG184" s="123">
        <v>35.338191986083984</v>
      </c>
      <c r="CH184" s="123">
        <v>274.03912353515625</v>
      </c>
      <c r="CI184" s="123">
        <v>81.703018188476563</v>
      </c>
      <c r="CJ184" s="123">
        <v>33.265968322753906</v>
      </c>
      <c r="CK184" s="123">
        <v>53.655246734619141</v>
      </c>
      <c r="CL184" s="124">
        <v>28.502370834350586</v>
      </c>
      <c r="CM184" s="125">
        <v>212.38153076171875</v>
      </c>
      <c r="CN184" s="123">
        <v>59.947425842285156</v>
      </c>
      <c r="CO184" s="123">
        <v>64.594367980957031</v>
      </c>
      <c r="CP184" s="123">
        <v>85.310050964355469</v>
      </c>
      <c r="CQ184" s="123">
        <v>0</v>
      </c>
      <c r="CR184" s="123">
        <v>49.827278137207031</v>
      </c>
      <c r="CS184" s="123">
        <v>8.4877920150756836</v>
      </c>
      <c r="CT184" s="123">
        <v>31.935754776000977</v>
      </c>
      <c r="CU184" s="123">
        <v>142.22618103027344</v>
      </c>
      <c r="CV184" s="124">
        <v>63.401741027832031</v>
      </c>
      <c r="CW184" s="125">
        <v>1</v>
      </c>
      <c r="CX184" s="123">
        <v>309</v>
      </c>
      <c r="CY184" s="123">
        <v>114.79248046875</v>
      </c>
      <c r="CZ184" s="123">
        <v>50.682979583740234</v>
      </c>
      <c r="DA184" s="123">
        <v>19.455127716064453</v>
      </c>
      <c r="DB184" s="123">
        <v>31.153059005737305</v>
      </c>
      <c r="DC184" s="123">
        <v>80.374717712402344</v>
      </c>
      <c r="DD184" s="123">
        <v>57</v>
      </c>
      <c r="DE184" s="123">
        <v>176</v>
      </c>
      <c r="DF184" s="123">
        <v>101.46086120605469</v>
      </c>
      <c r="DG184" s="123">
        <v>65.974906921386719</v>
      </c>
      <c r="DH184" s="123">
        <v>49.765243530273438</v>
      </c>
      <c r="DI184" s="128">
        <v>37.414337158203125</v>
      </c>
      <c r="DJ184" s="127">
        <v>203</v>
      </c>
      <c r="DK184" s="123">
        <v>103.822998046875</v>
      </c>
      <c r="DL184" s="123">
        <v>22.506000518798828</v>
      </c>
      <c r="DM184" s="123">
        <v>26.152999877929688</v>
      </c>
      <c r="DN184" s="123">
        <v>48.596000671386719</v>
      </c>
      <c r="DO184" s="124">
        <v>110.93426513671875</v>
      </c>
      <c r="DP184" s="125">
        <v>15.890000343322754</v>
      </c>
      <c r="DQ184" s="123"/>
      <c r="DR184" s="125">
        <v>67</v>
      </c>
      <c r="DS184" s="128">
        <v>32.400001525878906</v>
      </c>
      <c r="DT184" s="127">
        <v>12</v>
      </c>
      <c r="DU184" s="123"/>
      <c r="DV184" s="123">
        <v>7</v>
      </c>
      <c r="DW184" s="123">
        <v>1.395304799079895</v>
      </c>
      <c r="DX184" s="125">
        <v>10</v>
      </c>
      <c r="DY184" s="128"/>
      <c r="DZ184" s="127">
        <v>44</v>
      </c>
      <c r="EA184" s="123">
        <v>3</v>
      </c>
      <c r="EB184" s="123">
        <v>0</v>
      </c>
      <c r="EC184" s="123">
        <v>1</v>
      </c>
      <c r="ED184" s="123">
        <v>242.89999389648438</v>
      </c>
      <c r="EE184" s="129"/>
      <c r="EF184" s="129"/>
      <c r="EG184" s="129"/>
    </row>
    <row r="185" spans="1:137" x14ac:dyDescent="0.3">
      <c r="A185" s="226">
        <f t="shared" si="9"/>
        <v>46020.125694444854</v>
      </c>
      <c r="B185" s="123">
        <v>208</v>
      </c>
      <c r="C185" s="123">
        <v>46.143001556396484</v>
      </c>
      <c r="D185" s="123">
        <v>95.000999450683594</v>
      </c>
      <c r="E185" s="123">
        <v>15.833000183105469</v>
      </c>
      <c r="F185" s="123">
        <v>3.7597942352294922</v>
      </c>
      <c r="G185" s="124">
        <v>16.625</v>
      </c>
      <c r="H185" s="125">
        <v>308</v>
      </c>
      <c r="I185" s="123">
        <v>276</v>
      </c>
      <c r="J185" s="123">
        <v>65.029998779296875</v>
      </c>
      <c r="K185" s="123">
        <v>59.958927154541016</v>
      </c>
      <c r="L185" s="123">
        <v>44.000999450683594</v>
      </c>
      <c r="M185" s="123">
        <v>12.326999664306641</v>
      </c>
      <c r="N185" s="123">
        <v>17.875999450683594</v>
      </c>
      <c r="O185" s="123">
        <v>17</v>
      </c>
      <c r="P185" s="123">
        <v>0</v>
      </c>
      <c r="Q185" s="123">
        <v>17.567863464355469</v>
      </c>
      <c r="R185" s="123">
        <v>7.9968748092651367</v>
      </c>
      <c r="S185" s="123">
        <v>8.1689424514770508</v>
      </c>
      <c r="T185" s="123">
        <v>1</v>
      </c>
      <c r="U185" s="123">
        <v>1</v>
      </c>
      <c r="V185" s="125">
        <v>869</v>
      </c>
      <c r="W185" s="123">
        <v>29.554693222045898</v>
      </c>
      <c r="X185" s="123">
        <v>25.785999298095703</v>
      </c>
      <c r="Y185" s="123">
        <v>6.5520000457763672</v>
      </c>
      <c r="Z185" s="123">
        <v>0</v>
      </c>
      <c r="AA185" s="123">
        <v>20.923000335693359</v>
      </c>
      <c r="AB185" s="123">
        <v>0</v>
      </c>
      <c r="AC185" s="123">
        <v>55.885951995849609</v>
      </c>
      <c r="AD185" s="123">
        <v>6.1069998741149902</v>
      </c>
      <c r="AE185" s="123">
        <v>0</v>
      </c>
      <c r="AF185" s="123">
        <v>80.933387756347656</v>
      </c>
      <c r="AG185" s="123">
        <v>0</v>
      </c>
      <c r="AH185" s="123">
        <v>61.221214294433594</v>
      </c>
      <c r="AI185" s="123">
        <v>11.196000099182129</v>
      </c>
      <c r="AJ185" s="123">
        <v>17.72004508972168</v>
      </c>
      <c r="AK185" s="123">
        <v>36.580074310302734</v>
      </c>
      <c r="AL185" s="123">
        <v>37.816001892089844</v>
      </c>
      <c r="AM185" s="126">
        <v>53.946998596191406</v>
      </c>
      <c r="AN185" s="125">
        <v>117.0625</v>
      </c>
      <c r="AO185" s="127">
        <v>60</v>
      </c>
      <c r="AP185" s="123">
        <v>62.25115966796875</v>
      </c>
      <c r="AQ185" s="123">
        <v>38.148483276367188</v>
      </c>
      <c r="AR185" s="123">
        <v>91</v>
      </c>
      <c r="AS185" s="123"/>
      <c r="AT185" s="123">
        <v>115</v>
      </c>
      <c r="AU185" s="123"/>
      <c r="AV185" s="123">
        <v>65</v>
      </c>
      <c r="AW185" s="123"/>
      <c r="AX185" s="123">
        <v>30</v>
      </c>
      <c r="AY185" s="123">
        <v>33.052379608154297</v>
      </c>
      <c r="AZ185" s="123">
        <v>14</v>
      </c>
      <c r="BA185" s="123"/>
      <c r="BB185" s="123">
        <v>295</v>
      </c>
      <c r="BC185" s="123">
        <v>297.05767822265625</v>
      </c>
      <c r="BD185" s="123">
        <v>6.6999998092651367</v>
      </c>
      <c r="BE185" s="123">
        <v>6.7739548683166504</v>
      </c>
      <c r="BF185" s="123">
        <v>29</v>
      </c>
      <c r="BG185" s="123">
        <v>10</v>
      </c>
      <c r="BH185" s="123">
        <v>10.995152473449707</v>
      </c>
      <c r="BI185" s="123"/>
      <c r="BJ185" s="108">
        <f t="shared" si="7"/>
        <v>13</v>
      </c>
      <c r="BK185" s="123">
        <v>13</v>
      </c>
      <c r="BL185" s="123">
        <v>0</v>
      </c>
      <c r="BM185" s="126"/>
      <c r="BN185" s="108">
        <f t="shared" si="8"/>
        <v>121.20000076293945</v>
      </c>
      <c r="BO185" s="108">
        <v>73</v>
      </c>
      <c r="BP185" s="108">
        <v>48.200000762939453</v>
      </c>
      <c r="BQ185" s="108">
        <v>268</v>
      </c>
      <c r="BR185" s="123">
        <v>66.500999450683594</v>
      </c>
      <c r="BS185" s="123">
        <v>24.937000274658203</v>
      </c>
      <c r="BT185" s="123">
        <v>41.562999725341797</v>
      </c>
      <c r="BU185" s="123">
        <v>36.388999938964844</v>
      </c>
      <c r="BV185" s="123">
        <v>69.800003051757813</v>
      </c>
      <c r="BW185" s="123">
        <v>5.8000001907348633</v>
      </c>
      <c r="BX185" s="123">
        <v>13.5</v>
      </c>
      <c r="BY185" s="123">
        <v>28</v>
      </c>
      <c r="BZ185" s="123">
        <v>1.4673726633191109E-2</v>
      </c>
      <c r="CA185" s="123">
        <v>1</v>
      </c>
      <c r="CB185" s="123">
        <v>29.210929870605469</v>
      </c>
      <c r="CC185" s="126"/>
      <c r="CD185" s="123">
        <v>337.68310546875</v>
      </c>
      <c r="CE185" s="123">
        <v>31.515932083129883</v>
      </c>
      <c r="CF185" s="123">
        <v>20.402078628540039</v>
      </c>
      <c r="CG185" s="123">
        <v>35.338191986083984</v>
      </c>
      <c r="CH185" s="123">
        <v>275.364501953125</v>
      </c>
      <c r="CI185" s="123">
        <v>81.505294799804688</v>
      </c>
      <c r="CJ185" s="123">
        <v>34.24945068359375</v>
      </c>
      <c r="CK185" s="123">
        <v>51.554908752441406</v>
      </c>
      <c r="CL185" s="124">
        <v>28.680934906005859</v>
      </c>
      <c r="CM185" s="125">
        <v>213.691650390625</v>
      </c>
      <c r="CN185" s="123">
        <v>60.093948364257813</v>
      </c>
      <c r="CO185" s="123">
        <v>64.201583862304688</v>
      </c>
      <c r="CP185" s="123">
        <v>84.300460815429688</v>
      </c>
      <c r="CQ185" s="123">
        <v>0</v>
      </c>
      <c r="CR185" s="123">
        <v>49.559299468994141</v>
      </c>
      <c r="CS185" s="123">
        <v>8.8318309783935547</v>
      </c>
      <c r="CT185" s="123">
        <v>35.097126007080078</v>
      </c>
      <c r="CU185" s="123">
        <v>152.15849304199219</v>
      </c>
      <c r="CV185" s="124">
        <v>59.402191162109375</v>
      </c>
      <c r="CW185" s="125">
        <v>2</v>
      </c>
      <c r="CX185" s="123">
        <v>313</v>
      </c>
      <c r="CY185" s="123">
        <v>114.34902954101563</v>
      </c>
      <c r="CZ185" s="123">
        <v>50.704471588134766</v>
      </c>
      <c r="DA185" s="123">
        <v>19.769416809082031</v>
      </c>
      <c r="DB185" s="123">
        <v>31.109643936157227</v>
      </c>
      <c r="DC185" s="123">
        <v>80.825180053710938</v>
      </c>
      <c r="DD185" s="123">
        <v>55</v>
      </c>
      <c r="DE185" s="123">
        <v>177</v>
      </c>
      <c r="DF185" s="123">
        <v>101.80193328857422</v>
      </c>
      <c r="DG185" s="123">
        <v>65.789848327636719</v>
      </c>
      <c r="DH185" s="123">
        <v>48.373943328857422</v>
      </c>
      <c r="DI185" s="128">
        <v>38.850650787353516</v>
      </c>
      <c r="DJ185" s="127">
        <v>206</v>
      </c>
      <c r="DK185" s="123">
        <v>105.85900115966797</v>
      </c>
      <c r="DL185" s="123">
        <v>26.238000869750977</v>
      </c>
      <c r="DM185" s="123">
        <v>26.860000610351563</v>
      </c>
      <c r="DN185" s="123">
        <v>48.949001312255859</v>
      </c>
      <c r="DO185" s="124">
        <v>111.36013793945313</v>
      </c>
      <c r="DP185" s="125">
        <v>15.522000312805176</v>
      </c>
      <c r="DQ185" s="123"/>
      <c r="DR185" s="125">
        <v>67</v>
      </c>
      <c r="DS185" s="128">
        <v>29.5</v>
      </c>
      <c r="DT185" s="127">
        <v>12</v>
      </c>
      <c r="DU185" s="123"/>
      <c r="DV185" s="123">
        <v>7</v>
      </c>
      <c r="DW185" s="123">
        <v>1.4282093048095703</v>
      </c>
      <c r="DX185" s="125">
        <v>9</v>
      </c>
      <c r="DY185" s="128"/>
      <c r="DZ185" s="127">
        <v>44</v>
      </c>
      <c r="EA185" s="123">
        <v>3</v>
      </c>
      <c r="EB185" s="123">
        <v>0</v>
      </c>
      <c r="EC185" s="123">
        <v>1</v>
      </c>
      <c r="ED185" s="123">
        <v>241.10000610351563</v>
      </c>
      <c r="EE185" s="129"/>
      <c r="EF185" s="129"/>
      <c r="EG185" s="129"/>
    </row>
    <row r="186" spans="1:137" x14ac:dyDescent="0.3">
      <c r="A186" s="226">
        <f t="shared" si="9"/>
        <v>46020.126388889301</v>
      </c>
      <c r="B186" s="123">
        <v>217</v>
      </c>
      <c r="C186" s="123">
        <v>51.118999481201172</v>
      </c>
      <c r="D186" s="123">
        <v>96.018997192382813</v>
      </c>
      <c r="E186" s="123">
        <v>16.964000701904297</v>
      </c>
      <c r="F186" s="123">
        <v>0</v>
      </c>
      <c r="G186" s="124">
        <v>16.964000701904297</v>
      </c>
      <c r="H186" s="125">
        <v>304</v>
      </c>
      <c r="I186" s="123">
        <v>274</v>
      </c>
      <c r="J186" s="123">
        <v>64.125999450683594</v>
      </c>
      <c r="K186" s="123">
        <v>60.323982238769531</v>
      </c>
      <c r="L186" s="123">
        <v>43.825000762939453</v>
      </c>
      <c r="M186" s="123">
        <v>12.779000282287598</v>
      </c>
      <c r="N186" s="123">
        <v>18.003000259399414</v>
      </c>
      <c r="O186" s="123">
        <v>18</v>
      </c>
      <c r="P186" s="123">
        <v>0</v>
      </c>
      <c r="Q186" s="123">
        <v>18.961347579956055</v>
      </c>
      <c r="R186" s="123">
        <v>7.9968748092651367</v>
      </c>
      <c r="S186" s="123">
        <v>7.9447193145751953</v>
      </c>
      <c r="T186" s="123">
        <v>0</v>
      </c>
      <c r="U186" s="123">
        <v>0</v>
      </c>
      <c r="V186" s="125">
        <v>869</v>
      </c>
      <c r="W186" s="123">
        <v>28.4764404296875</v>
      </c>
      <c r="X186" s="123">
        <v>25.89900016784668</v>
      </c>
      <c r="Y186" s="123">
        <v>0</v>
      </c>
      <c r="Z186" s="123">
        <v>0</v>
      </c>
      <c r="AA186" s="123">
        <v>20.469999313354492</v>
      </c>
      <c r="AB186" s="123">
        <v>0</v>
      </c>
      <c r="AC186" s="123">
        <v>54.612209320068359</v>
      </c>
      <c r="AD186" s="123">
        <v>6.3610000610351563</v>
      </c>
      <c r="AE186" s="123">
        <v>0</v>
      </c>
      <c r="AF186" s="123">
        <v>81.319313049316406</v>
      </c>
      <c r="AG186" s="123">
        <v>0</v>
      </c>
      <c r="AH186" s="123">
        <v>64.024848937988281</v>
      </c>
      <c r="AI186" s="123">
        <v>13.232000350952148</v>
      </c>
      <c r="AJ186" s="123">
        <v>18.321249008178711</v>
      </c>
      <c r="AK186" s="123">
        <v>37.063983917236328</v>
      </c>
      <c r="AL186" s="123">
        <v>40.290000915527344</v>
      </c>
      <c r="AM186" s="126">
        <v>54.9010009765625</v>
      </c>
      <c r="AN186" s="125">
        <v>114.8125</v>
      </c>
      <c r="AO186" s="127">
        <v>61</v>
      </c>
      <c r="AP186" s="123">
        <v>62.316944122314453</v>
      </c>
      <c r="AQ186" s="123">
        <v>36.807426452636719</v>
      </c>
      <c r="AR186" s="123">
        <v>91</v>
      </c>
      <c r="AS186" s="123"/>
      <c r="AT186" s="123">
        <v>115</v>
      </c>
      <c r="AU186" s="123"/>
      <c r="AV186" s="123">
        <v>65</v>
      </c>
      <c r="AW186" s="123"/>
      <c r="AX186" s="123">
        <v>31</v>
      </c>
      <c r="AY186" s="123">
        <v>32.970108032226563</v>
      </c>
      <c r="AZ186" s="123">
        <v>14</v>
      </c>
      <c r="BA186" s="123"/>
      <c r="BB186" s="123">
        <v>295</v>
      </c>
      <c r="BC186" s="123">
        <v>298.22723388671875</v>
      </c>
      <c r="BD186" s="123">
        <v>6.6999998092651367</v>
      </c>
      <c r="BE186" s="123">
        <v>6.7711782455444336</v>
      </c>
      <c r="BF186" s="123">
        <v>30</v>
      </c>
      <c r="BG186" s="123">
        <v>10</v>
      </c>
      <c r="BH186" s="123">
        <v>11.001192092895508</v>
      </c>
      <c r="BI186" s="123"/>
      <c r="BJ186" s="108">
        <f t="shared" si="7"/>
        <v>13</v>
      </c>
      <c r="BK186" s="123">
        <v>13</v>
      </c>
      <c r="BL186" s="123">
        <v>0</v>
      </c>
      <c r="BM186" s="126"/>
      <c r="BN186" s="108">
        <f t="shared" si="8"/>
        <v>122</v>
      </c>
      <c r="BO186" s="108">
        <v>73</v>
      </c>
      <c r="BP186" s="108">
        <v>49</v>
      </c>
      <c r="BQ186" s="108">
        <v>265</v>
      </c>
      <c r="BR186" s="123">
        <v>66.839996337890625</v>
      </c>
      <c r="BS186" s="123">
        <v>23.920000076293945</v>
      </c>
      <c r="BT186" s="123">
        <v>40.523998260498047</v>
      </c>
      <c r="BU186" s="123">
        <v>36.897998809814453</v>
      </c>
      <c r="BV186" s="123">
        <v>69.800003051757813</v>
      </c>
      <c r="BW186" s="123">
        <v>5.8000001907348633</v>
      </c>
      <c r="BX186" s="123">
        <v>13.5</v>
      </c>
      <c r="BY186" s="123">
        <v>29</v>
      </c>
      <c r="BZ186" s="123">
        <v>1.5201851725578308E-2</v>
      </c>
      <c r="CA186" s="123">
        <v>1</v>
      </c>
      <c r="CB186" s="123">
        <v>29.232666015625</v>
      </c>
      <c r="CC186" s="126"/>
      <c r="CD186" s="123">
        <v>341.18170166015625</v>
      </c>
      <c r="CE186" s="123">
        <v>32.8917236328125</v>
      </c>
      <c r="CF186" s="123">
        <v>20.285348892211914</v>
      </c>
      <c r="CG186" s="123">
        <v>35.338191986083984</v>
      </c>
      <c r="CH186" s="123">
        <v>275.16452026367188</v>
      </c>
      <c r="CI186" s="123">
        <v>78.300689697265625</v>
      </c>
      <c r="CJ186" s="123">
        <v>32.184150695800781</v>
      </c>
      <c r="CK186" s="123">
        <v>51.014911651611328</v>
      </c>
      <c r="CL186" s="124">
        <v>29.478858947753906</v>
      </c>
      <c r="CM186" s="125">
        <v>212.60357666015625</v>
      </c>
      <c r="CN186" s="123">
        <v>62.447383880615234</v>
      </c>
      <c r="CO186" s="123">
        <v>65.455673217773438</v>
      </c>
      <c r="CP186" s="123">
        <v>82.538810729980469</v>
      </c>
      <c r="CQ186" s="123">
        <v>0</v>
      </c>
      <c r="CR186" s="123">
        <v>50.133529663085938</v>
      </c>
      <c r="CS186" s="123">
        <v>9.2907114028930664</v>
      </c>
      <c r="CT186" s="123">
        <v>32.854194641113281</v>
      </c>
      <c r="CU186" s="123">
        <v>153.15420532226563</v>
      </c>
      <c r="CV186" s="124">
        <v>58.780174255371094</v>
      </c>
      <c r="CW186" s="125">
        <v>2</v>
      </c>
      <c r="CX186" s="123">
        <v>310</v>
      </c>
      <c r="CY186" s="123">
        <v>113.69364166259766</v>
      </c>
      <c r="CZ186" s="123">
        <v>50.208656311035156</v>
      </c>
      <c r="DA186" s="123">
        <v>19.571836471557617</v>
      </c>
      <c r="DB186" s="123">
        <v>31.576000213623047</v>
      </c>
      <c r="DC186" s="123">
        <v>79.469146728515625</v>
      </c>
      <c r="DD186" s="123">
        <v>48</v>
      </c>
      <c r="DE186" s="123">
        <v>176</v>
      </c>
      <c r="DF186" s="123">
        <v>101.42760467529297</v>
      </c>
      <c r="DG186" s="123">
        <v>65.481880187988281</v>
      </c>
      <c r="DH186" s="123">
        <v>47.351039886474609</v>
      </c>
      <c r="DI186" s="128">
        <v>39.676246643066406</v>
      </c>
      <c r="DJ186" s="127">
        <v>207</v>
      </c>
      <c r="DK186" s="123">
        <v>105.34999847412109</v>
      </c>
      <c r="DL186" s="123">
        <v>27.030000686645508</v>
      </c>
      <c r="DM186" s="123">
        <v>25.445999145507813</v>
      </c>
      <c r="DN186" s="123">
        <v>49.303001403808594</v>
      </c>
      <c r="DO186" s="124">
        <v>113.0960693359375</v>
      </c>
      <c r="DP186" s="125">
        <v>15.692000389099121</v>
      </c>
      <c r="DQ186" s="123"/>
      <c r="DR186" s="125">
        <v>67</v>
      </c>
      <c r="DS186" s="128">
        <v>30.600000381469727</v>
      </c>
      <c r="DT186" s="127">
        <v>12</v>
      </c>
      <c r="DU186" s="123"/>
      <c r="DV186" s="123">
        <v>8</v>
      </c>
      <c r="DW186" s="123">
        <v>1.4098936319351196</v>
      </c>
      <c r="DX186" s="125">
        <v>10</v>
      </c>
      <c r="DY186" s="128"/>
      <c r="DZ186" s="127">
        <v>45</v>
      </c>
      <c r="EA186" s="123">
        <v>3</v>
      </c>
      <c r="EB186" s="123">
        <v>0</v>
      </c>
      <c r="EC186" s="123">
        <v>1</v>
      </c>
      <c r="ED186" s="123">
        <v>240.80000305175781</v>
      </c>
      <c r="EE186" s="129"/>
      <c r="EF186" s="129"/>
      <c r="EG186" s="129"/>
    </row>
    <row r="187" spans="1:137" x14ac:dyDescent="0.3">
      <c r="A187" s="226">
        <f t="shared" si="9"/>
        <v>46020.127083333748</v>
      </c>
      <c r="B187" s="123">
        <v>218</v>
      </c>
      <c r="C187" s="123">
        <v>50.215000152587891</v>
      </c>
      <c r="D187" s="123">
        <v>96.358001708984375</v>
      </c>
      <c r="E187" s="123">
        <v>17.416000366210938</v>
      </c>
      <c r="F187" s="123">
        <v>2.4840381145477295</v>
      </c>
      <c r="G187" s="124">
        <v>17.642999649047852</v>
      </c>
      <c r="H187" s="125">
        <v>306</v>
      </c>
      <c r="I187" s="123">
        <v>275</v>
      </c>
      <c r="J187" s="123">
        <v>65.029998779296875</v>
      </c>
      <c r="K187" s="123">
        <v>59.7066650390625</v>
      </c>
      <c r="L187" s="123">
        <v>47.535999298095703</v>
      </c>
      <c r="M187" s="123">
        <v>12.439999580383301</v>
      </c>
      <c r="N187" s="123">
        <v>17.176000595092773</v>
      </c>
      <c r="O187" s="123">
        <v>17</v>
      </c>
      <c r="P187" s="123">
        <v>0</v>
      </c>
      <c r="Q187" s="123">
        <v>17.37542724609375</v>
      </c>
      <c r="R187" s="123">
        <v>7.9968748092651367</v>
      </c>
      <c r="S187" s="123">
        <v>8.5320816040039063</v>
      </c>
      <c r="T187" s="123">
        <v>0</v>
      </c>
      <c r="U187" s="123">
        <v>0</v>
      </c>
      <c r="V187" s="125">
        <v>866</v>
      </c>
      <c r="W187" s="123">
        <v>26.164148330688477</v>
      </c>
      <c r="X187" s="123">
        <v>25.107000350952148</v>
      </c>
      <c r="Y187" s="123">
        <v>0</v>
      </c>
      <c r="Z187" s="123">
        <v>0</v>
      </c>
      <c r="AA187" s="123">
        <v>23.184000015258789</v>
      </c>
      <c r="AB187" s="123">
        <v>0</v>
      </c>
      <c r="AC187" s="123">
        <v>54.315784454345703</v>
      </c>
      <c r="AD187" s="123">
        <v>6.3610000610351563</v>
      </c>
      <c r="AE187" s="123">
        <v>0</v>
      </c>
      <c r="AF187" s="123">
        <v>80.707496643066406</v>
      </c>
      <c r="AG187" s="123">
        <v>0</v>
      </c>
      <c r="AH187" s="123">
        <v>64.068771362304688</v>
      </c>
      <c r="AI187" s="123">
        <v>10.814000129699707</v>
      </c>
      <c r="AJ187" s="123">
        <v>18.332914352416992</v>
      </c>
      <c r="AK187" s="123">
        <v>37.13427734375</v>
      </c>
      <c r="AL187" s="123">
        <v>40.113998413085938</v>
      </c>
      <c r="AM187" s="126">
        <v>54.9010009765625</v>
      </c>
      <c r="AN187" s="125">
        <v>114.8125</v>
      </c>
      <c r="AO187" s="127">
        <v>61</v>
      </c>
      <c r="AP187" s="123">
        <v>62.265201568603516</v>
      </c>
      <c r="AQ187" s="123">
        <v>36.807426452636719</v>
      </c>
      <c r="AR187" s="123">
        <v>91</v>
      </c>
      <c r="AS187" s="123"/>
      <c r="AT187" s="123">
        <v>114</v>
      </c>
      <c r="AU187" s="123"/>
      <c r="AV187" s="123">
        <v>66</v>
      </c>
      <c r="AW187" s="123"/>
      <c r="AX187" s="123">
        <v>30</v>
      </c>
      <c r="AY187" s="123">
        <v>32.420909881591797</v>
      </c>
      <c r="AZ187" s="123">
        <v>14</v>
      </c>
      <c r="BA187" s="123"/>
      <c r="BB187" s="123">
        <v>296</v>
      </c>
      <c r="BC187" s="123">
        <v>298.150390625</v>
      </c>
      <c r="BD187" s="123">
        <v>6.6999998092651367</v>
      </c>
      <c r="BE187" s="123">
        <v>6.7690653800964355</v>
      </c>
      <c r="BF187" s="123">
        <v>30</v>
      </c>
      <c r="BG187" s="123">
        <v>10</v>
      </c>
      <c r="BH187" s="123">
        <v>11.014713287353516</v>
      </c>
      <c r="BI187" s="123"/>
      <c r="BJ187" s="108">
        <f t="shared" si="7"/>
        <v>13</v>
      </c>
      <c r="BK187" s="123">
        <v>13</v>
      </c>
      <c r="BL187" s="123">
        <v>0</v>
      </c>
      <c r="BM187" s="126"/>
      <c r="BN187" s="108">
        <f t="shared" si="8"/>
        <v>122</v>
      </c>
      <c r="BO187" s="108">
        <v>73</v>
      </c>
      <c r="BP187" s="108">
        <v>49</v>
      </c>
      <c r="BQ187" s="108">
        <v>264</v>
      </c>
      <c r="BR187" s="123">
        <v>65.596000671386719</v>
      </c>
      <c r="BS187" s="123">
        <v>24.937000274658203</v>
      </c>
      <c r="BT187" s="123">
        <v>40.176998138427734</v>
      </c>
      <c r="BU187" s="123">
        <v>35.816001892089844</v>
      </c>
      <c r="BV187" s="123">
        <v>69.599998474121094</v>
      </c>
      <c r="BW187" s="123">
        <v>5.8000001907348633</v>
      </c>
      <c r="BX187" s="123">
        <v>13.5</v>
      </c>
      <c r="BY187" s="123">
        <v>28</v>
      </c>
      <c r="BZ187" s="123">
        <v>1.3261178508400917E-2</v>
      </c>
      <c r="CA187" s="123">
        <v>1</v>
      </c>
      <c r="CB187" s="123">
        <v>29.252361297607422</v>
      </c>
      <c r="CC187" s="126"/>
      <c r="CD187" s="123">
        <v>339.64175415039063</v>
      </c>
      <c r="CE187" s="123">
        <v>32.940364837646484</v>
      </c>
      <c r="CF187" s="123">
        <v>20.234825134277344</v>
      </c>
      <c r="CG187" s="123">
        <v>35.338191986083984</v>
      </c>
      <c r="CH187" s="123">
        <v>274.70758056640625</v>
      </c>
      <c r="CI187" s="123">
        <v>80.691482543945313</v>
      </c>
      <c r="CJ187" s="123">
        <v>32.539642333984375</v>
      </c>
      <c r="CK187" s="123">
        <v>51.686370849609375</v>
      </c>
      <c r="CL187" s="124">
        <v>28.218391418457031</v>
      </c>
      <c r="CM187" s="125">
        <v>213.14463806152344</v>
      </c>
      <c r="CN187" s="123">
        <v>58.508621215820313</v>
      </c>
      <c r="CO187" s="123">
        <v>65.805351257324219</v>
      </c>
      <c r="CP187" s="123">
        <v>86.721900939941406</v>
      </c>
      <c r="CQ187" s="123">
        <v>0</v>
      </c>
      <c r="CR187" s="123">
        <v>50.443153381347656</v>
      </c>
      <c r="CS187" s="123">
        <v>9.4164772033691406</v>
      </c>
      <c r="CT187" s="123">
        <v>32.879932403564453</v>
      </c>
      <c r="CU187" s="123">
        <v>152.3265380859375</v>
      </c>
      <c r="CV187" s="124">
        <v>60.049201965332031</v>
      </c>
      <c r="CW187" s="125">
        <v>9</v>
      </c>
      <c r="CX187" s="123">
        <v>321</v>
      </c>
      <c r="CY187" s="123">
        <v>114.24209594726563</v>
      </c>
      <c r="CZ187" s="123">
        <v>52.907764434814453</v>
      </c>
      <c r="DA187" s="123">
        <v>20.742149353027344</v>
      </c>
      <c r="DB187" s="123">
        <v>34.642520904541016</v>
      </c>
      <c r="DC187" s="123">
        <v>78.670143127441406</v>
      </c>
      <c r="DD187" s="123">
        <v>60</v>
      </c>
      <c r="DE187" s="123">
        <v>176</v>
      </c>
      <c r="DF187" s="123">
        <v>102.21833038330078</v>
      </c>
      <c r="DG187" s="123">
        <v>63.847888946533203</v>
      </c>
      <c r="DH187" s="123">
        <v>47.351039886474609</v>
      </c>
      <c r="DI187" s="128">
        <v>37.770820617675781</v>
      </c>
      <c r="DJ187" s="127">
        <v>206</v>
      </c>
      <c r="DK187" s="123">
        <v>103.822998046875</v>
      </c>
      <c r="DL187" s="123">
        <v>26.576999664306641</v>
      </c>
      <c r="DM187" s="123">
        <v>25.445999145507813</v>
      </c>
      <c r="DN187" s="123">
        <v>47.712001800537109</v>
      </c>
      <c r="DO187" s="124">
        <v>113.19399261474609</v>
      </c>
      <c r="DP187" s="125">
        <v>16.201000213623047</v>
      </c>
      <c r="DQ187" s="123"/>
      <c r="DR187" s="125">
        <v>67</v>
      </c>
      <c r="DS187" s="128">
        <v>30.899999618530273</v>
      </c>
      <c r="DT187" s="127">
        <v>12</v>
      </c>
      <c r="DU187" s="123"/>
      <c r="DV187" s="123">
        <v>9</v>
      </c>
      <c r="DW187" s="123">
        <v>1.4007964134216309</v>
      </c>
      <c r="DX187" s="125">
        <v>10</v>
      </c>
      <c r="DY187" s="128"/>
      <c r="DZ187" s="127">
        <v>45</v>
      </c>
      <c r="EA187" s="123">
        <v>3</v>
      </c>
      <c r="EB187" s="123">
        <v>0</v>
      </c>
      <c r="EC187" s="123">
        <v>1</v>
      </c>
      <c r="ED187" s="123">
        <v>243.30000305175781</v>
      </c>
      <c r="EE187" s="129"/>
      <c r="EF187" s="129"/>
      <c r="EG187" s="129"/>
    </row>
    <row r="188" spans="1:137" x14ac:dyDescent="0.3">
      <c r="A188" s="226">
        <f t="shared" si="9"/>
        <v>46020.127777778194</v>
      </c>
      <c r="B188" s="123">
        <v>218</v>
      </c>
      <c r="C188" s="123">
        <v>50.215000152587891</v>
      </c>
      <c r="D188" s="123">
        <v>97.150001525878906</v>
      </c>
      <c r="E188" s="123">
        <v>16.511999130249023</v>
      </c>
      <c r="F188" s="123">
        <v>3.3935883045196533</v>
      </c>
      <c r="G188" s="124">
        <v>16.964000701904297</v>
      </c>
      <c r="H188" s="125">
        <v>308</v>
      </c>
      <c r="I188" s="123">
        <v>275</v>
      </c>
      <c r="J188" s="123">
        <v>63.898998260498047</v>
      </c>
      <c r="K188" s="123">
        <v>60.249729156494141</v>
      </c>
      <c r="L188" s="123">
        <v>44.532001495361328</v>
      </c>
      <c r="M188" s="123">
        <v>11.875</v>
      </c>
      <c r="N188" s="123">
        <v>17.875999450683594</v>
      </c>
      <c r="O188" s="123">
        <v>18</v>
      </c>
      <c r="P188" s="123">
        <v>0</v>
      </c>
      <c r="Q188" s="123">
        <v>18.886770248413086</v>
      </c>
      <c r="R188" s="123">
        <v>7.9968748092651367</v>
      </c>
      <c r="S188" s="123">
        <v>8.2453727722167969</v>
      </c>
      <c r="T188" s="123">
        <v>0</v>
      </c>
      <c r="U188" s="123">
        <v>0</v>
      </c>
      <c r="V188" s="125">
        <v>866</v>
      </c>
      <c r="W188" s="123">
        <v>24.484197616577148</v>
      </c>
      <c r="X188" s="123">
        <v>25.89900016784668</v>
      </c>
      <c r="Y188" s="123">
        <v>5.9800000190734863</v>
      </c>
      <c r="Z188" s="123">
        <v>0</v>
      </c>
      <c r="AA188" s="123">
        <v>22.166999816894531</v>
      </c>
      <c r="AB188" s="123">
        <v>0</v>
      </c>
      <c r="AC188" s="123">
        <v>53.711338043212891</v>
      </c>
      <c r="AD188" s="123">
        <v>6.6160001754760742</v>
      </c>
      <c r="AE188" s="123">
        <v>0</v>
      </c>
      <c r="AF188" s="123">
        <v>80.707496643066406</v>
      </c>
      <c r="AG188" s="123">
        <v>0</v>
      </c>
      <c r="AH188" s="123">
        <v>62.775276184082031</v>
      </c>
      <c r="AI188" s="123">
        <v>11.895999908447266</v>
      </c>
      <c r="AJ188" s="123">
        <v>18.447338104248047</v>
      </c>
      <c r="AK188" s="123">
        <v>36.737258911132813</v>
      </c>
      <c r="AL188" s="123">
        <v>38.522998809814453</v>
      </c>
      <c r="AM188" s="126">
        <v>57.255001068115234</v>
      </c>
      <c r="AN188" s="125">
        <v>122.4375</v>
      </c>
      <c r="AO188" s="127">
        <v>63</v>
      </c>
      <c r="AP188" s="123">
        <v>61.452072143554688</v>
      </c>
      <c r="AQ188" s="123">
        <v>37.991477966308594</v>
      </c>
      <c r="AR188" s="123">
        <v>91</v>
      </c>
      <c r="AS188" s="123"/>
      <c r="AT188" s="123">
        <v>113</v>
      </c>
      <c r="AU188" s="123"/>
      <c r="AV188" s="123">
        <v>73</v>
      </c>
      <c r="AW188" s="123"/>
      <c r="AX188" s="123">
        <v>29</v>
      </c>
      <c r="AY188" s="123">
        <v>32.420909881591797</v>
      </c>
      <c r="AZ188" s="123">
        <v>14</v>
      </c>
      <c r="BA188" s="123"/>
      <c r="BB188" s="123">
        <v>296</v>
      </c>
      <c r="BC188" s="123">
        <v>298.150390625</v>
      </c>
      <c r="BD188" s="123">
        <v>6.6999998092651367</v>
      </c>
      <c r="BE188" s="123">
        <v>6.7646150588989258</v>
      </c>
      <c r="BF188" s="123">
        <v>29</v>
      </c>
      <c r="BG188" s="123">
        <v>10</v>
      </c>
      <c r="BH188" s="123">
        <v>11.016666412353516</v>
      </c>
      <c r="BI188" s="123"/>
      <c r="BJ188" s="108">
        <f t="shared" si="7"/>
        <v>13</v>
      </c>
      <c r="BK188" s="123">
        <v>13</v>
      </c>
      <c r="BL188" s="123">
        <v>0</v>
      </c>
      <c r="BM188" s="126"/>
      <c r="BN188" s="108">
        <f t="shared" si="8"/>
        <v>121.20000076293945</v>
      </c>
      <c r="BO188" s="108">
        <v>73</v>
      </c>
      <c r="BP188" s="108">
        <v>48.200000762939453</v>
      </c>
      <c r="BQ188" s="108">
        <v>277</v>
      </c>
      <c r="BR188" s="123">
        <v>72.155998229980469</v>
      </c>
      <c r="BS188" s="123">
        <v>23.156000137329102</v>
      </c>
      <c r="BT188" s="123">
        <v>40.523998260498047</v>
      </c>
      <c r="BU188" s="123">
        <v>35.943000793457031</v>
      </c>
      <c r="BV188" s="123">
        <v>69.5</v>
      </c>
      <c r="BW188" s="123">
        <v>5.8000001907348633</v>
      </c>
      <c r="BX188" s="123">
        <v>13.5</v>
      </c>
      <c r="BY188" s="123">
        <v>29</v>
      </c>
      <c r="BZ188" s="123">
        <v>1.3832046650350094E-2</v>
      </c>
      <c r="CA188" s="123">
        <v>1</v>
      </c>
      <c r="CB188" s="123">
        <v>29.261331558227539</v>
      </c>
      <c r="CC188" s="126"/>
      <c r="CD188" s="123">
        <v>346.770751953125</v>
      </c>
      <c r="CE188" s="123">
        <v>33.473522186279297</v>
      </c>
      <c r="CF188" s="123">
        <v>20.27061653137207</v>
      </c>
      <c r="CG188" s="123">
        <v>35.338191986083984</v>
      </c>
      <c r="CH188" s="123">
        <v>273.9866943359375</v>
      </c>
      <c r="CI188" s="123">
        <v>84.550254821777344</v>
      </c>
      <c r="CJ188" s="123">
        <v>35.003044128417969</v>
      </c>
      <c r="CK188" s="123">
        <v>50.614032745361328</v>
      </c>
      <c r="CL188" s="124">
        <v>27.458763122558594</v>
      </c>
      <c r="CM188" s="125">
        <v>213.88276672363281</v>
      </c>
      <c r="CN188" s="123">
        <v>63.361984252929688</v>
      </c>
      <c r="CO188" s="123">
        <v>64.287643432617188</v>
      </c>
      <c r="CP188" s="123">
        <v>84.156768798828125</v>
      </c>
      <c r="CQ188" s="123">
        <v>0</v>
      </c>
      <c r="CR188" s="123">
        <v>51.452903747558594</v>
      </c>
      <c r="CS188" s="123">
        <v>8.6106185913085938</v>
      </c>
      <c r="CT188" s="123">
        <v>33.615070343017578</v>
      </c>
      <c r="CU188" s="123">
        <v>148.09544372558594</v>
      </c>
      <c r="CV188" s="124">
        <v>60.007152557373047</v>
      </c>
      <c r="CW188" s="125">
        <v>0</v>
      </c>
      <c r="CX188" s="123">
        <v>305</v>
      </c>
      <c r="CY188" s="123">
        <v>112.61357879638672</v>
      </c>
      <c r="CZ188" s="123">
        <v>48.25030517578125</v>
      </c>
      <c r="DA188" s="123">
        <v>19.646854400634766</v>
      </c>
      <c r="DB188" s="123">
        <v>30.318904876708984</v>
      </c>
      <c r="DC188" s="123">
        <v>76.653152465820313</v>
      </c>
      <c r="DD188" s="123">
        <v>57</v>
      </c>
      <c r="DE188" s="123">
        <v>173</v>
      </c>
      <c r="DF188" s="123">
        <v>102.21833038330078</v>
      </c>
      <c r="DG188" s="123">
        <v>64.893669128417969</v>
      </c>
      <c r="DH188" s="123">
        <v>49.271083831787109</v>
      </c>
      <c r="DI188" s="128">
        <v>37.944072723388672</v>
      </c>
      <c r="DJ188" s="127">
        <v>200</v>
      </c>
      <c r="DK188" s="123">
        <v>100.26000213623047</v>
      </c>
      <c r="DL188" s="123">
        <v>22.958000183105469</v>
      </c>
      <c r="DM188" s="123">
        <v>21.559000015258789</v>
      </c>
      <c r="DN188" s="123">
        <v>48.596000671386719</v>
      </c>
      <c r="DO188" s="124">
        <v>113.20798492431641</v>
      </c>
      <c r="DP188" s="125">
        <v>16.285999298095703</v>
      </c>
      <c r="DQ188" s="123"/>
      <c r="DR188" s="125">
        <v>67</v>
      </c>
      <c r="DS188" s="128">
        <v>30.100000381469727</v>
      </c>
      <c r="DT188" s="127">
        <v>12</v>
      </c>
      <c r="DU188" s="123"/>
      <c r="DV188" s="123">
        <v>8</v>
      </c>
      <c r="DW188" s="123">
        <v>1.3589617013931274</v>
      </c>
      <c r="DX188" s="125">
        <v>10</v>
      </c>
      <c r="DY188" s="128"/>
      <c r="DZ188" s="127">
        <v>45</v>
      </c>
      <c r="EA188" s="123">
        <v>3</v>
      </c>
      <c r="EB188" s="123">
        <v>0</v>
      </c>
      <c r="EC188" s="123">
        <v>1</v>
      </c>
      <c r="ED188" s="123">
        <v>245.80000305175781</v>
      </c>
      <c r="EE188" s="129"/>
      <c r="EF188" s="129"/>
      <c r="EG188" s="129"/>
    </row>
    <row r="189" spans="1:137" x14ac:dyDescent="0.3">
      <c r="A189" s="226">
        <f t="shared" si="9"/>
        <v>46020.128472222641</v>
      </c>
      <c r="B189" s="123">
        <v>210</v>
      </c>
      <c r="C189" s="123">
        <v>48.971000671386719</v>
      </c>
      <c r="D189" s="123">
        <v>95.34100341796875</v>
      </c>
      <c r="E189" s="123">
        <v>18.434000015258789</v>
      </c>
      <c r="F189" s="123">
        <v>0</v>
      </c>
      <c r="G189" s="124">
        <v>16.625</v>
      </c>
      <c r="H189" s="125">
        <v>308</v>
      </c>
      <c r="I189" s="123">
        <v>275</v>
      </c>
      <c r="J189" s="123">
        <v>62.202999114990234</v>
      </c>
      <c r="K189" s="123">
        <v>60.032352447509766</v>
      </c>
      <c r="L189" s="123">
        <v>44.708000183105469</v>
      </c>
      <c r="M189" s="123">
        <v>12.666000366210938</v>
      </c>
      <c r="N189" s="123">
        <v>18.320999145507813</v>
      </c>
      <c r="O189" s="123">
        <v>18</v>
      </c>
      <c r="P189" s="123">
        <v>0</v>
      </c>
      <c r="Q189" s="123">
        <v>18.644046783447266</v>
      </c>
      <c r="R189" s="123">
        <v>4.9968748092651367</v>
      </c>
      <c r="S189" s="123">
        <v>6.0611953735351563</v>
      </c>
      <c r="T189" s="123">
        <v>0</v>
      </c>
      <c r="U189" s="123">
        <v>0</v>
      </c>
      <c r="V189" s="125">
        <v>862</v>
      </c>
      <c r="W189" s="123">
        <v>24.484197616577148</v>
      </c>
      <c r="X189" s="123">
        <v>25.333000183105469</v>
      </c>
      <c r="Y189" s="123">
        <v>5.9159998893737793</v>
      </c>
      <c r="Z189" s="123">
        <v>0</v>
      </c>
      <c r="AA189" s="123">
        <v>21.60099983215332</v>
      </c>
      <c r="AB189" s="123">
        <v>0</v>
      </c>
      <c r="AC189" s="123">
        <v>53.853221893310547</v>
      </c>
      <c r="AD189" s="123">
        <v>6.3610000610351563</v>
      </c>
      <c r="AE189" s="123">
        <v>0</v>
      </c>
      <c r="AF189" s="123">
        <v>81.112625122070313</v>
      </c>
      <c r="AG189" s="123">
        <v>0</v>
      </c>
      <c r="AH189" s="123">
        <v>62.219005584716797</v>
      </c>
      <c r="AI189" s="123">
        <v>11.704999923706055</v>
      </c>
      <c r="AJ189" s="123">
        <v>16.540597915649414</v>
      </c>
      <c r="AK189" s="123">
        <v>37.214576721191406</v>
      </c>
      <c r="AL189" s="123">
        <v>38.876998901367188</v>
      </c>
      <c r="AM189" s="126">
        <v>54.646999359130859</v>
      </c>
      <c r="AN189" s="125">
        <v>114.75</v>
      </c>
      <c r="AO189" s="127">
        <v>60</v>
      </c>
      <c r="AP189" s="123">
        <v>61.567729949951172</v>
      </c>
      <c r="AQ189" s="123">
        <v>36.211097717285156</v>
      </c>
      <c r="AR189" s="123">
        <v>92</v>
      </c>
      <c r="AS189" s="123"/>
      <c r="AT189" s="123">
        <v>113</v>
      </c>
      <c r="AU189" s="123"/>
      <c r="AV189" s="123">
        <v>74</v>
      </c>
      <c r="AW189" s="123"/>
      <c r="AX189" s="123">
        <v>30</v>
      </c>
      <c r="AY189" s="123">
        <v>32.229099273681641</v>
      </c>
      <c r="AZ189" s="123">
        <v>14</v>
      </c>
      <c r="BA189" s="123"/>
      <c r="BB189" s="123">
        <v>296</v>
      </c>
      <c r="BC189" s="123">
        <v>295.07522583007813</v>
      </c>
      <c r="BD189" s="123">
        <v>6.6999998092651367</v>
      </c>
      <c r="BE189" s="123">
        <v>6.7578773498535156</v>
      </c>
      <c r="BF189" s="123">
        <v>29</v>
      </c>
      <c r="BG189" s="123">
        <v>11</v>
      </c>
      <c r="BH189" s="123">
        <v>11.206034660339355</v>
      </c>
      <c r="BI189" s="123"/>
      <c r="BJ189" s="108">
        <f t="shared" si="7"/>
        <v>13</v>
      </c>
      <c r="BK189" s="123">
        <v>13</v>
      </c>
      <c r="BL189" s="123">
        <v>0</v>
      </c>
      <c r="BM189" s="126"/>
      <c r="BN189" s="108">
        <f t="shared" si="8"/>
        <v>121</v>
      </c>
      <c r="BO189" s="108">
        <v>73</v>
      </c>
      <c r="BP189" s="108">
        <v>48</v>
      </c>
      <c r="BQ189" s="108">
        <v>271</v>
      </c>
      <c r="BR189" s="123">
        <v>73.625999450683594</v>
      </c>
      <c r="BS189" s="123">
        <v>24.173999786376953</v>
      </c>
      <c r="BT189" s="123">
        <v>40.523998260498047</v>
      </c>
      <c r="BU189" s="123">
        <v>36.198001861572266</v>
      </c>
      <c r="BV189" s="123">
        <v>69.099998474121094</v>
      </c>
      <c r="BW189" s="123">
        <v>5.6999998092651367</v>
      </c>
      <c r="BX189" s="123">
        <v>13.5</v>
      </c>
      <c r="BY189" s="123">
        <v>28</v>
      </c>
      <c r="BZ189" s="123">
        <v>1.5016337856650352E-2</v>
      </c>
      <c r="CA189" s="123">
        <v>0</v>
      </c>
      <c r="CB189" s="123">
        <v>29.499797821044922</v>
      </c>
      <c r="CC189" s="126"/>
      <c r="CD189" s="123">
        <v>339.40921020507813</v>
      </c>
      <c r="CE189" s="123">
        <v>33.074539184570313</v>
      </c>
      <c r="CF189" s="123">
        <v>19.787826538085938</v>
      </c>
      <c r="CG189" s="123">
        <v>35.338191986083984</v>
      </c>
      <c r="CH189" s="123">
        <v>272.31008911132813</v>
      </c>
      <c r="CI189" s="123">
        <v>81.608070373535156</v>
      </c>
      <c r="CJ189" s="123">
        <v>34.897003173828125</v>
      </c>
      <c r="CK189" s="123">
        <v>50.644523620605469</v>
      </c>
      <c r="CL189" s="124">
        <v>30.015897750854492</v>
      </c>
      <c r="CM189" s="125">
        <v>212.56771850585938</v>
      </c>
      <c r="CN189" s="123">
        <v>56.635364532470703</v>
      </c>
      <c r="CO189" s="123">
        <v>64.216293334960938</v>
      </c>
      <c r="CP189" s="123">
        <v>85.173858642578125</v>
      </c>
      <c r="CQ189" s="123">
        <v>0</v>
      </c>
      <c r="CR189" s="123">
        <v>50.128517150878906</v>
      </c>
      <c r="CS189" s="123">
        <v>8.0585842132568359</v>
      </c>
      <c r="CT189" s="123">
        <v>34.280349731445313</v>
      </c>
      <c r="CU189" s="123">
        <v>144.54513549804688</v>
      </c>
      <c r="CV189" s="124">
        <v>60.737483978271484</v>
      </c>
      <c r="CW189" s="125">
        <v>1</v>
      </c>
      <c r="CX189" s="123">
        <v>299</v>
      </c>
      <c r="CY189" s="123">
        <v>112.42526245117188</v>
      </c>
      <c r="CZ189" s="123">
        <v>47.449699401855469</v>
      </c>
      <c r="DA189" s="123">
        <v>19.25877571105957</v>
      </c>
      <c r="DB189" s="123">
        <v>31.224447250366211</v>
      </c>
      <c r="DC189" s="123">
        <v>78.113418579101563</v>
      </c>
      <c r="DD189" s="123">
        <v>57</v>
      </c>
      <c r="DE189" s="123">
        <v>176</v>
      </c>
      <c r="DF189" s="123">
        <v>101.05803680419922</v>
      </c>
      <c r="DG189" s="123">
        <v>70.550735473632813</v>
      </c>
      <c r="DH189" s="123">
        <v>47.359485626220703</v>
      </c>
      <c r="DI189" s="128">
        <v>36.204750061035156</v>
      </c>
      <c r="DJ189" s="127">
        <v>200</v>
      </c>
      <c r="DK189" s="123">
        <v>100.76899719238281</v>
      </c>
      <c r="DL189" s="123">
        <v>22.506000518798828</v>
      </c>
      <c r="DM189" s="123">
        <v>22.972000122070313</v>
      </c>
      <c r="DN189" s="123">
        <v>48.596000671386719</v>
      </c>
      <c r="DO189" s="124">
        <v>110.71471405029297</v>
      </c>
      <c r="DP189" s="125">
        <v>15.069999694824219</v>
      </c>
      <c r="DQ189" s="123"/>
      <c r="DR189" s="125">
        <v>67</v>
      </c>
      <c r="DS189" s="128">
        <v>29.200000762939453</v>
      </c>
      <c r="DT189" s="127">
        <v>12</v>
      </c>
      <c r="DU189" s="123"/>
      <c r="DV189" s="123">
        <v>8</v>
      </c>
      <c r="DW189" s="123">
        <v>1.4104408025741577</v>
      </c>
      <c r="DX189" s="125">
        <v>10</v>
      </c>
      <c r="DY189" s="128"/>
      <c r="DZ189" s="127">
        <v>46</v>
      </c>
      <c r="EA189" s="123">
        <v>3</v>
      </c>
      <c r="EB189" s="123">
        <v>0</v>
      </c>
      <c r="EC189" s="123">
        <v>1</v>
      </c>
      <c r="ED189" s="123">
        <v>244.39999389648438</v>
      </c>
      <c r="EE189" s="129"/>
      <c r="EF189" s="129"/>
      <c r="EG189" s="129"/>
    </row>
    <row r="190" spans="1:137" x14ac:dyDescent="0.3">
      <c r="A190" s="226">
        <f t="shared" si="9"/>
        <v>46020.129166667088</v>
      </c>
      <c r="B190" s="123">
        <v>212</v>
      </c>
      <c r="C190" s="123">
        <v>46.596000671386719</v>
      </c>
      <c r="D190" s="123">
        <v>95.680000305175781</v>
      </c>
      <c r="E190" s="123">
        <v>16.625</v>
      </c>
      <c r="F190" s="123">
        <v>3.7455289363861084</v>
      </c>
      <c r="G190" s="124">
        <v>17.302999496459961</v>
      </c>
      <c r="H190" s="125">
        <v>305</v>
      </c>
      <c r="I190" s="123">
        <v>270</v>
      </c>
      <c r="J190" s="123">
        <v>62.769001007080078</v>
      </c>
      <c r="K190" s="123">
        <v>59.933300018310547</v>
      </c>
      <c r="L190" s="123">
        <v>44.178001403808594</v>
      </c>
      <c r="M190" s="123">
        <v>12.779000282287598</v>
      </c>
      <c r="N190" s="123">
        <v>17.812000274658203</v>
      </c>
      <c r="O190" s="123">
        <v>17</v>
      </c>
      <c r="P190" s="123">
        <v>0</v>
      </c>
      <c r="Q190" s="123">
        <v>17.066736221313477</v>
      </c>
      <c r="R190" s="123">
        <v>6</v>
      </c>
      <c r="S190" s="123">
        <v>5.3316965103149414</v>
      </c>
      <c r="T190" s="123">
        <v>0</v>
      </c>
      <c r="U190" s="123">
        <v>0</v>
      </c>
      <c r="V190" s="125">
        <v>862</v>
      </c>
      <c r="W190" s="123">
        <v>26.404043197631836</v>
      </c>
      <c r="X190" s="123">
        <v>24.767999649047852</v>
      </c>
      <c r="Y190" s="123">
        <v>5.9800000190734863</v>
      </c>
      <c r="Z190" s="123">
        <v>0</v>
      </c>
      <c r="AA190" s="123">
        <v>21.714000701904297</v>
      </c>
      <c r="AB190" s="123">
        <v>0</v>
      </c>
      <c r="AC190" s="123">
        <v>53.159252166748047</v>
      </c>
      <c r="AD190" s="123">
        <v>6.3610000610351563</v>
      </c>
      <c r="AE190" s="123">
        <v>0</v>
      </c>
      <c r="AF190" s="123">
        <v>80.6885986328125</v>
      </c>
      <c r="AG190" s="123">
        <v>0</v>
      </c>
      <c r="AH190" s="123">
        <v>62.3082275390625</v>
      </c>
      <c r="AI190" s="123">
        <v>11.38700008392334</v>
      </c>
      <c r="AJ190" s="123">
        <v>18.909187316894531</v>
      </c>
      <c r="AK190" s="123">
        <v>36.565055847167969</v>
      </c>
      <c r="AL190" s="123">
        <v>38.876998901367188</v>
      </c>
      <c r="AM190" s="126">
        <v>54.838001251220703</v>
      </c>
      <c r="AN190" s="125">
        <v>114.75</v>
      </c>
      <c r="AO190" s="127">
        <v>59</v>
      </c>
      <c r="AP190" s="123">
        <v>62.204982757568359</v>
      </c>
      <c r="AQ190" s="123">
        <v>36.408638000488281</v>
      </c>
      <c r="AR190" s="123">
        <v>92</v>
      </c>
      <c r="AS190" s="123"/>
      <c r="AT190" s="123">
        <v>113</v>
      </c>
      <c r="AU190" s="123"/>
      <c r="AV190" s="123">
        <v>73</v>
      </c>
      <c r="AW190" s="123"/>
      <c r="AX190" s="123">
        <v>29</v>
      </c>
      <c r="AY190" s="123">
        <v>32.229099273681641</v>
      </c>
      <c r="AZ190" s="123">
        <v>13</v>
      </c>
      <c r="BA190" s="123"/>
      <c r="BB190" s="123">
        <v>295</v>
      </c>
      <c r="BC190" s="123">
        <v>294.83090209960938</v>
      </c>
      <c r="BD190" s="123">
        <v>6.4000000953674316</v>
      </c>
      <c r="BE190" s="123">
        <v>6.7665472030639648</v>
      </c>
      <c r="BF190" s="123">
        <v>30</v>
      </c>
      <c r="BG190" s="123">
        <v>11</v>
      </c>
      <c r="BH190" s="123">
        <v>11.443572998046875</v>
      </c>
      <c r="BI190" s="123"/>
      <c r="BJ190" s="108">
        <f t="shared" si="7"/>
        <v>13</v>
      </c>
      <c r="BK190" s="123">
        <v>13</v>
      </c>
      <c r="BL190" s="123">
        <v>0</v>
      </c>
      <c r="BM190" s="126"/>
      <c r="BN190" s="108">
        <f t="shared" si="8"/>
        <v>123</v>
      </c>
      <c r="BO190" s="108">
        <v>74</v>
      </c>
      <c r="BP190" s="108">
        <v>49</v>
      </c>
      <c r="BQ190" s="108">
        <v>272</v>
      </c>
      <c r="BR190" s="123">
        <v>73.738998413085938</v>
      </c>
      <c r="BS190" s="123">
        <v>24.429000854492188</v>
      </c>
      <c r="BT190" s="123">
        <v>40.523998260498047</v>
      </c>
      <c r="BU190" s="123">
        <v>36.643001556396484</v>
      </c>
      <c r="BV190" s="123">
        <v>69.300003051757813</v>
      </c>
      <c r="BW190" s="123">
        <v>5.9000000953674316</v>
      </c>
      <c r="BX190" s="123">
        <v>13.5</v>
      </c>
      <c r="BY190" s="123">
        <v>28</v>
      </c>
      <c r="BZ190" s="123">
        <v>1.5497835353016853E-2</v>
      </c>
      <c r="CA190" s="123">
        <v>2</v>
      </c>
      <c r="CB190" s="123">
        <v>29.226833343505859</v>
      </c>
      <c r="CC190" s="126"/>
      <c r="CD190" s="123">
        <v>342.20343017578125</v>
      </c>
      <c r="CE190" s="123">
        <v>33.020034790039063</v>
      </c>
      <c r="CF190" s="123">
        <v>20.505521774291992</v>
      </c>
      <c r="CG190" s="123">
        <v>35.338191986083984</v>
      </c>
      <c r="CH190" s="123">
        <v>272.44387817382813</v>
      </c>
      <c r="CI190" s="123">
        <v>83.466697692871094</v>
      </c>
      <c r="CJ190" s="123">
        <v>34.999065399169922</v>
      </c>
      <c r="CK190" s="123">
        <v>52.061187744140625</v>
      </c>
      <c r="CL190" s="124">
        <v>28.367340087890625</v>
      </c>
      <c r="CM190" s="125">
        <v>209.99716186523438</v>
      </c>
      <c r="CN190" s="123">
        <v>59.194461822509766</v>
      </c>
      <c r="CO190" s="123">
        <v>63.706119537353516</v>
      </c>
      <c r="CP190" s="123">
        <v>83.342231750488281</v>
      </c>
      <c r="CQ190" s="123">
        <v>0</v>
      </c>
      <c r="CR190" s="123">
        <v>50.061607360839844</v>
      </c>
      <c r="CS190" s="123">
        <v>8.3701581954956055</v>
      </c>
      <c r="CT190" s="123">
        <v>37.184890747070313</v>
      </c>
      <c r="CU190" s="123">
        <v>149.33424377441406</v>
      </c>
      <c r="CV190" s="124">
        <v>60.657299041748047</v>
      </c>
      <c r="CW190" s="125">
        <v>4</v>
      </c>
      <c r="CX190" s="123">
        <v>313</v>
      </c>
      <c r="CY190" s="123">
        <v>115.53836059570313</v>
      </c>
      <c r="CZ190" s="123">
        <v>49.313285827636719</v>
      </c>
      <c r="DA190" s="123">
        <v>19.25877571105957</v>
      </c>
      <c r="DB190" s="123">
        <v>33.660820007324219</v>
      </c>
      <c r="DC190" s="123">
        <v>76.636062622070313</v>
      </c>
      <c r="DD190" s="123">
        <v>51</v>
      </c>
      <c r="DE190" s="123">
        <v>176</v>
      </c>
      <c r="DF190" s="123">
        <v>101.05803680419922</v>
      </c>
      <c r="DG190" s="123">
        <v>69.309501647949219</v>
      </c>
      <c r="DH190" s="123">
        <v>48.853858947753906</v>
      </c>
      <c r="DI190" s="128">
        <v>35.913764953613281</v>
      </c>
      <c r="DJ190" s="127">
        <v>206</v>
      </c>
      <c r="DK190" s="123">
        <v>100.51499938964844</v>
      </c>
      <c r="DL190" s="123">
        <v>23.863000869750977</v>
      </c>
      <c r="DM190" s="123">
        <v>22.972000122070313</v>
      </c>
      <c r="DN190" s="123">
        <v>49.479999542236328</v>
      </c>
      <c r="DO190" s="124">
        <v>112.82704162597656</v>
      </c>
      <c r="DP190" s="125">
        <v>15.069999694824219</v>
      </c>
      <c r="DQ190" s="123"/>
      <c r="DR190" s="125">
        <v>67</v>
      </c>
      <c r="DS190" s="128">
        <v>29.200000762939453</v>
      </c>
      <c r="DT190" s="127">
        <v>13</v>
      </c>
      <c r="DU190" s="123"/>
      <c r="DV190" s="123">
        <v>9</v>
      </c>
      <c r="DW190" s="123">
        <v>1.3908590078353882</v>
      </c>
      <c r="DX190" s="125">
        <v>10</v>
      </c>
      <c r="DY190" s="128"/>
      <c r="DZ190" s="127">
        <v>46</v>
      </c>
      <c r="EA190" s="123">
        <v>3</v>
      </c>
      <c r="EB190" s="123">
        <v>0</v>
      </c>
      <c r="EC190" s="123">
        <v>1</v>
      </c>
      <c r="ED190" s="123">
        <v>245.19999694824219</v>
      </c>
      <c r="EE190" s="129"/>
      <c r="EF190" s="129"/>
      <c r="EG190" s="129"/>
    </row>
    <row r="191" spans="1:137" x14ac:dyDescent="0.3">
      <c r="A191" s="226">
        <f t="shared" si="9"/>
        <v>46020.129861111534</v>
      </c>
      <c r="B191" s="123">
        <v>212</v>
      </c>
      <c r="C191" s="123">
        <v>47.840000152587891</v>
      </c>
      <c r="D191" s="123">
        <v>95.792999267578125</v>
      </c>
      <c r="E191" s="123">
        <v>16.85099983215332</v>
      </c>
      <c r="F191" s="123">
        <v>0</v>
      </c>
      <c r="G191" s="124">
        <v>17.416000366210938</v>
      </c>
      <c r="H191" s="125">
        <v>306</v>
      </c>
      <c r="I191" s="123">
        <v>270</v>
      </c>
      <c r="J191" s="123">
        <v>64.691001892089844</v>
      </c>
      <c r="K191" s="123">
        <v>59.947467803955078</v>
      </c>
      <c r="L191" s="123">
        <v>43.294998168945313</v>
      </c>
      <c r="M191" s="123">
        <v>12.326999664306641</v>
      </c>
      <c r="N191" s="123">
        <v>17.302999496459961</v>
      </c>
      <c r="O191" s="123">
        <v>17</v>
      </c>
      <c r="P191" s="123">
        <v>0</v>
      </c>
      <c r="Q191" s="123">
        <v>17.066736221313477</v>
      </c>
      <c r="R191" s="123">
        <v>4.9968748092651367</v>
      </c>
      <c r="S191" s="123">
        <v>5.1216268539428711</v>
      </c>
      <c r="T191" s="123">
        <v>0</v>
      </c>
      <c r="U191" s="123">
        <v>0</v>
      </c>
      <c r="V191" s="125">
        <v>867</v>
      </c>
      <c r="W191" s="123">
        <v>25.933099746704102</v>
      </c>
      <c r="X191" s="123">
        <v>25.89900016784668</v>
      </c>
      <c r="Y191" s="123">
        <v>5.8520002365112305</v>
      </c>
      <c r="Z191" s="123">
        <v>0</v>
      </c>
      <c r="AA191" s="123">
        <v>20.583000183105469</v>
      </c>
      <c r="AB191" s="123">
        <v>0</v>
      </c>
      <c r="AC191" s="123">
        <v>53.402774810791016</v>
      </c>
      <c r="AD191" s="123">
        <v>6.869999885559082</v>
      </c>
      <c r="AE191" s="123">
        <v>0</v>
      </c>
      <c r="AF191" s="123">
        <v>81.08221435546875</v>
      </c>
      <c r="AG191" s="123">
        <v>0</v>
      </c>
      <c r="AH191" s="123">
        <v>61.441455841064453</v>
      </c>
      <c r="AI191" s="123">
        <v>11.769000053405762</v>
      </c>
      <c r="AJ191" s="123">
        <v>16.55396842956543</v>
      </c>
      <c r="AK191" s="123">
        <v>36.794754028320313</v>
      </c>
      <c r="AL191" s="123">
        <v>38.169998168945313</v>
      </c>
      <c r="AM191" s="126">
        <v>56.937000274658203</v>
      </c>
      <c r="AN191" s="125">
        <v>116.3125</v>
      </c>
      <c r="AO191" s="127">
        <v>61</v>
      </c>
      <c r="AP191" s="123">
        <v>62.267074584960938</v>
      </c>
      <c r="AQ191" s="123">
        <v>35.47479248046875</v>
      </c>
      <c r="AR191" s="123">
        <v>92</v>
      </c>
      <c r="AS191" s="123"/>
      <c r="AT191" s="123">
        <v>113</v>
      </c>
      <c r="AU191" s="123"/>
      <c r="AV191" s="123">
        <v>52</v>
      </c>
      <c r="AW191" s="123"/>
      <c r="AX191" s="123">
        <v>29</v>
      </c>
      <c r="AY191" s="123">
        <v>32.137660980224609</v>
      </c>
      <c r="AZ191" s="123">
        <v>13</v>
      </c>
      <c r="BA191" s="123"/>
      <c r="BB191" s="123">
        <v>295</v>
      </c>
      <c r="BC191" s="123">
        <v>294.83090209960938</v>
      </c>
      <c r="BD191" s="123">
        <v>6.4000000953674316</v>
      </c>
      <c r="BE191" s="123">
        <v>6.7397003173828125</v>
      </c>
      <c r="BF191" s="123">
        <v>30</v>
      </c>
      <c r="BG191" s="123">
        <v>11</v>
      </c>
      <c r="BH191" s="123">
        <v>11.136063575744629</v>
      </c>
      <c r="BI191" s="123"/>
      <c r="BJ191" s="108">
        <f t="shared" si="7"/>
        <v>13</v>
      </c>
      <c r="BK191" s="123">
        <v>13</v>
      </c>
      <c r="BL191" s="123">
        <v>0</v>
      </c>
      <c r="BM191" s="126"/>
      <c r="BN191" s="108">
        <f t="shared" si="8"/>
        <v>122.20000076293945</v>
      </c>
      <c r="BO191" s="108">
        <v>73</v>
      </c>
      <c r="BP191" s="108">
        <v>49.200000762939453</v>
      </c>
      <c r="BQ191" s="108">
        <v>274</v>
      </c>
      <c r="BR191" s="123">
        <v>73.964996337890625</v>
      </c>
      <c r="BS191" s="123">
        <v>23.665000915527344</v>
      </c>
      <c r="BT191" s="123">
        <v>41.562999725341797</v>
      </c>
      <c r="BU191" s="123">
        <v>35.433998107910156</v>
      </c>
      <c r="BV191" s="123">
        <v>69.300003051757813</v>
      </c>
      <c r="BW191" s="123">
        <v>5.9000000953674316</v>
      </c>
      <c r="BX191" s="123">
        <v>13.5</v>
      </c>
      <c r="BY191" s="123">
        <v>29</v>
      </c>
      <c r="BZ191" s="123">
        <v>1.3739847578108311E-2</v>
      </c>
      <c r="CA191" s="123">
        <v>1</v>
      </c>
      <c r="CB191" s="123">
        <v>29.279083251953125</v>
      </c>
      <c r="CC191" s="126"/>
      <c r="CD191" s="123">
        <v>347.48773193359375</v>
      </c>
      <c r="CE191" s="123">
        <v>32.763950347900391</v>
      </c>
      <c r="CF191" s="123">
        <v>20.251104354858398</v>
      </c>
      <c r="CG191" s="123">
        <v>35.338191986083984</v>
      </c>
      <c r="CH191" s="123">
        <v>271.90155029296875</v>
      </c>
      <c r="CI191" s="123">
        <v>82.818115234375</v>
      </c>
      <c r="CJ191" s="123">
        <v>36.324851989746094</v>
      </c>
      <c r="CK191" s="123">
        <v>51.160243988037109</v>
      </c>
      <c r="CL191" s="124">
        <v>28.565422058105469</v>
      </c>
      <c r="CM191" s="125">
        <v>214.69769287109375</v>
      </c>
      <c r="CN191" s="123">
        <v>58.873580932617188</v>
      </c>
      <c r="CO191" s="123">
        <v>63.536937713623047</v>
      </c>
      <c r="CP191" s="123">
        <v>86.915771484375</v>
      </c>
      <c r="CQ191" s="123">
        <v>0</v>
      </c>
      <c r="CR191" s="123">
        <v>51.03887939453125</v>
      </c>
      <c r="CS191" s="123">
        <v>8.0797033309936523</v>
      </c>
      <c r="CT191" s="123">
        <v>36.615245819091797</v>
      </c>
      <c r="CU191" s="123">
        <v>151.64280700683594</v>
      </c>
      <c r="CV191" s="124">
        <v>60.285137176513672</v>
      </c>
      <c r="CW191" s="125">
        <v>0</v>
      </c>
      <c r="CX191" s="123">
        <v>308</v>
      </c>
      <c r="CY191" s="123">
        <v>111.70684814453125</v>
      </c>
      <c r="CZ191" s="123">
        <v>49.154060363769531</v>
      </c>
      <c r="DA191" s="123">
        <v>21.136917114257813</v>
      </c>
      <c r="DB191" s="123">
        <v>32.455429077148438</v>
      </c>
      <c r="DC191" s="123">
        <v>77.236259460449219</v>
      </c>
      <c r="DD191" s="123">
        <v>64</v>
      </c>
      <c r="DE191" s="123">
        <v>174</v>
      </c>
      <c r="DF191" s="123">
        <v>100.78755187988281</v>
      </c>
      <c r="DG191" s="123">
        <v>67.848617553710938</v>
      </c>
      <c r="DH191" s="123">
        <v>47.457572937011719</v>
      </c>
      <c r="DI191" s="128">
        <v>37.286750793457031</v>
      </c>
      <c r="DJ191" s="127">
        <v>201</v>
      </c>
      <c r="DK191" s="123">
        <v>104.58599853515625</v>
      </c>
      <c r="DL191" s="123">
        <v>26.011999130249023</v>
      </c>
      <c r="DM191" s="123">
        <v>26.683000564575195</v>
      </c>
      <c r="DN191" s="123">
        <v>48.949001312255859</v>
      </c>
      <c r="DO191" s="124">
        <v>111.69684600830078</v>
      </c>
      <c r="DP191" s="125">
        <v>15.494000434875488</v>
      </c>
      <c r="DQ191" s="123"/>
      <c r="DR191" s="125">
        <v>67</v>
      </c>
      <c r="DS191" s="128">
        <v>30.299999237060547</v>
      </c>
      <c r="DT191" s="127">
        <v>13</v>
      </c>
      <c r="DU191" s="123"/>
      <c r="DV191" s="123">
        <v>9</v>
      </c>
      <c r="DW191" s="123">
        <v>1.4364856481552124</v>
      </c>
      <c r="DX191" s="125">
        <v>10</v>
      </c>
      <c r="DY191" s="128"/>
      <c r="DZ191" s="127">
        <v>45</v>
      </c>
      <c r="EA191" s="123">
        <v>3</v>
      </c>
      <c r="EB191" s="123">
        <v>0</v>
      </c>
      <c r="EC191" s="123">
        <v>1</v>
      </c>
      <c r="ED191" s="123">
        <v>239.39999389648438</v>
      </c>
      <c r="EE191" s="129"/>
      <c r="EF191" s="129"/>
      <c r="EG191" s="129"/>
    </row>
    <row r="192" spans="1:137" x14ac:dyDescent="0.3">
      <c r="A192" s="226">
        <f t="shared" si="9"/>
        <v>46020.130555555981</v>
      </c>
      <c r="B192" s="123">
        <v>211</v>
      </c>
      <c r="C192" s="123">
        <v>47.048000335693359</v>
      </c>
      <c r="D192" s="123">
        <v>94.662002563476563</v>
      </c>
      <c r="E192" s="123">
        <v>15.946000099182129</v>
      </c>
      <c r="F192" s="123">
        <v>0</v>
      </c>
      <c r="G192" s="124">
        <v>17.076999664306641</v>
      </c>
      <c r="H192" s="125">
        <v>306</v>
      </c>
      <c r="I192" s="123">
        <v>274</v>
      </c>
      <c r="J192" s="123">
        <v>64.01300048828125</v>
      </c>
      <c r="K192" s="123">
        <v>60.113681793212891</v>
      </c>
      <c r="L192" s="123">
        <v>44.000999450683594</v>
      </c>
      <c r="M192" s="123">
        <v>11.98799991607666</v>
      </c>
      <c r="N192" s="123">
        <v>18.066999435424805</v>
      </c>
      <c r="O192" s="123">
        <v>18</v>
      </c>
      <c r="P192" s="123">
        <v>0</v>
      </c>
      <c r="Q192" s="123">
        <v>19.3270263671875</v>
      </c>
      <c r="R192" s="123">
        <v>7.0031251907348633</v>
      </c>
      <c r="S192" s="123">
        <v>5.3584551811218262</v>
      </c>
      <c r="T192" s="123">
        <v>0</v>
      </c>
      <c r="U192" s="123">
        <v>0</v>
      </c>
      <c r="V192" s="125">
        <v>866</v>
      </c>
      <c r="W192" s="123">
        <v>25.323862075805664</v>
      </c>
      <c r="X192" s="123">
        <v>25.219999313354492</v>
      </c>
      <c r="Y192" s="123">
        <v>6.6160001754760742</v>
      </c>
      <c r="Z192" s="123">
        <v>0</v>
      </c>
      <c r="AA192" s="123">
        <v>20.809000015258789</v>
      </c>
      <c r="AB192" s="123">
        <v>0</v>
      </c>
      <c r="AC192" s="123">
        <v>53.106189727783203</v>
      </c>
      <c r="AD192" s="123">
        <v>6.6160001754760742</v>
      </c>
      <c r="AE192" s="123">
        <v>0</v>
      </c>
      <c r="AF192" s="123">
        <v>80.288673400878906</v>
      </c>
      <c r="AG192" s="123">
        <v>0</v>
      </c>
      <c r="AH192" s="123">
        <v>61.441455841064453</v>
      </c>
      <c r="AI192" s="123">
        <v>14.503999710083008</v>
      </c>
      <c r="AJ192" s="123">
        <v>18.418697357177734</v>
      </c>
      <c r="AK192" s="123">
        <v>37.167610168457031</v>
      </c>
      <c r="AL192" s="123">
        <v>37.639999389648438</v>
      </c>
      <c r="AM192" s="126">
        <v>55.155998229980469</v>
      </c>
      <c r="AN192" s="125">
        <v>117.25</v>
      </c>
      <c r="AO192" s="127">
        <v>61</v>
      </c>
      <c r="AP192" s="123">
        <v>60.903762817382813</v>
      </c>
      <c r="AQ192" s="123">
        <v>38.925556182861328</v>
      </c>
      <c r="AR192" s="123">
        <v>93</v>
      </c>
      <c r="AS192" s="123"/>
      <c r="AT192" s="123">
        <v>114</v>
      </c>
      <c r="AU192" s="123"/>
      <c r="AV192" s="123">
        <v>52</v>
      </c>
      <c r="AW192" s="123"/>
      <c r="AX192" s="123">
        <v>30</v>
      </c>
      <c r="AY192" s="123">
        <v>32.317779541015625</v>
      </c>
      <c r="AZ192" s="123">
        <v>13</v>
      </c>
      <c r="BA192" s="123"/>
      <c r="BB192" s="123">
        <v>296</v>
      </c>
      <c r="BC192" s="123">
        <v>298.04879760742188</v>
      </c>
      <c r="BD192" s="123">
        <v>6.6999998092651367</v>
      </c>
      <c r="BE192" s="123">
        <v>6.7466363906860352</v>
      </c>
      <c r="BF192" s="123">
        <v>30</v>
      </c>
      <c r="BG192" s="123">
        <v>10</v>
      </c>
      <c r="BH192" s="123">
        <v>11.023508071899414</v>
      </c>
      <c r="BI192" s="123"/>
      <c r="BJ192" s="108">
        <f t="shared" si="7"/>
        <v>13</v>
      </c>
      <c r="BK192" s="123">
        <v>13</v>
      </c>
      <c r="BL192" s="123">
        <v>0</v>
      </c>
      <c r="BM192" s="126"/>
      <c r="BN192" s="108">
        <f t="shared" si="8"/>
        <v>122.20000076293945</v>
      </c>
      <c r="BO192" s="108">
        <v>73</v>
      </c>
      <c r="BP192" s="108">
        <v>49.200000762939453</v>
      </c>
      <c r="BQ192" s="108">
        <v>271</v>
      </c>
      <c r="BR192" s="123">
        <v>74.983001708984375</v>
      </c>
      <c r="BS192" s="123">
        <v>25.191999435424805</v>
      </c>
      <c r="BT192" s="123">
        <v>41.562999725341797</v>
      </c>
      <c r="BU192" s="123">
        <v>36.133998870849609</v>
      </c>
      <c r="BV192" s="123">
        <v>68.800003051757813</v>
      </c>
      <c r="BW192" s="123">
        <v>5.8000001907348633</v>
      </c>
      <c r="BX192" s="123">
        <v>13.699999809265137</v>
      </c>
      <c r="BY192" s="123">
        <v>29</v>
      </c>
      <c r="BZ192" s="123">
        <v>1.4515144750475883E-2</v>
      </c>
      <c r="CA192" s="123">
        <v>1</v>
      </c>
      <c r="CB192" s="123">
        <v>29.313972473144531</v>
      </c>
      <c r="CC192" s="126"/>
      <c r="CD192" s="123">
        <v>344.52133178710938</v>
      </c>
      <c r="CE192" s="123">
        <v>33.259963989257813</v>
      </c>
      <c r="CF192" s="123">
        <v>20.22886848449707</v>
      </c>
      <c r="CG192" s="123">
        <v>35.338191986083984</v>
      </c>
      <c r="CH192" s="123">
        <v>271.70578002929688</v>
      </c>
      <c r="CI192" s="123">
        <v>83.700119018554688</v>
      </c>
      <c r="CJ192" s="123">
        <v>37.138263702392578</v>
      </c>
      <c r="CK192" s="123">
        <v>51.948738098144531</v>
      </c>
      <c r="CL192" s="124">
        <v>28.002166748046875</v>
      </c>
      <c r="CM192" s="125">
        <v>206.65269470214844</v>
      </c>
      <c r="CN192" s="123">
        <v>56.311119079589844</v>
      </c>
      <c r="CO192" s="123">
        <v>62.767868041992188</v>
      </c>
      <c r="CP192" s="123">
        <v>83.535491943359375</v>
      </c>
      <c r="CQ192" s="123">
        <v>0</v>
      </c>
      <c r="CR192" s="123">
        <v>53.080825805664063</v>
      </c>
      <c r="CS192" s="123">
        <v>8.2750511169433594</v>
      </c>
      <c r="CT192" s="123">
        <v>32.674598693847656</v>
      </c>
      <c r="CU192" s="123">
        <v>148.99594116210938</v>
      </c>
      <c r="CV192" s="124">
        <v>60.530731201171875</v>
      </c>
      <c r="CW192" s="125">
        <v>2</v>
      </c>
      <c r="CX192" s="123">
        <v>308</v>
      </c>
      <c r="CY192" s="123">
        <v>111.95893859863281</v>
      </c>
      <c r="CZ192" s="123">
        <v>47.684593200683594</v>
      </c>
      <c r="DA192" s="123">
        <v>19.686935424804688</v>
      </c>
      <c r="DB192" s="123">
        <v>32.158817291259766</v>
      </c>
      <c r="DC192" s="123">
        <v>78.228713989257813</v>
      </c>
      <c r="DD192" s="123">
        <v>49</v>
      </c>
      <c r="DE192" s="123">
        <v>175</v>
      </c>
      <c r="DF192" s="123">
        <v>100.78755187988281</v>
      </c>
      <c r="DG192" s="123">
        <v>66.4554443359375</v>
      </c>
      <c r="DH192" s="123">
        <v>46.7796630859375</v>
      </c>
      <c r="DI192" s="128">
        <v>36.994129180908203</v>
      </c>
      <c r="DJ192" s="127">
        <v>204</v>
      </c>
      <c r="DK192" s="123">
        <v>103.822998046875</v>
      </c>
      <c r="DL192" s="123">
        <v>24.315000534057617</v>
      </c>
      <c r="DM192" s="123">
        <v>25.093000411987305</v>
      </c>
      <c r="DN192" s="123">
        <v>48.418998718261719</v>
      </c>
      <c r="DO192" s="124">
        <v>111.69684600830078</v>
      </c>
      <c r="DP192" s="125">
        <v>15.324000358581543</v>
      </c>
      <c r="DQ192" s="123"/>
      <c r="DR192" s="125">
        <v>67</v>
      </c>
      <c r="DS192" s="128">
        <v>30</v>
      </c>
      <c r="DT192" s="127">
        <v>12</v>
      </c>
      <c r="DU192" s="123"/>
      <c r="DV192" s="123">
        <v>8</v>
      </c>
      <c r="DW192" s="123">
        <v>1.4126359224319458</v>
      </c>
      <c r="DX192" s="125">
        <v>10</v>
      </c>
      <c r="DY192" s="128"/>
      <c r="DZ192" s="127">
        <v>46</v>
      </c>
      <c r="EA192" s="123">
        <v>3</v>
      </c>
      <c r="EB192" s="123">
        <v>0</v>
      </c>
      <c r="EC192" s="123">
        <v>1</v>
      </c>
      <c r="ED192" s="123">
        <v>239.39999389648438</v>
      </c>
      <c r="EE192" s="129"/>
      <c r="EF192" s="129"/>
      <c r="EG192" s="129"/>
    </row>
    <row r="193" spans="1:137" x14ac:dyDescent="0.3">
      <c r="A193" s="226">
        <f t="shared" si="9"/>
        <v>46020.131250000428</v>
      </c>
      <c r="B193" s="123">
        <v>208</v>
      </c>
      <c r="C193" s="123">
        <v>50.666999816894531</v>
      </c>
      <c r="D193" s="123">
        <v>95.567001342773438</v>
      </c>
      <c r="E193" s="123">
        <v>15.154999732971191</v>
      </c>
      <c r="F193" s="123">
        <v>5.7371034622192383</v>
      </c>
      <c r="G193" s="124">
        <v>16.285999298095703</v>
      </c>
      <c r="H193" s="125">
        <v>305</v>
      </c>
      <c r="I193" s="123">
        <v>273</v>
      </c>
      <c r="J193" s="123">
        <v>63.221000671386719</v>
      </c>
      <c r="K193" s="123">
        <v>60.452053070068359</v>
      </c>
      <c r="L193" s="123">
        <v>44.178001403808594</v>
      </c>
      <c r="M193" s="123">
        <v>12.21399974822998</v>
      </c>
      <c r="N193" s="123">
        <v>17.812000274658203</v>
      </c>
      <c r="O193" s="123">
        <v>18</v>
      </c>
      <c r="P193" s="123">
        <v>0</v>
      </c>
      <c r="Q193" s="123">
        <v>17.8056640625</v>
      </c>
      <c r="R193" s="123">
        <v>6</v>
      </c>
      <c r="S193" s="123">
        <v>6.6012048721313477</v>
      </c>
      <c r="T193" s="123">
        <v>0</v>
      </c>
      <c r="U193" s="123">
        <v>0</v>
      </c>
      <c r="V193" s="125">
        <v>871</v>
      </c>
      <c r="W193" s="123">
        <v>26.267297744750977</v>
      </c>
      <c r="X193" s="123">
        <v>25.559000015258789</v>
      </c>
      <c r="Y193" s="123">
        <v>6.869999885559082</v>
      </c>
      <c r="Z193" s="123">
        <v>0</v>
      </c>
      <c r="AA193" s="123">
        <v>21.488000869750977</v>
      </c>
      <c r="AB193" s="123">
        <v>0</v>
      </c>
      <c r="AC193" s="123">
        <v>53.106189727783203</v>
      </c>
      <c r="AD193" s="123">
        <v>6.1069998741149902</v>
      </c>
      <c r="AE193" s="123">
        <v>0</v>
      </c>
      <c r="AF193" s="123">
        <v>81.201606750488281</v>
      </c>
      <c r="AG193" s="123">
        <v>0</v>
      </c>
      <c r="AH193" s="123">
        <v>62.991065979003906</v>
      </c>
      <c r="AI193" s="123">
        <v>13.994999885559082</v>
      </c>
      <c r="AJ193" s="123">
        <v>19.233926773071289</v>
      </c>
      <c r="AK193" s="123">
        <v>36.573387145996094</v>
      </c>
      <c r="AL193" s="123">
        <v>37.285999298095703</v>
      </c>
      <c r="AM193" s="126">
        <v>55.091999053955078</v>
      </c>
      <c r="AN193" s="125">
        <v>118.8125</v>
      </c>
      <c r="AO193" s="127">
        <v>62</v>
      </c>
      <c r="AP193" s="123">
        <v>61.029342651367188</v>
      </c>
      <c r="AQ193" s="123">
        <v>36.924102783203125</v>
      </c>
      <c r="AR193" s="123">
        <v>92</v>
      </c>
      <c r="AS193" s="123"/>
      <c r="AT193" s="123">
        <v>114</v>
      </c>
      <c r="AU193" s="123"/>
      <c r="AV193" s="123">
        <v>51</v>
      </c>
      <c r="AW193" s="123"/>
      <c r="AX193" s="123">
        <v>30</v>
      </c>
      <c r="AY193" s="123">
        <v>33.089191436767578</v>
      </c>
      <c r="AZ193" s="123">
        <v>12</v>
      </c>
      <c r="BA193" s="123"/>
      <c r="BB193" s="123">
        <v>296</v>
      </c>
      <c r="BC193" s="123">
        <v>298.50625610351563</v>
      </c>
      <c r="BD193" s="123">
        <v>6.6999998092651367</v>
      </c>
      <c r="BE193" s="123">
        <v>6.754450798034668</v>
      </c>
      <c r="BF193" s="123">
        <v>30</v>
      </c>
      <c r="BG193" s="123">
        <v>10</v>
      </c>
      <c r="BH193" s="123">
        <v>10.954483032226563</v>
      </c>
      <c r="BI193" s="123"/>
      <c r="BJ193" s="108">
        <f t="shared" si="7"/>
        <v>13</v>
      </c>
      <c r="BK193" s="123">
        <v>13</v>
      </c>
      <c r="BL193" s="123">
        <v>0</v>
      </c>
      <c r="BM193" s="126"/>
      <c r="BN193" s="108">
        <f t="shared" si="8"/>
        <v>122</v>
      </c>
      <c r="BO193" s="108">
        <v>73</v>
      </c>
      <c r="BP193" s="108">
        <v>49</v>
      </c>
      <c r="BQ193" s="108">
        <v>270</v>
      </c>
      <c r="BR193" s="123">
        <v>73.05999755859375</v>
      </c>
      <c r="BS193" s="123">
        <v>24.683000564575195</v>
      </c>
      <c r="BT193" s="123">
        <v>40.176998138427734</v>
      </c>
      <c r="BU193" s="123">
        <v>36.451999664306641</v>
      </c>
      <c r="BV193" s="123">
        <v>69.199996948242188</v>
      </c>
      <c r="BW193" s="123">
        <v>5.9000000953674316</v>
      </c>
      <c r="BX193" s="123">
        <v>13.5</v>
      </c>
      <c r="BY193" s="123">
        <v>29</v>
      </c>
      <c r="BZ193" s="123">
        <v>1.6478845849633217E-2</v>
      </c>
      <c r="CA193" s="123">
        <v>2</v>
      </c>
      <c r="CB193" s="123">
        <v>29.053262710571289</v>
      </c>
      <c r="CC193" s="126"/>
      <c r="CD193" s="123">
        <v>336.94918823242188</v>
      </c>
      <c r="CE193" s="123">
        <v>33.665847778320313</v>
      </c>
      <c r="CF193" s="123">
        <v>19.698467254638672</v>
      </c>
      <c r="CG193" s="123">
        <v>35.338191986083984</v>
      </c>
      <c r="CH193" s="123">
        <v>272.26007080078125</v>
      </c>
      <c r="CI193" s="123">
        <v>84.880615234375</v>
      </c>
      <c r="CJ193" s="123">
        <v>36.420162200927734</v>
      </c>
      <c r="CK193" s="123">
        <v>51.169933319091797</v>
      </c>
      <c r="CL193" s="124">
        <v>28.345796585083008</v>
      </c>
      <c r="CM193" s="125">
        <v>207.17527770996094</v>
      </c>
      <c r="CN193" s="123">
        <v>59.745494842529297</v>
      </c>
      <c r="CO193" s="123">
        <v>61.690799713134766</v>
      </c>
      <c r="CP193" s="123">
        <v>84.605659484863281</v>
      </c>
      <c r="CQ193" s="123">
        <v>0</v>
      </c>
      <c r="CR193" s="123">
        <v>51.580833435058594</v>
      </c>
      <c r="CS193" s="123">
        <v>8.7200355529785156</v>
      </c>
      <c r="CT193" s="123">
        <v>34.055873870849609</v>
      </c>
      <c r="CU193" s="123">
        <v>148.99594116210938</v>
      </c>
      <c r="CV193" s="124">
        <v>60.22076416015625</v>
      </c>
      <c r="CW193" s="125">
        <v>2</v>
      </c>
      <c r="CX193" s="123">
        <v>308</v>
      </c>
      <c r="CY193" s="123">
        <v>111.81838989257813</v>
      </c>
      <c r="CZ193" s="123">
        <v>47.559329986572266</v>
      </c>
      <c r="DA193" s="123">
        <v>19.358921051025391</v>
      </c>
      <c r="DB193" s="123">
        <v>32.714164733886719</v>
      </c>
      <c r="DC193" s="123">
        <v>76.825675964355469</v>
      </c>
      <c r="DD193" s="123">
        <v>50</v>
      </c>
      <c r="DE193" s="123">
        <v>174</v>
      </c>
      <c r="DF193" s="123">
        <v>101.70145416259766</v>
      </c>
      <c r="DG193" s="123">
        <v>66.756942749023438</v>
      </c>
      <c r="DH193" s="123">
        <v>48.768314361572266</v>
      </c>
      <c r="DI193" s="128">
        <v>37.820690155029297</v>
      </c>
      <c r="DJ193" s="127">
        <v>207</v>
      </c>
      <c r="DK193" s="123">
        <v>104.07700347900391</v>
      </c>
      <c r="DL193" s="123">
        <v>24.315000534057617</v>
      </c>
      <c r="DM193" s="123">
        <v>25.62299919128418</v>
      </c>
      <c r="DN193" s="123">
        <v>49.833000183105469</v>
      </c>
      <c r="DO193" s="124">
        <v>112.34115600585938</v>
      </c>
      <c r="DP193" s="125">
        <v>15.324000358581543</v>
      </c>
      <c r="DQ193" s="123"/>
      <c r="DR193" s="125">
        <v>67</v>
      </c>
      <c r="DS193" s="128">
        <v>28.299999237060547</v>
      </c>
      <c r="DT193" s="127">
        <v>12</v>
      </c>
      <c r="DU193" s="123"/>
      <c r="DV193" s="123">
        <v>7</v>
      </c>
      <c r="DW193" s="123">
        <v>1.4019453525543213</v>
      </c>
      <c r="DX193" s="125">
        <v>11</v>
      </c>
      <c r="DY193" s="128"/>
      <c r="DZ193" s="127">
        <v>46</v>
      </c>
      <c r="EA193" s="123">
        <v>3</v>
      </c>
      <c r="EB193" s="123">
        <v>0</v>
      </c>
      <c r="EC193" s="123">
        <v>1</v>
      </c>
      <c r="ED193" s="123">
        <v>246.89999389648438</v>
      </c>
      <c r="EE193" s="129"/>
      <c r="EF193" s="129"/>
      <c r="EG193" s="129"/>
    </row>
    <row r="194" spans="1:137" x14ac:dyDescent="0.3">
      <c r="A194" s="226">
        <f t="shared" si="9"/>
        <v>46020.131944444875</v>
      </c>
      <c r="B194" s="123">
        <v>208</v>
      </c>
      <c r="C194" s="123">
        <v>50.893001556396484</v>
      </c>
      <c r="D194" s="123">
        <v>96.132003784179688</v>
      </c>
      <c r="E194" s="123">
        <v>15.833000183105469</v>
      </c>
      <c r="F194" s="123">
        <v>3.370786190032959</v>
      </c>
      <c r="G194" s="124">
        <v>16.059000015258789</v>
      </c>
      <c r="H194" s="125">
        <v>308</v>
      </c>
      <c r="I194" s="123">
        <v>273</v>
      </c>
      <c r="J194" s="123">
        <v>65.370002746582031</v>
      </c>
      <c r="K194" s="123">
        <v>60.904003143310547</v>
      </c>
      <c r="L194" s="123">
        <v>44.708000183105469</v>
      </c>
      <c r="M194" s="123">
        <v>12.21399974822998</v>
      </c>
      <c r="N194" s="123">
        <v>18.385000228881836</v>
      </c>
      <c r="O194" s="123">
        <v>18</v>
      </c>
      <c r="P194" s="123">
        <v>0</v>
      </c>
      <c r="Q194" s="123">
        <v>18.533943176269531</v>
      </c>
      <c r="R194" s="123">
        <v>10.003125190734863</v>
      </c>
      <c r="S194" s="123">
        <v>9.5528707504272461</v>
      </c>
      <c r="T194" s="123">
        <v>0</v>
      </c>
      <c r="U194" s="123">
        <v>0</v>
      </c>
      <c r="V194" s="125">
        <v>867</v>
      </c>
      <c r="W194" s="123">
        <v>25.615411758422852</v>
      </c>
      <c r="X194" s="123">
        <v>25.673000335693359</v>
      </c>
      <c r="Y194" s="123">
        <v>5.7249999046325684</v>
      </c>
      <c r="Z194" s="123">
        <v>0</v>
      </c>
      <c r="AA194" s="123">
        <v>22.166999816894531</v>
      </c>
      <c r="AB194" s="123">
        <v>0</v>
      </c>
      <c r="AC194" s="123">
        <v>53.824623107910156</v>
      </c>
      <c r="AD194" s="123">
        <v>6.3610000610351563</v>
      </c>
      <c r="AE194" s="123">
        <v>0</v>
      </c>
      <c r="AF194" s="123">
        <v>81.336776733398438</v>
      </c>
      <c r="AG194" s="123">
        <v>0</v>
      </c>
      <c r="AH194" s="123">
        <v>62.770965576171875</v>
      </c>
      <c r="AI194" s="123">
        <v>11.513999938964844</v>
      </c>
      <c r="AJ194" s="123">
        <v>18.37689208984375</v>
      </c>
      <c r="AK194" s="123">
        <v>36.858318328857422</v>
      </c>
      <c r="AL194" s="123">
        <v>36.578998565673828</v>
      </c>
      <c r="AM194" s="126">
        <v>55.601001739501953</v>
      </c>
      <c r="AN194" s="125">
        <v>114.6875</v>
      </c>
      <c r="AO194" s="127">
        <v>61</v>
      </c>
      <c r="AP194" s="123">
        <v>60.549007415771484</v>
      </c>
      <c r="AQ194" s="123">
        <v>36.791538238525391</v>
      </c>
      <c r="AR194" s="123">
        <v>92</v>
      </c>
      <c r="AS194" s="123"/>
      <c r="AT194" s="123">
        <v>114</v>
      </c>
      <c r="AU194" s="123"/>
      <c r="AV194" s="123">
        <v>51</v>
      </c>
      <c r="AW194" s="123"/>
      <c r="AX194" s="123">
        <v>31</v>
      </c>
      <c r="AY194" s="123">
        <v>32.850807189941406</v>
      </c>
      <c r="AZ194" s="123">
        <v>12</v>
      </c>
      <c r="BA194" s="123"/>
      <c r="BB194" s="123">
        <v>294</v>
      </c>
      <c r="BC194" s="123">
        <v>298.00308227539063</v>
      </c>
      <c r="BD194" s="123">
        <v>6.6999998092651367</v>
      </c>
      <c r="BE194" s="123">
        <v>6.7703361511230469</v>
      </c>
      <c r="BF194" s="123">
        <v>29</v>
      </c>
      <c r="BG194" s="123">
        <v>10</v>
      </c>
      <c r="BH194" s="123">
        <v>10.997053146362305</v>
      </c>
      <c r="BI194" s="123"/>
      <c r="BJ194" s="108">
        <f t="shared" si="7"/>
        <v>13</v>
      </c>
      <c r="BK194" s="123">
        <v>13</v>
      </c>
      <c r="BL194" s="123">
        <v>0</v>
      </c>
      <c r="BM194" s="126"/>
      <c r="BN194" s="108">
        <f t="shared" si="8"/>
        <v>122</v>
      </c>
      <c r="BO194" s="108">
        <v>73</v>
      </c>
      <c r="BP194" s="108">
        <v>49</v>
      </c>
      <c r="BQ194" s="108">
        <v>271</v>
      </c>
      <c r="BR194" s="123">
        <v>74.191001892089844</v>
      </c>
      <c r="BS194" s="123">
        <v>24.683000564575195</v>
      </c>
      <c r="BT194" s="123">
        <v>40.869998931884766</v>
      </c>
      <c r="BU194" s="123">
        <v>36.325000762939453</v>
      </c>
      <c r="BV194" s="123">
        <v>68.699996948242188</v>
      </c>
      <c r="BW194" s="123">
        <v>5.9000000953674316</v>
      </c>
      <c r="BX194" s="123">
        <v>13.5</v>
      </c>
      <c r="BY194" s="123">
        <v>27</v>
      </c>
      <c r="BZ194" s="123">
        <v>1.4403880573809147E-2</v>
      </c>
      <c r="CA194" s="123">
        <v>1</v>
      </c>
      <c r="CB194" s="123">
        <v>29.039220809936523</v>
      </c>
      <c r="CC194" s="126"/>
      <c r="CD194" s="123">
        <v>336.34329223632813</v>
      </c>
      <c r="CE194" s="123">
        <v>33.024917602539063</v>
      </c>
      <c r="CF194" s="123">
        <v>19.973161697387695</v>
      </c>
      <c r="CG194" s="123">
        <v>35.338191986083984</v>
      </c>
      <c r="CH194" s="123">
        <v>273.390625</v>
      </c>
      <c r="CI194" s="123">
        <v>82.805191040039063</v>
      </c>
      <c r="CJ194" s="123">
        <v>37.525753021240234</v>
      </c>
      <c r="CK194" s="123">
        <v>50.389263153076172</v>
      </c>
      <c r="CL194" s="124">
        <v>28.732177734375</v>
      </c>
      <c r="CM194" s="125">
        <v>202.31330871582031</v>
      </c>
      <c r="CN194" s="123">
        <v>57.483573913574219</v>
      </c>
      <c r="CO194" s="123">
        <v>60.126441955566406</v>
      </c>
      <c r="CP194" s="123">
        <v>82.311981201171875</v>
      </c>
      <c r="CQ194" s="123">
        <v>0</v>
      </c>
      <c r="CR194" s="123">
        <v>52.914810180664063</v>
      </c>
      <c r="CS194" s="123">
        <v>8.5985898971557617</v>
      </c>
      <c r="CT194" s="123">
        <v>32.806976318359375</v>
      </c>
      <c r="CU194" s="123">
        <v>143.67703247070313</v>
      </c>
      <c r="CV194" s="124">
        <v>61.473796844482422</v>
      </c>
      <c r="CW194" s="125">
        <v>6</v>
      </c>
      <c r="CX194" s="123">
        <v>306</v>
      </c>
      <c r="CY194" s="123">
        <v>111.75484466552734</v>
      </c>
      <c r="CZ194" s="123">
        <v>49.786399841308594</v>
      </c>
      <c r="DA194" s="123">
        <v>20.445575714111328</v>
      </c>
      <c r="DB194" s="123">
        <v>32.509506225585938</v>
      </c>
      <c r="DC194" s="123">
        <v>77.523475646972656</v>
      </c>
      <c r="DD194" s="123">
        <v>54</v>
      </c>
      <c r="DE194" s="123">
        <v>174</v>
      </c>
      <c r="DF194" s="123">
        <v>104.96076202392578</v>
      </c>
      <c r="DG194" s="123">
        <v>67.508308410644531</v>
      </c>
      <c r="DH194" s="123">
        <v>46.877620697021484</v>
      </c>
      <c r="DI194" s="128">
        <v>38.068359375</v>
      </c>
      <c r="DJ194" s="127">
        <v>205</v>
      </c>
      <c r="DK194" s="123">
        <v>101.27799987792969</v>
      </c>
      <c r="DL194" s="123">
        <v>24.655000686645508</v>
      </c>
      <c r="DM194" s="123">
        <v>25.62299919128418</v>
      </c>
      <c r="DN194" s="123">
        <v>48.949001312255859</v>
      </c>
      <c r="DO194" s="124">
        <v>111.74526977539063</v>
      </c>
      <c r="DP194" s="125">
        <v>15.720000267028809</v>
      </c>
      <c r="DQ194" s="123"/>
      <c r="DR194" s="125">
        <v>67</v>
      </c>
      <c r="DS194" s="128">
        <v>30.100000381469727</v>
      </c>
      <c r="DT194" s="127">
        <v>12</v>
      </c>
      <c r="DU194" s="123"/>
      <c r="DV194" s="123">
        <v>7</v>
      </c>
      <c r="DW194" s="123">
        <v>1.3661171197891235</v>
      </c>
      <c r="DX194" s="125">
        <v>10</v>
      </c>
      <c r="DY194" s="128"/>
      <c r="DZ194" s="127">
        <v>44</v>
      </c>
      <c r="EA194" s="123">
        <v>3</v>
      </c>
      <c r="EB194" s="123">
        <v>0</v>
      </c>
      <c r="EC194" s="123">
        <v>1</v>
      </c>
      <c r="ED194" s="123">
        <v>243.19999694824219</v>
      </c>
      <c r="EE194" s="129"/>
      <c r="EF194" s="129"/>
      <c r="EG194" s="129"/>
    </row>
    <row r="195" spans="1:137" x14ac:dyDescent="0.3">
      <c r="A195" s="226">
        <f t="shared" si="9"/>
        <v>46020.132638889321</v>
      </c>
      <c r="B195" s="123">
        <v>210</v>
      </c>
      <c r="C195" s="123">
        <v>47.160999298095703</v>
      </c>
      <c r="D195" s="123">
        <v>95.226997375488281</v>
      </c>
      <c r="E195" s="123">
        <v>18.434000015258789</v>
      </c>
      <c r="F195" s="123">
        <v>0</v>
      </c>
      <c r="G195" s="124">
        <v>16.625</v>
      </c>
      <c r="H195" s="125">
        <v>306</v>
      </c>
      <c r="I195" s="123">
        <v>273</v>
      </c>
      <c r="J195" s="123">
        <v>61.750999450683594</v>
      </c>
      <c r="K195" s="123">
        <v>61.07440185546875</v>
      </c>
      <c r="L195" s="123">
        <v>43.294998168945313</v>
      </c>
      <c r="M195" s="123">
        <v>12.553000450134277</v>
      </c>
      <c r="N195" s="123">
        <v>16.922000885009766</v>
      </c>
      <c r="O195" s="123">
        <v>17</v>
      </c>
      <c r="P195" s="123">
        <v>0</v>
      </c>
      <c r="Q195" s="123">
        <v>16.30427360534668</v>
      </c>
      <c r="R195" s="123">
        <v>7.9968748092651367</v>
      </c>
      <c r="S195" s="123">
        <v>8.3010196685791016</v>
      </c>
      <c r="T195" s="123">
        <v>9</v>
      </c>
      <c r="U195" s="123">
        <v>9</v>
      </c>
      <c r="V195" s="125">
        <v>871</v>
      </c>
      <c r="W195" s="123">
        <v>24.405454635620117</v>
      </c>
      <c r="X195" s="123">
        <v>25.785999298095703</v>
      </c>
      <c r="Y195" s="123">
        <v>6.2340002059936523</v>
      </c>
      <c r="Z195" s="123">
        <v>0</v>
      </c>
      <c r="AA195" s="123">
        <v>20.923000335693359</v>
      </c>
      <c r="AB195" s="123">
        <v>0</v>
      </c>
      <c r="AC195" s="123">
        <v>53.567165374755859</v>
      </c>
      <c r="AD195" s="123">
        <v>6.3610000610351563</v>
      </c>
      <c r="AE195" s="123">
        <v>0</v>
      </c>
      <c r="AF195" s="123">
        <v>81.180198669433594</v>
      </c>
      <c r="AG195" s="123">
        <v>0</v>
      </c>
      <c r="AH195" s="123">
        <v>62.248298645019531</v>
      </c>
      <c r="AI195" s="123">
        <v>13.359000205993652</v>
      </c>
      <c r="AJ195" s="123">
        <v>17.074060440063477</v>
      </c>
      <c r="AK195" s="123">
        <v>36.326805114746094</v>
      </c>
      <c r="AL195" s="123">
        <v>37.639999389648438</v>
      </c>
      <c r="AM195" s="126">
        <v>55.536998748779297</v>
      </c>
      <c r="AN195" s="125">
        <v>118.25</v>
      </c>
      <c r="AO195" s="127">
        <v>61</v>
      </c>
      <c r="AP195" s="123">
        <v>62.061973571777344</v>
      </c>
      <c r="AQ195" s="123">
        <v>36.183826446533203</v>
      </c>
      <c r="AR195" s="123">
        <v>92</v>
      </c>
      <c r="AS195" s="123"/>
      <c r="AT195" s="123">
        <v>114</v>
      </c>
      <c r="AU195" s="123"/>
      <c r="AV195" s="123">
        <v>51</v>
      </c>
      <c r="AW195" s="123"/>
      <c r="AX195" s="123">
        <v>29</v>
      </c>
      <c r="AY195" s="123">
        <v>32.770652770996094</v>
      </c>
      <c r="AZ195" s="123">
        <v>13</v>
      </c>
      <c r="BA195" s="123"/>
      <c r="BB195" s="123">
        <v>296</v>
      </c>
      <c r="BC195" s="123">
        <v>294.6397705078125</v>
      </c>
      <c r="BD195" s="123">
        <v>6.6999998092651367</v>
      </c>
      <c r="BE195" s="123">
        <v>6.834691047668457</v>
      </c>
      <c r="BF195" s="123">
        <v>30</v>
      </c>
      <c r="BG195" s="123">
        <v>10</v>
      </c>
      <c r="BH195" s="123">
        <v>11.00057315826416</v>
      </c>
      <c r="BI195" s="123"/>
      <c r="BJ195" s="108">
        <f t="shared" si="7"/>
        <v>13</v>
      </c>
      <c r="BK195" s="123">
        <v>13</v>
      </c>
      <c r="BL195" s="123">
        <v>0</v>
      </c>
      <c r="BM195" s="126"/>
      <c r="BN195" s="108">
        <f t="shared" si="8"/>
        <v>122</v>
      </c>
      <c r="BO195" s="108">
        <v>73</v>
      </c>
      <c r="BP195" s="108">
        <v>49</v>
      </c>
      <c r="BQ195" s="108">
        <v>273</v>
      </c>
      <c r="BR195" s="123">
        <v>73.05999755859375</v>
      </c>
      <c r="BS195" s="123">
        <v>24.683000564575195</v>
      </c>
      <c r="BT195" s="123">
        <v>41.562999725341797</v>
      </c>
      <c r="BU195" s="123">
        <v>36.643001556396484</v>
      </c>
      <c r="BV195" s="123">
        <v>69.5</v>
      </c>
      <c r="BW195" s="123">
        <v>5.8000001907348633</v>
      </c>
      <c r="BX195" s="123">
        <v>13.600000381469727</v>
      </c>
      <c r="BY195" s="123">
        <v>29</v>
      </c>
      <c r="BZ195" s="123">
        <v>1.6106627881526947E-2</v>
      </c>
      <c r="CA195" s="123">
        <v>0</v>
      </c>
      <c r="CB195" s="123">
        <v>29.75029182434082</v>
      </c>
      <c r="CC195" s="126"/>
      <c r="CD195" s="123">
        <v>339.796142578125</v>
      </c>
      <c r="CE195" s="123">
        <v>33.071369171142578</v>
      </c>
      <c r="CF195" s="123">
        <v>19.921258926391602</v>
      </c>
      <c r="CG195" s="123">
        <v>35.338191986083984</v>
      </c>
      <c r="CH195" s="123">
        <v>274.24343872070313</v>
      </c>
      <c r="CI195" s="123">
        <v>80.350242614746094</v>
      </c>
      <c r="CJ195" s="123">
        <v>33.205448150634766</v>
      </c>
      <c r="CK195" s="123">
        <v>51.805042266845703</v>
      </c>
      <c r="CL195" s="124">
        <v>28.95458984375</v>
      </c>
      <c r="CM195" s="125">
        <v>207.58767700195313</v>
      </c>
      <c r="CN195" s="123">
        <v>57.961048126220703</v>
      </c>
      <c r="CO195" s="123">
        <v>60.074047088623047</v>
      </c>
      <c r="CP195" s="123">
        <v>85.351181030273438</v>
      </c>
      <c r="CQ195" s="123">
        <v>0</v>
      </c>
      <c r="CR195" s="123">
        <v>50.428619384765625</v>
      </c>
      <c r="CS195" s="123">
        <v>7.4699931144714355</v>
      </c>
      <c r="CT195" s="123">
        <v>31.790412902832031</v>
      </c>
      <c r="CU195" s="123">
        <v>54.672397613525391</v>
      </c>
      <c r="CV195" s="124">
        <v>53.849010467529297</v>
      </c>
      <c r="CW195" s="125">
        <v>3</v>
      </c>
      <c r="CX195" s="123">
        <v>310</v>
      </c>
      <c r="CY195" s="123">
        <v>113.79430389404297</v>
      </c>
      <c r="CZ195" s="123">
        <v>48.492141723632813</v>
      </c>
      <c r="DA195" s="123">
        <v>20.005043029785156</v>
      </c>
      <c r="DB195" s="123">
        <v>32.018463134765625</v>
      </c>
      <c r="DC195" s="123">
        <v>75.789466857910156</v>
      </c>
      <c r="DD195" s="123">
        <v>56</v>
      </c>
      <c r="DE195" s="123">
        <v>175</v>
      </c>
      <c r="DF195" s="123">
        <v>102.49238586425781</v>
      </c>
      <c r="DG195" s="123">
        <v>66.785789489746094</v>
      </c>
      <c r="DH195" s="123">
        <v>46.623462677001953</v>
      </c>
      <c r="DI195" s="128">
        <v>37.500865936279297</v>
      </c>
      <c r="DJ195" s="127">
        <v>209</v>
      </c>
      <c r="DK195" s="123">
        <v>104.33200073242188</v>
      </c>
      <c r="DL195" s="123">
        <v>23.52400016784668</v>
      </c>
      <c r="DM195" s="123">
        <v>27.214000701904297</v>
      </c>
      <c r="DN195" s="123">
        <v>48.949001312255859</v>
      </c>
      <c r="DO195" s="124">
        <v>112.75729370117188</v>
      </c>
      <c r="DP195" s="125">
        <v>15.861000061035156</v>
      </c>
      <c r="DQ195" s="123"/>
      <c r="DR195" s="125">
        <v>67</v>
      </c>
      <c r="DS195" s="128">
        <v>28.399999618530273</v>
      </c>
      <c r="DT195" s="127">
        <v>12</v>
      </c>
      <c r="DU195" s="123"/>
      <c r="DV195" s="123">
        <v>8</v>
      </c>
      <c r="DW195" s="123">
        <v>1.1346820592880249</v>
      </c>
      <c r="DX195" s="125">
        <v>11</v>
      </c>
      <c r="DY195" s="128"/>
      <c r="DZ195" s="127">
        <v>44</v>
      </c>
      <c r="EA195" s="123">
        <v>3</v>
      </c>
      <c r="EB195" s="123">
        <v>0</v>
      </c>
      <c r="EC195" s="123">
        <v>1</v>
      </c>
      <c r="ED195" s="123">
        <v>241.39999389648438</v>
      </c>
      <c r="EE195" s="129"/>
      <c r="EF195" s="129"/>
      <c r="EG195" s="129"/>
    </row>
    <row r="196" spans="1:137" x14ac:dyDescent="0.3">
      <c r="A196" s="226">
        <f t="shared" si="9"/>
        <v>46020.133333333768</v>
      </c>
      <c r="B196" s="123">
        <v>210</v>
      </c>
      <c r="C196" s="123">
        <v>47.5</v>
      </c>
      <c r="D196" s="123">
        <v>96.358001708984375</v>
      </c>
      <c r="E196" s="123">
        <v>16.625</v>
      </c>
      <c r="F196" s="123">
        <v>7.1427898406982422</v>
      </c>
      <c r="G196" s="124">
        <v>17.642999649047852</v>
      </c>
      <c r="H196" s="125">
        <v>305</v>
      </c>
      <c r="I196" s="123">
        <v>273</v>
      </c>
      <c r="J196" s="123">
        <v>60.619998931884766</v>
      </c>
      <c r="K196" s="123">
        <v>60.810489654541016</v>
      </c>
      <c r="L196" s="123">
        <v>43.118000030517578</v>
      </c>
      <c r="M196" s="123">
        <v>12.10099983215332</v>
      </c>
      <c r="N196" s="123">
        <v>17.430999755859375</v>
      </c>
      <c r="O196" s="123">
        <v>17</v>
      </c>
      <c r="P196" s="123">
        <v>0</v>
      </c>
      <c r="Q196" s="123">
        <v>17.9027099609375</v>
      </c>
      <c r="R196" s="123">
        <v>9</v>
      </c>
      <c r="S196" s="123">
        <v>8.7291555404663086</v>
      </c>
      <c r="T196" s="123">
        <v>9</v>
      </c>
      <c r="U196" s="123">
        <v>9</v>
      </c>
      <c r="V196" s="125">
        <v>870</v>
      </c>
      <c r="W196" s="123">
        <v>24.405454635620117</v>
      </c>
      <c r="X196" s="123">
        <v>26.576999664306641</v>
      </c>
      <c r="Y196" s="123">
        <v>5.9159998893737793</v>
      </c>
      <c r="Z196" s="123">
        <v>0</v>
      </c>
      <c r="AA196" s="123">
        <v>21.60099983215332</v>
      </c>
      <c r="AB196" s="123">
        <v>0</v>
      </c>
      <c r="AC196" s="123">
        <v>56.026569366455078</v>
      </c>
      <c r="AD196" s="123">
        <v>6.6160001754760742</v>
      </c>
      <c r="AE196" s="123">
        <v>0</v>
      </c>
      <c r="AF196" s="123">
        <v>82.911201477050781</v>
      </c>
      <c r="AG196" s="123">
        <v>0</v>
      </c>
      <c r="AH196" s="123">
        <v>62.987880706787109</v>
      </c>
      <c r="AI196" s="123">
        <v>13.104999542236328</v>
      </c>
      <c r="AJ196" s="123">
        <v>19.67643928527832</v>
      </c>
      <c r="AK196" s="123">
        <v>36.256965637207031</v>
      </c>
      <c r="AL196" s="123">
        <v>36.756000518798828</v>
      </c>
      <c r="AM196" s="126">
        <v>57.700000762939453</v>
      </c>
      <c r="AN196" s="125">
        <v>114.1875</v>
      </c>
      <c r="AO196" s="127">
        <v>61</v>
      </c>
      <c r="AP196" s="123">
        <v>61.891330718994141</v>
      </c>
      <c r="AQ196" s="123">
        <v>36.027587890625</v>
      </c>
      <c r="AR196" s="123">
        <v>93</v>
      </c>
      <c r="AS196" s="123"/>
      <c r="AT196" s="123">
        <v>113</v>
      </c>
      <c r="AU196" s="123"/>
      <c r="AV196" s="123">
        <v>51</v>
      </c>
      <c r="AW196" s="123"/>
      <c r="AX196" s="123">
        <v>29</v>
      </c>
      <c r="AY196" s="123">
        <v>32.388034820556641</v>
      </c>
      <c r="AZ196" s="123">
        <v>13</v>
      </c>
      <c r="BA196" s="123"/>
      <c r="BB196" s="123">
        <v>296</v>
      </c>
      <c r="BC196" s="123">
        <v>295.6571044921875</v>
      </c>
      <c r="BD196" s="123">
        <v>6.8000001907348633</v>
      </c>
      <c r="BE196" s="123">
        <v>6.8181695938110352</v>
      </c>
      <c r="BF196" s="123">
        <v>30</v>
      </c>
      <c r="BG196" s="123">
        <v>10</v>
      </c>
      <c r="BH196" s="123">
        <v>11.00057315826416</v>
      </c>
      <c r="BI196" s="123"/>
      <c r="BJ196" s="108">
        <f t="shared" si="7"/>
        <v>14</v>
      </c>
      <c r="BK196" s="123">
        <v>14</v>
      </c>
      <c r="BL196" s="123">
        <v>0</v>
      </c>
      <c r="BM196" s="126"/>
      <c r="BN196" s="108">
        <f t="shared" si="8"/>
        <v>120.20000076293945</v>
      </c>
      <c r="BO196" s="108">
        <v>72</v>
      </c>
      <c r="BP196" s="108">
        <v>48.200000762939453</v>
      </c>
      <c r="BQ196" s="108">
        <v>273</v>
      </c>
      <c r="BR196" s="123">
        <v>77.924003601074219</v>
      </c>
      <c r="BS196" s="123">
        <v>23.410999298095703</v>
      </c>
      <c r="BT196" s="123">
        <v>40.523998260498047</v>
      </c>
      <c r="BU196" s="123">
        <v>35.116001129150391</v>
      </c>
      <c r="BV196" s="123">
        <v>68.5</v>
      </c>
      <c r="BW196" s="123">
        <v>5.8000001907348633</v>
      </c>
      <c r="BX196" s="123">
        <v>13.5</v>
      </c>
      <c r="BY196" s="123">
        <v>29</v>
      </c>
      <c r="BZ196" s="123">
        <v>1.5477019362151623E-2</v>
      </c>
      <c r="CA196" s="123">
        <v>1</v>
      </c>
      <c r="CB196" s="123">
        <v>29.466974258422852</v>
      </c>
      <c r="CC196" s="126"/>
      <c r="CD196" s="123">
        <v>337.3548583984375</v>
      </c>
      <c r="CE196" s="123">
        <v>29.481115341186523</v>
      </c>
      <c r="CF196" s="123">
        <v>19.357559204101563</v>
      </c>
      <c r="CG196" s="123">
        <v>35.338191986083984</v>
      </c>
      <c r="CH196" s="123">
        <v>274.53353881835938</v>
      </c>
      <c r="CI196" s="123">
        <v>80.367744445800781</v>
      </c>
      <c r="CJ196" s="123">
        <v>33.148281097412109</v>
      </c>
      <c r="CK196" s="123">
        <v>51.6192626953125</v>
      </c>
      <c r="CL196" s="124">
        <v>29.0517578125</v>
      </c>
      <c r="CM196" s="125">
        <v>204.78819274902344</v>
      </c>
      <c r="CN196" s="123">
        <v>57.390903472900391</v>
      </c>
      <c r="CO196" s="123">
        <v>59.771003723144531</v>
      </c>
      <c r="CP196" s="123">
        <v>84.819633483886719</v>
      </c>
      <c r="CQ196" s="123">
        <v>0</v>
      </c>
      <c r="CR196" s="123">
        <v>51.038707733154297</v>
      </c>
      <c r="CS196" s="123">
        <v>7.4699931144714355</v>
      </c>
      <c r="CT196" s="123">
        <v>33.762516021728516</v>
      </c>
      <c r="CU196" s="123">
        <v>46.673568725585938</v>
      </c>
      <c r="CV196" s="124">
        <v>52.577201843261719</v>
      </c>
      <c r="CW196" s="125">
        <v>3</v>
      </c>
      <c r="CX196" s="123">
        <v>306</v>
      </c>
      <c r="CY196" s="123">
        <v>114.11130523681641</v>
      </c>
      <c r="CZ196" s="123">
        <v>48.492141723632813</v>
      </c>
      <c r="DA196" s="123">
        <v>19.499303817749023</v>
      </c>
      <c r="DB196" s="123">
        <v>32.182685852050781</v>
      </c>
      <c r="DC196" s="123">
        <v>74.377998352050781</v>
      </c>
      <c r="DD196" s="123">
        <v>56</v>
      </c>
      <c r="DE196" s="123">
        <v>173</v>
      </c>
      <c r="DF196" s="123">
        <v>103.38630676269531</v>
      </c>
      <c r="DG196" s="123">
        <v>65.739189147949219</v>
      </c>
      <c r="DH196" s="123">
        <v>47.532810211181641</v>
      </c>
      <c r="DI196" s="128">
        <v>40.286777496337891</v>
      </c>
      <c r="DJ196" s="127">
        <v>205</v>
      </c>
      <c r="DK196" s="123">
        <v>104.58599853515625</v>
      </c>
      <c r="DL196" s="123">
        <v>21.826999664306641</v>
      </c>
      <c r="DM196" s="123">
        <v>21.559000015258789</v>
      </c>
      <c r="DN196" s="123">
        <v>49.479999542236328</v>
      </c>
      <c r="DO196" s="124">
        <v>111.14892578125</v>
      </c>
      <c r="DP196" s="125">
        <v>15.748000144958496</v>
      </c>
      <c r="DQ196" s="123"/>
      <c r="DR196" s="125">
        <v>67</v>
      </c>
      <c r="DS196" s="128">
        <v>29.700000762939453</v>
      </c>
      <c r="DT196" s="127">
        <v>12</v>
      </c>
      <c r="DU196" s="123"/>
      <c r="DV196" s="123">
        <v>9</v>
      </c>
      <c r="DW196" s="123">
        <v>1.3846766948699951</v>
      </c>
      <c r="DX196" s="125">
        <v>10</v>
      </c>
      <c r="DY196" s="128"/>
      <c r="DZ196" s="127">
        <v>45</v>
      </c>
      <c r="EA196" s="123">
        <v>3</v>
      </c>
      <c r="EB196" s="123">
        <v>0</v>
      </c>
      <c r="EC196" s="123">
        <v>1</v>
      </c>
      <c r="ED196" s="123">
        <v>243.19999694824219</v>
      </c>
      <c r="EE196" s="129"/>
      <c r="EF196" s="129"/>
      <c r="EG196" s="129"/>
    </row>
    <row r="197" spans="1:137" x14ac:dyDescent="0.3">
      <c r="A197" s="226">
        <f t="shared" si="9"/>
        <v>46020.134027778215</v>
      </c>
      <c r="B197" s="123">
        <v>208</v>
      </c>
      <c r="C197" s="123">
        <v>47.727001190185547</v>
      </c>
      <c r="D197" s="123">
        <v>95.905998229980469</v>
      </c>
      <c r="E197" s="123">
        <v>16.059000015258789</v>
      </c>
      <c r="F197" s="123">
        <v>4.5814099311828613</v>
      </c>
      <c r="G197" s="124">
        <v>18.320999145507813</v>
      </c>
      <c r="H197" s="125">
        <v>297</v>
      </c>
      <c r="I197" s="123">
        <v>270</v>
      </c>
      <c r="J197" s="123">
        <v>60.393001556396484</v>
      </c>
      <c r="K197" s="123">
        <v>59.093944549560547</v>
      </c>
      <c r="L197" s="123">
        <v>41.527000427246094</v>
      </c>
      <c r="M197" s="123">
        <v>12.10099983215332</v>
      </c>
      <c r="N197" s="123">
        <v>16.666999816894531</v>
      </c>
      <c r="O197" s="123">
        <v>18</v>
      </c>
      <c r="P197" s="123">
        <v>0</v>
      </c>
      <c r="Q197" s="123">
        <v>17.798957824707031</v>
      </c>
      <c r="R197" s="123">
        <v>9</v>
      </c>
      <c r="S197" s="123">
        <v>7.7202520370483398</v>
      </c>
      <c r="T197" s="123">
        <v>9</v>
      </c>
      <c r="U197" s="123">
        <v>9</v>
      </c>
      <c r="V197" s="125">
        <v>864</v>
      </c>
      <c r="W197" s="123">
        <v>24.899374008178711</v>
      </c>
      <c r="X197" s="123">
        <v>25.559000015258789</v>
      </c>
      <c r="Y197" s="123">
        <v>6.3610000610351563</v>
      </c>
      <c r="Z197" s="123">
        <v>0</v>
      </c>
      <c r="AA197" s="123">
        <v>21.035999298095703</v>
      </c>
      <c r="AB197" s="123">
        <v>0</v>
      </c>
      <c r="AC197" s="123">
        <v>52.769378662109375</v>
      </c>
      <c r="AD197" s="123">
        <v>6.1069998741149902</v>
      </c>
      <c r="AE197" s="123">
        <v>0</v>
      </c>
      <c r="AF197" s="123">
        <v>81.695465087890625</v>
      </c>
      <c r="AG197" s="123">
        <v>0</v>
      </c>
      <c r="AH197" s="123">
        <v>60.587863922119141</v>
      </c>
      <c r="AI197" s="123">
        <v>11.260000228881836</v>
      </c>
      <c r="AJ197" s="123">
        <v>19.626861572265625</v>
      </c>
      <c r="AK197" s="123">
        <v>36.389411926269531</v>
      </c>
      <c r="AL197" s="123">
        <v>36.756000518798828</v>
      </c>
      <c r="AM197" s="126">
        <v>55.536998748779297</v>
      </c>
      <c r="AN197" s="125">
        <v>114.75</v>
      </c>
      <c r="AO197" s="127">
        <v>59</v>
      </c>
      <c r="AP197" s="123">
        <v>60.729583740234375</v>
      </c>
      <c r="AQ197" s="123">
        <v>35.159854888916016</v>
      </c>
      <c r="AR197" s="123">
        <v>92</v>
      </c>
      <c r="AS197" s="123"/>
      <c r="AT197" s="123">
        <v>113</v>
      </c>
      <c r="AU197" s="123"/>
      <c r="AV197" s="123">
        <v>59</v>
      </c>
      <c r="AW197" s="123"/>
      <c r="AX197" s="123">
        <v>29</v>
      </c>
      <c r="AY197" s="123">
        <v>32.388034820556641</v>
      </c>
      <c r="AZ197" s="123">
        <v>12</v>
      </c>
      <c r="BA197" s="123"/>
      <c r="BB197" s="123">
        <v>295</v>
      </c>
      <c r="BC197" s="123">
        <v>295.40069580078125</v>
      </c>
      <c r="BD197" s="123">
        <v>6.6999998092651367</v>
      </c>
      <c r="BE197" s="123">
        <v>6.7530274391174316</v>
      </c>
      <c r="BF197" s="123">
        <v>30</v>
      </c>
      <c r="BG197" s="123">
        <v>10</v>
      </c>
      <c r="BH197" s="123">
        <v>10.954529762268066</v>
      </c>
      <c r="BI197" s="123"/>
      <c r="BJ197" s="108">
        <f t="shared" ref="BJ197:BJ260" si="10">SUM(BK197:BL197)</f>
        <v>13</v>
      </c>
      <c r="BK197" s="123">
        <v>13</v>
      </c>
      <c r="BL197" s="123">
        <v>0</v>
      </c>
      <c r="BM197" s="126"/>
      <c r="BN197" s="108">
        <f t="shared" ref="BN197:BN260" si="11">SUM(BO197:BP197)</f>
        <v>120.20000076293945</v>
      </c>
      <c r="BO197" s="108">
        <v>72</v>
      </c>
      <c r="BP197" s="108">
        <v>48.200000762939453</v>
      </c>
      <c r="BQ197" s="108">
        <v>271</v>
      </c>
      <c r="BR197" s="123">
        <v>74.757003784179688</v>
      </c>
      <c r="BS197" s="123">
        <v>24.937000274658203</v>
      </c>
      <c r="BT197" s="123">
        <v>40.523998260498047</v>
      </c>
      <c r="BU197" s="123">
        <v>35.116001129150391</v>
      </c>
      <c r="BV197" s="123">
        <v>69.400001525878906</v>
      </c>
      <c r="BW197" s="123">
        <v>5.8000001907348633</v>
      </c>
      <c r="BX197" s="123">
        <v>13.5</v>
      </c>
      <c r="BY197" s="123">
        <v>29</v>
      </c>
      <c r="BZ197" s="123">
        <v>1.3780450448393822E-2</v>
      </c>
      <c r="CA197" s="123">
        <v>1</v>
      </c>
      <c r="CB197" s="123">
        <v>29.256742477416992</v>
      </c>
      <c r="CC197" s="126"/>
      <c r="CD197" s="123">
        <v>343.53787231445313</v>
      </c>
      <c r="CE197" s="123">
        <v>29.905439376831055</v>
      </c>
      <c r="CF197" s="123">
        <v>20.255945205688477</v>
      </c>
      <c r="CG197" s="123">
        <v>35.338191986083984</v>
      </c>
      <c r="CH197" s="123">
        <v>274.72183227539063</v>
      </c>
      <c r="CI197" s="123">
        <v>79.905570983886719</v>
      </c>
      <c r="CJ197" s="123">
        <v>33.695732116699219</v>
      </c>
      <c r="CK197" s="123">
        <v>49.818809509277344</v>
      </c>
      <c r="CL197" s="124">
        <v>28.856300354003906</v>
      </c>
      <c r="CM197" s="125">
        <v>201.67147827148438</v>
      </c>
      <c r="CN197" s="123">
        <v>55.973701477050781</v>
      </c>
      <c r="CO197" s="123">
        <v>60.443702697753906</v>
      </c>
      <c r="CP197" s="123">
        <v>81.218643188476563</v>
      </c>
      <c r="CQ197" s="123">
        <v>0</v>
      </c>
      <c r="CR197" s="123">
        <v>52.549209594726563</v>
      </c>
      <c r="CS197" s="123">
        <v>7.8187828063964844</v>
      </c>
      <c r="CT197" s="123">
        <v>31.198808670043945</v>
      </c>
      <c r="CU197" s="123">
        <v>39.567440032958984</v>
      </c>
      <c r="CV197" s="124">
        <v>57.495002746582031</v>
      </c>
      <c r="CW197" s="125">
        <v>10</v>
      </c>
      <c r="CX197" s="123">
        <v>307</v>
      </c>
      <c r="CY197" s="123">
        <v>114.19596099853516</v>
      </c>
      <c r="CZ197" s="123">
        <v>49.479198455810547</v>
      </c>
      <c r="DA197" s="123">
        <v>19.499303817749023</v>
      </c>
      <c r="DB197" s="123">
        <v>31.712795257568359</v>
      </c>
      <c r="DC197" s="123">
        <v>76.295936584472656</v>
      </c>
      <c r="DD197" s="123">
        <v>57</v>
      </c>
      <c r="DE197" s="123">
        <v>173</v>
      </c>
      <c r="DF197" s="123">
        <v>103.04266357421875</v>
      </c>
      <c r="DG197" s="123">
        <v>66.467613220214844</v>
      </c>
      <c r="DH197" s="123">
        <v>47.145725250244141</v>
      </c>
      <c r="DI197" s="128">
        <v>39.405857086181641</v>
      </c>
      <c r="DJ197" s="127">
        <v>203</v>
      </c>
      <c r="DK197" s="123">
        <v>104.33200073242188</v>
      </c>
      <c r="DL197" s="123">
        <v>24.655000686645508</v>
      </c>
      <c r="DM197" s="123">
        <v>25.799999237060547</v>
      </c>
      <c r="DN197" s="123">
        <v>49.479999542236328</v>
      </c>
      <c r="DO197" s="124">
        <v>111.57559204101563</v>
      </c>
      <c r="DP197" s="125">
        <v>15.295999526977539</v>
      </c>
      <c r="DQ197" s="123"/>
      <c r="DR197" s="125">
        <v>67</v>
      </c>
      <c r="DS197" s="128">
        <v>28.5</v>
      </c>
      <c r="DT197" s="127">
        <v>12</v>
      </c>
      <c r="DU197" s="123"/>
      <c r="DV197" s="123">
        <v>9</v>
      </c>
      <c r="DW197" s="123">
        <v>1.368746280670166</v>
      </c>
      <c r="DX197" s="125">
        <v>10</v>
      </c>
      <c r="DY197" s="128"/>
      <c r="DZ197" s="127">
        <v>45</v>
      </c>
      <c r="EA197" s="123">
        <v>3</v>
      </c>
      <c r="EB197" s="123">
        <v>0</v>
      </c>
      <c r="EC197" s="123">
        <v>1</v>
      </c>
      <c r="ED197" s="123">
        <v>244.69999694824219</v>
      </c>
      <c r="EE197" s="129"/>
      <c r="EF197" s="129"/>
      <c r="EG197" s="129"/>
    </row>
    <row r="198" spans="1:137" x14ac:dyDescent="0.3">
      <c r="A198" s="226">
        <f t="shared" si="9"/>
        <v>46020.134722222661</v>
      </c>
      <c r="B198" s="123">
        <v>207</v>
      </c>
      <c r="C198" s="123">
        <v>46.368999481201172</v>
      </c>
      <c r="D198" s="123">
        <v>95.454002380371094</v>
      </c>
      <c r="E198" s="123">
        <v>16.85099983215332</v>
      </c>
      <c r="F198" s="123">
        <v>0</v>
      </c>
      <c r="G198" s="124">
        <v>17.190000534057617</v>
      </c>
      <c r="H198" s="125">
        <v>298</v>
      </c>
      <c r="I198" s="123">
        <v>269</v>
      </c>
      <c r="J198" s="123">
        <v>59.941001892089844</v>
      </c>
      <c r="K198" s="123">
        <v>61.180805206298828</v>
      </c>
      <c r="L198" s="123">
        <v>42.588001251220703</v>
      </c>
      <c r="M198" s="123">
        <v>12.439999580383301</v>
      </c>
      <c r="N198" s="123">
        <v>17.684999465942383</v>
      </c>
      <c r="O198" s="123">
        <v>18</v>
      </c>
      <c r="P198" s="123">
        <v>0</v>
      </c>
      <c r="Q198" s="123">
        <v>18.449918746948242</v>
      </c>
      <c r="R198" s="123">
        <v>7.0031251907348633</v>
      </c>
      <c r="S198" s="123">
        <v>6.5244565010070801</v>
      </c>
      <c r="T198" s="123">
        <v>9</v>
      </c>
      <c r="U198" s="123">
        <v>9</v>
      </c>
      <c r="V198" s="125">
        <v>869</v>
      </c>
      <c r="W198" s="123">
        <v>28.279815673828125</v>
      </c>
      <c r="X198" s="123">
        <v>24.655000686645508</v>
      </c>
      <c r="Y198" s="123">
        <v>6.4879999160766602</v>
      </c>
      <c r="Z198" s="123">
        <v>0</v>
      </c>
      <c r="AA198" s="123">
        <v>20.923000335693359</v>
      </c>
      <c r="AB198" s="123">
        <v>0</v>
      </c>
      <c r="AC198" s="123">
        <v>53.018291473388672</v>
      </c>
      <c r="AD198" s="123">
        <v>6.1069998741149902</v>
      </c>
      <c r="AE198" s="123">
        <v>0</v>
      </c>
      <c r="AF198" s="123">
        <v>81.153648376464844</v>
      </c>
      <c r="AG198" s="123">
        <v>0</v>
      </c>
      <c r="AH198" s="123">
        <v>61.067356109619141</v>
      </c>
      <c r="AI198" s="123">
        <v>11.640999794006348</v>
      </c>
      <c r="AJ198" s="123">
        <v>21.172344207763672</v>
      </c>
      <c r="AK198" s="123">
        <v>36.203289031982422</v>
      </c>
      <c r="AL198" s="123">
        <v>38.347000122070313</v>
      </c>
      <c r="AM198" s="126">
        <v>52.801998138427734</v>
      </c>
      <c r="AN198" s="125">
        <v>114.75</v>
      </c>
      <c r="AO198" s="127">
        <v>59</v>
      </c>
      <c r="AP198" s="123">
        <v>60.616382598876953</v>
      </c>
      <c r="AQ198" s="123">
        <v>36.937335968017578</v>
      </c>
      <c r="AR198" s="123">
        <v>93</v>
      </c>
      <c r="AS198" s="123"/>
      <c r="AT198" s="123">
        <v>112</v>
      </c>
      <c r="AU198" s="123"/>
      <c r="AV198" s="123">
        <v>59</v>
      </c>
      <c r="AW198" s="123"/>
      <c r="AX198" s="123">
        <v>29</v>
      </c>
      <c r="AY198" s="123">
        <v>32.379718780517578</v>
      </c>
      <c r="AZ198" s="123">
        <v>12</v>
      </c>
      <c r="BA198" s="123"/>
      <c r="BB198" s="123">
        <v>294</v>
      </c>
      <c r="BC198" s="123">
        <v>295.40069580078125</v>
      </c>
      <c r="BD198" s="123">
        <v>6.6999998092651367</v>
      </c>
      <c r="BE198" s="123">
        <v>6.7530274391174316</v>
      </c>
      <c r="BF198" s="123">
        <v>30</v>
      </c>
      <c r="BG198" s="123">
        <v>10</v>
      </c>
      <c r="BH198" s="123">
        <v>10.953468322753906</v>
      </c>
      <c r="BI198" s="123"/>
      <c r="BJ198" s="108">
        <f t="shared" si="10"/>
        <v>12</v>
      </c>
      <c r="BK198" s="123">
        <v>12</v>
      </c>
      <c r="BL198" s="123">
        <v>0</v>
      </c>
      <c r="BM198" s="126"/>
      <c r="BN198" s="108">
        <f t="shared" si="11"/>
        <v>121</v>
      </c>
      <c r="BO198" s="108">
        <v>72</v>
      </c>
      <c r="BP198" s="108">
        <v>49</v>
      </c>
      <c r="BQ198" s="108">
        <v>273</v>
      </c>
      <c r="BR198" s="123">
        <v>76.226997375488281</v>
      </c>
      <c r="BS198" s="123">
        <v>25.191999435424805</v>
      </c>
      <c r="BT198" s="123">
        <v>40.176998138427734</v>
      </c>
      <c r="BU198" s="123">
        <v>35.751998901367188</v>
      </c>
      <c r="BV198" s="123">
        <v>68.699996948242188</v>
      </c>
      <c r="BW198" s="123">
        <v>5.8000001907348633</v>
      </c>
      <c r="BX198" s="123">
        <v>13.5</v>
      </c>
      <c r="BY198" s="123">
        <v>27</v>
      </c>
      <c r="BZ198" s="123">
        <v>1.4504728838801384E-2</v>
      </c>
      <c r="CA198" s="123">
        <v>1</v>
      </c>
      <c r="CB198" s="123">
        <v>29.202848434448242</v>
      </c>
      <c r="CC198" s="126"/>
      <c r="CD198" s="123">
        <v>340.87045288085938</v>
      </c>
      <c r="CE198" s="123">
        <v>32.306221008300781</v>
      </c>
      <c r="CF198" s="123">
        <v>19.589468002319336</v>
      </c>
      <c r="CG198" s="123">
        <v>35.338191986083984</v>
      </c>
      <c r="CH198" s="123">
        <v>275.06979370117188</v>
      </c>
      <c r="CI198" s="123">
        <v>81.075973510742188</v>
      </c>
      <c r="CJ198" s="123">
        <v>34.790145874023438</v>
      </c>
      <c r="CK198" s="123">
        <v>50.715854644775391</v>
      </c>
      <c r="CL198" s="124">
        <v>27.877069473266602</v>
      </c>
      <c r="CM198" s="125">
        <v>199.95820617675781</v>
      </c>
      <c r="CN198" s="123">
        <v>54.379146575927734</v>
      </c>
      <c r="CO198" s="123">
        <v>61.627277374267578</v>
      </c>
      <c r="CP198" s="123">
        <v>81.052009582519531</v>
      </c>
      <c r="CQ198" s="123">
        <v>0</v>
      </c>
      <c r="CR198" s="123">
        <v>51.356273651123047</v>
      </c>
      <c r="CS198" s="123">
        <v>8.2379989624023438</v>
      </c>
      <c r="CT198" s="123">
        <v>31.691579818725586</v>
      </c>
      <c r="CU198" s="123">
        <v>38.530406951904297</v>
      </c>
      <c r="CV198" s="124">
        <v>59.027790069580078</v>
      </c>
      <c r="CW198" s="125">
        <v>0</v>
      </c>
      <c r="CX198" s="123">
        <v>305</v>
      </c>
      <c r="CY198" s="123">
        <v>111.59814453125</v>
      </c>
      <c r="CZ198" s="123">
        <v>48.866439819335938</v>
      </c>
      <c r="DA198" s="123">
        <v>20.074813842773438</v>
      </c>
      <c r="DB198" s="123">
        <v>33.340293884277344</v>
      </c>
      <c r="DC198" s="123">
        <v>76.558921813964844</v>
      </c>
      <c r="DD198" s="123">
        <v>55</v>
      </c>
      <c r="DE198" s="123">
        <v>173</v>
      </c>
      <c r="DF198" s="123">
        <v>102.89105224609375</v>
      </c>
      <c r="DG198" s="123">
        <v>67.856597900390625</v>
      </c>
      <c r="DH198" s="123">
        <v>47.427402496337891</v>
      </c>
      <c r="DI198" s="128">
        <v>38.690444946289063</v>
      </c>
      <c r="DJ198" s="127">
        <v>203</v>
      </c>
      <c r="DK198" s="123">
        <v>99.497001647949219</v>
      </c>
      <c r="DL198" s="123">
        <v>22.618999481201172</v>
      </c>
      <c r="DM198" s="123">
        <v>24.033000946044922</v>
      </c>
      <c r="DN198" s="123">
        <v>48.949001312255859</v>
      </c>
      <c r="DO198" s="124">
        <v>111.49195098876953</v>
      </c>
      <c r="DP198" s="125">
        <v>15.041000366210938</v>
      </c>
      <c r="DQ198" s="123"/>
      <c r="DR198" s="125">
        <v>38</v>
      </c>
      <c r="DS198" s="128">
        <v>28.799999237060547</v>
      </c>
      <c r="DT198" s="127">
        <v>12</v>
      </c>
      <c r="DU198" s="123"/>
      <c r="DV198" s="123">
        <v>8</v>
      </c>
      <c r="DW198" s="123">
        <v>1.308516263961792</v>
      </c>
      <c r="DX198" s="125">
        <v>11</v>
      </c>
      <c r="DY198" s="128"/>
      <c r="DZ198" s="127">
        <v>45</v>
      </c>
      <c r="EA198" s="123">
        <v>3</v>
      </c>
      <c r="EB198" s="123">
        <v>0</v>
      </c>
      <c r="EC198" s="123">
        <v>1</v>
      </c>
      <c r="ED198" s="123">
        <v>243.80000305175781</v>
      </c>
      <c r="EE198" s="129"/>
      <c r="EF198" s="129"/>
      <c r="EG198" s="129"/>
    </row>
    <row r="199" spans="1:137" x14ac:dyDescent="0.3">
      <c r="A199" s="226">
        <f t="shared" si="9"/>
        <v>46020.135416667108</v>
      </c>
      <c r="B199" s="123">
        <v>206</v>
      </c>
      <c r="C199" s="123">
        <v>46.256000518798828</v>
      </c>
      <c r="D199" s="123">
        <v>94.88800048828125</v>
      </c>
      <c r="E199" s="123">
        <v>14.47599983215332</v>
      </c>
      <c r="F199" s="123">
        <v>7.8298096656799316</v>
      </c>
      <c r="G199" s="124">
        <v>16.625</v>
      </c>
      <c r="H199" s="125">
        <v>302</v>
      </c>
      <c r="I199" s="123">
        <v>269</v>
      </c>
      <c r="J199" s="123">
        <v>63.560001373291016</v>
      </c>
      <c r="K199" s="123">
        <v>60.395942687988281</v>
      </c>
      <c r="L199" s="123">
        <v>42.234001159667969</v>
      </c>
      <c r="M199" s="123">
        <v>12.21399974822998</v>
      </c>
      <c r="N199" s="123">
        <v>17.749000549316406</v>
      </c>
      <c r="O199" s="123">
        <v>17</v>
      </c>
      <c r="P199" s="123">
        <v>0</v>
      </c>
      <c r="Q199" s="123">
        <v>17.237462997436523</v>
      </c>
      <c r="R199" s="123">
        <v>7.0031251907348633</v>
      </c>
      <c r="S199" s="123">
        <v>6.5244565010070801</v>
      </c>
      <c r="T199" s="123">
        <v>9</v>
      </c>
      <c r="U199" s="123">
        <v>9</v>
      </c>
      <c r="V199" s="125">
        <v>871</v>
      </c>
      <c r="W199" s="123">
        <v>26.542741775512695</v>
      </c>
      <c r="X199" s="123">
        <v>25.445999145507813</v>
      </c>
      <c r="Y199" s="123">
        <v>5.4710001945495605</v>
      </c>
      <c r="Z199" s="123">
        <v>0</v>
      </c>
      <c r="AA199" s="123">
        <v>21.714000701904297</v>
      </c>
      <c r="AB199" s="123">
        <v>0</v>
      </c>
      <c r="AC199" s="123">
        <v>52.171199798583984</v>
      </c>
      <c r="AD199" s="123">
        <v>6.3610000610351563</v>
      </c>
      <c r="AE199" s="123">
        <v>0</v>
      </c>
      <c r="AF199" s="123">
        <v>81.574371337890625</v>
      </c>
      <c r="AG199" s="123">
        <v>0</v>
      </c>
      <c r="AH199" s="123">
        <v>62.427074432373047</v>
      </c>
      <c r="AI199" s="123">
        <v>11.38700008392334</v>
      </c>
      <c r="AJ199" s="123">
        <v>17.932487487792969</v>
      </c>
      <c r="AK199" s="123">
        <v>35.810821533203125</v>
      </c>
      <c r="AL199" s="123">
        <v>37.639999389648438</v>
      </c>
      <c r="AM199" s="126">
        <v>54.965000152587891</v>
      </c>
      <c r="AN199" s="125">
        <v>114.3125</v>
      </c>
      <c r="AO199" s="127">
        <v>59</v>
      </c>
      <c r="AP199" s="123">
        <v>60.786865234375</v>
      </c>
      <c r="AQ199" s="123">
        <v>35.618583679199219</v>
      </c>
      <c r="AR199" s="123">
        <v>94</v>
      </c>
      <c r="AS199" s="123"/>
      <c r="AT199" s="123">
        <v>112</v>
      </c>
      <c r="AU199" s="123"/>
      <c r="AV199" s="123">
        <v>59</v>
      </c>
      <c r="AW199" s="123"/>
      <c r="AX199" s="123">
        <v>30</v>
      </c>
      <c r="AY199" s="123">
        <v>32.273231506347656</v>
      </c>
      <c r="AZ199" s="123">
        <v>12</v>
      </c>
      <c r="BA199" s="123"/>
      <c r="BB199" s="123">
        <v>295</v>
      </c>
      <c r="BC199" s="123">
        <v>293.2596435546875</v>
      </c>
      <c r="BD199" s="123">
        <v>6.6999998092651367</v>
      </c>
      <c r="BE199" s="123">
        <v>6.7632708549499512</v>
      </c>
      <c r="BF199" s="123">
        <v>29</v>
      </c>
      <c r="BG199" s="123">
        <v>10</v>
      </c>
      <c r="BH199" s="123">
        <v>10.913005828857422</v>
      </c>
      <c r="BI199" s="123"/>
      <c r="BJ199" s="108">
        <f t="shared" si="10"/>
        <v>12</v>
      </c>
      <c r="BK199" s="123">
        <v>12</v>
      </c>
      <c r="BL199" s="123">
        <v>0</v>
      </c>
      <c r="BM199" s="126"/>
      <c r="BN199" s="108">
        <f t="shared" si="11"/>
        <v>121</v>
      </c>
      <c r="BO199" s="108">
        <v>72</v>
      </c>
      <c r="BP199" s="108">
        <v>49</v>
      </c>
      <c r="BQ199" s="108">
        <v>272</v>
      </c>
      <c r="BR199" s="123">
        <v>71.816001892089844</v>
      </c>
      <c r="BS199" s="123">
        <v>25.191999435424805</v>
      </c>
      <c r="BT199" s="123">
        <v>41.562999725341797</v>
      </c>
      <c r="BU199" s="123">
        <v>34.735000610351563</v>
      </c>
      <c r="BV199" s="123">
        <v>68.300003051757813</v>
      </c>
      <c r="BW199" s="123">
        <v>5.8000001907348633</v>
      </c>
      <c r="BX199" s="123">
        <v>13.5</v>
      </c>
      <c r="BY199" s="123">
        <v>27</v>
      </c>
      <c r="BZ199" s="123">
        <v>1.261299941688776E-2</v>
      </c>
      <c r="CA199" s="123">
        <v>1</v>
      </c>
      <c r="CB199" s="123">
        <v>29.268310546875</v>
      </c>
      <c r="CC199" s="126"/>
      <c r="CD199" s="123">
        <v>335.01303100585938</v>
      </c>
      <c r="CE199" s="123">
        <v>31.993062973022461</v>
      </c>
      <c r="CF199" s="123">
        <v>19.361648559570313</v>
      </c>
      <c r="CG199" s="123">
        <v>35.338191986083984</v>
      </c>
      <c r="CH199" s="123">
        <v>274.58624267578125</v>
      </c>
      <c r="CI199" s="123">
        <v>81.895576477050781</v>
      </c>
      <c r="CJ199" s="123">
        <v>35.638202667236328</v>
      </c>
      <c r="CK199" s="123">
        <v>51.006813049316406</v>
      </c>
      <c r="CL199" s="124">
        <v>28.475282669067383</v>
      </c>
      <c r="CM199" s="125">
        <v>199.95820617675781</v>
      </c>
      <c r="CN199" s="123">
        <v>56.502422332763672</v>
      </c>
      <c r="CO199" s="123">
        <v>59.726806640625</v>
      </c>
      <c r="CP199" s="123">
        <v>80.859375</v>
      </c>
      <c r="CQ199" s="123">
        <v>0</v>
      </c>
      <c r="CR199" s="123">
        <v>49.896617889404297</v>
      </c>
      <c r="CS199" s="123">
        <v>7.8244061470031738</v>
      </c>
      <c r="CT199" s="123">
        <v>34.81494140625</v>
      </c>
      <c r="CU199" s="123">
        <v>44.961860656738281</v>
      </c>
      <c r="CV199" s="124">
        <v>58.946907043457031</v>
      </c>
      <c r="CW199" s="125">
        <v>2</v>
      </c>
      <c r="CX199" s="123">
        <v>307</v>
      </c>
      <c r="CY199" s="123">
        <v>112.98812103271484</v>
      </c>
      <c r="CZ199" s="123">
        <v>47.946388244628906</v>
      </c>
      <c r="DA199" s="123">
        <v>19.800342559814453</v>
      </c>
      <c r="DB199" s="123">
        <v>32.448894500732422</v>
      </c>
      <c r="DC199" s="123">
        <v>78.052009582519531</v>
      </c>
      <c r="DD199" s="123">
        <v>55</v>
      </c>
      <c r="DE199" s="123">
        <v>172</v>
      </c>
      <c r="DF199" s="123">
        <v>103.49253082275391</v>
      </c>
      <c r="DG199" s="123">
        <v>66.996826171875</v>
      </c>
      <c r="DH199" s="123">
        <v>46.660324096679688</v>
      </c>
      <c r="DI199" s="128">
        <v>38.490463256835938</v>
      </c>
      <c r="DJ199" s="127">
        <v>201</v>
      </c>
      <c r="DK199" s="123">
        <v>103.05899810791016</v>
      </c>
      <c r="DL199" s="123">
        <v>22.618999481201172</v>
      </c>
      <c r="DM199" s="123">
        <v>22.972000122070313</v>
      </c>
      <c r="DN199" s="123">
        <v>51.423000335693359</v>
      </c>
      <c r="DO199" s="124">
        <v>111.63037872314453</v>
      </c>
      <c r="DP199" s="125">
        <v>15.041000366210938</v>
      </c>
      <c r="DQ199" s="123"/>
      <c r="DR199" s="125">
        <v>0</v>
      </c>
      <c r="DS199" s="128">
        <v>28</v>
      </c>
      <c r="DT199" s="127">
        <v>12</v>
      </c>
      <c r="DU199" s="123"/>
      <c r="DV199" s="123">
        <v>8</v>
      </c>
      <c r="DW199" s="123">
        <v>1.3986967802047729</v>
      </c>
      <c r="DX199" s="125">
        <v>10</v>
      </c>
      <c r="DY199" s="128"/>
      <c r="DZ199" s="127">
        <v>46</v>
      </c>
      <c r="EA199" s="123">
        <v>3</v>
      </c>
      <c r="EB199" s="123">
        <v>0</v>
      </c>
      <c r="EC199" s="123">
        <v>1</v>
      </c>
      <c r="ED199" s="123">
        <v>244.39999389648438</v>
      </c>
      <c r="EE199" s="129"/>
      <c r="EF199" s="129"/>
      <c r="EG199" s="129"/>
    </row>
    <row r="200" spans="1:137" x14ac:dyDescent="0.3">
      <c r="A200" s="226">
        <f t="shared" si="9"/>
        <v>46020.136111111555</v>
      </c>
      <c r="B200" s="123">
        <v>206</v>
      </c>
      <c r="C200" s="123">
        <v>49.196998596191406</v>
      </c>
      <c r="D200" s="123">
        <v>95.680000305175781</v>
      </c>
      <c r="E200" s="123">
        <v>14.47599983215332</v>
      </c>
      <c r="F200" s="123">
        <v>3.1089048385620117</v>
      </c>
      <c r="G200" s="124">
        <v>17.302999496459961</v>
      </c>
      <c r="H200" s="125">
        <v>306</v>
      </c>
      <c r="I200" s="123">
        <v>273</v>
      </c>
      <c r="J200" s="123">
        <v>63.560001373291016</v>
      </c>
      <c r="K200" s="123">
        <v>60.795272827148438</v>
      </c>
      <c r="L200" s="123">
        <v>43.294998168945313</v>
      </c>
      <c r="M200" s="123">
        <v>12.21399974822998</v>
      </c>
      <c r="N200" s="123">
        <v>17.176000595092773</v>
      </c>
      <c r="O200" s="123">
        <v>16</v>
      </c>
      <c r="P200" s="123">
        <v>0</v>
      </c>
      <c r="Q200" s="123">
        <v>16.884353637695313</v>
      </c>
      <c r="R200" s="123">
        <v>7.9968748092651367</v>
      </c>
      <c r="S200" s="123">
        <v>6.7848258018493652</v>
      </c>
      <c r="T200" s="123">
        <v>9</v>
      </c>
      <c r="U200" s="123">
        <v>9</v>
      </c>
      <c r="V200" s="125">
        <v>865</v>
      </c>
      <c r="W200" s="123">
        <v>27.239147186279297</v>
      </c>
      <c r="X200" s="123">
        <v>25.559000015258789</v>
      </c>
      <c r="Y200" s="123">
        <v>6.4250001907348633</v>
      </c>
      <c r="Z200" s="123">
        <v>0</v>
      </c>
      <c r="AA200" s="123">
        <v>21.826999664306641</v>
      </c>
      <c r="AB200" s="123">
        <v>0</v>
      </c>
      <c r="AC200" s="123">
        <v>52.200321197509766</v>
      </c>
      <c r="AD200" s="123">
        <v>6.3610000610351563</v>
      </c>
      <c r="AE200" s="123">
        <v>0</v>
      </c>
      <c r="AF200" s="123">
        <v>81.574371337890625</v>
      </c>
      <c r="AG200" s="123">
        <v>0</v>
      </c>
      <c r="AH200" s="123">
        <v>64.037574768066406</v>
      </c>
      <c r="AI200" s="123">
        <v>11.196000099182129</v>
      </c>
      <c r="AJ200" s="123">
        <v>17.932487487792969</v>
      </c>
      <c r="AK200" s="123">
        <v>36.127349853515625</v>
      </c>
      <c r="AL200" s="123">
        <v>39.583999633789063</v>
      </c>
      <c r="AM200" s="126">
        <v>54.519001007080078</v>
      </c>
      <c r="AN200" s="125">
        <v>111.6875</v>
      </c>
      <c r="AO200" s="127">
        <v>60</v>
      </c>
      <c r="AP200" s="123">
        <v>60.756877899169922</v>
      </c>
      <c r="AQ200" s="123">
        <v>37.406448364257813</v>
      </c>
      <c r="AR200" s="123">
        <v>94</v>
      </c>
      <c r="AS200" s="123"/>
      <c r="AT200" s="123">
        <v>112</v>
      </c>
      <c r="AU200" s="123"/>
      <c r="AV200" s="123">
        <v>52</v>
      </c>
      <c r="AW200" s="123"/>
      <c r="AX200" s="123">
        <v>30</v>
      </c>
      <c r="AY200" s="123">
        <v>32.278587341308594</v>
      </c>
      <c r="AZ200" s="123">
        <v>13</v>
      </c>
      <c r="BA200" s="123"/>
      <c r="BB200" s="123">
        <v>295</v>
      </c>
      <c r="BC200" s="123">
        <v>296.14657592773438</v>
      </c>
      <c r="BD200" s="123">
        <v>7.0999999046325684</v>
      </c>
      <c r="BE200" s="123">
        <v>7.1627497673034668</v>
      </c>
      <c r="BF200" s="123">
        <v>29</v>
      </c>
      <c r="BG200" s="123">
        <v>10</v>
      </c>
      <c r="BH200" s="123">
        <v>10.857576370239258</v>
      </c>
      <c r="BI200" s="123"/>
      <c r="BJ200" s="108">
        <f t="shared" si="10"/>
        <v>13</v>
      </c>
      <c r="BK200" s="123">
        <v>13</v>
      </c>
      <c r="BL200" s="123">
        <v>0</v>
      </c>
      <c r="BM200" s="126"/>
      <c r="BN200" s="108">
        <f t="shared" si="11"/>
        <v>122</v>
      </c>
      <c r="BO200" s="108">
        <v>73</v>
      </c>
      <c r="BP200" s="108">
        <v>49</v>
      </c>
      <c r="BQ200" s="108">
        <v>264</v>
      </c>
      <c r="BR200" s="123">
        <v>71.7030029296875</v>
      </c>
      <c r="BS200" s="123">
        <v>23.920000076293945</v>
      </c>
      <c r="BT200" s="123">
        <v>40.523998260498047</v>
      </c>
      <c r="BU200" s="123">
        <v>35.116001129150391</v>
      </c>
      <c r="BV200" s="123">
        <v>68.699996948242188</v>
      </c>
      <c r="BW200" s="123">
        <v>5.6999998092651367</v>
      </c>
      <c r="BX200" s="123">
        <v>13.5</v>
      </c>
      <c r="BY200" s="123">
        <v>28</v>
      </c>
      <c r="BZ200" s="123">
        <v>1.452767476439476E-2</v>
      </c>
      <c r="CA200" s="123">
        <v>1</v>
      </c>
      <c r="CB200" s="123">
        <v>29.215032577514648</v>
      </c>
      <c r="CC200" s="126"/>
      <c r="CD200" s="123">
        <v>334.96478271484375</v>
      </c>
      <c r="CE200" s="123">
        <v>31.145925521850586</v>
      </c>
      <c r="CF200" s="123">
        <v>19.66984748840332</v>
      </c>
      <c r="CG200" s="123">
        <v>35.338191986083984</v>
      </c>
      <c r="CH200" s="123">
        <v>274.56594848632813</v>
      </c>
      <c r="CI200" s="123">
        <v>81.535896301269531</v>
      </c>
      <c r="CJ200" s="123">
        <v>35.754970550537109</v>
      </c>
      <c r="CK200" s="123">
        <v>50.377765655517578</v>
      </c>
      <c r="CL200" s="124">
        <v>28.003084182739258</v>
      </c>
      <c r="CM200" s="125">
        <v>199.706298828125</v>
      </c>
      <c r="CN200" s="123">
        <v>54.383022308349609</v>
      </c>
      <c r="CO200" s="123">
        <v>59.726806640625</v>
      </c>
      <c r="CP200" s="123">
        <v>80.708045959472656</v>
      </c>
      <c r="CQ200" s="123">
        <v>0</v>
      </c>
      <c r="CR200" s="123">
        <v>50.472698211669922</v>
      </c>
      <c r="CS200" s="123">
        <v>7.5943245887756348</v>
      </c>
      <c r="CT200" s="123">
        <v>35.173229217529297</v>
      </c>
      <c r="CU200" s="123">
        <v>42.303585052490234</v>
      </c>
      <c r="CV200" s="124">
        <v>58.859821319580078</v>
      </c>
      <c r="CW200" s="125">
        <v>3</v>
      </c>
      <c r="CX200" s="123">
        <v>304</v>
      </c>
      <c r="CY200" s="123">
        <v>114.61407470703125</v>
      </c>
      <c r="CZ200" s="123">
        <v>48.611236572265625</v>
      </c>
      <c r="DA200" s="123">
        <v>19.168773651123047</v>
      </c>
      <c r="DB200" s="123">
        <v>34.56982421875</v>
      </c>
      <c r="DC200" s="123">
        <v>76.812202453613281</v>
      </c>
      <c r="DD200" s="123">
        <v>52</v>
      </c>
      <c r="DE200" s="123">
        <v>172</v>
      </c>
      <c r="DF200" s="123">
        <v>102.75547790527344</v>
      </c>
      <c r="DG200" s="123">
        <v>66.85711669921875</v>
      </c>
      <c r="DH200" s="123">
        <v>45.844867706298828</v>
      </c>
      <c r="DI200" s="128">
        <v>38.033054351806641</v>
      </c>
      <c r="DJ200" s="127">
        <v>201</v>
      </c>
      <c r="DK200" s="123">
        <v>102.04199981689453</v>
      </c>
      <c r="DL200" s="123">
        <v>24.881000518798828</v>
      </c>
      <c r="DM200" s="123">
        <v>22.972000122070313</v>
      </c>
      <c r="DN200" s="123">
        <v>49.833000183105469</v>
      </c>
      <c r="DO200" s="124">
        <v>113.36841583251953</v>
      </c>
      <c r="DP200" s="125">
        <v>15.097999572753906</v>
      </c>
      <c r="DQ200" s="123"/>
      <c r="DR200" s="125">
        <v>0</v>
      </c>
      <c r="DS200" s="128">
        <v>28.299999237060547</v>
      </c>
      <c r="DT200" s="127">
        <v>12</v>
      </c>
      <c r="DU200" s="123"/>
      <c r="DV200" s="123">
        <v>8</v>
      </c>
      <c r="DW200" s="123">
        <v>0.9915241003036499</v>
      </c>
      <c r="DX200" s="125">
        <v>10</v>
      </c>
      <c r="DY200" s="128"/>
      <c r="DZ200" s="127">
        <v>46</v>
      </c>
      <c r="EA200" s="123">
        <v>3</v>
      </c>
      <c r="EB200" s="123">
        <v>0</v>
      </c>
      <c r="EC200" s="123">
        <v>1</v>
      </c>
      <c r="ED200" s="123">
        <v>240.69999694824219</v>
      </c>
      <c r="EE200" s="129"/>
      <c r="EF200" s="129"/>
      <c r="EG200" s="129"/>
    </row>
    <row r="201" spans="1:137" x14ac:dyDescent="0.3">
      <c r="A201" s="226">
        <f t="shared" si="9"/>
        <v>46020.136805556001</v>
      </c>
      <c r="B201" s="123">
        <v>214</v>
      </c>
      <c r="C201" s="123">
        <v>52.363998413085938</v>
      </c>
      <c r="D201" s="123">
        <v>96.245002746582031</v>
      </c>
      <c r="E201" s="123">
        <v>16.511999130249023</v>
      </c>
      <c r="F201" s="123">
        <v>0</v>
      </c>
      <c r="G201" s="124">
        <v>16.85099983215332</v>
      </c>
      <c r="H201" s="125">
        <v>306</v>
      </c>
      <c r="I201" s="123">
        <v>272</v>
      </c>
      <c r="J201" s="123">
        <v>60.166999816894531</v>
      </c>
      <c r="K201" s="123">
        <v>60.911930084228516</v>
      </c>
      <c r="L201" s="123">
        <v>43.471000671386719</v>
      </c>
      <c r="M201" s="123">
        <v>12.439999580383301</v>
      </c>
      <c r="N201" s="123">
        <v>16.794000625610352</v>
      </c>
      <c r="O201" s="123">
        <v>18</v>
      </c>
      <c r="P201" s="123">
        <v>0</v>
      </c>
      <c r="Q201" s="123">
        <v>18.838029861450195</v>
      </c>
      <c r="R201" s="123">
        <v>10.003125190734863</v>
      </c>
      <c r="S201" s="123">
        <v>8.6536684036254883</v>
      </c>
      <c r="T201" s="123">
        <v>9</v>
      </c>
      <c r="U201" s="123">
        <v>9</v>
      </c>
      <c r="V201" s="125">
        <v>869</v>
      </c>
      <c r="W201" s="123">
        <v>29.788372039794922</v>
      </c>
      <c r="X201" s="123">
        <v>25.219999313354492</v>
      </c>
      <c r="Y201" s="123">
        <v>7.125</v>
      </c>
      <c r="Z201" s="123">
        <v>0</v>
      </c>
      <c r="AA201" s="123">
        <v>21.60099983215332</v>
      </c>
      <c r="AB201" s="123">
        <v>0</v>
      </c>
      <c r="AC201" s="123">
        <v>52.817966461181641</v>
      </c>
      <c r="AD201" s="123">
        <v>6.3610000610351563</v>
      </c>
      <c r="AE201" s="123">
        <v>0</v>
      </c>
      <c r="AF201" s="123">
        <v>83.101432800292969</v>
      </c>
      <c r="AG201" s="123">
        <v>0</v>
      </c>
      <c r="AH201" s="123">
        <v>62.114749908447266</v>
      </c>
      <c r="AI201" s="123">
        <v>12.97700023651123</v>
      </c>
      <c r="AJ201" s="123">
        <v>18.942192077636719</v>
      </c>
      <c r="AK201" s="123">
        <v>35.842548370361328</v>
      </c>
      <c r="AL201" s="123">
        <v>37.463001251220703</v>
      </c>
      <c r="AM201" s="126">
        <v>55.027999877929688</v>
      </c>
      <c r="AN201" s="125">
        <v>117.3125</v>
      </c>
      <c r="AO201" s="127">
        <v>60</v>
      </c>
      <c r="AP201" s="123">
        <v>60.850173950195313</v>
      </c>
      <c r="AQ201" s="123">
        <v>38.115028381347656</v>
      </c>
      <c r="AR201" s="123">
        <v>94</v>
      </c>
      <c r="AS201" s="123"/>
      <c r="AT201" s="123">
        <v>113</v>
      </c>
      <c r="AU201" s="123"/>
      <c r="AV201" s="123">
        <v>51</v>
      </c>
      <c r="AW201" s="123"/>
      <c r="AX201" s="123">
        <v>31</v>
      </c>
      <c r="AY201" s="123">
        <v>32.456760406494141</v>
      </c>
      <c r="AZ201" s="123">
        <v>12</v>
      </c>
      <c r="BA201" s="123"/>
      <c r="BB201" s="123">
        <v>294</v>
      </c>
      <c r="BC201" s="123">
        <v>297.63156127929688</v>
      </c>
      <c r="BD201" s="123">
        <v>6.8000001907348633</v>
      </c>
      <c r="BE201" s="123">
        <v>6.7556571960449219</v>
      </c>
      <c r="BF201" s="123">
        <v>29</v>
      </c>
      <c r="BG201" s="123">
        <v>11</v>
      </c>
      <c r="BH201" s="123">
        <v>11.454995155334473</v>
      </c>
      <c r="BI201" s="123"/>
      <c r="BJ201" s="108">
        <f t="shared" si="10"/>
        <v>13</v>
      </c>
      <c r="BK201" s="123">
        <v>13</v>
      </c>
      <c r="BL201" s="123">
        <v>0</v>
      </c>
      <c r="BM201" s="126"/>
      <c r="BN201" s="108">
        <f t="shared" si="11"/>
        <v>121</v>
      </c>
      <c r="BO201" s="108">
        <v>72</v>
      </c>
      <c r="BP201" s="108">
        <v>49</v>
      </c>
      <c r="BQ201" s="108">
        <v>268</v>
      </c>
      <c r="BR201" s="123">
        <v>70.233001708984375</v>
      </c>
      <c r="BS201" s="123">
        <v>24.937000274658203</v>
      </c>
      <c r="BT201" s="123">
        <v>40.523998260498047</v>
      </c>
      <c r="BU201" s="123">
        <v>35.243000030517578</v>
      </c>
      <c r="BV201" s="123">
        <v>69.300003051757813</v>
      </c>
      <c r="BW201" s="123">
        <v>5.8000001907348633</v>
      </c>
      <c r="BX201" s="123">
        <v>13.5</v>
      </c>
      <c r="BY201" s="123">
        <v>29</v>
      </c>
      <c r="BZ201" s="123">
        <v>1.334130484610796E-2</v>
      </c>
      <c r="CA201" s="123">
        <v>1</v>
      </c>
      <c r="CB201" s="123">
        <v>29.161218643188477</v>
      </c>
      <c r="CC201" s="126"/>
      <c r="CD201" s="123">
        <v>340.93856811523438</v>
      </c>
      <c r="CE201" s="123">
        <v>30.850986480712891</v>
      </c>
      <c r="CF201" s="123">
        <v>19.626377105712891</v>
      </c>
      <c r="CG201" s="123">
        <v>35.338191986083984</v>
      </c>
      <c r="CH201" s="123">
        <v>275.988525390625</v>
      </c>
      <c r="CI201" s="123">
        <v>84.50933837890625</v>
      </c>
      <c r="CJ201" s="123">
        <v>35.728225708007813</v>
      </c>
      <c r="CK201" s="123">
        <v>52.536674499511719</v>
      </c>
      <c r="CL201" s="124">
        <v>28.324104309082031</v>
      </c>
      <c r="CM201" s="125">
        <v>199.61993408203125</v>
      </c>
      <c r="CN201" s="123">
        <v>57.277351379394531</v>
      </c>
      <c r="CO201" s="123">
        <v>60.959014892578125</v>
      </c>
      <c r="CP201" s="123">
        <v>79.665054321289063</v>
      </c>
      <c r="CQ201" s="123">
        <v>0</v>
      </c>
      <c r="CR201" s="123">
        <v>52.061592102050781</v>
      </c>
      <c r="CS201" s="123">
        <v>7.6590261459350586</v>
      </c>
      <c r="CT201" s="123">
        <v>33.139713287353516</v>
      </c>
      <c r="CU201" s="123">
        <v>39.196590423583984</v>
      </c>
      <c r="CV201" s="124">
        <v>59.068325042724609</v>
      </c>
      <c r="CW201" s="125">
        <v>2</v>
      </c>
      <c r="CX201" s="123">
        <v>313</v>
      </c>
      <c r="CY201" s="123">
        <v>114.27340698242188</v>
      </c>
      <c r="CZ201" s="123">
        <v>50.262630462646484</v>
      </c>
      <c r="DA201" s="123">
        <v>19.65355110168457</v>
      </c>
      <c r="DB201" s="123">
        <v>32.173107147216797</v>
      </c>
      <c r="DC201" s="123">
        <v>78.803237915039063</v>
      </c>
      <c r="DD201" s="123">
        <v>52</v>
      </c>
      <c r="DE201" s="123">
        <v>175</v>
      </c>
      <c r="DF201" s="123">
        <v>103.71635437011719</v>
      </c>
      <c r="DG201" s="123">
        <v>67.937736511230469</v>
      </c>
      <c r="DH201" s="123">
        <v>45.464530944824219</v>
      </c>
      <c r="DI201" s="128">
        <v>38.235279083251953</v>
      </c>
      <c r="DJ201" s="127">
        <v>205</v>
      </c>
      <c r="DK201" s="123">
        <v>103.31400299072266</v>
      </c>
      <c r="DL201" s="123">
        <v>24.881000518798828</v>
      </c>
      <c r="DM201" s="123">
        <v>23.326000213623047</v>
      </c>
      <c r="DN201" s="123">
        <v>50.186000823974609</v>
      </c>
      <c r="DO201" s="124">
        <v>112.59881591796875</v>
      </c>
      <c r="DP201" s="125">
        <v>15.805000305175781</v>
      </c>
      <c r="DQ201" s="123"/>
      <c r="DR201" s="125">
        <v>0</v>
      </c>
      <c r="DS201" s="128">
        <v>28.799999237060547</v>
      </c>
      <c r="DT201" s="127">
        <v>12</v>
      </c>
      <c r="DU201" s="123"/>
      <c r="DV201" s="123">
        <v>9</v>
      </c>
      <c r="DW201" s="123">
        <v>1.022038459777832</v>
      </c>
      <c r="DX201" s="125">
        <v>10</v>
      </c>
      <c r="DY201" s="128"/>
      <c r="DZ201" s="127">
        <v>45</v>
      </c>
      <c r="EA201" s="123">
        <v>3</v>
      </c>
      <c r="EB201" s="123">
        <v>0</v>
      </c>
      <c r="EC201" s="123">
        <v>1</v>
      </c>
      <c r="ED201" s="123">
        <v>243.30000305175781</v>
      </c>
      <c r="EE201" s="129"/>
      <c r="EF201" s="129"/>
      <c r="EG201" s="129"/>
    </row>
    <row r="202" spans="1:137" x14ac:dyDescent="0.3">
      <c r="A202" s="226">
        <f t="shared" si="9"/>
        <v>46020.137500000448</v>
      </c>
      <c r="B202" s="123">
        <v>208</v>
      </c>
      <c r="C202" s="123">
        <v>50.102001190185547</v>
      </c>
      <c r="D202" s="123">
        <v>96.018997192382813</v>
      </c>
      <c r="E202" s="123">
        <v>16.059000015258789</v>
      </c>
      <c r="F202" s="123">
        <v>3.0382108688354492</v>
      </c>
      <c r="G202" s="124">
        <v>16.285999298095703</v>
      </c>
      <c r="H202" s="125">
        <v>301</v>
      </c>
      <c r="I202" s="123">
        <v>272</v>
      </c>
      <c r="J202" s="123">
        <v>59.941001892089844</v>
      </c>
      <c r="K202" s="123">
        <v>60.761039733886719</v>
      </c>
      <c r="L202" s="123">
        <v>41.881000518798828</v>
      </c>
      <c r="M202" s="123">
        <v>13.119000434875488</v>
      </c>
      <c r="N202" s="123">
        <v>18.003000259399414</v>
      </c>
      <c r="O202" s="123">
        <v>18</v>
      </c>
      <c r="P202" s="123">
        <v>0</v>
      </c>
      <c r="Q202" s="123">
        <v>17.758081436157227</v>
      </c>
      <c r="R202" s="123">
        <v>7.9968748092651367</v>
      </c>
      <c r="S202" s="123">
        <v>8.0961627960205078</v>
      </c>
      <c r="T202" s="123">
        <v>9</v>
      </c>
      <c r="U202" s="123">
        <v>9</v>
      </c>
      <c r="V202" s="125">
        <v>861</v>
      </c>
      <c r="W202" s="123">
        <v>28.535938262939453</v>
      </c>
      <c r="X202" s="123">
        <v>24.881000518798828</v>
      </c>
      <c r="Y202" s="123">
        <v>6.6160001754760742</v>
      </c>
      <c r="Z202" s="123">
        <v>0</v>
      </c>
      <c r="AA202" s="123">
        <v>21.375</v>
      </c>
      <c r="AB202" s="123">
        <v>0</v>
      </c>
      <c r="AC202" s="123">
        <v>52.938011169433594</v>
      </c>
      <c r="AD202" s="123">
        <v>6.6160001754760742</v>
      </c>
      <c r="AE202" s="123">
        <v>0</v>
      </c>
      <c r="AF202" s="123">
        <v>83.563949584960938</v>
      </c>
      <c r="AG202" s="123">
        <v>0</v>
      </c>
      <c r="AH202" s="123">
        <v>61.774967193603516</v>
      </c>
      <c r="AI202" s="123">
        <v>13.803999900817871</v>
      </c>
      <c r="AJ202" s="123">
        <v>17.750133514404297</v>
      </c>
      <c r="AK202" s="123">
        <v>35.681015014648438</v>
      </c>
      <c r="AL202" s="123">
        <v>37.463001251220703</v>
      </c>
      <c r="AM202" s="126">
        <v>54.391998291015625</v>
      </c>
      <c r="AN202" s="125">
        <v>114.25</v>
      </c>
      <c r="AO202" s="127">
        <v>60</v>
      </c>
      <c r="AP202" s="123">
        <v>61.282073974609375</v>
      </c>
      <c r="AQ202" s="123">
        <v>37.512313842773438</v>
      </c>
      <c r="AR202" s="123">
        <v>95</v>
      </c>
      <c r="AS202" s="123"/>
      <c r="AT202" s="123">
        <v>112</v>
      </c>
      <c r="AU202" s="123"/>
      <c r="AV202" s="123">
        <v>51</v>
      </c>
      <c r="AW202" s="123"/>
      <c r="AX202" s="123">
        <v>30</v>
      </c>
      <c r="AY202" s="123">
        <v>32.518936157226563</v>
      </c>
      <c r="AZ202" s="123">
        <v>12</v>
      </c>
      <c r="BA202" s="123"/>
      <c r="BB202" s="123">
        <v>186</v>
      </c>
      <c r="BC202" s="123">
        <v>184.46905517578125</v>
      </c>
      <c r="BD202" s="123">
        <v>6.6999998092651367</v>
      </c>
      <c r="BE202" s="123">
        <v>6.7518062591552734</v>
      </c>
      <c r="BF202" s="123">
        <v>29</v>
      </c>
      <c r="BG202" s="123">
        <v>11</v>
      </c>
      <c r="BH202" s="123">
        <v>11.454995155334473</v>
      </c>
      <c r="BI202" s="123"/>
      <c r="BJ202" s="108">
        <f t="shared" si="10"/>
        <v>12</v>
      </c>
      <c r="BK202" s="123">
        <v>12</v>
      </c>
      <c r="BL202" s="123">
        <v>0</v>
      </c>
      <c r="BM202" s="126"/>
      <c r="BN202" s="108">
        <f t="shared" si="11"/>
        <v>122.20000076293945</v>
      </c>
      <c r="BO202" s="108">
        <v>73</v>
      </c>
      <c r="BP202" s="108">
        <v>49.200000762939453</v>
      </c>
      <c r="BQ202" s="108">
        <v>268</v>
      </c>
      <c r="BR202" s="123">
        <v>70.68499755859375</v>
      </c>
      <c r="BS202" s="123">
        <v>23.920000076293945</v>
      </c>
      <c r="BT202" s="123">
        <v>41.215999603271484</v>
      </c>
      <c r="BU202" s="123">
        <v>35.562000274658203</v>
      </c>
      <c r="BV202" s="123">
        <v>69.5</v>
      </c>
      <c r="BW202" s="123">
        <v>5.9000000953674316</v>
      </c>
      <c r="BX202" s="123">
        <v>13.5</v>
      </c>
      <c r="BY202" s="123">
        <v>29</v>
      </c>
      <c r="BZ202" s="123">
        <v>1.5392462722957134E-2</v>
      </c>
      <c r="CA202" s="123">
        <v>1</v>
      </c>
      <c r="CB202" s="123">
        <v>29.583461761474609</v>
      </c>
      <c r="CC202" s="126"/>
      <c r="CD202" s="123">
        <v>347.8902587890625</v>
      </c>
      <c r="CE202" s="123">
        <v>32.875953674316406</v>
      </c>
      <c r="CF202" s="123">
        <v>19.467750549316406</v>
      </c>
      <c r="CG202" s="123">
        <v>35.338191986083984</v>
      </c>
      <c r="CH202" s="123">
        <v>275.70059204101563</v>
      </c>
      <c r="CI202" s="123">
        <v>84.589828491210938</v>
      </c>
      <c r="CJ202" s="123">
        <v>36.700851440429688</v>
      </c>
      <c r="CK202" s="123">
        <v>52.646976470947266</v>
      </c>
      <c r="CL202" s="124">
        <v>27.220762252807617</v>
      </c>
      <c r="CM202" s="125">
        <v>202.90243530273438</v>
      </c>
      <c r="CN202" s="123">
        <v>58.684486389160156</v>
      </c>
      <c r="CO202" s="123">
        <v>62.522514343261719</v>
      </c>
      <c r="CP202" s="123">
        <v>80.626144409179688</v>
      </c>
      <c r="CQ202" s="123">
        <v>0</v>
      </c>
      <c r="CR202" s="123">
        <v>53.294330596923828</v>
      </c>
      <c r="CS202" s="123">
        <v>8.502568244934082</v>
      </c>
      <c r="CT202" s="123">
        <v>31.135555267333984</v>
      </c>
      <c r="CU202" s="123">
        <v>39.533042907714844</v>
      </c>
      <c r="CV202" s="124">
        <v>58.320060729980469</v>
      </c>
      <c r="CW202" s="125">
        <v>10</v>
      </c>
      <c r="CX202" s="123">
        <v>302</v>
      </c>
      <c r="CY202" s="123">
        <v>113.68124389648438</v>
      </c>
      <c r="CZ202" s="123">
        <v>47.288719177246094</v>
      </c>
      <c r="DA202" s="123">
        <v>21.060712814331055</v>
      </c>
      <c r="DB202" s="123">
        <v>30.695461273193359</v>
      </c>
      <c r="DC202" s="123">
        <v>75.152877807617188</v>
      </c>
      <c r="DD202" s="123">
        <v>51</v>
      </c>
      <c r="DE202" s="123">
        <v>173</v>
      </c>
      <c r="DF202" s="123">
        <v>104.35496520996094</v>
      </c>
      <c r="DG202" s="123">
        <v>65.359535217285156</v>
      </c>
      <c r="DH202" s="123">
        <v>45.797725677490234</v>
      </c>
      <c r="DI202" s="128">
        <v>38.08056640625</v>
      </c>
      <c r="DJ202" s="127">
        <v>204</v>
      </c>
      <c r="DK202" s="123">
        <v>103.31400299072266</v>
      </c>
      <c r="DL202" s="123">
        <v>23.863000869750977</v>
      </c>
      <c r="DM202" s="123">
        <v>23.326000213623047</v>
      </c>
      <c r="DN202" s="123">
        <v>49.479999542236328</v>
      </c>
      <c r="DO202" s="124">
        <v>110.07787322998047</v>
      </c>
      <c r="DP202" s="125">
        <v>15.861000061035156</v>
      </c>
      <c r="DQ202" s="123"/>
      <c r="DR202" s="125">
        <v>0</v>
      </c>
      <c r="DS202" s="128">
        <v>29.200000762939453</v>
      </c>
      <c r="DT202" s="127">
        <v>12</v>
      </c>
      <c r="DU202" s="123"/>
      <c r="DV202" s="123">
        <v>8</v>
      </c>
      <c r="DW202" s="123">
        <v>1.3670651912689209</v>
      </c>
      <c r="DX202" s="125">
        <v>10</v>
      </c>
      <c r="DY202" s="128"/>
      <c r="DZ202" s="127">
        <v>45</v>
      </c>
      <c r="EA202" s="123">
        <v>3</v>
      </c>
      <c r="EB202" s="123">
        <v>0</v>
      </c>
      <c r="EC202" s="123">
        <v>1</v>
      </c>
      <c r="ED202" s="123">
        <v>244.60000610351563</v>
      </c>
      <c r="EE202" s="129"/>
      <c r="EF202" s="129"/>
      <c r="EG202" s="129"/>
    </row>
    <row r="203" spans="1:137" x14ac:dyDescent="0.3">
      <c r="A203" s="226">
        <f t="shared" si="9"/>
        <v>46020.138194444895</v>
      </c>
      <c r="B203" s="123">
        <v>211</v>
      </c>
      <c r="C203" s="123">
        <v>50.441001892089844</v>
      </c>
      <c r="D203" s="123">
        <v>95.905998229980469</v>
      </c>
      <c r="E203" s="123">
        <v>15.833000183105469</v>
      </c>
      <c r="F203" s="123">
        <v>4.8369565010070801</v>
      </c>
      <c r="G203" s="124">
        <v>17.302999496459961</v>
      </c>
      <c r="H203" s="125">
        <v>305</v>
      </c>
      <c r="I203" s="123">
        <v>270</v>
      </c>
      <c r="J203" s="123">
        <v>59.602001190185547</v>
      </c>
      <c r="K203" s="123">
        <v>60.399883270263672</v>
      </c>
      <c r="L203" s="123">
        <v>44.000999450683594</v>
      </c>
      <c r="M203" s="123">
        <v>13.458000183105469</v>
      </c>
      <c r="N203" s="123">
        <v>18.066999435424805</v>
      </c>
      <c r="O203" s="123">
        <v>18</v>
      </c>
      <c r="P203" s="123">
        <v>0</v>
      </c>
      <c r="Q203" s="123">
        <v>17.758081436157227</v>
      </c>
      <c r="R203" s="123">
        <v>9</v>
      </c>
      <c r="S203" s="123">
        <v>7.3392562866210938</v>
      </c>
      <c r="T203" s="123">
        <v>9</v>
      </c>
      <c r="U203" s="123">
        <v>9</v>
      </c>
      <c r="V203" s="125">
        <v>861</v>
      </c>
      <c r="W203" s="123">
        <v>25.611860275268555</v>
      </c>
      <c r="X203" s="123">
        <v>24.541999816894531</v>
      </c>
      <c r="Y203" s="123">
        <v>6.2340002059936523</v>
      </c>
      <c r="Z203" s="123">
        <v>0</v>
      </c>
      <c r="AA203" s="123">
        <v>22.166999816894531</v>
      </c>
      <c r="AB203" s="123">
        <v>0</v>
      </c>
      <c r="AC203" s="123">
        <v>53.264137268066406</v>
      </c>
      <c r="AD203" s="123">
        <v>6.3610000610351563</v>
      </c>
      <c r="AE203" s="123">
        <v>0</v>
      </c>
      <c r="AF203" s="123">
        <v>83.727668762207031</v>
      </c>
      <c r="AG203" s="123">
        <v>0</v>
      </c>
      <c r="AH203" s="123">
        <v>62.019573211669922</v>
      </c>
      <c r="AI203" s="123">
        <v>12.21399974822998</v>
      </c>
      <c r="AJ203" s="123">
        <v>15.949991226196289</v>
      </c>
      <c r="AK203" s="123">
        <v>36.001911163330078</v>
      </c>
      <c r="AL203" s="123">
        <v>37.639999389648438</v>
      </c>
      <c r="AM203" s="126">
        <v>55.219001770019531</v>
      </c>
      <c r="AN203" s="125">
        <v>114.75</v>
      </c>
      <c r="AO203" s="127">
        <v>59</v>
      </c>
      <c r="AP203" s="123">
        <v>60.200649261474609</v>
      </c>
      <c r="AQ203" s="123">
        <v>36.673740386962891</v>
      </c>
      <c r="AR203" s="123">
        <v>96</v>
      </c>
      <c r="AS203" s="123"/>
      <c r="AT203" s="123">
        <v>112</v>
      </c>
      <c r="AU203" s="123"/>
      <c r="AV203" s="123">
        <v>52</v>
      </c>
      <c r="AW203" s="123"/>
      <c r="AX203" s="123">
        <v>29</v>
      </c>
      <c r="AY203" s="123">
        <v>32.578823089599609</v>
      </c>
      <c r="AZ203" s="123">
        <v>12</v>
      </c>
      <c r="BA203" s="123"/>
      <c r="BB203" s="123">
        <v>181</v>
      </c>
      <c r="BC203" s="123">
        <v>183.83139038085938</v>
      </c>
      <c r="BD203" s="123">
        <v>6.6999998092651367</v>
      </c>
      <c r="BE203" s="123">
        <v>6.7512302398681641</v>
      </c>
      <c r="BF203" s="123">
        <v>30</v>
      </c>
      <c r="BG203" s="123">
        <v>11</v>
      </c>
      <c r="BH203" s="123">
        <v>11.437751770019531</v>
      </c>
      <c r="BI203" s="123"/>
      <c r="BJ203" s="108">
        <f t="shared" si="10"/>
        <v>12</v>
      </c>
      <c r="BK203" s="123">
        <v>12</v>
      </c>
      <c r="BL203" s="123">
        <v>0</v>
      </c>
      <c r="BM203" s="126"/>
      <c r="BN203" s="108">
        <f t="shared" si="11"/>
        <v>121</v>
      </c>
      <c r="BO203" s="108">
        <v>72</v>
      </c>
      <c r="BP203" s="108">
        <v>49</v>
      </c>
      <c r="BQ203" s="108">
        <v>268</v>
      </c>
      <c r="BR203" s="123">
        <v>72.155998229980469</v>
      </c>
      <c r="BS203" s="123">
        <v>24.937000274658203</v>
      </c>
      <c r="BT203" s="123">
        <v>40.523998260498047</v>
      </c>
      <c r="BU203" s="123">
        <v>35.433998107910156</v>
      </c>
      <c r="BV203" s="123">
        <v>68.800003051757813</v>
      </c>
      <c r="BW203" s="123">
        <v>6.0999999046325684</v>
      </c>
      <c r="BX203" s="123">
        <v>13.699999809265137</v>
      </c>
      <c r="BY203" s="123">
        <v>29</v>
      </c>
      <c r="BZ203" s="123">
        <v>1.3386646285653114E-2</v>
      </c>
      <c r="CA203" s="123">
        <v>1</v>
      </c>
      <c r="CB203" s="123">
        <v>29.416963577270508</v>
      </c>
      <c r="CC203" s="126"/>
      <c r="CD203" s="123">
        <v>341.94146728515625</v>
      </c>
      <c r="CE203" s="123">
        <v>32.015888214111328</v>
      </c>
      <c r="CF203" s="123">
        <v>19.515741348266602</v>
      </c>
      <c r="CG203" s="123">
        <v>35.338191986083984</v>
      </c>
      <c r="CH203" s="123">
        <v>274.30654907226563</v>
      </c>
      <c r="CI203" s="123">
        <v>84.354415893554688</v>
      </c>
      <c r="CJ203" s="123">
        <v>37.740715026855469</v>
      </c>
      <c r="CK203" s="123">
        <v>53.018352508544922</v>
      </c>
      <c r="CL203" s="124">
        <v>27.03693962097168</v>
      </c>
      <c r="CM203" s="125">
        <v>203.41677856445313</v>
      </c>
      <c r="CN203" s="123">
        <v>58.684486389160156</v>
      </c>
      <c r="CO203" s="123">
        <v>61.814022064208984</v>
      </c>
      <c r="CP203" s="123">
        <v>79.296554565429688</v>
      </c>
      <c r="CQ203" s="123">
        <v>0</v>
      </c>
      <c r="CR203" s="123">
        <v>50.066295623779297</v>
      </c>
      <c r="CS203" s="123">
        <v>7.564572811126709</v>
      </c>
      <c r="CT203" s="123">
        <v>32.460292816162109</v>
      </c>
      <c r="CU203" s="123">
        <v>39.356643676757813</v>
      </c>
      <c r="CV203" s="124">
        <v>58.124790191650391</v>
      </c>
      <c r="CW203" s="125">
        <v>2</v>
      </c>
      <c r="CX203" s="123">
        <v>303</v>
      </c>
      <c r="CY203" s="123">
        <v>112.79325103759766</v>
      </c>
      <c r="CZ203" s="123">
        <v>47.719997406005859</v>
      </c>
      <c r="DA203" s="123">
        <v>19.132516860961914</v>
      </c>
      <c r="DB203" s="123">
        <v>32.197689056396484</v>
      </c>
      <c r="DC203" s="123">
        <v>74.796516418457031</v>
      </c>
      <c r="DD203" s="123">
        <v>52</v>
      </c>
      <c r="DE203" s="123">
        <v>173</v>
      </c>
      <c r="DF203" s="123">
        <v>102.92677307128906</v>
      </c>
      <c r="DG203" s="123">
        <v>65.524581909179688</v>
      </c>
      <c r="DH203" s="123">
        <v>45.449962615966797</v>
      </c>
      <c r="DI203" s="128">
        <v>37.796554565429688</v>
      </c>
      <c r="DJ203" s="127">
        <v>205</v>
      </c>
      <c r="DK203" s="123">
        <v>105.34999847412109</v>
      </c>
      <c r="DL203" s="123">
        <v>24.767999649047852</v>
      </c>
      <c r="DM203" s="123">
        <v>25.445999145507813</v>
      </c>
      <c r="DN203" s="123">
        <v>51.777000427246094</v>
      </c>
      <c r="DO203" s="124">
        <v>110.90927886962891</v>
      </c>
      <c r="DP203" s="125">
        <v>16.454999923706055</v>
      </c>
      <c r="DQ203" s="123"/>
      <c r="DR203" s="125">
        <v>0</v>
      </c>
      <c r="DS203" s="128">
        <v>28.600000381469727</v>
      </c>
      <c r="DT203" s="127">
        <v>12</v>
      </c>
      <c r="DU203" s="123"/>
      <c r="DV203" s="123">
        <v>7</v>
      </c>
      <c r="DW203" s="123">
        <v>1.0251044034957886</v>
      </c>
      <c r="DX203" s="125">
        <v>10</v>
      </c>
      <c r="DY203" s="128"/>
      <c r="DZ203" s="127">
        <v>44</v>
      </c>
      <c r="EA203" s="123">
        <v>3</v>
      </c>
      <c r="EB203" s="123">
        <v>0</v>
      </c>
      <c r="EC203" s="123">
        <v>1</v>
      </c>
      <c r="ED203" s="123">
        <v>241.5</v>
      </c>
      <c r="EE203" s="129"/>
      <c r="EF203" s="129"/>
      <c r="EG203" s="129"/>
    </row>
    <row r="204" spans="1:137" x14ac:dyDescent="0.3">
      <c r="A204" s="226">
        <f t="shared" si="9"/>
        <v>46020.138888889342</v>
      </c>
      <c r="B204" s="123">
        <v>210</v>
      </c>
      <c r="C204" s="123">
        <v>49.648998260498047</v>
      </c>
      <c r="D204" s="123">
        <v>95.226997375488281</v>
      </c>
      <c r="E204" s="123">
        <v>17.076999664306641</v>
      </c>
      <c r="F204" s="123">
        <v>0</v>
      </c>
      <c r="G204" s="124">
        <v>16.964000701904297</v>
      </c>
      <c r="H204" s="125">
        <v>301</v>
      </c>
      <c r="I204" s="123">
        <v>272</v>
      </c>
      <c r="J204" s="123">
        <v>59.602001190185547</v>
      </c>
      <c r="K204" s="123">
        <v>60.689632415771484</v>
      </c>
      <c r="L204" s="123">
        <v>43.294998168945313</v>
      </c>
      <c r="M204" s="123">
        <v>13.232000350952148</v>
      </c>
      <c r="N204" s="123">
        <v>16.285999298095703</v>
      </c>
      <c r="O204" s="123">
        <v>17</v>
      </c>
      <c r="P204" s="123">
        <v>0</v>
      </c>
      <c r="Q204" s="123">
        <v>17.688627243041992</v>
      </c>
      <c r="R204" s="123">
        <v>7.9968748092651367</v>
      </c>
      <c r="S204" s="123">
        <v>7.7901196479797363</v>
      </c>
      <c r="T204" s="123">
        <v>9</v>
      </c>
      <c r="U204" s="123">
        <v>9</v>
      </c>
      <c r="V204" s="125">
        <v>861</v>
      </c>
      <c r="W204" s="123">
        <v>25.598150253295898</v>
      </c>
      <c r="X204" s="123">
        <v>24.993999481201172</v>
      </c>
      <c r="Y204" s="123">
        <v>7.379000186920166</v>
      </c>
      <c r="Z204" s="123">
        <v>0</v>
      </c>
      <c r="AA204" s="123">
        <v>22.280000686645508</v>
      </c>
      <c r="AB204" s="123">
        <v>0</v>
      </c>
      <c r="AC204" s="123">
        <v>53.289253234863281</v>
      </c>
      <c r="AD204" s="123">
        <v>6.3610000610351563</v>
      </c>
      <c r="AE204" s="123">
        <v>0</v>
      </c>
      <c r="AF204" s="123">
        <v>82.750007629394531</v>
      </c>
      <c r="AG204" s="123">
        <v>0</v>
      </c>
      <c r="AH204" s="123">
        <v>59.634452819824219</v>
      </c>
      <c r="AI204" s="123">
        <v>11.895999908447266</v>
      </c>
      <c r="AJ204" s="123">
        <v>16.586986541748047</v>
      </c>
      <c r="AK204" s="123">
        <v>36.301826477050781</v>
      </c>
      <c r="AL204" s="123">
        <v>39.407001495361328</v>
      </c>
      <c r="AM204" s="126">
        <v>55.791999816894531</v>
      </c>
      <c r="AN204" s="125">
        <v>113.5</v>
      </c>
      <c r="AO204" s="127">
        <v>59</v>
      </c>
      <c r="AP204" s="123">
        <v>60.303756713867188</v>
      </c>
      <c r="AQ204" s="123">
        <v>36.021766662597656</v>
      </c>
      <c r="AR204" s="123">
        <v>94</v>
      </c>
      <c r="AS204" s="123"/>
      <c r="AT204" s="123">
        <v>112</v>
      </c>
      <c r="AU204" s="123"/>
      <c r="AV204" s="123">
        <v>52</v>
      </c>
      <c r="AW204" s="123"/>
      <c r="AX204" s="123">
        <v>30</v>
      </c>
      <c r="AY204" s="123">
        <v>32.990791320800781</v>
      </c>
      <c r="AZ204" s="123">
        <v>13</v>
      </c>
      <c r="BA204" s="123"/>
      <c r="BB204" s="123">
        <v>180</v>
      </c>
      <c r="BC204" s="123">
        <v>183.83139038085938</v>
      </c>
      <c r="BD204" s="123">
        <v>6.5999999046325684</v>
      </c>
      <c r="BE204" s="123">
        <v>6.7512302398681641</v>
      </c>
      <c r="BF204" s="123">
        <v>29</v>
      </c>
      <c r="BG204" s="123">
        <v>11</v>
      </c>
      <c r="BH204" s="123">
        <v>11.440899848937988</v>
      </c>
      <c r="BI204" s="123"/>
      <c r="BJ204" s="108">
        <f t="shared" si="10"/>
        <v>12</v>
      </c>
      <c r="BK204" s="123">
        <v>12</v>
      </c>
      <c r="BL204" s="123">
        <v>0</v>
      </c>
      <c r="BM204" s="126"/>
      <c r="BN204" s="108">
        <f t="shared" si="11"/>
        <v>121.20000076293945</v>
      </c>
      <c r="BO204" s="108">
        <v>72</v>
      </c>
      <c r="BP204" s="108">
        <v>49.200000762939453</v>
      </c>
      <c r="BQ204" s="108">
        <v>268</v>
      </c>
      <c r="BR204" s="123">
        <v>70.797996520996094</v>
      </c>
      <c r="BS204" s="123">
        <v>25.445999145507813</v>
      </c>
      <c r="BT204" s="123">
        <v>40.176998138427734</v>
      </c>
      <c r="BU204" s="123">
        <v>35.116001129150391</v>
      </c>
      <c r="BV204" s="123">
        <v>69.199996948242188</v>
      </c>
      <c r="BW204" s="123">
        <v>6</v>
      </c>
      <c r="BX204" s="123">
        <v>13.5</v>
      </c>
      <c r="BY204" s="123">
        <v>30</v>
      </c>
      <c r="BZ204" s="123">
        <v>1.3386646285653114E-2</v>
      </c>
      <c r="CA204" s="123">
        <v>1</v>
      </c>
      <c r="CB204" s="123">
        <v>29.355304718017578</v>
      </c>
      <c r="CC204" s="126"/>
      <c r="CD204" s="123">
        <v>338.31655883789063</v>
      </c>
      <c r="CE204" s="123">
        <v>32.940517425537109</v>
      </c>
      <c r="CF204" s="123">
        <v>19.751337051391602</v>
      </c>
      <c r="CG204" s="123">
        <v>35.338191986083984</v>
      </c>
      <c r="CH204" s="123">
        <v>272.74209594726563</v>
      </c>
      <c r="CI204" s="123">
        <v>84.876205444335938</v>
      </c>
      <c r="CJ204" s="123">
        <v>37.580318450927734</v>
      </c>
      <c r="CK204" s="123">
        <v>51.418918609619141</v>
      </c>
      <c r="CL204" s="124">
        <v>26.900190353393555</v>
      </c>
      <c r="CM204" s="125">
        <v>200.25410461425781</v>
      </c>
      <c r="CN204" s="123">
        <v>56.101787567138672</v>
      </c>
      <c r="CO204" s="123">
        <v>61.92889404296875</v>
      </c>
      <c r="CP204" s="123">
        <v>80.15118408203125</v>
      </c>
      <c r="CQ204" s="123">
        <v>0</v>
      </c>
      <c r="CR204" s="123">
        <v>50.064983367919922</v>
      </c>
      <c r="CS204" s="123">
        <v>7.6214032173156738</v>
      </c>
      <c r="CT204" s="123">
        <v>31.938108444213867</v>
      </c>
      <c r="CU204" s="123">
        <v>43.1876220703125</v>
      </c>
      <c r="CV204" s="124">
        <v>57.152336120605469</v>
      </c>
      <c r="CW204" s="125">
        <v>4</v>
      </c>
      <c r="CX204" s="123">
        <v>303</v>
      </c>
      <c r="CY204" s="123">
        <v>111.01730346679688</v>
      </c>
      <c r="CZ204" s="123">
        <v>48.461841583251953</v>
      </c>
      <c r="DA204" s="123">
        <v>19.354013442993164</v>
      </c>
      <c r="DB204" s="123">
        <v>30.322660446166992</v>
      </c>
      <c r="DC204" s="123">
        <v>76.4766845703125</v>
      </c>
      <c r="DD204" s="123">
        <v>53</v>
      </c>
      <c r="DE204" s="123">
        <v>174</v>
      </c>
      <c r="DF204" s="123">
        <v>103.18305969238281</v>
      </c>
      <c r="DG204" s="123">
        <v>67.335052490234375</v>
      </c>
      <c r="DH204" s="123">
        <v>45.449962615966797</v>
      </c>
      <c r="DI204" s="128">
        <v>39.506229400634766</v>
      </c>
      <c r="DJ204" s="127">
        <v>208</v>
      </c>
      <c r="DK204" s="123">
        <v>105.60399627685547</v>
      </c>
      <c r="DL204" s="123">
        <v>25.559000015258789</v>
      </c>
      <c r="DM204" s="123">
        <v>24.916000366210938</v>
      </c>
      <c r="DN204" s="123">
        <v>50.186000823974609</v>
      </c>
      <c r="DO204" s="124">
        <v>110.60205078125</v>
      </c>
      <c r="DP204" s="125">
        <v>16.908000946044922</v>
      </c>
      <c r="DQ204" s="123"/>
      <c r="DR204" s="125">
        <v>0</v>
      </c>
      <c r="DS204" s="128">
        <v>28.600000381469727</v>
      </c>
      <c r="DT204" s="127">
        <v>12</v>
      </c>
      <c r="DU204" s="123"/>
      <c r="DV204" s="123">
        <v>8</v>
      </c>
      <c r="DW204" s="123">
        <v>0.98883461952209473</v>
      </c>
      <c r="DX204" s="125">
        <v>11</v>
      </c>
      <c r="DY204" s="128"/>
      <c r="DZ204" s="127">
        <v>43</v>
      </c>
      <c r="EA204" s="123">
        <v>3</v>
      </c>
      <c r="EB204" s="123">
        <v>0</v>
      </c>
      <c r="EC204" s="123">
        <v>1</v>
      </c>
      <c r="ED204" s="123">
        <v>244.10000610351563</v>
      </c>
      <c r="EE204" s="129"/>
      <c r="EF204" s="129"/>
      <c r="EG204" s="129"/>
    </row>
    <row r="205" spans="1:137" x14ac:dyDescent="0.3">
      <c r="A205" s="226">
        <f t="shared" si="9"/>
        <v>46020.139583333788</v>
      </c>
      <c r="B205" s="123">
        <v>214</v>
      </c>
      <c r="C205" s="123">
        <v>48.743999481201172</v>
      </c>
      <c r="D205" s="123">
        <v>95.454002380371094</v>
      </c>
      <c r="E205" s="123">
        <v>19.22599983215332</v>
      </c>
      <c r="F205" s="123">
        <v>6.3580694198608398</v>
      </c>
      <c r="G205" s="124">
        <v>16.511999130249023</v>
      </c>
      <c r="H205" s="125">
        <v>308</v>
      </c>
      <c r="I205" s="123">
        <v>271</v>
      </c>
      <c r="J205" s="123">
        <v>59.941001892089844</v>
      </c>
      <c r="K205" s="123">
        <v>60.868518829345703</v>
      </c>
      <c r="L205" s="123">
        <v>44.178001403808594</v>
      </c>
      <c r="M205" s="123">
        <v>12.779000282287598</v>
      </c>
      <c r="N205" s="123">
        <v>16.47599983215332</v>
      </c>
      <c r="O205" s="123">
        <v>17</v>
      </c>
      <c r="P205" s="123">
        <v>0</v>
      </c>
      <c r="Q205" s="123">
        <v>17.724475860595703</v>
      </c>
      <c r="R205" s="123">
        <v>4.9968748092651367</v>
      </c>
      <c r="S205" s="123">
        <v>6.2043547630310059</v>
      </c>
      <c r="T205" s="123">
        <v>9</v>
      </c>
      <c r="U205" s="123">
        <v>9</v>
      </c>
      <c r="V205" s="125">
        <v>864</v>
      </c>
      <c r="W205" s="123">
        <v>25.854282379150391</v>
      </c>
      <c r="X205" s="123">
        <v>24.201999664306641</v>
      </c>
      <c r="Y205" s="123">
        <v>6.869999885559082</v>
      </c>
      <c r="Z205" s="123">
        <v>0</v>
      </c>
      <c r="AA205" s="123">
        <v>20.809000015258789</v>
      </c>
      <c r="AB205" s="123">
        <v>0</v>
      </c>
      <c r="AC205" s="123">
        <v>51.209030151367188</v>
      </c>
      <c r="AD205" s="123">
        <v>6.3610000610351563</v>
      </c>
      <c r="AE205" s="123">
        <v>0</v>
      </c>
      <c r="AF205" s="123">
        <v>80.751258850097656</v>
      </c>
      <c r="AG205" s="123">
        <v>0</v>
      </c>
      <c r="AH205" s="123">
        <v>60.214374542236328</v>
      </c>
      <c r="AI205" s="123">
        <v>11.831999778747559</v>
      </c>
      <c r="AJ205" s="123">
        <v>17.934534072875977</v>
      </c>
      <c r="AK205" s="123">
        <v>36.162055969238281</v>
      </c>
      <c r="AL205" s="123">
        <v>38.169998168945313</v>
      </c>
      <c r="AM205" s="126">
        <v>55.791999816894531</v>
      </c>
      <c r="AN205" s="125">
        <v>108.5625</v>
      </c>
      <c r="AO205" s="127">
        <v>58</v>
      </c>
      <c r="AP205" s="123">
        <v>60.093776702880859</v>
      </c>
      <c r="AQ205" s="123">
        <v>35.416938781738281</v>
      </c>
      <c r="AR205" s="123">
        <v>94</v>
      </c>
      <c r="AS205" s="123"/>
      <c r="AT205" s="123">
        <v>111</v>
      </c>
      <c r="AU205" s="123"/>
      <c r="AV205" s="123">
        <v>61</v>
      </c>
      <c r="AW205" s="123"/>
      <c r="AX205" s="123">
        <v>31</v>
      </c>
      <c r="AY205" s="123">
        <v>33.836635589599609</v>
      </c>
      <c r="AZ205" s="123">
        <v>13</v>
      </c>
      <c r="BA205" s="123"/>
      <c r="BB205" s="123">
        <v>180</v>
      </c>
      <c r="BC205" s="123">
        <v>180.40518188476563</v>
      </c>
      <c r="BD205" s="123">
        <v>6.6999998092651367</v>
      </c>
      <c r="BE205" s="123">
        <v>6.7442965507507324</v>
      </c>
      <c r="BF205" s="123">
        <v>29</v>
      </c>
      <c r="BG205" s="123">
        <v>11</v>
      </c>
      <c r="BH205" s="123">
        <v>11.469554901123047</v>
      </c>
      <c r="BI205" s="123"/>
      <c r="BJ205" s="108">
        <f t="shared" si="10"/>
        <v>11</v>
      </c>
      <c r="BK205" s="123">
        <v>11</v>
      </c>
      <c r="BL205" s="123">
        <v>0</v>
      </c>
      <c r="BM205" s="126"/>
      <c r="BN205" s="108">
        <f t="shared" si="11"/>
        <v>121</v>
      </c>
      <c r="BO205" s="108">
        <v>72</v>
      </c>
      <c r="BP205" s="108">
        <v>49</v>
      </c>
      <c r="BQ205" s="108">
        <v>269</v>
      </c>
      <c r="BR205" s="123">
        <v>70.233001708984375</v>
      </c>
      <c r="BS205" s="123">
        <v>25.191999435424805</v>
      </c>
      <c r="BT205" s="123">
        <v>40.523998260498047</v>
      </c>
      <c r="BU205" s="123">
        <v>34.798000335693359</v>
      </c>
      <c r="BV205" s="123">
        <v>69.5</v>
      </c>
      <c r="BW205" s="123">
        <v>6</v>
      </c>
      <c r="BX205" s="123">
        <v>13.5</v>
      </c>
      <c r="BY205" s="123">
        <v>29</v>
      </c>
      <c r="BZ205" s="123">
        <v>1.5155245549976826E-2</v>
      </c>
      <c r="CA205" s="123">
        <v>0</v>
      </c>
      <c r="CB205" s="123">
        <v>29.223979949951172</v>
      </c>
      <c r="CC205" s="126"/>
      <c r="CD205" s="123">
        <v>337.9730224609375</v>
      </c>
      <c r="CE205" s="123">
        <v>31.804140090942383</v>
      </c>
      <c r="CF205" s="123">
        <v>19.42431640625</v>
      </c>
      <c r="CG205" s="123">
        <v>35.338191986083984</v>
      </c>
      <c r="CH205" s="123">
        <v>272.24261474609375</v>
      </c>
      <c r="CI205" s="123">
        <v>84.876205444335938</v>
      </c>
      <c r="CJ205" s="123">
        <v>34.702579498291016</v>
      </c>
      <c r="CK205" s="123">
        <v>51.807437896728516</v>
      </c>
      <c r="CL205" s="124">
        <v>25.879776000976563</v>
      </c>
      <c r="CM205" s="125">
        <v>203.17845153808594</v>
      </c>
      <c r="CN205" s="123">
        <v>56.157295227050781</v>
      </c>
      <c r="CO205" s="123">
        <v>61.550193786621094</v>
      </c>
      <c r="CP205" s="123">
        <v>81.859748840332031</v>
      </c>
      <c r="CQ205" s="123">
        <v>0</v>
      </c>
      <c r="CR205" s="123">
        <v>49.185283660888672</v>
      </c>
      <c r="CS205" s="123">
        <v>7.8673205375671387</v>
      </c>
      <c r="CT205" s="123">
        <v>29.687252044677734</v>
      </c>
      <c r="CU205" s="123">
        <v>42.102745056152344</v>
      </c>
      <c r="CV205" s="124">
        <v>59.012626647949219</v>
      </c>
      <c r="CW205" s="125">
        <v>5</v>
      </c>
      <c r="CX205" s="123">
        <v>301</v>
      </c>
      <c r="CY205" s="123">
        <v>112.68610382080078</v>
      </c>
      <c r="CZ205" s="123">
        <v>48.197193145751953</v>
      </c>
      <c r="DA205" s="123">
        <v>19.413551330566406</v>
      </c>
      <c r="DB205" s="123">
        <v>31.822174072265625</v>
      </c>
      <c r="DC205" s="123">
        <v>75.381904602050781</v>
      </c>
      <c r="DD205" s="123">
        <v>59</v>
      </c>
      <c r="DE205" s="123">
        <v>174</v>
      </c>
      <c r="DF205" s="123">
        <v>102.97575378417969</v>
      </c>
      <c r="DG205" s="123">
        <v>66.943153381347656</v>
      </c>
      <c r="DH205" s="123">
        <v>45.319759368896484</v>
      </c>
      <c r="DI205" s="128">
        <v>38.72528076171875</v>
      </c>
      <c r="DJ205" s="127">
        <v>207</v>
      </c>
      <c r="DK205" s="123">
        <v>103.822998046875</v>
      </c>
      <c r="DL205" s="123">
        <v>24.089000701904297</v>
      </c>
      <c r="DM205" s="123">
        <v>24.562999725341797</v>
      </c>
      <c r="DN205" s="123">
        <v>52.837001800537109</v>
      </c>
      <c r="DO205" s="124">
        <v>113.23485565185547</v>
      </c>
      <c r="DP205" s="125">
        <v>16.031000137329102</v>
      </c>
      <c r="DQ205" s="123"/>
      <c r="DR205" s="125">
        <v>0</v>
      </c>
      <c r="DS205" s="128">
        <v>28</v>
      </c>
      <c r="DT205" s="127">
        <v>12</v>
      </c>
      <c r="DU205" s="123"/>
      <c r="DV205" s="123">
        <v>8</v>
      </c>
      <c r="DW205" s="123">
        <v>1.3082190752029419</v>
      </c>
      <c r="DX205" s="125">
        <v>10</v>
      </c>
      <c r="DY205" s="128"/>
      <c r="DZ205" s="127">
        <v>44</v>
      </c>
      <c r="EA205" s="123">
        <v>3</v>
      </c>
      <c r="EB205" s="123">
        <v>0</v>
      </c>
      <c r="EC205" s="123">
        <v>1</v>
      </c>
      <c r="ED205" s="123">
        <v>239.60000610351563</v>
      </c>
      <c r="EE205" s="129"/>
      <c r="EF205" s="129"/>
      <c r="EG205" s="129"/>
    </row>
    <row r="206" spans="1:137" x14ac:dyDescent="0.3">
      <c r="A206" s="226">
        <f t="shared" si="9"/>
        <v>46020.140277778235</v>
      </c>
      <c r="B206" s="123">
        <v>214</v>
      </c>
      <c r="C206" s="123">
        <v>46.708999633789063</v>
      </c>
      <c r="D206" s="123">
        <v>96.132003784179688</v>
      </c>
      <c r="E206" s="123">
        <v>19.22599983215332</v>
      </c>
      <c r="F206" s="123">
        <v>3.2368524074554443</v>
      </c>
      <c r="G206" s="124">
        <v>17.642999649047852</v>
      </c>
      <c r="H206" s="125">
        <v>303</v>
      </c>
      <c r="I206" s="123">
        <v>268</v>
      </c>
      <c r="J206" s="123">
        <v>61.977001190185547</v>
      </c>
      <c r="K206" s="123">
        <v>60.275897979736328</v>
      </c>
      <c r="L206" s="123">
        <v>44.178001403808594</v>
      </c>
      <c r="M206" s="123">
        <v>12.666000366210938</v>
      </c>
      <c r="N206" s="123">
        <v>17.239999771118164</v>
      </c>
      <c r="O206" s="123">
        <v>16</v>
      </c>
      <c r="P206" s="123">
        <v>0</v>
      </c>
      <c r="Q206" s="123">
        <v>14.977169990539551</v>
      </c>
      <c r="R206" s="123">
        <v>4.9968748092651367</v>
      </c>
      <c r="S206" s="123">
        <v>6.2043547630310059</v>
      </c>
      <c r="T206" s="123">
        <v>9</v>
      </c>
      <c r="U206" s="123">
        <v>9</v>
      </c>
      <c r="V206" s="125">
        <v>865</v>
      </c>
      <c r="W206" s="123">
        <v>26.654651641845703</v>
      </c>
      <c r="X206" s="123">
        <v>24.541999816894531</v>
      </c>
      <c r="Y206" s="123">
        <v>6.9340000152587891</v>
      </c>
      <c r="Z206" s="123">
        <v>0</v>
      </c>
      <c r="AA206" s="123">
        <v>20.695999145507813</v>
      </c>
      <c r="AB206" s="123">
        <v>0</v>
      </c>
      <c r="AC206" s="123">
        <v>49.958461761474609</v>
      </c>
      <c r="AD206" s="123">
        <v>6.3610000610351563</v>
      </c>
      <c r="AE206" s="123">
        <v>0</v>
      </c>
      <c r="AF206" s="123">
        <v>81.12701416015625</v>
      </c>
      <c r="AG206" s="123">
        <v>0</v>
      </c>
      <c r="AH206" s="123">
        <v>61.4136962890625</v>
      </c>
      <c r="AI206" s="123">
        <v>11.069000244140625</v>
      </c>
      <c r="AJ206" s="123">
        <v>19.278690338134766</v>
      </c>
      <c r="AK206" s="123">
        <v>35.999183654785156</v>
      </c>
      <c r="AL206" s="123">
        <v>39.229999542236328</v>
      </c>
      <c r="AM206" s="126">
        <v>55.665000915527344</v>
      </c>
      <c r="AN206" s="125">
        <v>108.5625</v>
      </c>
      <c r="AO206" s="127">
        <v>58</v>
      </c>
      <c r="AP206" s="123">
        <v>60.065509796142578</v>
      </c>
      <c r="AQ206" s="123">
        <v>36.247920989990234</v>
      </c>
      <c r="AR206" s="123">
        <v>94</v>
      </c>
      <c r="AS206" s="123"/>
      <c r="AT206" s="123">
        <v>111</v>
      </c>
      <c r="AU206" s="123"/>
      <c r="AV206" s="123">
        <v>62</v>
      </c>
      <c r="AW206" s="123"/>
      <c r="AX206" s="123">
        <v>31</v>
      </c>
      <c r="AY206" s="123">
        <v>33.420459747314453</v>
      </c>
      <c r="AZ206" s="123">
        <v>12</v>
      </c>
      <c r="BA206" s="123"/>
      <c r="BB206" s="123">
        <v>180</v>
      </c>
      <c r="BC206" s="123">
        <v>183.35884094238281</v>
      </c>
      <c r="BD206" s="123">
        <v>6.6999998092651367</v>
      </c>
      <c r="BE206" s="123">
        <v>6.7459650039672852</v>
      </c>
      <c r="BF206" s="123">
        <v>29</v>
      </c>
      <c r="BG206" s="123">
        <v>11</v>
      </c>
      <c r="BH206" s="123">
        <v>11.425503730773926</v>
      </c>
      <c r="BI206" s="123"/>
      <c r="BJ206" s="108">
        <f t="shared" si="10"/>
        <v>11</v>
      </c>
      <c r="BK206" s="123">
        <v>11</v>
      </c>
      <c r="BL206" s="123">
        <v>0</v>
      </c>
      <c r="BM206" s="126"/>
      <c r="BN206" s="108">
        <f t="shared" si="11"/>
        <v>122</v>
      </c>
      <c r="BO206" s="108">
        <v>73</v>
      </c>
      <c r="BP206" s="108">
        <v>49</v>
      </c>
      <c r="BQ206" s="108">
        <v>273</v>
      </c>
      <c r="BR206" s="123">
        <v>73.400001525878906</v>
      </c>
      <c r="BS206" s="123">
        <v>24.937000274658203</v>
      </c>
      <c r="BT206" s="123">
        <v>40.869998931884766</v>
      </c>
      <c r="BU206" s="123">
        <v>36.198001861572266</v>
      </c>
      <c r="BV206" s="123">
        <v>69.599998474121094</v>
      </c>
      <c r="BW206" s="123">
        <v>6</v>
      </c>
      <c r="BX206" s="123">
        <v>13.5</v>
      </c>
      <c r="BY206" s="123">
        <v>29</v>
      </c>
      <c r="BZ206" s="123">
        <v>1.5620670281350613E-2</v>
      </c>
      <c r="CA206" s="123">
        <v>1</v>
      </c>
      <c r="CB206" s="123">
        <v>29.288059234619141</v>
      </c>
      <c r="CC206" s="126"/>
      <c r="CD206" s="123">
        <v>344.75579833984375</v>
      </c>
      <c r="CE206" s="123">
        <v>32.242568969726563</v>
      </c>
      <c r="CF206" s="123">
        <v>19.374519348144531</v>
      </c>
      <c r="CG206" s="123">
        <v>35.338191986083984</v>
      </c>
      <c r="CH206" s="123">
        <v>272.72244262695313</v>
      </c>
      <c r="CI206" s="123">
        <v>84.653038024902344</v>
      </c>
      <c r="CJ206" s="123">
        <v>36.133293151855469</v>
      </c>
      <c r="CK206" s="123">
        <v>52.540435791015625</v>
      </c>
      <c r="CL206" s="124">
        <v>26.187421798706055</v>
      </c>
      <c r="CM206" s="125">
        <v>196.10957336425781</v>
      </c>
      <c r="CN206" s="123">
        <v>55.537109375</v>
      </c>
      <c r="CO206" s="123">
        <v>59.672500610351563</v>
      </c>
      <c r="CP206" s="123">
        <v>77.7777099609375</v>
      </c>
      <c r="CQ206" s="123">
        <v>0</v>
      </c>
      <c r="CR206" s="123">
        <v>50.642871856689453</v>
      </c>
      <c r="CS206" s="123">
        <v>7.594703197479248</v>
      </c>
      <c r="CT206" s="123">
        <v>30.084095001220703</v>
      </c>
      <c r="CU206" s="123">
        <v>42.515201568603516</v>
      </c>
      <c r="CV206" s="124">
        <v>58.841583251953125</v>
      </c>
      <c r="CW206" s="125">
        <v>0</v>
      </c>
      <c r="CX206" s="123">
        <v>302</v>
      </c>
      <c r="CY206" s="123">
        <v>113.59402465820313</v>
      </c>
      <c r="CZ206" s="123">
        <v>47.965362548828125</v>
      </c>
      <c r="DA206" s="123">
        <v>19.714145660400391</v>
      </c>
      <c r="DB206" s="123">
        <v>29.985151290893555</v>
      </c>
      <c r="DC206" s="123">
        <v>75.604339599609375</v>
      </c>
      <c r="DD206" s="123">
        <v>57</v>
      </c>
      <c r="DE206" s="123">
        <v>175</v>
      </c>
      <c r="DF206" s="123">
        <v>102.97575378417969</v>
      </c>
      <c r="DG206" s="123">
        <v>67.133270263671875</v>
      </c>
      <c r="DH206" s="123">
        <v>45.550285339355469</v>
      </c>
      <c r="DI206" s="128">
        <v>38.786151885986328</v>
      </c>
      <c r="DJ206" s="127">
        <v>204</v>
      </c>
      <c r="DK206" s="123">
        <v>100.51499938964844</v>
      </c>
      <c r="DL206" s="123">
        <v>22.844999313354492</v>
      </c>
      <c r="DM206" s="123">
        <v>22.972000122070313</v>
      </c>
      <c r="DN206" s="123">
        <v>48.772998809814453</v>
      </c>
      <c r="DO206" s="124">
        <v>115.30807495117188</v>
      </c>
      <c r="DP206" s="125">
        <v>16.568000793457031</v>
      </c>
      <c r="DQ206" s="123"/>
      <c r="DR206" s="125">
        <v>0</v>
      </c>
      <c r="DS206" s="128">
        <v>28.100000381469727</v>
      </c>
      <c r="DT206" s="127">
        <v>12</v>
      </c>
      <c r="DU206" s="123"/>
      <c r="DV206" s="123">
        <v>7</v>
      </c>
      <c r="DW206" s="123">
        <v>1.3642250299453735</v>
      </c>
      <c r="DX206" s="125">
        <v>10</v>
      </c>
      <c r="DY206" s="128"/>
      <c r="DZ206" s="127">
        <v>44</v>
      </c>
      <c r="EA206" s="123">
        <v>3</v>
      </c>
      <c r="EB206" s="123">
        <v>0</v>
      </c>
      <c r="EC206" s="123">
        <v>1</v>
      </c>
      <c r="ED206" s="123">
        <v>240.89999389648438</v>
      </c>
      <c r="EE206" s="129"/>
      <c r="EF206" s="129"/>
      <c r="EG206" s="129"/>
    </row>
    <row r="207" spans="1:137" x14ac:dyDescent="0.3">
      <c r="A207" s="226">
        <f t="shared" si="9"/>
        <v>46020.140972222682</v>
      </c>
      <c r="B207" s="123">
        <v>208</v>
      </c>
      <c r="C207" s="123">
        <v>47.273998260498047</v>
      </c>
      <c r="D207" s="123">
        <v>95.454002380371094</v>
      </c>
      <c r="E207" s="123">
        <v>17.416000366210938</v>
      </c>
      <c r="F207" s="123">
        <v>0</v>
      </c>
      <c r="G207" s="124">
        <v>17.642999649047852</v>
      </c>
      <c r="H207" s="125">
        <v>304</v>
      </c>
      <c r="I207" s="123">
        <v>274</v>
      </c>
      <c r="J207" s="123">
        <v>61.071998596191406</v>
      </c>
      <c r="K207" s="123">
        <v>60.988742828369141</v>
      </c>
      <c r="L207" s="123">
        <v>44.532001495361328</v>
      </c>
      <c r="M207" s="123">
        <v>13.571000099182129</v>
      </c>
      <c r="N207" s="123">
        <v>18.385000228881836</v>
      </c>
      <c r="O207" s="123">
        <v>16</v>
      </c>
      <c r="P207" s="123">
        <v>0</v>
      </c>
      <c r="Q207" s="123">
        <v>16.564456939697266</v>
      </c>
      <c r="R207" s="123">
        <v>7.0031251907348633</v>
      </c>
      <c r="S207" s="123">
        <v>7.3111214637756348</v>
      </c>
      <c r="T207" s="123">
        <v>9</v>
      </c>
      <c r="U207" s="123">
        <v>9</v>
      </c>
      <c r="V207" s="125">
        <v>860</v>
      </c>
      <c r="W207" s="123">
        <v>25.510143280029297</v>
      </c>
      <c r="X207" s="123">
        <v>25.107000350952148</v>
      </c>
      <c r="Y207" s="123">
        <v>6.1069998741149902</v>
      </c>
      <c r="Z207" s="123">
        <v>0</v>
      </c>
      <c r="AA207" s="123">
        <v>18.547000885009766</v>
      </c>
      <c r="AB207" s="123">
        <v>0</v>
      </c>
      <c r="AC207" s="123">
        <v>50.995826721191406</v>
      </c>
      <c r="AD207" s="123">
        <v>6.6160001754760742</v>
      </c>
      <c r="AE207" s="123">
        <v>0</v>
      </c>
      <c r="AF207" s="123">
        <v>81.268959045410156</v>
      </c>
      <c r="AG207" s="123">
        <v>0</v>
      </c>
      <c r="AH207" s="123">
        <v>60.888656616210938</v>
      </c>
      <c r="AI207" s="123">
        <v>12.850000381469727</v>
      </c>
      <c r="AJ207" s="123">
        <v>17.945068359375</v>
      </c>
      <c r="AK207" s="123">
        <v>37.2425537109375</v>
      </c>
      <c r="AL207" s="123">
        <v>35.695999145507813</v>
      </c>
      <c r="AM207" s="126">
        <v>53.882999420166016</v>
      </c>
      <c r="AN207" s="125">
        <v>109.6875</v>
      </c>
      <c r="AO207" s="127">
        <v>58</v>
      </c>
      <c r="AP207" s="123">
        <v>60.240509033203125</v>
      </c>
      <c r="AQ207" s="123">
        <v>36.709415435791016</v>
      </c>
      <c r="AR207" s="123">
        <v>96</v>
      </c>
      <c r="AS207" s="123"/>
      <c r="AT207" s="123">
        <v>111</v>
      </c>
      <c r="AU207" s="123"/>
      <c r="AV207" s="123">
        <v>62</v>
      </c>
      <c r="AW207" s="123"/>
      <c r="AX207" s="123">
        <v>30</v>
      </c>
      <c r="AY207" s="123">
        <v>32.519649505615234</v>
      </c>
      <c r="AZ207" s="123">
        <v>10</v>
      </c>
      <c r="BA207" s="123"/>
      <c r="BB207" s="123">
        <v>180</v>
      </c>
      <c r="BC207" s="123">
        <v>180.2825927734375</v>
      </c>
      <c r="BD207" s="123">
        <v>6.6999998092651367</v>
      </c>
      <c r="BE207" s="123">
        <v>6.7286891937255859</v>
      </c>
      <c r="BF207" s="123">
        <v>29</v>
      </c>
      <c r="BG207" s="123">
        <v>11</v>
      </c>
      <c r="BH207" s="123">
        <v>11.425503730773926</v>
      </c>
      <c r="BI207" s="123"/>
      <c r="BJ207" s="108">
        <f t="shared" si="10"/>
        <v>11</v>
      </c>
      <c r="BK207" s="123">
        <v>11</v>
      </c>
      <c r="BL207" s="123">
        <v>0</v>
      </c>
      <c r="BM207" s="126"/>
      <c r="BN207" s="108">
        <f t="shared" si="11"/>
        <v>122</v>
      </c>
      <c r="BO207" s="108">
        <v>73</v>
      </c>
      <c r="BP207" s="108">
        <v>49</v>
      </c>
      <c r="BQ207" s="108">
        <v>267</v>
      </c>
      <c r="BR207" s="123">
        <v>71.13800048828125</v>
      </c>
      <c r="BS207" s="123">
        <v>23.920000076293945</v>
      </c>
      <c r="BT207" s="123">
        <v>40.176998138427734</v>
      </c>
      <c r="BU207" s="123">
        <v>34.543998718261719</v>
      </c>
      <c r="BV207" s="123">
        <v>68.699996948242188</v>
      </c>
      <c r="BW207" s="123">
        <v>5.9000000953674316</v>
      </c>
      <c r="BX207" s="123">
        <v>13.5</v>
      </c>
      <c r="BY207" s="123">
        <v>28</v>
      </c>
      <c r="BZ207" s="123">
        <v>1.2267155572772026E-2</v>
      </c>
      <c r="CA207" s="123">
        <v>1</v>
      </c>
      <c r="CB207" s="123">
        <v>29.124593734741211</v>
      </c>
      <c r="CC207" s="126"/>
      <c r="CD207" s="123">
        <v>348.45693969726563</v>
      </c>
      <c r="CE207" s="123">
        <v>30.235431671142578</v>
      </c>
      <c r="CF207" s="123">
        <v>19.417934417724609</v>
      </c>
      <c r="CG207" s="123">
        <v>35.338191986083984</v>
      </c>
      <c r="CH207" s="123">
        <v>273.47503662109375</v>
      </c>
      <c r="CI207" s="123">
        <v>83.0819091796875</v>
      </c>
      <c r="CJ207" s="123">
        <v>35.786853790283203</v>
      </c>
      <c r="CK207" s="123">
        <v>50.718093872070313</v>
      </c>
      <c r="CL207" s="124">
        <v>25.088544845581055</v>
      </c>
      <c r="CM207" s="125">
        <v>196.45338439941406</v>
      </c>
      <c r="CN207" s="123">
        <v>56.675136566162109</v>
      </c>
      <c r="CO207" s="123">
        <v>58.851608276367188</v>
      </c>
      <c r="CP207" s="123">
        <v>77.06903076171875</v>
      </c>
      <c r="CQ207" s="123">
        <v>0</v>
      </c>
      <c r="CR207" s="123">
        <v>49.835567474365234</v>
      </c>
      <c r="CS207" s="123">
        <v>7.8987503051757813</v>
      </c>
      <c r="CT207" s="123">
        <v>30.269054412841797</v>
      </c>
      <c r="CU207" s="123">
        <v>42.799137115478516</v>
      </c>
      <c r="CV207" s="124">
        <v>58.221054077148438</v>
      </c>
      <c r="CW207" s="125">
        <v>4</v>
      </c>
      <c r="CX207" s="123">
        <v>303</v>
      </c>
      <c r="CY207" s="123">
        <v>112.31266021728516</v>
      </c>
      <c r="CZ207" s="123">
        <v>49.631313323974609</v>
      </c>
      <c r="DA207" s="123">
        <v>19.719911575317383</v>
      </c>
      <c r="DB207" s="123">
        <v>30.005414962768555</v>
      </c>
      <c r="DC207" s="123">
        <v>76.551788330078125</v>
      </c>
      <c r="DD207" s="123">
        <v>58</v>
      </c>
      <c r="DE207" s="123">
        <v>174</v>
      </c>
      <c r="DF207" s="123">
        <v>103.03971862792969</v>
      </c>
      <c r="DG207" s="123">
        <v>68.221237182617188</v>
      </c>
      <c r="DH207" s="123">
        <v>43.923473358154297</v>
      </c>
      <c r="DI207" s="128">
        <v>38.973426818847656</v>
      </c>
      <c r="DJ207" s="127">
        <v>204</v>
      </c>
      <c r="DK207" s="123">
        <v>100.76899719238281</v>
      </c>
      <c r="DL207" s="123">
        <v>23.636999130249023</v>
      </c>
      <c r="DM207" s="123">
        <v>23.856000900268555</v>
      </c>
      <c r="DN207" s="123">
        <v>46.828998565673828</v>
      </c>
      <c r="DO207" s="124">
        <v>113.04129791259766</v>
      </c>
      <c r="DP207" s="125">
        <v>15.409000396728516</v>
      </c>
      <c r="DQ207" s="123"/>
      <c r="DR207" s="125">
        <v>0</v>
      </c>
      <c r="DS207" s="128">
        <v>28.399999618530273</v>
      </c>
      <c r="DT207" s="127">
        <v>12</v>
      </c>
      <c r="DU207" s="123"/>
      <c r="DV207" s="123">
        <v>8</v>
      </c>
      <c r="DW207" s="123">
        <v>1.3667553663253784</v>
      </c>
      <c r="DX207" s="125">
        <v>10</v>
      </c>
      <c r="DY207" s="128"/>
      <c r="DZ207" s="127">
        <v>45</v>
      </c>
      <c r="EA207" s="123">
        <v>3</v>
      </c>
      <c r="EB207" s="123">
        <v>0</v>
      </c>
      <c r="EC207" s="123">
        <v>1</v>
      </c>
      <c r="ED207" s="123">
        <v>242</v>
      </c>
      <c r="EE207" s="129"/>
      <c r="EF207" s="129"/>
      <c r="EG207" s="129"/>
    </row>
    <row r="208" spans="1:137" x14ac:dyDescent="0.3">
      <c r="A208" s="226">
        <f t="shared" si="9"/>
        <v>46020.141666667128</v>
      </c>
      <c r="B208" s="123">
        <v>212</v>
      </c>
      <c r="C208" s="123">
        <v>50.327999114990234</v>
      </c>
      <c r="D208" s="123">
        <v>95.454002380371094</v>
      </c>
      <c r="E208" s="123">
        <v>18.660999298095703</v>
      </c>
      <c r="F208" s="123">
        <v>7.746246337890625</v>
      </c>
      <c r="G208" s="124">
        <v>16.625</v>
      </c>
      <c r="H208" s="125">
        <v>303</v>
      </c>
      <c r="I208" s="123">
        <v>271</v>
      </c>
      <c r="J208" s="123">
        <v>60.279998779296875</v>
      </c>
      <c r="K208" s="123">
        <v>60.164882659912109</v>
      </c>
      <c r="L208" s="123">
        <v>45.944999694824219</v>
      </c>
      <c r="M208" s="123">
        <v>13.232000350952148</v>
      </c>
      <c r="N208" s="123">
        <v>17.875999450683594</v>
      </c>
      <c r="O208" s="123">
        <v>16</v>
      </c>
      <c r="P208" s="123">
        <v>0</v>
      </c>
      <c r="Q208" s="123">
        <v>16.58354377746582</v>
      </c>
      <c r="R208" s="123">
        <v>6</v>
      </c>
      <c r="S208" s="123">
        <v>6.4525141716003418</v>
      </c>
      <c r="T208" s="123">
        <v>9</v>
      </c>
      <c r="U208" s="123">
        <v>9</v>
      </c>
      <c r="V208" s="125">
        <v>857</v>
      </c>
      <c r="W208" s="123">
        <v>24.771993637084961</v>
      </c>
      <c r="X208" s="123">
        <v>25.559000015258789</v>
      </c>
      <c r="Y208" s="123">
        <v>5.9159998893737793</v>
      </c>
      <c r="Z208" s="123">
        <v>0</v>
      </c>
      <c r="AA208" s="123">
        <v>19</v>
      </c>
      <c r="AB208" s="123">
        <v>0</v>
      </c>
      <c r="AC208" s="123">
        <v>51.769081115722656</v>
      </c>
      <c r="AD208" s="123">
        <v>6.3610000610351563</v>
      </c>
      <c r="AE208" s="123">
        <v>0</v>
      </c>
      <c r="AF208" s="123">
        <v>80.533706665039063</v>
      </c>
      <c r="AG208" s="123">
        <v>0</v>
      </c>
      <c r="AH208" s="123">
        <v>59.632778167724609</v>
      </c>
      <c r="AI208" s="123">
        <v>12.21399974822998</v>
      </c>
      <c r="AJ208" s="123">
        <v>19.881362915039063</v>
      </c>
      <c r="AK208" s="123">
        <v>35.850849151611328</v>
      </c>
      <c r="AL208" s="123">
        <v>36.402999877929688</v>
      </c>
      <c r="AM208" s="126">
        <v>54.709999084472656</v>
      </c>
      <c r="AN208" s="125">
        <v>112.25</v>
      </c>
      <c r="AO208" s="127">
        <v>59</v>
      </c>
      <c r="AP208" s="123">
        <v>59.927921295166016</v>
      </c>
      <c r="AQ208" s="123">
        <v>36.236316680908203</v>
      </c>
      <c r="AR208" s="123">
        <v>96</v>
      </c>
      <c r="AS208" s="123"/>
      <c r="AT208" s="123">
        <v>111</v>
      </c>
      <c r="AU208" s="123"/>
      <c r="AV208" s="123">
        <v>63</v>
      </c>
      <c r="AW208" s="123"/>
      <c r="AX208" s="123">
        <v>30</v>
      </c>
      <c r="AY208" s="123">
        <v>32.139858245849609</v>
      </c>
      <c r="AZ208" s="123">
        <v>10</v>
      </c>
      <c r="BA208" s="123"/>
      <c r="BB208" s="123">
        <v>179</v>
      </c>
      <c r="BC208" s="123">
        <v>180.06755065917969</v>
      </c>
      <c r="BD208" s="123">
        <v>6.6999998092651367</v>
      </c>
      <c r="BE208" s="123">
        <v>6.7315196990966797</v>
      </c>
      <c r="BF208" s="123">
        <v>30</v>
      </c>
      <c r="BG208" s="123">
        <v>11</v>
      </c>
      <c r="BH208" s="123">
        <v>11.470685958862305</v>
      </c>
      <c r="BI208" s="123"/>
      <c r="BJ208" s="108">
        <f t="shared" si="10"/>
        <v>11</v>
      </c>
      <c r="BK208" s="123">
        <v>11</v>
      </c>
      <c r="BL208" s="123">
        <v>0</v>
      </c>
      <c r="BM208" s="126"/>
      <c r="BN208" s="108">
        <f t="shared" si="11"/>
        <v>122</v>
      </c>
      <c r="BO208" s="108">
        <v>73</v>
      </c>
      <c r="BP208" s="108">
        <v>49</v>
      </c>
      <c r="BQ208" s="108">
        <v>271</v>
      </c>
      <c r="BR208" s="123">
        <v>73.625999450683594</v>
      </c>
      <c r="BS208" s="123">
        <v>23.156000137329102</v>
      </c>
      <c r="BT208" s="123">
        <v>40.176998138427734</v>
      </c>
      <c r="BU208" s="123">
        <v>34.543998718261719</v>
      </c>
      <c r="BV208" s="123">
        <v>68.099998474121094</v>
      </c>
      <c r="BW208" s="123">
        <v>5.8000001907348633</v>
      </c>
      <c r="BX208" s="123">
        <v>13.5</v>
      </c>
      <c r="BY208" s="123">
        <v>29</v>
      </c>
      <c r="BZ208" s="123">
        <v>1.5571711584925652E-2</v>
      </c>
      <c r="CA208" s="123">
        <v>1</v>
      </c>
      <c r="CB208" s="123">
        <v>29.124593734741211</v>
      </c>
      <c r="CC208" s="126"/>
      <c r="CD208" s="123">
        <v>332.41644287109375</v>
      </c>
      <c r="CE208" s="123">
        <v>29.623016357421875</v>
      </c>
      <c r="CF208" s="123">
        <v>19.490091323852539</v>
      </c>
      <c r="CG208" s="123">
        <v>35.338191986083984</v>
      </c>
      <c r="CH208" s="123">
        <v>274.412109375</v>
      </c>
      <c r="CI208" s="123">
        <v>81.64337158203125</v>
      </c>
      <c r="CJ208" s="123">
        <v>35.751625061035156</v>
      </c>
      <c r="CK208" s="123">
        <v>51.001388549804688</v>
      </c>
      <c r="CL208" s="124">
        <v>25.868076324462891</v>
      </c>
      <c r="CM208" s="125">
        <v>195.21061706542969</v>
      </c>
      <c r="CN208" s="123">
        <v>55.470867156982422</v>
      </c>
      <c r="CO208" s="123">
        <v>60.473499298095703</v>
      </c>
      <c r="CP208" s="123">
        <v>76.047348022460938</v>
      </c>
      <c r="CQ208" s="123">
        <v>0</v>
      </c>
      <c r="CR208" s="123">
        <v>49.053398132324219</v>
      </c>
      <c r="CS208" s="123">
        <v>8.1609058380126953</v>
      </c>
      <c r="CT208" s="123">
        <v>33.078029632568359</v>
      </c>
      <c r="CU208" s="123">
        <v>41.600448608398438</v>
      </c>
      <c r="CV208" s="124">
        <v>55.208770751953125</v>
      </c>
      <c r="CW208" s="125">
        <v>2</v>
      </c>
      <c r="CX208" s="123">
        <v>306</v>
      </c>
      <c r="CY208" s="123">
        <v>111.98546600341797</v>
      </c>
      <c r="CZ208" s="123">
        <v>47.224815368652344</v>
      </c>
      <c r="DA208" s="123">
        <v>19.361457824707031</v>
      </c>
      <c r="DB208" s="123">
        <v>30.014833450317383</v>
      </c>
      <c r="DC208" s="123">
        <v>74.395317077636719</v>
      </c>
      <c r="DD208" s="123">
        <v>59</v>
      </c>
      <c r="DE208" s="123">
        <v>172</v>
      </c>
      <c r="DF208" s="123">
        <v>102.78132629394531</v>
      </c>
      <c r="DG208" s="123">
        <v>68.758285522460938</v>
      </c>
      <c r="DH208" s="123">
        <v>44.354686737060547</v>
      </c>
      <c r="DI208" s="128">
        <v>37.700817108154297</v>
      </c>
      <c r="DJ208" s="127">
        <v>203</v>
      </c>
      <c r="DK208" s="123">
        <v>99.750999450683594</v>
      </c>
      <c r="DL208" s="123">
        <v>24.541999816894531</v>
      </c>
      <c r="DM208" s="123">
        <v>24.38599967956543</v>
      </c>
      <c r="DN208" s="123">
        <v>48.596000671386719</v>
      </c>
      <c r="DO208" s="124">
        <v>108.83339691162109</v>
      </c>
      <c r="DP208" s="125">
        <v>15.777000427246094</v>
      </c>
      <c r="DQ208" s="123"/>
      <c r="DR208" s="125">
        <v>0</v>
      </c>
      <c r="DS208" s="128">
        <v>28.700000762939453</v>
      </c>
      <c r="DT208" s="127">
        <v>12</v>
      </c>
      <c r="DU208" s="123"/>
      <c r="DV208" s="123">
        <v>8</v>
      </c>
      <c r="DW208" s="123">
        <v>1.2762727737426758</v>
      </c>
      <c r="DX208" s="125">
        <v>10</v>
      </c>
      <c r="DY208" s="128"/>
      <c r="DZ208" s="127">
        <v>45</v>
      </c>
      <c r="EA208" s="123">
        <v>3</v>
      </c>
      <c r="EB208" s="123">
        <v>0</v>
      </c>
      <c r="EC208" s="123">
        <v>1</v>
      </c>
      <c r="ED208" s="123">
        <v>240.30000305175781</v>
      </c>
      <c r="EE208" s="129"/>
      <c r="EF208" s="129"/>
      <c r="EG208" s="129"/>
    </row>
    <row r="209" spans="1:137" x14ac:dyDescent="0.3">
      <c r="A209" s="226">
        <f t="shared" si="9"/>
        <v>46020.142361111575</v>
      </c>
      <c r="B209" s="123">
        <v>212</v>
      </c>
      <c r="C209" s="123">
        <v>52.25</v>
      </c>
      <c r="D209" s="123">
        <v>97.375999450683594</v>
      </c>
      <c r="E209" s="123">
        <v>17.642999649047852</v>
      </c>
      <c r="F209" s="123">
        <v>5.0184750556945801</v>
      </c>
      <c r="G209" s="124">
        <v>16.738000869750977</v>
      </c>
      <c r="H209" s="125">
        <v>301</v>
      </c>
      <c r="I209" s="123">
        <v>273</v>
      </c>
      <c r="J209" s="123">
        <v>59.148998260498047</v>
      </c>
      <c r="K209" s="123">
        <v>60.254924774169922</v>
      </c>
      <c r="L209" s="123">
        <v>42.941001892089844</v>
      </c>
      <c r="M209" s="123">
        <v>12.892999649047852</v>
      </c>
      <c r="N209" s="123">
        <v>17.812000274658203</v>
      </c>
      <c r="O209" s="123">
        <v>16</v>
      </c>
      <c r="P209" s="123">
        <v>0</v>
      </c>
      <c r="Q209" s="123">
        <v>15.983366012573242</v>
      </c>
      <c r="R209" s="123">
        <v>6</v>
      </c>
      <c r="S209" s="123">
        <v>6.1587076187133789</v>
      </c>
      <c r="T209" s="123">
        <v>9</v>
      </c>
      <c r="U209" s="123">
        <v>9</v>
      </c>
      <c r="V209" s="125">
        <v>862</v>
      </c>
      <c r="W209" s="123">
        <v>25.528314590454102</v>
      </c>
      <c r="X209" s="123">
        <v>26.35099983215332</v>
      </c>
      <c r="Y209" s="123">
        <v>5.9159998893737793</v>
      </c>
      <c r="Z209" s="123">
        <v>0</v>
      </c>
      <c r="AA209" s="123">
        <v>18.094999313354492</v>
      </c>
      <c r="AB209" s="123">
        <v>0</v>
      </c>
      <c r="AC209" s="123">
        <v>53.617408752441406</v>
      </c>
      <c r="AD209" s="123">
        <v>6.6160001754760742</v>
      </c>
      <c r="AE209" s="123">
        <v>0</v>
      </c>
      <c r="AF209" s="123">
        <v>80.102493286132813</v>
      </c>
      <c r="AG209" s="123">
        <v>0</v>
      </c>
      <c r="AH209" s="123">
        <v>61.280166625976563</v>
      </c>
      <c r="AI209" s="123">
        <v>13.741000175476074</v>
      </c>
      <c r="AJ209" s="123">
        <v>19.178390502929688</v>
      </c>
      <c r="AK209" s="123">
        <v>36.908100128173828</v>
      </c>
      <c r="AL209" s="123">
        <v>37.463001251220703</v>
      </c>
      <c r="AM209" s="126">
        <v>54.391998291015625</v>
      </c>
      <c r="AN209" s="125">
        <v>112.75</v>
      </c>
      <c r="AO209" s="127">
        <v>59</v>
      </c>
      <c r="AP209" s="123">
        <v>58.784378051757813</v>
      </c>
      <c r="AQ209" s="123">
        <v>36.565254211425781</v>
      </c>
      <c r="AR209" s="123">
        <v>96</v>
      </c>
      <c r="AS209" s="123"/>
      <c r="AT209" s="123">
        <v>110</v>
      </c>
      <c r="AU209" s="123"/>
      <c r="AV209" s="123">
        <v>56</v>
      </c>
      <c r="AW209" s="123"/>
      <c r="AX209" s="123">
        <v>30</v>
      </c>
      <c r="AY209" s="123">
        <v>32.139858245849609</v>
      </c>
      <c r="AZ209" s="123">
        <v>12</v>
      </c>
      <c r="BA209" s="123"/>
      <c r="BB209" s="123">
        <v>179</v>
      </c>
      <c r="BC209" s="123">
        <v>178.92161560058594</v>
      </c>
      <c r="BD209" s="123">
        <v>6.6999998092651367</v>
      </c>
      <c r="BE209" s="123">
        <v>6.735630989074707</v>
      </c>
      <c r="BF209" s="123">
        <v>30</v>
      </c>
      <c r="BG209" s="123">
        <v>11</v>
      </c>
      <c r="BH209" s="123">
        <v>11.455122947692871</v>
      </c>
      <c r="BI209" s="123"/>
      <c r="BJ209" s="108">
        <f t="shared" si="10"/>
        <v>11</v>
      </c>
      <c r="BK209" s="123">
        <v>11</v>
      </c>
      <c r="BL209" s="123">
        <v>0</v>
      </c>
      <c r="BM209" s="126"/>
      <c r="BN209" s="108">
        <f t="shared" si="11"/>
        <v>122</v>
      </c>
      <c r="BO209" s="108">
        <v>73</v>
      </c>
      <c r="BP209" s="108">
        <v>49</v>
      </c>
      <c r="BQ209" s="108">
        <v>270</v>
      </c>
      <c r="BR209" s="123">
        <v>70.912002563476563</v>
      </c>
      <c r="BS209" s="123">
        <v>24.429000854492188</v>
      </c>
      <c r="BT209" s="123">
        <v>40.523998260498047</v>
      </c>
      <c r="BU209" s="123">
        <v>34.671001434326172</v>
      </c>
      <c r="BV209" s="123">
        <v>69.199996948242188</v>
      </c>
      <c r="BW209" s="123">
        <v>5.9000000953674316</v>
      </c>
      <c r="BX209" s="123">
        <v>13.5</v>
      </c>
      <c r="BY209" s="123">
        <v>29</v>
      </c>
      <c r="BZ209" s="123">
        <v>1.3889346271753311E-2</v>
      </c>
      <c r="CA209" s="123">
        <v>1</v>
      </c>
      <c r="CB209" s="123">
        <v>29.144449234008789</v>
      </c>
      <c r="CC209" s="126"/>
      <c r="CD209" s="123">
        <v>333.6572265625</v>
      </c>
      <c r="CE209" s="123">
        <v>30.003395080566406</v>
      </c>
      <c r="CF209" s="123">
        <v>19.26490592956543</v>
      </c>
      <c r="CG209" s="123">
        <v>35.338191986083984</v>
      </c>
      <c r="CH209" s="123">
        <v>274.40518188476563</v>
      </c>
      <c r="CI209" s="123">
        <v>82.019058227539063</v>
      </c>
      <c r="CJ209" s="123">
        <v>35.979087829589844</v>
      </c>
      <c r="CK209" s="123">
        <v>51.484668731689453</v>
      </c>
      <c r="CL209" s="124">
        <v>27.363771438598633</v>
      </c>
      <c r="CM209" s="125">
        <v>196.42826843261719</v>
      </c>
      <c r="CN209" s="123">
        <v>55.728717803955078</v>
      </c>
      <c r="CO209" s="123">
        <v>59.939151763916016</v>
      </c>
      <c r="CP209" s="123">
        <v>78.312278747558594</v>
      </c>
      <c r="CQ209" s="123">
        <v>0</v>
      </c>
      <c r="CR209" s="123">
        <v>48.569179534912109</v>
      </c>
      <c r="CS209" s="123">
        <v>8.0654983520507813</v>
      </c>
      <c r="CT209" s="123">
        <v>32.15435791015625</v>
      </c>
      <c r="CU209" s="123">
        <v>41.213573455810547</v>
      </c>
      <c r="CV209" s="124">
        <v>55.823936462402344</v>
      </c>
      <c r="CW209" s="125">
        <v>1</v>
      </c>
      <c r="CX209" s="123">
        <v>296</v>
      </c>
      <c r="CY209" s="123">
        <v>111.54524993896484</v>
      </c>
      <c r="CZ209" s="123">
        <v>48.388729095458984</v>
      </c>
      <c r="DA209" s="123">
        <v>19.378210067749023</v>
      </c>
      <c r="DB209" s="123">
        <v>29.620576858520508</v>
      </c>
      <c r="DC209" s="123">
        <v>74.278785705566406</v>
      </c>
      <c r="DD209" s="123">
        <v>50</v>
      </c>
      <c r="DE209" s="123">
        <v>172</v>
      </c>
      <c r="DF209" s="123">
        <v>102.72438812255859</v>
      </c>
      <c r="DG209" s="123">
        <v>66.045890808105469</v>
      </c>
      <c r="DH209" s="123">
        <v>44.106330871582031</v>
      </c>
      <c r="DI209" s="128">
        <v>38.379020690917969</v>
      </c>
      <c r="DJ209" s="127">
        <v>203</v>
      </c>
      <c r="DK209" s="123">
        <v>103.822998046875</v>
      </c>
      <c r="DL209" s="123">
        <v>26.464000701904297</v>
      </c>
      <c r="DM209" s="123">
        <v>26.152999877929688</v>
      </c>
      <c r="DN209" s="123">
        <v>49.125999450683594</v>
      </c>
      <c r="DO209" s="124">
        <v>109.30124664306641</v>
      </c>
      <c r="DP209" s="125">
        <v>16.652999877929688</v>
      </c>
      <c r="DQ209" s="123"/>
      <c r="DR209" s="125">
        <v>0</v>
      </c>
      <c r="DS209" s="128">
        <v>29</v>
      </c>
      <c r="DT209" s="127">
        <v>12</v>
      </c>
      <c r="DU209" s="123"/>
      <c r="DV209" s="123">
        <v>9</v>
      </c>
      <c r="DW209" s="123">
        <v>1.2654685974121094</v>
      </c>
      <c r="DX209" s="125">
        <v>10</v>
      </c>
      <c r="DY209" s="128"/>
      <c r="DZ209" s="127">
        <v>45</v>
      </c>
      <c r="EA209" s="123">
        <v>3</v>
      </c>
      <c r="EB209" s="123">
        <v>0</v>
      </c>
      <c r="EC209" s="123">
        <v>1</v>
      </c>
      <c r="ED209" s="123">
        <v>239.80000305175781</v>
      </c>
      <c r="EE209" s="129"/>
      <c r="EF209" s="129"/>
      <c r="EG209" s="129"/>
    </row>
    <row r="210" spans="1:137" x14ac:dyDescent="0.3">
      <c r="A210" s="226">
        <f t="shared" si="9"/>
        <v>46020.143055556022</v>
      </c>
      <c r="B210" s="123">
        <v>215</v>
      </c>
      <c r="C210" s="123">
        <v>51.571998596191406</v>
      </c>
      <c r="D210" s="123">
        <v>96.245002746582031</v>
      </c>
      <c r="E210" s="123">
        <v>16.059000015258789</v>
      </c>
      <c r="F210" s="123">
        <v>0</v>
      </c>
      <c r="G210" s="124">
        <v>17.302999496459961</v>
      </c>
      <c r="H210" s="125">
        <v>303</v>
      </c>
      <c r="I210" s="123">
        <v>269</v>
      </c>
      <c r="J210" s="123">
        <v>60.506999969482422</v>
      </c>
      <c r="K210" s="123">
        <v>60.128162384033203</v>
      </c>
      <c r="L210" s="123">
        <v>44.000999450683594</v>
      </c>
      <c r="M210" s="123">
        <v>13.345000267028809</v>
      </c>
      <c r="N210" s="123">
        <v>18.066999435424805</v>
      </c>
      <c r="O210" s="123">
        <v>17</v>
      </c>
      <c r="P210" s="123">
        <v>0</v>
      </c>
      <c r="Q210" s="123">
        <v>17.926568984985352</v>
      </c>
      <c r="R210" s="123">
        <v>4.9968748092651367</v>
      </c>
      <c r="S210" s="123">
        <v>5.3623480796813965</v>
      </c>
      <c r="T210" s="123">
        <v>0</v>
      </c>
      <c r="U210" s="123">
        <v>0</v>
      </c>
      <c r="V210" s="125">
        <v>850</v>
      </c>
      <c r="W210" s="123">
        <v>26.502668380737305</v>
      </c>
      <c r="X210" s="123">
        <v>25.445999145507813</v>
      </c>
      <c r="Y210" s="123">
        <v>5.5980000495910645</v>
      </c>
      <c r="Z210" s="123">
        <v>0</v>
      </c>
      <c r="AA210" s="123">
        <v>19.677999496459961</v>
      </c>
      <c r="AB210" s="123">
        <v>0</v>
      </c>
      <c r="AC210" s="123">
        <v>51.84808349609375</v>
      </c>
      <c r="AD210" s="123">
        <v>6.3610000610351563</v>
      </c>
      <c r="AE210" s="123">
        <v>0</v>
      </c>
      <c r="AF210" s="123">
        <v>79.306449890136719</v>
      </c>
      <c r="AG210" s="123">
        <v>0</v>
      </c>
      <c r="AH210" s="123">
        <v>58.295707702636719</v>
      </c>
      <c r="AI210" s="123">
        <v>10.878000259399414</v>
      </c>
      <c r="AJ210" s="123">
        <v>18.372674942016602</v>
      </c>
      <c r="AK210" s="123">
        <v>36.114501953125</v>
      </c>
      <c r="AL210" s="123">
        <v>35.341999053955078</v>
      </c>
      <c r="AM210" s="126">
        <v>54.583000183105469</v>
      </c>
      <c r="AN210" s="125">
        <v>110.75</v>
      </c>
      <c r="AO210" s="127">
        <v>58</v>
      </c>
      <c r="AP210" s="123">
        <v>60.210346221923828</v>
      </c>
      <c r="AQ210" s="123">
        <v>36.568958282470703</v>
      </c>
      <c r="AR210" s="123">
        <v>98</v>
      </c>
      <c r="AS210" s="123"/>
      <c r="AT210" s="123">
        <v>111</v>
      </c>
      <c r="AU210" s="123"/>
      <c r="AV210" s="123">
        <v>54</v>
      </c>
      <c r="AW210" s="123"/>
      <c r="AX210" s="123">
        <v>31</v>
      </c>
      <c r="AY210" s="123">
        <v>33.029224395751953</v>
      </c>
      <c r="AZ210" s="123">
        <v>12</v>
      </c>
      <c r="BA210" s="123"/>
      <c r="BB210" s="123">
        <v>179</v>
      </c>
      <c r="BC210" s="123">
        <v>177.32460021972656</v>
      </c>
      <c r="BD210" s="123">
        <v>6.8000001907348633</v>
      </c>
      <c r="BE210" s="123">
        <v>6.809603214263916</v>
      </c>
      <c r="BF210" s="123">
        <v>29</v>
      </c>
      <c r="BG210" s="123">
        <v>10</v>
      </c>
      <c r="BH210" s="123">
        <v>11.041292190551758</v>
      </c>
      <c r="BI210" s="123"/>
      <c r="BJ210" s="108">
        <f t="shared" si="10"/>
        <v>11</v>
      </c>
      <c r="BK210" s="123">
        <v>11</v>
      </c>
      <c r="BL210" s="123">
        <v>0</v>
      </c>
      <c r="BM210" s="126"/>
      <c r="BN210" s="108">
        <f t="shared" si="11"/>
        <v>121</v>
      </c>
      <c r="BO210" s="108">
        <v>72</v>
      </c>
      <c r="BP210" s="108">
        <v>49</v>
      </c>
      <c r="BQ210" s="108">
        <v>268</v>
      </c>
      <c r="BR210" s="123">
        <v>64.916999816894531</v>
      </c>
      <c r="BS210" s="123">
        <v>26.209999084472656</v>
      </c>
      <c r="BT210" s="123">
        <v>40.523998260498047</v>
      </c>
      <c r="BU210" s="123">
        <v>35.306999206542969</v>
      </c>
      <c r="BV210" s="123">
        <v>69.599998474121094</v>
      </c>
      <c r="BW210" s="123">
        <v>5.9000000953674316</v>
      </c>
      <c r="BX210" s="123">
        <v>13.600000381469727</v>
      </c>
      <c r="BY210" s="123">
        <v>29</v>
      </c>
      <c r="BZ210" s="123">
        <v>1.3674400746822357E-2</v>
      </c>
      <c r="CA210" s="123">
        <v>1</v>
      </c>
      <c r="CB210" s="123">
        <v>29.096141815185547</v>
      </c>
      <c r="CC210" s="126"/>
      <c r="CD210" s="123">
        <v>346.996826171875</v>
      </c>
      <c r="CE210" s="123">
        <v>30.505701065063477</v>
      </c>
      <c r="CF210" s="123">
        <v>19.673238754272461</v>
      </c>
      <c r="CG210" s="123">
        <v>35.338191986083984</v>
      </c>
      <c r="CH210" s="123">
        <v>274.8424072265625</v>
      </c>
      <c r="CI210" s="123">
        <v>82.494712829589844</v>
      </c>
      <c r="CJ210" s="123">
        <v>36.718654632568359</v>
      </c>
      <c r="CK210" s="123">
        <v>49.458057403564453</v>
      </c>
      <c r="CL210" s="124">
        <v>26.8140869140625</v>
      </c>
      <c r="CM210" s="125">
        <v>193.37139892578125</v>
      </c>
      <c r="CN210" s="123">
        <v>55.957710266113281</v>
      </c>
      <c r="CO210" s="123">
        <v>59.033363342285156</v>
      </c>
      <c r="CP210" s="123">
        <v>77.305473327636719</v>
      </c>
      <c r="CQ210" s="123">
        <v>0</v>
      </c>
      <c r="CR210" s="123">
        <v>48.104389190673828</v>
      </c>
      <c r="CS210" s="123">
        <v>7.7584128379821777</v>
      </c>
      <c r="CT210" s="123">
        <v>32.628227233886719</v>
      </c>
      <c r="CU210" s="123">
        <v>40.402153015136719</v>
      </c>
      <c r="CV210" s="124">
        <v>56.893436431884766</v>
      </c>
      <c r="CW210" s="125">
        <v>2</v>
      </c>
      <c r="CX210" s="123">
        <v>299</v>
      </c>
      <c r="CY210" s="123">
        <v>111.74488067626953</v>
      </c>
      <c r="CZ210" s="123">
        <v>46.815067291259766</v>
      </c>
      <c r="DA210" s="123">
        <v>19.40546989440918</v>
      </c>
      <c r="DB210" s="123">
        <v>29.766103744506836</v>
      </c>
      <c r="DC210" s="123">
        <v>72.665504455566406</v>
      </c>
      <c r="DD210" s="123">
        <v>47</v>
      </c>
      <c r="DE210" s="123">
        <v>173</v>
      </c>
      <c r="DF210" s="123">
        <v>102.92612457275391</v>
      </c>
      <c r="DG210" s="123">
        <v>67.181747436523438</v>
      </c>
      <c r="DH210" s="123">
        <v>43.950927734375</v>
      </c>
      <c r="DI210" s="128">
        <v>38.035331726074219</v>
      </c>
      <c r="DJ210" s="127">
        <v>208</v>
      </c>
      <c r="DK210" s="123">
        <v>106.11299896240234</v>
      </c>
      <c r="DL210" s="123">
        <v>26.690000534057617</v>
      </c>
      <c r="DM210" s="123">
        <v>24.562999725341797</v>
      </c>
      <c r="DN210" s="123">
        <v>48.418998718261719</v>
      </c>
      <c r="DO210" s="124">
        <v>111.73283386230469</v>
      </c>
      <c r="DP210" s="125">
        <v>15.805000305175781</v>
      </c>
      <c r="DQ210" s="123"/>
      <c r="DR210" s="125">
        <v>0</v>
      </c>
      <c r="DS210" s="128">
        <v>29.5</v>
      </c>
      <c r="DT210" s="127">
        <v>12</v>
      </c>
      <c r="DU210" s="123"/>
      <c r="DV210" s="123">
        <v>8</v>
      </c>
      <c r="DW210" s="123">
        <v>1.2227957248687744</v>
      </c>
      <c r="DX210" s="125">
        <v>10</v>
      </c>
      <c r="DY210" s="128"/>
      <c r="DZ210" s="127">
        <v>44</v>
      </c>
      <c r="EA210" s="123">
        <v>3</v>
      </c>
      <c r="EB210" s="123">
        <v>0</v>
      </c>
      <c r="EC210" s="123">
        <v>1</v>
      </c>
      <c r="ED210" s="123">
        <v>241.80000305175781</v>
      </c>
      <c r="EE210" s="129"/>
      <c r="EF210" s="129"/>
      <c r="EG210" s="129"/>
    </row>
    <row r="211" spans="1:137" x14ac:dyDescent="0.3">
      <c r="A211" s="226">
        <f t="shared" si="9"/>
        <v>46020.143750000469</v>
      </c>
      <c r="B211" s="123">
        <v>208</v>
      </c>
      <c r="C211" s="123">
        <v>46.935001373291016</v>
      </c>
      <c r="D211" s="123">
        <v>95.567001342773438</v>
      </c>
      <c r="E211" s="123">
        <v>17.416000366210938</v>
      </c>
      <c r="F211" s="123">
        <v>9.5703353881835938</v>
      </c>
      <c r="G211" s="124">
        <v>17.190000534057617</v>
      </c>
      <c r="H211" s="125">
        <v>302</v>
      </c>
      <c r="I211" s="123">
        <v>267</v>
      </c>
      <c r="J211" s="123">
        <v>60.506999969482422</v>
      </c>
      <c r="K211" s="123">
        <v>60.763175964355469</v>
      </c>
      <c r="L211" s="123">
        <v>42.941001892089844</v>
      </c>
      <c r="M211" s="123">
        <v>12.666000366210938</v>
      </c>
      <c r="N211" s="123">
        <v>17.048999786376953</v>
      </c>
      <c r="O211" s="123">
        <v>17</v>
      </c>
      <c r="P211" s="123">
        <v>0</v>
      </c>
      <c r="Q211" s="123">
        <v>17.926568984985352</v>
      </c>
      <c r="R211" s="123">
        <v>9</v>
      </c>
      <c r="S211" s="123">
        <v>8.3631811141967773</v>
      </c>
      <c r="T211" s="123">
        <v>0</v>
      </c>
      <c r="U211" s="123">
        <v>0</v>
      </c>
      <c r="V211" s="125">
        <v>849</v>
      </c>
      <c r="W211" s="123">
        <v>25.602867126464844</v>
      </c>
      <c r="X211" s="123">
        <v>25.219999313354492</v>
      </c>
      <c r="Y211" s="123">
        <v>5.4710001945495605</v>
      </c>
      <c r="Z211" s="123">
        <v>0</v>
      </c>
      <c r="AA211" s="123">
        <v>21.488000869750977</v>
      </c>
      <c r="AB211" s="123">
        <v>0</v>
      </c>
      <c r="AC211" s="123">
        <v>51.765380859375</v>
      </c>
      <c r="AD211" s="123">
        <v>6.3610000610351563</v>
      </c>
      <c r="AE211" s="123">
        <v>0</v>
      </c>
      <c r="AF211" s="123">
        <v>79.825515747070313</v>
      </c>
      <c r="AG211" s="123">
        <v>0</v>
      </c>
      <c r="AH211" s="123">
        <v>58.295707702636719</v>
      </c>
      <c r="AI211" s="123">
        <v>10.241999626159668</v>
      </c>
      <c r="AJ211" s="123">
        <v>20.466468811035156</v>
      </c>
      <c r="AK211" s="123">
        <v>35.742969512939453</v>
      </c>
      <c r="AL211" s="123">
        <v>37.285999298095703</v>
      </c>
      <c r="AM211" s="126">
        <v>54.13800048828125</v>
      </c>
      <c r="AN211" s="125">
        <v>114.375</v>
      </c>
      <c r="AO211" s="127">
        <v>59</v>
      </c>
      <c r="AP211" s="123">
        <v>59.549285888671875</v>
      </c>
      <c r="AQ211" s="123">
        <v>37.455699920654297</v>
      </c>
      <c r="AR211" s="123">
        <v>97</v>
      </c>
      <c r="AS211" s="123"/>
      <c r="AT211" s="123">
        <v>111</v>
      </c>
      <c r="AU211" s="123"/>
      <c r="AV211" s="123">
        <v>54</v>
      </c>
      <c r="AW211" s="123"/>
      <c r="AX211" s="123">
        <v>30</v>
      </c>
      <c r="AY211" s="123">
        <v>32.303367614746094</v>
      </c>
      <c r="AZ211" s="123">
        <v>12</v>
      </c>
      <c r="BA211" s="123"/>
      <c r="BB211" s="123">
        <v>178</v>
      </c>
      <c r="BC211" s="123">
        <v>179.84672546386719</v>
      </c>
      <c r="BD211" s="123">
        <v>6.8000001907348633</v>
      </c>
      <c r="BE211" s="123">
        <v>6.7960805892944336</v>
      </c>
      <c r="BF211" s="123">
        <v>29</v>
      </c>
      <c r="BG211" s="123">
        <v>10</v>
      </c>
      <c r="BH211" s="123">
        <v>10.931463241577148</v>
      </c>
      <c r="BI211" s="123"/>
      <c r="BJ211" s="108">
        <f t="shared" si="10"/>
        <v>11</v>
      </c>
      <c r="BK211" s="123">
        <v>11</v>
      </c>
      <c r="BL211" s="123">
        <v>0</v>
      </c>
      <c r="BM211" s="126"/>
      <c r="BN211" s="108">
        <f t="shared" si="11"/>
        <v>121</v>
      </c>
      <c r="BO211" s="108">
        <v>72</v>
      </c>
      <c r="BP211" s="108">
        <v>49</v>
      </c>
      <c r="BQ211" s="108">
        <v>273</v>
      </c>
      <c r="BR211" s="123">
        <v>71.929000854492188</v>
      </c>
      <c r="BS211" s="123">
        <v>24.429000854492188</v>
      </c>
      <c r="BT211" s="123">
        <v>40.523998260498047</v>
      </c>
      <c r="BU211" s="123">
        <v>35.751998901367188</v>
      </c>
      <c r="BV211" s="123">
        <v>69.199996948242188</v>
      </c>
      <c r="BW211" s="123">
        <v>5.9000000953674316</v>
      </c>
      <c r="BX211" s="123">
        <v>13.600000381469727</v>
      </c>
      <c r="BY211" s="123">
        <v>27</v>
      </c>
      <c r="BZ211" s="123">
        <v>1.4089563861489296E-2</v>
      </c>
      <c r="CA211" s="123">
        <v>0</v>
      </c>
      <c r="CB211" s="123">
        <v>29.211868286132813</v>
      </c>
      <c r="CC211" s="126"/>
      <c r="CD211" s="123">
        <v>336.61972045898438</v>
      </c>
      <c r="CE211" s="123">
        <v>31.780635833740234</v>
      </c>
      <c r="CF211" s="123">
        <v>19.032600402832031</v>
      </c>
      <c r="CG211" s="123">
        <v>35.338191986083984</v>
      </c>
      <c r="CH211" s="123">
        <v>274.10195922851563</v>
      </c>
      <c r="CI211" s="123">
        <v>82.350669860839844</v>
      </c>
      <c r="CJ211" s="123">
        <v>36.945701599121094</v>
      </c>
      <c r="CK211" s="123">
        <v>49.783889770507813</v>
      </c>
      <c r="CL211" s="124">
        <v>26.828220367431641</v>
      </c>
      <c r="CM211" s="125">
        <v>192.82879638671875</v>
      </c>
      <c r="CN211" s="123">
        <v>54.137832641601563</v>
      </c>
      <c r="CO211" s="123">
        <v>58.635658264160156</v>
      </c>
      <c r="CP211" s="123">
        <v>77.196708679199219</v>
      </c>
      <c r="CQ211" s="123">
        <v>0</v>
      </c>
      <c r="CR211" s="123">
        <v>49.766044616699219</v>
      </c>
      <c r="CS211" s="123">
        <v>8.0998601913452148</v>
      </c>
      <c r="CT211" s="123">
        <v>32.946815490722656</v>
      </c>
      <c r="CU211" s="123">
        <v>40.413524627685547</v>
      </c>
      <c r="CV211" s="124">
        <v>57.753238677978516</v>
      </c>
      <c r="CW211" s="125">
        <v>9</v>
      </c>
      <c r="CX211" s="123">
        <v>302</v>
      </c>
      <c r="CY211" s="123">
        <v>112.03145599365234</v>
      </c>
      <c r="CZ211" s="123">
        <v>46.902156829833984</v>
      </c>
      <c r="DA211" s="123">
        <v>20.441844940185547</v>
      </c>
      <c r="DB211" s="123">
        <v>30.675554275512695</v>
      </c>
      <c r="DC211" s="123">
        <v>72.492851257324219</v>
      </c>
      <c r="DD211" s="123">
        <v>56</v>
      </c>
      <c r="DE211" s="123">
        <v>173</v>
      </c>
      <c r="DF211" s="123">
        <v>101.46134185791016</v>
      </c>
      <c r="DG211" s="123">
        <v>64.903457641601563</v>
      </c>
      <c r="DH211" s="123">
        <v>44.870399475097656</v>
      </c>
      <c r="DI211" s="128">
        <v>38.446205139160156</v>
      </c>
      <c r="DJ211" s="127">
        <v>205</v>
      </c>
      <c r="DK211" s="123">
        <v>102.80500030517578</v>
      </c>
      <c r="DL211" s="123">
        <v>23.070999145507813</v>
      </c>
      <c r="DM211" s="123">
        <v>24.562999725341797</v>
      </c>
      <c r="DN211" s="123">
        <v>48.772998809814453</v>
      </c>
      <c r="DO211" s="124">
        <v>112.50839233398438</v>
      </c>
      <c r="DP211" s="125">
        <v>15.295999526977539</v>
      </c>
      <c r="DQ211" s="123"/>
      <c r="DR211" s="125">
        <v>0</v>
      </c>
      <c r="DS211" s="128">
        <v>28</v>
      </c>
      <c r="DT211" s="127">
        <v>12</v>
      </c>
      <c r="DU211" s="123"/>
      <c r="DV211" s="123">
        <v>8</v>
      </c>
      <c r="DW211" s="123">
        <v>1.2227957248687744</v>
      </c>
      <c r="DX211" s="125">
        <v>10</v>
      </c>
      <c r="DY211" s="128"/>
      <c r="DZ211" s="127">
        <v>44</v>
      </c>
      <c r="EA211" s="123">
        <v>3</v>
      </c>
      <c r="EB211" s="123">
        <v>0</v>
      </c>
      <c r="EC211" s="123">
        <v>1</v>
      </c>
      <c r="ED211" s="123">
        <v>239.19999694824219</v>
      </c>
      <c r="EE211" s="129"/>
      <c r="EF211" s="129"/>
      <c r="EG211" s="129"/>
    </row>
    <row r="212" spans="1:137" x14ac:dyDescent="0.3">
      <c r="A212" s="226">
        <f t="shared" si="9"/>
        <v>46020.144444444915</v>
      </c>
      <c r="B212" s="123">
        <v>211</v>
      </c>
      <c r="C212" s="123">
        <v>48.179000854492188</v>
      </c>
      <c r="D212" s="123">
        <v>96.358001708984375</v>
      </c>
      <c r="E212" s="123">
        <v>15.607000350952148</v>
      </c>
      <c r="F212" s="123">
        <v>7.9452791213989258</v>
      </c>
      <c r="G212" s="124">
        <v>15.946000099182129</v>
      </c>
      <c r="H212" s="125">
        <v>304</v>
      </c>
      <c r="I212" s="123">
        <v>271</v>
      </c>
      <c r="J212" s="123">
        <v>60.958999633789063</v>
      </c>
      <c r="K212" s="123">
        <v>61.030136108398438</v>
      </c>
      <c r="L212" s="123">
        <v>41.703998565673828</v>
      </c>
      <c r="M212" s="123">
        <v>12.326999664306641</v>
      </c>
      <c r="N212" s="123">
        <v>18.320999145507813</v>
      </c>
      <c r="O212" s="123">
        <v>15</v>
      </c>
      <c r="P212" s="123">
        <v>0</v>
      </c>
      <c r="Q212" s="123">
        <v>16.151391983032227</v>
      </c>
      <c r="R212" s="123">
        <v>9</v>
      </c>
      <c r="S212" s="123">
        <v>8.5732622146606445</v>
      </c>
      <c r="T212" s="123">
        <v>0</v>
      </c>
      <c r="U212" s="123">
        <v>0</v>
      </c>
      <c r="V212" s="125">
        <v>853</v>
      </c>
      <c r="W212" s="123">
        <v>26.012966156005859</v>
      </c>
      <c r="X212" s="123">
        <v>25.107000350952148</v>
      </c>
      <c r="Y212" s="123">
        <v>6.3610000610351563</v>
      </c>
      <c r="Z212" s="123">
        <v>0</v>
      </c>
      <c r="AA212" s="123">
        <v>19.339000701904297</v>
      </c>
      <c r="AB212" s="123">
        <v>0</v>
      </c>
      <c r="AC212" s="123">
        <v>53.324794769287109</v>
      </c>
      <c r="AD212" s="123">
        <v>6.3610000610351563</v>
      </c>
      <c r="AE212" s="123">
        <v>0</v>
      </c>
      <c r="AF212" s="123">
        <v>78.83990478515625</v>
      </c>
      <c r="AG212" s="123">
        <v>0</v>
      </c>
      <c r="AH212" s="123">
        <v>61.052776336669922</v>
      </c>
      <c r="AI212" s="123">
        <v>12.595999717712402</v>
      </c>
      <c r="AJ212" s="123">
        <v>19.198873519897461</v>
      </c>
      <c r="AK212" s="123">
        <v>35.468025207519531</v>
      </c>
      <c r="AL212" s="123">
        <v>37.285999298095703</v>
      </c>
      <c r="AM212" s="126">
        <v>54.838001251220703</v>
      </c>
      <c r="AN212" s="125">
        <v>109.4375</v>
      </c>
      <c r="AO212" s="127">
        <v>58</v>
      </c>
      <c r="AP212" s="123">
        <v>59.541511535644531</v>
      </c>
      <c r="AQ212" s="123">
        <v>35.946304321289063</v>
      </c>
      <c r="AR212" s="123">
        <v>97</v>
      </c>
      <c r="AS212" s="123"/>
      <c r="AT212" s="123">
        <v>111</v>
      </c>
      <c r="AU212" s="123"/>
      <c r="AV212" s="123">
        <v>54</v>
      </c>
      <c r="AW212" s="123"/>
      <c r="AX212" s="123">
        <v>29</v>
      </c>
      <c r="AY212" s="123">
        <v>32.100372314453125</v>
      </c>
      <c r="AZ212" s="123">
        <v>12</v>
      </c>
      <c r="BA212" s="123"/>
      <c r="BB212" s="123">
        <v>178</v>
      </c>
      <c r="BC212" s="123">
        <v>176.92658996582031</v>
      </c>
      <c r="BD212" s="123">
        <v>6.6999998092651367</v>
      </c>
      <c r="BE212" s="123">
        <v>6.7687063217163086</v>
      </c>
      <c r="BF212" s="123">
        <v>29</v>
      </c>
      <c r="BG212" s="123">
        <v>10</v>
      </c>
      <c r="BH212" s="123">
        <v>10.965394020080566</v>
      </c>
      <c r="BI212" s="123"/>
      <c r="BJ212" s="108">
        <f t="shared" si="10"/>
        <v>11</v>
      </c>
      <c r="BK212" s="123">
        <v>11</v>
      </c>
      <c r="BL212" s="123">
        <v>0</v>
      </c>
      <c r="BM212" s="126"/>
      <c r="BN212" s="108">
        <f t="shared" si="11"/>
        <v>121</v>
      </c>
      <c r="BO212" s="108">
        <v>72</v>
      </c>
      <c r="BP212" s="108">
        <v>49</v>
      </c>
      <c r="BQ212" s="108">
        <v>264</v>
      </c>
      <c r="BR212" s="123">
        <v>68.196998596191406</v>
      </c>
      <c r="BS212" s="123">
        <v>24.173999786376953</v>
      </c>
      <c r="BT212" s="123">
        <v>41.215999603271484</v>
      </c>
      <c r="BU212" s="123">
        <v>34.543998718261719</v>
      </c>
      <c r="BV212" s="123">
        <v>69.699996948242188</v>
      </c>
      <c r="BW212" s="123">
        <v>6.0999999046325684</v>
      </c>
      <c r="BX212" s="123">
        <v>13.600000381469727</v>
      </c>
      <c r="BY212" s="123">
        <v>27</v>
      </c>
      <c r="BZ212" s="123">
        <v>1.3415084220468998E-2</v>
      </c>
      <c r="CA212" s="123">
        <v>2</v>
      </c>
      <c r="CB212" s="123">
        <v>29.605863571166992</v>
      </c>
      <c r="CC212" s="126"/>
      <c r="CD212" s="123">
        <v>336.85537719726563</v>
      </c>
      <c r="CE212" s="123">
        <v>32.376579284667969</v>
      </c>
      <c r="CF212" s="123">
        <v>19.207052230834961</v>
      </c>
      <c r="CG212" s="123">
        <v>35.338191986083984</v>
      </c>
      <c r="CH212" s="123">
        <v>273.60525512695313</v>
      </c>
      <c r="CI212" s="123">
        <v>82.346435546875</v>
      </c>
      <c r="CJ212" s="123">
        <v>35.197113037109375</v>
      </c>
      <c r="CK212" s="123">
        <v>49.955081939697266</v>
      </c>
      <c r="CL212" s="124">
        <v>26.670978546142578</v>
      </c>
      <c r="CM212" s="125">
        <v>192.31512451171875</v>
      </c>
      <c r="CN212" s="123">
        <v>52.193180084228516</v>
      </c>
      <c r="CO212" s="123">
        <v>59.697128295898438</v>
      </c>
      <c r="CP212" s="123">
        <v>76.166831970214844</v>
      </c>
      <c r="CQ212" s="123">
        <v>0</v>
      </c>
      <c r="CR212" s="123">
        <v>50.862911224365234</v>
      </c>
      <c r="CS212" s="123">
        <v>8.3880491256713867</v>
      </c>
      <c r="CT212" s="123">
        <v>34.444976806640625</v>
      </c>
      <c r="CU212" s="123">
        <v>39.511646270751953</v>
      </c>
      <c r="CV212" s="124">
        <v>56.382694244384766</v>
      </c>
      <c r="CW212" s="125">
        <v>12</v>
      </c>
      <c r="CX212" s="123">
        <v>302</v>
      </c>
      <c r="CY212" s="123">
        <v>114.36639404296875</v>
      </c>
      <c r="CZ212" s="123">
        <v>47.565803527832031</v>
      </c>
      <c r="DA212" s="123">
        <v>21.660987854003906</v>
      </c>
      <c r="DB212" s="123">
        <v>29.458185195922852</v>
      </c>
      <c r="DC212" s="123">
        <v>71.757652282714844</v>
      </c>
      <c r="DD212" s="123">
        <v>59</v>
      </c>
      <c r="DE212" s="123">
        <v>174</v>
      </c>
      <c r="DF212" s="123">
        <v>101.49085998535156</v>
      </c>
      <c r="DG212" s="123">
        <v>66.753875732421875</v>
      </c>
      <c r="DH212" s="123">
        <v>45.052700042724609</v>
      </c>
      <c r="DI212" s="128">
        <v>37.084671020507813</v>
      </c>
      <c r="DJ212" s="127">
        <v>204</v>
      </c>
      <c r="DK212" s="123">
        <v>102.80500030517578</v>
      </c>
      <c r="DL212" s="123">
        <v>23.070999145507813</v>
      </c>
      <c r="DM212" s="123">
        <v>24.739999771118164</v>
      </c>
      <c r="DN212" s="123">
        <v>48.772998809814453</v>
      </c>
      <c r="DO212" s="124">
        <v>112.26818084716797</v>
      </c>
      <c r="DP212" s="125">
        <v>15.295999526977539</v>
      </c>
      <c r="DQ212" s="123"/>
      <c r="DR212" s="125">
        <v>0</v>
      </c>
      <c r="DS212" s="128">
        <v>28.5</v>
      </c>
      <c r="DT212" s="127">
        <v>12</v>
      </c>
      <c r="DU212" s="123"/>
      <c r="DV212" s="123">
        <v>7</v>
      </c>
      <c r="DW212" s="123">
        <v>1.3958213329315186</v>
      </c>
      <c r="DX212" s="125">
        <v>10</v>
      </c>
      <c r="DY212" s="128"/>
      <c r="DZ212" s="127">
        <v>45</v>
      </c>
      <c r="EA212" s="123">
        <v>3</v>
      </c>
      <c r="EB212" s="123">
        <v>0</v>
      </c>
      <c r="EC212" s="123">
        <v>1</v>
      </c>
      <c r="ED212" s="123">
        <v>240.69999694824219</v>
      </c>
      <c r="EE212" s="129"/>
      <c r="EF212" s="129"/>
      <c r="EG212" s="129"/>
    </row>
    <row r="213" spans="1:137" x14ac:dyDescent="0.3">
      <c r="A213" s="226">
        <f t="shared" si="9"/>
        <v>46020.145138889362</v>
      </c>
      <c r="B213" s="123">
        <v>217</v>
      </c>
      <c r="C213" s="123">
        <v>47.5</v>
      </c>
      <c r="D213" s="123">
        <v>96.584999084472656</v>
      </c>
      <c r="E213" s="123">
        <v>16.738000869750977</v>
      </c>
      <c r="F213" s="123">
        <v>0</v>
      </c>
      <c r="G213" s="124">
        <v>16.85099983215332</v>
      </c>
      <c r="H213" s="125">
        <v>305</v>
      </c>
      <c r="I213" s="123">
        <v>271</v>
      </c>
      <c r="J213" s="123">
        <v>62.769001007080078</v>
      </c>
      <c r="K213" s="123">
        <v>60.852153778076172</v>
      </c>
      <c r="L213" s="123">
        <v>42.763999938964844</v>
      </c>
      <c r="M213" s="123">
        <v>12.326999664306641</v>
      </c>
      <c r="N213" s="123">
        <v>17.875999450683594</v>
      </c>
      <c r="O213" s="123">
        <v>16</v>
      </c>
      <c r="P213" s="123">
        <v>0</v>
      </c>
      <c r="Q213" s="123">
        <v>15.995476722717285</v>
      </c>
      <c r="R213" s="123">
        <v>9</v>
      </c>
      <c r="S213" s="123">
        <v>8.1532621383666992</v>
      </c>
      <c r="T213" s="123">
        <v>0</v>
      </c>
      <c r="U213" s="123">
        <v>0</v>
      </c>
      <c r="V213" s="125">
        <v>854</v>
      </c>
      <c r="W213" s="123">
        <v>26.031909942626953</v>
      </c>
      <c r="X213" s="123">
        <v>25.89900016784668</v>
      </c>
      <c r="Y213" s="123">
        <v>7.315000057220459</v>
      </c>
      <c r="Z213" s="123">
        <v>0</v>
      </c>
      <c r="AA213" s="123">
        <v>18.886999130249023</v>
      </c>
      <c r="AB213" s="123">
        <v>0</v>
      </c>
      <c r="AC213" s="123">
        <v>51.896484375</v>
      </c>
      <c r="AD213" s="123">
        <v>6.3610000610351563</v>
      </c>
      <c r="AE213" s="123">
        <v>0</v>
      </c>
      <c r="AF213" s="123">
        <v>78.1922607421875</v>
      </c>
      <c r="AG213" s="123">
        <v>0</v>
      </c>
      <c r="AH213" s="123">
        <v>60.811038970947266</v>
      </c>
      <c r="AI213" s="123">
        <v>13.486000061035156</v>
      </c>
      <c r="AJ213" s="123">
        <v>19.987697601318359</v>
      </c>
      <c r="AK213" s="123">
        <v>35.570686340332031</v>
      </c>
      <c r="AL213" s="123">
        <v>36.756000518798828</v>
      </c>
      <c r="AM213" s="126">
        <v>55.155998229980469</v>
      </c>
      <c r="AN213" s="125">
        <v>109.4375</v>
      </c>
      <c r="AO213" s="127">
        <v>58</v>
      </c>
      <c r="AP213" s="123">
        <v>59.805511474609375</v>
      </c>
      <c r="AQ213" s="123">
        <v>35.732566833496094</v>
      </c>
      <c r="AR213" s="123">
        <v>97</v>
      </c>
      <c r="AS213" s="123"/>
      <c r="AT213" s="123">
        <v>110</v>
      </c>
      <c r="AU213" s="123"/>
      <c r="AV213" s="123">
        <v>56</v>
      </c>
      <c r="AW213" s="123"/>
      <c r="AX213" s="123">
        <v>30</v>
      </c>
      <c r="AY213" s="123">
        <v>32.978084564208984</v>
      </c>
      <c r="AZ213" s="123">
        <v>13</v>
      </c>
      <c r="BA213" s="123"/>
      <c r="BB213" s="123">
        <v>177</v>
      </c>
      <c r="BC213" s="123">
        <v>181.79127502441406</v>
      </c>
      <c r="BD213" s="123">
        <v>6.6999998092651367</v>
      </c>
      <c r="BE213" s="123">
        <v>6.7687063217163086</v>
      </c>
      <c r="BF213" s="123">
        <v>29</v>
      </c>
      <c r="BG213" s="123">
        <v>10</v>
      </c>
      <c r="BH213" s="123">
        <v>10.96817684173584</v>
      </c>
      <c r="BI213" s="123"/>
      <c r="BJ213" s="108">
        <f t="shared" si="10"/>
        <v>10</v>
      </c>
      <c r="BK213" s="123">
        <v>10</v>
      </c>
      <c r="BL213" s="123">
        <v>0</v>
      </c>
      <c r="BM213" s="126"/>
      <c r="BN213" s="108">
        <f t="shared" si="11"/>
        <v>121</v>
      </c>
      <c r="BO213" s="108">
        <v>72</v>
      </c>
      <c r="BP213" s="108">
        <v>49</v>
      </c>
      <c r="BQ213" s="108">
        <v>264</v>
      </c>
      <c r="BR213" s="123">
        <v>69.780998229980469</v>
      </c>
      <c r="BS213" s="123">
        <v>25.445999145507813</v>
      </c>
      <c r="BT213" s="123">
        <v>40.176998138427734</v>
      </c>
      <c r="BU213" s="123">
        <v>35.306999206542969</v>
      </c>
      <c r="BV213" s="123">
        <v>70.199996948242188</v>
      </c>
      <c r="BW213" s="123">
        <v>6.0999999046325684</v>
      </c>
      <c r="BX213" s="123">
        <v>13.5</v>
      </c>
      <c r="BY213" s="123">
        <v>29</v>
      </c>
      <c r="BZ213" s="123">
        <v>1.3885485008358955E-2</v>
      </c>
      <c r="CA213" s="123">
        <v>1</v>
      </c>
      <c r="CB213" s="123">
        <v>29.639278411865234</v>
      </c>
      <c r="CC213" s="126"/>
      <c r="CD213" s="123">
        <v>332.1326904296875</v>
      </c>
      <c r="CE213" s="123">
        <v>31.810579299926758</v>
      </c>
      <c r="CF213" s="123">
        <v>18.871498107910156</v>
      </c>
      <c r="CG213" s="123">
        <v>35.338191986083984</v>
      </c>
      <c r="CH213" s="123">
        <v>273.25888061523438</v>
      </c>
      <c r="CI213" s="123">
        <v>80.243232727050781</v>
      </c>
      <c r="CJ213" s="123">
        <v>34.851409912109375</v>
      </c>
      <c r="CK213" s="123">
        <v>50.481624603271484</v>
      </c>
      <c r="CL213" s="124">
        <v>26.91851806640625</v>
      </c>
      <c r="CM213" s="125">
        <v>193.63157653808594</v>
      </c>
      <c r="CN213" s="123">
        <v>56.075859069824219</v>
      </c>
      <c r="CO213" s="123">
        <v>60.149765014648438</v>
      </c>
      <c r="CP213" s="123">
        <v>73.066696166992188</v>
      </c>
      <c r="CQ213" s="123">
        <v>0</v>
      </c>
      <c r="CR213" s="123">
        <v>48.846504211425781</v>
      </c>
      <c r="CS213" s="123">
        <v>7.9406328201293945</v>
      </c>
      <c r="CT213" s="123">
        <v>32.915512084960938</v>
      </c>
      <c r="CU213" s="123">
        <v>38.662612915039063</v>
      </c>
      <c r="CV213" s="124">
        <v>56.075920104980469</v>
      </c>
      <c r="CW213" s="125">
        <v>2</v>
      </c>
      <c r="CX213" s="123">
        <v>304</v>
      </c>
      <c r="CY213" s="123">
        <v>110.7252197265625</v>
      </c>
      <c r="CZ213" s="123">
        <v>45.334922790527344</v>
      </c>
      <c r="DA213" s="123">
        <v>19.483482360839844</v>
      </c>
      <c r="DB213" s="123">
        <v>30.442672729492188</v>
      </c>
      <c r="DC213" s="123">
        <v>71.669929504394531</v>
      </c>
      <c r="DD213" s="123">
        <v>65</v>
      </c>
      <c r="DE213" s="123">
        <v>175</v>
      </c>
      <c r="DF213" s="123">
        <v>103.36994934082031</v>
      </c>
      <c r="DG213" s="123">
        <v>69.060562133789063</v>
      </c>
      <c r="DH213" s="123">
        <v>45.703464508056641</v>
      </c>
      <c r="DI213" s="128">
        <v>40.080303192138672</v>
      </c>
      <c r="DJ213" s="127">
        <v>205</v>
      </c>
      <c r="DK213" s="123">
        <v>102.55100250244141</v>
      </c>
      <c r="DL213" s="123">
        <v>23.184000015258789</v>
      </c>
      <c r="DM213" s="123">
        <v>25.445999145507813</v>
      </c>
      <c r="DN213" s="123">
        <v>48.243000030517578</v>
      </c>
      <c r="DO213" s="124">
        <v>111.33010864257813</v>
      </c>
      <c r="DP213" s="125">
        <v>15.579000473022461</v>
      </c>
      <c r="DQ213" s="123"/>
      <c r="DR213" s="125">
        <v>0</v>
      </c>
      <c r="DS213" s="128">
        <v>27.899999618530273</v>
      </c>
      <c r="DT213" s="127">
        <v>12</v>
      </c>
      <c r="DU213" s="123"/>
      <c r="DV213" s="123">
        <v>7</v>
      </c>
      <c r="DW213" s="123">
        <v>1.4366059303283691</v>
      </c>
      <c r="DX213" s="125">
        <v>10</v>
      </c>
      <c r="DY213" s="128"/>
      <c r="DZ213" s="127">
        <v>45</v>
      </c>
      <c r="EA213" s="123">
        <v>3</v>
      </c>
      <c r="EB213" s="123">
        <v>0</v>
      </c>
      <c r="EC213" s="123">
        <v>1</v>
      </c>
      <c r="ED213" s="123">
        <v>246.89999389648438</v>
      </c>
      <c r="EE213" s="129"/>
      <c r="EF213" s="129"/>
      <c r="EG213" s="129"/>
    </row>
    <row r="214" spans="1:137" x14ac:dyDescent="0.3">
      <c r="A214" s="226">
        <f t="shared" si="9"/>
        <v>46020.145833333809</v>
      </c>
      <c r="B214" s="123">
        <v>216</v>
      </c>
      <c r="C214" s="123">
        <v>49.310001373291016</v>
      </c>
      <c r="D214" s="123">
        <v>96.358001708984375</v>
      </c>
      <c r="E214" s="123">
        <v>16.625</v>
      </c>
      <c r="F214" s="123">
        <v>7.3031282424926758</v>
      </c>
      <c r="G214" s="124">
        <v>16.059000015258789</v>
      </c>
      <c r="H214" s="125">
        <v>304</v>
      </c>
      <c r="I214" s="123">
        <v>273</v>
      </c>
      <c r="J214" s="123">
        <v>61.185001373291016</v>
      </c>
      <c r="K214" s="123">
        <v>60.830112457275391</v>
      </c>
      <c r="L214" s="123">
        <v>42.588001251220703</v>
      </c>
      <c r="M214" s="123">
        <v>12.439999580383301</v>
      </c>
      <c r="N214" s="123">
        <v>16.158000946044922</v>
      </c>
      <c r="O214" s="123">
        <v>17</v>
      </c>
      <c r="P214" s="123">
        <v>0</v>
      </c>
      <c r="Q214" s="123">
        <v>16.861190795898438</v>
      </c>
      <c r="R214" s="123">
        <v>7.9968748092651367</v>
      </c>
      <c r="S214" s="123">
        <v>7.69354248046875</v>
      </c>
      <c r="T214" s="123">
        <v>0</v>
      </c>
      <c r="U214" s="123">
        <v>0</v>
      </c>
      <c r="V214" s="125">
        <v>858</v>
      </c>
      <c r="W214" s="123">
        <v>25.60499382019043</v>
      </c>
      <c r="X214" s="123">
        <v>25.219999313354492</v>
      </c>
      <c r="Y214" s="123">
        <v>6.9970002174377441</v>
      </c>
      <c r="Z214" s="123">
        <v>0</v>
      </c>
      <c r="AA214" s="123">
        <v>20.357000350952148</v>
      </c>
      <c r="AB214" s="123">
        <v>0</v>
      </c>
      <c r="AC214" s="123">
        <v>51.919990539550781</v>
      </c>
      <c r="AD214" s="123">
        <v>6.1069998741149902</v>
      </c>
      <c r="AE214" s="123">
        <v>0</v>
      </c>
      <c r="AF214" s="123">
        <v>79.734046936035156</v>
      </c>
      <c r="AG214" s="123">
        <v>0</v>
      </c>
      <c r="AH214" s="123">
        <v>59.312576293945313</v>
      </c>
      <c r="AI214" s="123">
        <v>10.305000305175781</v>
      </c>
      <c r="AJ214" s="123">
        <v>16.638565063476563</v>
      </c>
      <c r="AK214" s="123">
        <v>35.701637268066406</v>
      </c>
      <c r="AL214" s="123">
        <v>37.639999389648438</v>
      </c>
      <c r="AM214" s="126">
        <v>55.854999542236328</v>
      </c>
      <c r="AN214" s="125">
        <v>109.875</v>
      </c>
      <c r="AO214" s="127">
        <v>56</v>
      </c>
      <c r="AP214" s="123">
        <v>59.805511474609375</v>
      </c>
      <c r="AQ214" s="123">
        <v>33.784912109375</v>
      </c>
      <c r="AR214" s="123">
        <v>98</v>
      </c>
      <c r="AS214" s="123"/>
      <c r="AT214" s="123">
        <v>110</v>
      </c>
      <c r="AU214" s="123"/>
      <c r="AV214" s="123">
        <v>62</v>
      </c>
      <c r="AW214" s="123"/>
      <c r="AX214" s="123">
        <v>31</v>
      </c>
      <c r="AY214" s="123">
        <v>32.465011596679688</v>
      </c>
      <c r="AZ214" s="123">
        <v>10</v>
      </c>
      <c r="BA214" s="123"/>
      <c r="BB214" s="123">
        <v>177</v>
      </c>
      <c r="BC214" s="123">
        <v>180.93710327148438</v>
      </c>
      <c r="BD214" s="123">
        <v>6.6999998092651367</v>
      </c>
      <c r="BE214" s="123">
        <v>6.7505049705505371</v>
      </c>
      <c r="BF214" s="123">
        <v>29</v>
      </c>
      <c r="BG214" s="123">
        <v>10</v>
      </c>
      <c r="BH214" s="123">
        <v>10.95477294921875</v>
      </c>
      <c r="BI214" s="123"/>
      <c r="BJ214" s="108">
        <f t="shared" si="10"/>
        <v>11</v>
      </c>
      <c r="BK214" s="123">
        <v>11</v>
      </c>
      <c r="BL214" s="123">
        <v>0</v>
      </c>
      <c r="BM214" s="126"/>
      <c r="BN214" s="108">
        <f t="shared" si="11"/>
        <v>122</v>
      </c>
      <c r="BO214" s="108">
        <v>73</v>
      </c>
      <c r="BP214" s="108">
        <v>49</v>
      </c>
      <c r="BQ214" s="108">
        <v>267</v>
      </c>
      <c r="BR214" s="123">
        <v>68.30999755859375</v>
      </c>
      <c r="BS214" s="123">
        <v>25.191999435424805</v>
      </c>
      <c r="BT214" s="123">
        <v>40.523998260498047</v>
      </c>
      <c r="BU214" s="123">
        <v>35.433998107910156</v>
      </c>
      <c r="BV214" s="123">
        <v>69</v>
      </c>
      <c r="BW214" s="123">
        <v>6</v>
      </c>
      <c r="BX214" s="123">
        <v>13.5</v>
      </c>
      <c r="BY214" s="123">
        <v>28</v>
      </c>
      <c r="BZ214" s="123">
        <v>1.3885485008358955E-2</v>
      </c>
      <c r="CA214" s="123">
        <v>1</v>
      </c>
      <c r="CB214" s="123">
        <v>29.236310958862305</v>
      </c>
      <c r="CC214" s="126"/>
      <c r="CD214" s="123">
        <v>342.62026977539063</v>
      </c>
      <c r="CE214" s="123">
        <v>31.225404739379883</v>
      </c>
      <c r="CF214" s="123">
        <v>18.562904357910156</v>
      </c>
      <c r="CG214" s="123">
        <v>35.338191986083984</v>
      </c>
      <c r="CH214" s="123">
        <v>273.0609130859375</v>
      </c>
      <c r="CI214" s="123">
        <v>84.060836791992188</v>
      </c>
      <c r="CJ214" s="123">
        <v>35.7642822265625</v>
      </c>
      <c r="CK214" s="123">
        <v>51.414474487304688</v>
      </c>
      <c r="CL214" s="124">
        <v>26.375730514526367</v>
      </c>
      <c r="CM214" s="125">
        <v>192.9359130859375</v>
      </c>
      <c r="CN214" s="123">
        <v>55.808395385742188</v>
      </c>
      <c r="CO214" s="123">
        <v>59.424869537353516</v>
      </c>
      <c r="CP214" s="123">
        <v>73.827110290527344</v>
      </c>
      <c r="CQ214" s="123">
        <v>0</v>
      </c>
      <c r="CR214" s="123">
        <v>49.904891967773438</v>
      </c>
      <c r="CS214" s="123">
        <v>8.1118564605712891</v>
      </c>
      <c r="CT214" s="123">
        <v>33.705825805664063</v>
      </c>
      <c r="CU214" s="123">
        <v>38.402915954589844</v>
      </c>
      <c r="CV214" s="124">
        <v>56.516719818115234</v>
      </c>
      <c r="CW214" s="125">
        <v>8</v>
      </c>
      <c r="CX214" s="123">
        <v>302</v>
      </c>
      <c r="CY214" s="123">
        <v>111.59656524658203</v>
      </c>
      <c r="CZ214" s="123">
        <v>46.236953735351563</v>
      </c>
      <c r="DA214" s="123">
        <v>19.695680618286133</v>
      </c>
      <c r="DB214" s="123">
        <v>30.645166397094727</v>
      </c>
      <c r="DC214" s="123">
        <v>73.053558349609375</v>
      </c>
      <c r="DD214" s="123">
        <v>57</v>
      </c>
      <c r="DE214" s="123">
        <v>171</v>
      </c>
      <c r="DF214" s="123">
        <v>103.30258178710938</v>
      </c>
      <c r="DG214" s="123">
        <v>70.604263305664063</v>
      </c>
      <c r="DH214" s="123">
        <v>44.678501129150391</v>
      </c>
      <c r="DI214" s="128">
        <v>38.763904571533203</v>
      </c>
      <c r="DJ214" s="127">
        <v>206</v>
      </c>
      <c r="DK214" s="123">
        <v>102.80500030517578</v>
      </c>
      <c r="DL214" s="123">
        <v>23.97599983215332</v>
      </c>
      <c r="DM214" s="123">
        <v>24.916000366210938</v>
      </c>
      <c r="DN214" s="123">
        <v>48.418998718261719</v>
      </c>
      <c r="DO214" s="124">
        <v>111.61833190917969</v>
      </c>
      <c r="DP214" s="125">
        <v>15.579000473022461</v>
      </c>
      <c r="DQ214" s="123"/>
      <c r="DR214" s="125">
        <v>0</v>
      </c>
      <c r="DS214" s="128">
        <v>28.799999237060547</v>
      </c>
      <c r="DT214" s="127">
        <v>12</v>
      </c>
      <c r="DU214" s="123"/>
      <c r="DV214" s="123">
        <v>8</v>
      </c>
      <c r="DW214" s="123">
        <v>1.4348559379577637</v>
      </c>
      <c r="DX214" s="125">
        <v>10</v>
      </c>
      <c r="DY214" s="128"/>
      <c r="DZ214" s="127">
        <v>45</v>
      </c>
      <c r="EA214" s="123">
        <v>3</v>
      </c>
      <c r="EB214" s="123">
        <v>0</v>
      </c>
      <c r="EC214" s="123">
        <v>1</v>
      </c>
      <c r="ED214" s="123">
        <v>248.19999694824219</v>
      </c>
      <c r="EE214" s="129"/>
      <c r="EF214" s="129"/>
      <c r="EG214" s="129"/>
    </row>
    <row r="215" spans="1:137" x14ac:dyDescent="0.3">
      <c r="A215" s="226">
        <f t="shared" si="9"/>
        <v>46020.146527778255</v>
      </c>
      <c r="B215" s="123">
        <v>206</v>
      </c>
      <c r="C215" s="123">
        <v>48.858001708984375</v>
      </c>
      <c r="D215" s="123">
        <v>96.018997192382813</v>
      </c>
      <c r="E215" s="123">
        <v>16.85099983215332</v>
      </c>
      <c r="F215" s="123">
        <v>6.1515002250671387</v>
      </c>
      <c r="G215" s="124">
        <v>15.607000350952148</v>
      </c>
      <c r="H215" s="125">
        <v>298</v>
      </c>
      <c r="I215" s="123">
        <v>268</v>
      </c>
      <c r="J215" s="123">
        <v>60.846000671386719</v>
      </c>
      <c r="K215" s="123">
        <v>60.815887451171875</v>
      </c>
      <c r="L215" s="123">
        <v>43.471000671386719</v>
      </c>
      <c r="M215" s="123">
        <v>12.326999664306641</v>
      </c>
      <c r="N215" s="123">
        <v>17.239999771118164</v>
      </c>
      <c r="O215" s="123">
        <v>16</v>
      </c>
      <c r="P215" s="123">
        <v>0</v>
      </c>
      <c r="Q215" s="123">
        <v>16.624485015869141</v>
      </c>
      <c r="R215" s="123">
        <v>7.9968748092651367</v>
      </c>
      <c r="S215" s="123">
        <v>7.197596549987793</v>
      </c>
      <c r="T215" s="123">
        <v>0</v>
      </c>
      <c r="U215" s="123">
        <v>0</v>
      </c>
      <c r="V215" s="125">
        <v>855</v>
      </c>
      <c r="W215" s="123">
        <v>25.721368789672852</v>
      </c>
      <c r="X215" s="123">
        <v>24.767999649047852</v>
      </c>
      <c r="Y215" s="123">
        <v>7.8880000114440918</v>
      </c>
      <c r="Z215" s="123">
        <v>0</v>
      </c>
      <c r="AA215" s="123">
        <v>21.488000869750977</v>
      </c>
      <c r="AB215" s="123">
        <v>0</v>
      </c>
      <c r="AC215" s="123">
        <v>52.342529296875</v>
      </c>
      <c r="AD215" s="123">
        <v>6.3610000610351563</v>
      </c>
      <c r="AE215" s="123">
        <v>0</v>
      </c>
      <c r="AF215" s="123">
        <v>80.411705017089844</v>
      </c>
      <c r="AG215" s="123">
        <v>0</v>
      </c>
      <c r="AH215" s="123">
        <v>60.837726593017578</v>
      </c>
      <c r="AI215" s="123">
        <v>10.942000389099121</v>
      </c>
      <c r="AJ215" s="123">
        <v>16.579675674438477</v>
      </c>
      <c r="AK215" s="123">
        <v>36.361671447753906</v>
      </c>
      <c r="AL215" s="123">
        <v>37.285999298095703</v>
      </c>
      <c r="AM215" s="126">
        <v>53.756000518798828</v>
      </c>
      <c r="AN215" s="125">
        <v>112.1875</v>
      </c>
      <c r="AO215" s="127">
        <v>58</v>
      </c>
      <c r="AP215" s="123">
        <v>60.487575531005859</v>
      </c>
      <c r="AQ215" s="123">
        <v>34.639125823974609</v>
      </c>
      <c r="AR215" s="123">
        <v>97</v>
      </c>
      <c r="AS215" s="123"/>
      <c r="AT215" s="123">
        <v>110</v>
      </c>
      <c r="AU215" s="123"/>
      <c r="AV215" s="123">
        <v>61</v>
      </c>
      <c r="AW215" s="123"/>
      <c r="AX215" s="123">
        <v>30</v>
      </c>
      <c r="AY215" s="123">
        <v>32.262336730957031</v>
      </c>
      <c r="AZ215" s="123">
        <v>10</v>
      </c>
      <c r="BA215" s="123"/>
      <c r="BB215" s="123">
        <v>178</v>
      </c>
      <c r="BC215" s="123">
        <v>179.97622680664063</v>
      </c>
      <c r="BD215" s="123">
        <v>6.6999998092651367</v>
      </c>
      <c r="BE215" s="123">
        <v>6.7445955276489258</v>
      </c>
      <c r="BF215" s="123">
        <v>29</v>
      </c>
      <c r="BG215" s="123">
        <v>10</v>
      </c>
      <c r="BH215" s="123">
        <v>11.038809776306152</v>
      </c>
      <c r="BI215" s="123"/>
      <c r="BJ215" s="108">
        <f t="shared" si="10"/>
        <v>11</v>
      </c>
      <c r="BK215" s="123">
        <v>11</v>
      </c>
      <c r="BL215" s="123">
        <v>0</v>
      </c>
      <c r="BM215" s="126"/>
      <c r="BN215" s="108">
        <f t="shared" si="11"/>
        <v>122</v>
      </c>
      <c r="BO215" s="108">
        <v>73</v>
      </c>
      <c r="BP215" s="108">
        <v>49</v>
      </c>
      <c r="BQ215" s="108">
        <v>268</v>
      </c>
      <c r="BR215" s="123">
        <v>68.988998413085938</v>
      </c>
      <c r="BS215" s="123">
        <v>24.937000274658203</v>
      </c>
      <c r="BT215" s="123">
        <v>40.869998931884766</v>
      </c>
      <c r="BU215" s="123">
        <v>35.433998107910156</v>
      </c>
      <c r="BV215" s="123">
        <v>68.599998474121094</v>
      </c>
      <c r="BW215" s="123">
        <v>6.0999999046325684</v>
      </c>
      <c r="BX215" s="123">
        <v>13.699999809265137</v>
      </c>
      <c r="BY215" s="123">
        <v>29</v>
      </c>
      <c r="BZ215" s="123">
        <v>1.4686830341815948E-2</v>
      </c>
      <c r="CA215" s="123">
        <v>1</v>
      </c>
      <c r="CB215" s="123">
        <v>29.236310958862305</v>
      </c>
      <c r="CC215" s="126"/>
      <c r="CD215" s="123">
        <v>345.43743896484375</v>
      </c>
      <c r="CE215" s="123">
        <v>33.012287139892578</v>
      </c>
      <c r="CF215" s="123">
        <v>18.566841125488281</v>
      </c>
      <c r="CG215" s="123">
        <v>35.338191986083984</v>
      </c>
      <c r="CH215" s="123">
        <v>271.84228515625</v>
      </c>
      <c r="CI215" s="123">
        <v>83.708457946777344</v>
      </c>
      <c r="CJ215" s="123">
        <v>34.183834075927734</v>
      </c>
      <c r="CK215" s="123">
        <v>51.246208190917969</v>
      </c>
      <c r="CL215" s="124">
        <v>26.375730514526367</v>
      </c>
      <c r="CM215" s="125">
        <v>192.9359130859375</v>
      </c>
      <c r="CN215" s="123">
        <v>55.153781890869141</v>
      </c>
      <c r="CO215" s="123">
        <v>59.424869537353516</v>
      </c>
      <c r="CP215" s="123">
        <v>76.299423217773438</v>
      </c>
      <c r="CQ215" s="123">
        <v>0</v>
      </c>
      <c r="CR215" s="123">
        <v>48.403728485107422</v>
      </c>
      <c r="CS215" s="123">
        <v>7.5826239585876465</v>
      </c>
      <c r="CT215" s="123">
        <v>32.517738342285156</v>
      </c>
      <c r="CU215" s="123">
        <v>41.982738494873047</v>
      </c>
      <c r="CV215" s="124">
        <v>56.507686614990234</v>
      </c>
      <c r="CW215" s="125">
        <v>11</v>
      </c>
      <c r="CX215" s="123">
        <v>294</v>
      </c>
      <c r="CY215" s="123">
        <v>111.17910003662109</v>
      </c>
      <c r="CZ215" s="123">
        <v>46.236953735351563</v>
      </c>
      <c r="DA215" s="123">
        <v>20.152633666992188</v>
      </c>
      <c r="DB215" s="123">
        <v>30.878828048706055</v>
      </c>
      <c r="DC215" s="123">
        <v>73.620964050292969</v>
      </c>
      <c r="DD215" s="123">
        <v>61</v>
      </c>
      <c r="DE215" s="123">
        <v>172</v>
      </c>
      <c r="DF215" s="123">
        <v>101.23822021484375</v>
      </c>
      <c r="DG215" s="123">
        <v>68.64276123046875</v>
      </c>
      <c r="DH215" s="123">
        <v>44.532661437988281</v>
      </c>
      <c r="DI215" s="128">
        <v>38.650043487548828</v>
      </c>
      <c r="DJ215" s="127">
        <v>201</v>
      </c>
      <c r="DK215" s="123">
        <v>102.80500030517578</v>
      </c>
      <c r="DL215" s="123">
        <v>23.97599983215332</v>
      </c>
      <c r="DM215" s="123">
        <v>24.916000366210938</v>
      </c>
      <c r="DN215" s="123">
        <v>47.888999938964844</v>
      </c>
      <c r="DO215" s="124">
        <v>110.85861968994141</v>
      </c>
      <c r="DP215" s="125">
        <v>15.437000274658203</v>
      </c>
      <c r="DQ215" s="123"/>
      <c r="DR215" s="125">
        <v>0</v>
      </c>
      <c r="DS215" s="128">
        <v>28.399999618530273</v>
      </c>
      <c r="DT215" s="127">
        <v>12</v>
      </c>
      <c r="DU215" s="123"/>
      <c r="DV215" s="123">
        <v>8</v>
      </c>
      <c r="DW215" s="123">
        <v>1.4311671257019043</v>
      </c>
      <c r="DX215" s="125">
        <v>11</v>
      </c>
      <c r="DY215" s="128"/>
      <c r="DZ215" s="127">
        <v>44</v>
      </c>
      <c r="EA215" s="123">
        <v>3</v>
      </c>
      <c r="EB215" s="123">
        <v>0</v>
      </c>
      <c r="EC215" s="123">
        <v>1</v>
      </c>
      <c r="ED215" s="123">
        <v>241.60000610351563</v>
      </c>
      <c r="EE215" s="129"/>
      <c r="EF215" s="129"/>
      <c r="EG215" s="129"/>
    </row>
    <row r="216" spans="1:137" x14ac:dyDescent="0.3">
      <c r="A216" s="226">
        <f t="shared" si="9"/>
        <v>46020.147222222702</v>
      </c>
      <c r="B216" s="123">
        <v>212</v>
      </c>
      <c r="C216" s="123">
        <v>48.971000671386719</v>
      </c>
      <c r="D216" s="123">
        <v>96.584999084472656</v>
      </c>
      <c r="E216" s="123">
        <v>18.320999145507813</v>
      </c>
      <c r="F216" s="123">
        <v>0</v>
      </c>
      <c r="G216" s="124">
        <v>16.059000015258789</v>
      </c>
      <c r="H216" s="125">
        <v>303</v>
      </c>
      <c r="I216" s="123">
        <v>270</v>
      </c>
      <c r="J216" s="123">
        <v>60.506999969482422</v>
      </c>
      <c r="K216" s="123">
        <v>61.011077880859375</v>
      </c>
      <c r="L216" s="123">
        <v>42.941001892089844</v>
      </c>
      <c r="M216" s="123">
        <v>11.875</v>
      </c>
      <c r="N216" s="123">
        <v>16.985000610351563</v>
      </c>
      <c r="O216" s="123">
        <v>14</v>
      </c>
      <c r="P216" s="123">
        <v>0</v>
      </c>
      <c r="Q216" s="123">
        <v>14.668213844299316</v>
      </c>
      <c r="R216" s="123">
        <v>10.003125190734863</v>
      </c>
      <c r="S216" s="123">
        <v>6.8184390068054199</v>
      </c>
      <c r="T216" s="123">
        <v>0</v>
      </c>
      <c r="U216" s="123">
        <v>0</v>
      </c>
      <c r="V216" s="125">
        <v>862</v>
      </c>
      <c r="W216" s="123">
        <v>24.702190399169922</v>
      </c>
      <c r="X216" s="123">
        <v>25.107000350952148</v>
      </c>
      <c r="Y216" s="123">
        <v>7.6970000267028809</v>
      </c>
      <c r="Z216" s="123">
        <v>0</v>
      </c>
      <c r="AA216" s="123">
        <v>20.809000015258789</v>
      </c>
      <c r="AB216" s="123">
        <v>0</v>
      </c>
      <c r="AC216" s="123">
        <v>51.50390625</v>
      </c>
      <c r="AD216" s="123">
        <v>6.3610000610351563</v>
      </c>
      <c r="AE216" s="123">
        <v>0</v>
      </c>
      <c r="AF216" s="123">
        <v>79.384788513183594</v>
      </c>
      <c r="AG216" s="123">
        <v>0</v>
      </c>
      <c r="AH216" s="123">
        <v>61.750129699707031</v>
      </c>
      <c r="AI216" s="123">
        <v>11.960000038146973</v>
      </c>
      <c r="AJ216" s="123">
        <v>18.215618133544922</v>
      </c>
      <c r="AK216" s="123">
        <v>36.228309631347656</v>
      </c>
      <c r="AL216" s="123">
        <v>36.578998565673828</v>
      </c>
      <c r="AM216" s="126">
        <v>56.363998413085938</v>
      </c>
      <c r="AN216" s="125">
        <v>113.0625</v>
      </c>
      <c r="AO216" s="127">
        <v>57</v>
      </c>
      <c r="AP216" s="123">
        <v>59.920246124267578</v>
      </c>
      <c r="AQ216" s="123">
        <v>35.241680145263672</v>
      </c>
      <c r="AR216" s="123">
        <v>97</v>
      </c>
      <c r="AS216" s="123"/>
      <c r="AT216" s="123">
        <v>109</v>
      </c>
      <c r="AU216" s="123"/>
      <c r="AV216" s="123">
        <v>62</v>
      </c>
      <c r="AW216" s="123"/>
      <c r="AX216" s="123">
        <v>29</v>
      </c>
      <c r="AY216" s="123">
        <v>32.556632995605469</v>
      </c>
      <c r="AZ216" s="123">
        <v>11</v>
      </c>
      <c r="BA216" s="123"/>
      <c r="BB216" s="123">
        <v>178</v>
      </c>
      <c r="BC216" s="123">
        <v>175.07278442382813</v>
      </c>
      <c r="BD216" s="123">
        <v>6.6999998092651367</v>
      </c>
      <c r="BE216" s="123">
        <v>6.7447719573974609</v>
      </c>
      <c r="BF216" s="123">
        <v>30</v>
      </c>
      <c r="BG216" s="123">
        <v>10</v>
      </c>
      <c r="BH216" s="123">
        <v>10.974034309387207</v>
      </c>
      <c r="BI216" s="123"/>
      <c r="BJ216" s="108">
        <f t="shared" si="10"/>
        <v>10</v>
      </c>
      <c r="BK216" s="123">
        <v>10</v>
      </c>
      <c r="BL216" s="123">
        <v>0</v>
      </c>
      <c r="BM216" s="126"/>
      <c r="BN216" s="108">
        <f t="shared" si="11"/>
        <v>122</v>
      </c>
      <c r="BO216" s="108">
        <v>73</v>
      </c>
      <c r="BP216" s="108">
        <v>49</v>
      </c>
      <c r="BQ216" s="108">
        <v>265</v>
      </c>
      <c r="BR216" s="123">
        <v>66.839996337890625</v>
      </c>
      <c r="BS216" s="123">
        <v>25.445999145507813</v>
      </c>
      <c r="BT216" s="123">
        <v>40.869998931884766</v>
      </c>
      <c r="BU216" s="123">
        <v>34.798000335693359</v>
      </c>
      <c r="BV216" s="123">
        <v>69.400001525878906</v>
      </c>
      <c r="BW216" s="123">
        <v>6</v>
      </c>
      <c r="BX216" s="123">
        <v>13.5</v>
      </c>
      <c r="BY216" s="123">
        <v>29</v>
      </c>
      <c r="BZ216" s="123">
        <v>1.4596299268305302E-2</v>
      </c>
      <c r="CA216" s="123">
        <v>1</v>
      </c>
      <c r="CB216" s="123">
        <v>29.607746124267578</v>
      </c>
      <c r="CC216" s="126"/>
      <c r="CD216" s="123">
        <v>336.54116821289063</v>
      </c>
      <c r="CE216" s="123">
        <v>31.627073287963867</v>
      </c>
      <c r="CF216" s="123">
        <v>18.931743621826172</v>
      </c>
      <c r="CG216" s="123">
        <v>35.338191986083984</v>
      </c>
      <c r="CH216" s="123">
        <v>271.20556640625</v>
      </c>
      <c r="CI216" s="123">
        <v>81.192428588867188</v>
      </c>
      <c r="CJ216" s="123">
        <v>33.637298583984375</v>
      </c>
      <c r="CK216" s="123">
        <v>51.572315216064453</v>
      </c>
      <c r="CL216" s="124">
        <v>27.226722717285156</v>
      </c>
      <c r="CM216" s="125">
        <v>189.60733032226563</v>
      </c>
      <c r="CN216" s="123">
        <v>54.202842712402344</v>
      </c>
      <c r="CO216" s="123">
        <v>58.749488830566406</v>
      </c>
      <c r="CP216" s="123">
        <v>73.310928344726563</v>
      </c>
      <c r="CQ216" s="123">
        <v>0</v>
      </c>
      <c r="CR216" s="123">
        <v>48.073894500732422</v>
      </c>
      <c r="CS216" s="123">
        <v>7.6532225608825684</v>
      </c>
      <c r="CT216" s="123">
        <v>33.079776763916016</v>
      </c>
      <c r="CU216" s="123">
        <v>40.560630798339844</v>
      </c>
      <c r="CV216" s="124">
        <v>57.537193298339844</v>
      </c>
      <c r="CW216" s="125">
        <v>3</v>
      </c>
      <c r="CX216" s="123">
        <v>302</v>
      </c>
      <c r="CY216" s="123">
        <v>111.19284057617188</v>
      </c>
      <c r="CZ216" s="123">
        <v>47.731792449951172</v>
      </c>
      <c r="DA216" s="123">
        <v>19.060546875</v>
      </c>
      <c r="DB216" s="123">
        <v>32.549533843994141</v>
      </c>
      <c r="DC216" s="123">
        <v>73.147972106933594</v>
      </c>
      <c r="DD216" s="123">
        <v>56</v>
      </c>
      <c r="DE216" s="123">
        <v>172</v>
      </c>
      <c r="DF216" s="123">
        <v>101.37572479248047</v>
      </c>
      <c r="DG216" s="123">
        <v>65.94085693359375</v>
      </c>
      <c r="DH216" s="123">
        <v>44.098831176757813</v>
      </c>
      <c r="DI216" s="128">
        <v>38.127254486083984</v>
      </c>
      <c r="DJ216" s="127">
        <v>204</v>
      </c>
      <c r="DK216" s="123">
        <v>101.27799987792969</v>
      </c>
      <c r="DL216" s="123">
        <v>25.559000015258789</v>
      </c>
      <c r="DM216" s="123">
        <v>23.856000900268555</v>
      </c>
      <c r="DN216" s="123">
        <v>47.888999938964844</v>
      </c>
      <c r="DO216" s="124">
        <v>111.40949249267578</v>
      </c>
      <c r="DP216" s="125">
        <v>15.409000396728516</v>
      </c>
      <c r="DQ216" s="123"/>
      <c r="DR216" s="125">
        <v>0</v>
      </c>
      <c r="DS216" s="128">
        <v>28.600000381469727</v>
      </c>
      <c r="DT216" s="127">
        <v>13</v>
      </c>
      <c r="DU216" s="123"/>
      <c r="DV216" s="123">
        <v>8</v>
      </c>
      <c r="DW216" s="123">
        <v>1.4516243934631348</v>
      </c>
      <c r="DX216" s="125">
        <v>10</v>
      </c>
      <c r="DY216" s="128"/>
      <c r="DZ216" s="127">
        <v>45</v>
      </c>
      <c r="EA216" s="123">
        <v>3</v>
      </c>
      <c r="EB216" s="123">
        <v>0</v>
      </c>
      <c r="EC216" s="123">
        <v>1</v>
      </c>
      <c r="ED216" s="123">
        <v>240.80000305175781</v>
      </c>
      <c r="EE216" s="129"/>
      <c r="EF216" s="129"/>
      <c r="EG216" s="129"/>
    </row>
    <row r="217" spans="1:137" x14ac:dyDescent="0.3">
      <c r="A217" s="226">
        <f t="shared" ref="A217:A280" si="12">A216 + TIME(,1,)</f>
        <v>46020.147916667149</v>
      </c>
      <c r="B217" s="123">
        <v>216</v>
      </c>
      <c r="C217" s="123">
        <v>51.798000335693359</v>
      </c>
      <c r="D217" s="123">
        <v>95.792999267578125</v>
      </c>
      <c r="E217" s="123">
        <v>21.826999664306641</v>
      </c>
      <c r="F217" s="123">
        <v>0</v>
      </c>
      <c r="G217" s="124">
        <v>16.172000885009766</v>
      </c>
      <c r="H217" s="125">
        <v>303</v>
      </c>
      <c r="I217" s="123">
        <v>271</v>
      </c>
      <c r="J217" s="123">
        <v>59.941001892089844</v>
      </c>
      <c r="K217" s="123">
        <v>60.074977874755859</v>
      </c>
      <c r="L217" s="123">
        <v>42.588001251220703</v>
      </c>
      <c r="M217" s="123">
        <v>11.64900016784668</v>
      </c>
      <c r="N217" s="123">
        <v>18.385000228881836</v>
      </c>
      <c r="O217" s="123">
        <v>14</v>
      </c>
      <c r="P217" s="123">
        <v>0</v>
      </c>
      <c r="Q217" s="123">
        <v>14.668213844299316</v>
      </c>
      <c r="R217" s="123">
        <v>4.9968748092651367</v>
      </c>
      <c r="S217" s="123">
        <v>5.5820646286010742</v>
      </c>
      <c r="T217" s="123">
        <v>0</v>
      </c>
      <c r="U217" s="123">
        <v>0</v>
      </c>
      <c r="V217" s="125">
        <v>860</v>
      </c>
      <c r="W217" s="123">
        <v>24.702190399169922</v>
      </c>
      <c r="X217" s="123">
        <v>24.541999816894531</v>
      </c>
      <c r="Y217" s="123">
        <v>6.2340002059936523</v>
      </c>
      <c r="Z217" s="123">
        <v>0</v>
      </c>
      <c r="AA217" s="123">
        <v>20.923000335693359</v>
      </c>
      <c r="AB217" s="123">
        <v>0</v>
      </c>
      <c r="AC217" s="123">
        <v>52.749290466308594</v>
      </c>
      <c r="AD217" s="123">
        <v>6.3610000610351563</v>
      </c>
      <c r="AE217" s="123">
        <v>0</v>
      </c>
      <c r="AF217" s="123">
        <v>81.055076599121094</v>
      </c>
      <c r="AG217" s="123">
        <v>0</v>
      </c>
      <c r="AH217" s="123">
        <v>58.777191162109375</v>
      </c>
      <c r="AI217" s="123">
        <v>12.531999588012695</v>
      </c>
      <c r="AJ217" s="123">
        <v>18.529870986938477</v>
      </c>
      <c r="AK217" s="123">
        <v>36.044582366943359</v>
      </c>
      <c r="AL217" s="123">
        <v>36.756000518798828</v>
      </c>
      <c r="AM217" s="126">
        <v>56.300998687744141</v>
      </c>
      <c r="AN217" s="125">
        <v>113.0625</v>
      </c>
      <c r="AO217" s="127">
        <v>57</v>
      </c>
      <c r="AP217" s="123">
        <v>60.102924346923828</v>
      </c>
      <c r="AQ217" s="123">
        <v>36.195270538330078</v>
      </c>
      <c r="AR217" s="123">
        <v>95</v>
      </c>
      <c r="AS217" s="123"/>
      <c r="AT217" s="123">
        <v>109</v>
      </c>
      <c r="AU217" s="123"/>
      <c r="AV217" s="123">
        <v>58</v>
      </c>
      <c r="AW217" s="123"/>
      <c r="AX217" s="123">
        <v>29</v>
      </c>
      <c r="AY217" s="123">
        <v>32.329349517822266</v>
      </c>
      <c r="AZ217" s="123">
        <v>11</v>
      </c>
      <c r="BA217" s="123"/>
      <c r="BB217" s="123">
        <v>179</v>
      </c>
      <c r="BC217" s="123">
        <v>182.10313415527344</v>
      </c>
      <c r="BD217" s="123">
        <v>6.6999998092651367</v>
      </c>
      <c r="BE217" s="123">
        <v>6.7332334518432617</v>
      </c>
      <c r="BF217" s="123">
        <v>30</v>
      </c>
      <c r="BG217" s="123">
        <v>10</v>
      </c>
      <c r="BH217" s="123">
        <v>10.901040077209473</v>
      </c>
      <c r="BI217" s="123"/>
      <c r="BJ217" s="108">
        <f t="shared" si="10"/>
        <v>10</v>
      </c>
      <c r="BK217" s="123">
        <v>10</v>
      </c>
      <c r="BL217" s="123">
        <v>0</v>
      </c>
      <c r="BM217" s="126"/>
      <c r="BN217" s="108">
        <f t="shared" si="11"/>
        <v>120.20000076293945</v>
      </c>
      <c r="BO217" s="108">
        <v>71</v>
      </c>
      <c r="BP217" s="108">
        <v>49.200000762939453</v>
      </c>
      <c r="BQ217" s="108">
        <v>265</v>
      </c>
      <c r="BR217" s="123">
        <v>68.536003112792969</v>
      </c>
      <c r="BS217" s="123">
        <v>25.701000213623047</v>
      </c>
      <c r="BT217" s="123">
        <v>41.215999603271484</v>
      </c>
      <c r="BU217" s="123">
        <v>34.988998413085938</v>
      </c>
      <c r="BV217" s="123">
        <v>69.599998474121094</v>
      </c>
      <c r="BW217" s="123">
        <v>6.0999999046325684</v>
      </c>
      <c r="BX217" s="123">
        <v>13.5</v>
      </c>
      <c r="BY217" s="123">
        <v>28</v>
      </c>
      <c r="BZ217" s="123">
        <v>1.5272155404090881E-2</v>
      </c>
      <c r="CA217" s="123">
        <v>0</v>
      </c>
      <c r="CB217" s="123">
        <v>29.288564682006836</v>
      </c>
      <c r="CC217" s="126"/>
      <c r="CD217" s="123">
        <v>339.92733764648438</v>
      </c>
      <c r="CE217" s="123">
        <v>31.783298492431641</v>
      </c>
      <c r="CF217" s="123">
        <v>18.303499221801758</v>
      </c>
      <c r="CG217" s="123">
        <v>35.338191986083984</v>
      </c>
      <c r="CH217" s="123">
        <v>271.33648681640625</v>
      </c>
      <c r="CI217" s="123">
        <v>82.053131103515625</v>
      </c>
      <c r="CJ217" s="123">
        <v>36.660430908203125</v>
      </c>
      <c r="CK217" s="123">
        <v>49.090335845947266</v>
      </c>
      <c r="CL217" s="124">
        <v>26.30824089050293</v>
      </c>
      <c r="CM217" s="125">
        <v>196.30589294433594</v>
      </c>
      <c r="CN217" s="123">
        <v>53.95703125</v>
      </c>
      <c r="CO217" s="123">
        <v>59.983299255371094</v>
      </c>
      <c r="CP217" s="123">
        <v>80.0489501953125</v>
      </c>
      <c r="CQ217" s="123">
        <v>0</v>
      </c>
      <c r="CR217" s="123">
        <v>50.086860656738281</v>
      </c>
      <c r="CS217" s="123">
        <v>8.315638542175293</v>
      </c>
      <c r="CT217" s="123">
        <v>34.901138305664063</v>
      </c>
      <c r="CU217" s="123">
        <v>40.931949615478516</v>
      </c>
      <c r="CV217" s="124">
        <v>57.911231994628906</v>
      </c>
      <c r="CW217" s="125">
        <v>6</v>
      </c>
      <c r="CX217" s="123">
        <v>296</v>
      </c>
      <c r="CY217" s="123">
        <v>110.40174102783203</v>
      </c>
      <c r="CZ217" s="123">
        <v>46.334560394287109</v>
      </c>
      <c r="DA217" s="123">
        <v>19.805553436279297</v>
      </c>
      <c r="DB217" s="123">
        <v>30.298704147338867</v>
      </c>
      <c r="DC217" s="123">
        <v>72.695114135742188</v>
      </c>
      <c r="DD217" s="123">
        <v>55</v>
      </c>
      <c r="DE217" s="123">
        <v>173</v>
      </c>
      <c r="DF217" s="123">
        <v>100.30240631103516</v>
      </c>
      <c r="DG217" s="123">
        <v>69.271514892578125</v>
      </c>
      <c r="DH217" s="123">
        <v>44.384189605712891</v>
      </c>
      <c r="DI217" s="128">
        <v>37.557193756103516</v>
      </c>
      <c r="DJ217" s="127">
        <v>198</v>
      </c>
      <c r="DK217" s="123">
        <v>98.478996276855469</v>
      </c>
      <c r="DL217" s="123">
        <v>23.863000869750977</v>
      </c>
      <c r="DM217" s="123">
        <v>22.266000747680664</v>
      </c>
      <c r="DN217" s="123">
        <v>47.888999938964844</v>
      </c>
      <c r="DO217" s="124">
        <v>111.90329742431641</v>
      </c>
      <c r="DP217" s="125">
        <v>15.324000358581543</v>
      </c>
      <c r="DQ217" s="123"/>
      <c r="DR217" s="125">
        <v>0</v>
      </c>
      <c r="DS217" s="128">
        <v>29</v>
      </c>
      <c r="DT217" s="127">
        <v>13</v>
      </c>
      <c r="DU217" s="123"/>
      <c r="DV217" s="123">
        <v>7</v>
      </c>
      <c r="DW217" s="123">
        <v>1.6611471176147461</v>
      </c>
      <c r="DX217" s="125">
        <v>10</v>
      </c>
      <c r="DY217" s="128"/>
      <c r="DZ217" s="127">
        <v>45</v>
      </c>
      <c r="EA217" s="123">
        <v>3</v>
      </c>
      <c r="EB217" s="123">
        <v>0</v>
      </c>
      <c r="EC217" s="123">
        <v>1</v>
      </c>
      <c r="ED217" s="123">
        <v>242.19999694824219</v>
      </c>
      <c r="EE217" s="129"/>
      <c r="EF217" s="129"/>
      <c r="EG217" s="129"/>
    </row>
    <row r="218" spans="1:137" x14ac:dyDescent="0.3">
      <c r="A218" s="226">
        <f t="shared" si="12"/>
        <v>46020.148611111596</v>
      </c>
      <c r="B218" s="123">
        <v>215</v>
      </c>
      <c r="C218" s="123">
        <v>48.971000671386719</v>
      </c>
      <c r="D218" s="123">
        <v>94.88800048828125</v>
      </c>
      <c r="E218" s="123">
        <v>20.243999481201172</v>
      </c>
      <c r="F218" s="123">
        <v>4.9340338706970215</v>
      </c>
      <c r="G218" s="124">
        <v>16.39900016784668</v>
      </c>
      <c r="H218" s="125">
        <v>301</v>
      </c>
      <c r="I218" s="123">
        <v>270</v>
      </c>
      <c r="J218" s="123">
        <v>62.090000152587891</v>
      </c>
      <c r="K218" s="123">
        <v>61.163398742675781</v>
      </c>
      <c r="L218" s="123">
        <v>43.294998168945313</v>
      </c>
      <c r="M218" s="123">
        <v>11.64900016784668</v>
      </c>
      <c r="N218" s="123">
        <v>17.176000595092773</v>
      </c>
      <c r="O218" s="123">
        <v>16</v>
      </c>
      <c r="P218" s="123">
        <v>0</v>
      </c>
      <c r="Q218" s="123">
        <v>15.915539741516113</v>
      </c>
      <c r="R218" s="123">
        <v>6</v>
      </c>
      <c r="S218" s="123">
        <v>5.138463020324707</v>
      </c>
      <c r="T218" s="123">
        <v>0</v>
      </c>
      <c r="U218" s="123">
        <v>0</v>
      </c>
      <c r="V218" s="125">
        <v>858</v>
      </c>
      <c r="W218" s="123">
        <v>26.558185577392578</v>
      </c>
      <c r="X218" s="123">
        <v>24.993999481201172</v>
      </c>
      <c r="Y218" s="123">
        <v>6.6160001754760742</v>
      </c>
      <c r="Z218" s="123">
        <v>0</v>
      </c>
      <c r="AA218" s="123">
        <v>19.905000686645508</v>
      </c>
      <c r="AB218" s="123">
        <v>0</v>
      </c>
      <c r="AC218" s="123">
        <v>52.182952880859375</v>
      </c>
      <c r="AD218" s="123">
        <v>6.3610000610351563</v>
      </c>
      <c r="AE218" s="123">
        <v>0</v>
      </c>
      <c r="AF218" s="123">
        <v>81.578849792480469</v>
      </c>
      <c r="AG218" s="123">
        <v>0</v>
      </c>
      <c r="AH218" s="123">
        <v>58.777191162109375</v>
      </c>
      <c r="AI218" s="123">
        <v>11.640999794006348</v>
      </c>
      <c r="AJ218" s="123">
        <v>18.683914184570313</v>
      </c>
      <c r="AK218" s="123">
        <v>36.231658935546875</v>
      </c>
      <c r="AL218" s="123">
        <v>37.285999298095703</v>
      </c>
      <c r="AM218" s="126">
        <v>55.536998748779297</v>
      </c>
      <c r="AN218" s="125">
        <v>114</v>
      </c>
      <c r="AO218" s="127">
        <v>60</v>
      </c>
      <c r="AP218" s="123">
        <v>61.040802001953125</v>
      </c>
      <c r="AQ218" s="123">
        <v>36.801921844482422</v>
      </c>
      <c r="AR218" s="123">
        <v>94</v>
      </c>
      <c r="AS218" s="123"/>
      <c r="AT218" s="123">
        <v>110</v>
      </c>
      <c r="AU218" s="123"/>
      <c r="AV218" s="123">
        <v>54</v>
      </c>
      <c r="AW218" s="123"/>
      <c r="AX218" s="123">
        <v>30</v>
      </c>
      <c r="AY218" s="123">
        <v>32.533340454101563</v>
      </c>
      <c r="AZ218" s="123">
        <v>11</v>
      </c>
      <c r="BA218" s="123"/>
      <c r="BB218" s="123">
        <v>177</v>
      </c>
      <c r="BC218" s="123">
        <v>178.42134094238281</v>
      </c>
      <c r="BD218" s="123">
        <v>6.5999999046325684</v>
      </c>
      <c r="BE218" s="123">
        <v>6.7292656898498535</v>
      </c>
      <c r="BF218" s="123">
        <v>29</v>
      </c>
      <c r="BG218" s="123">
        <v>10</v>
      </c>
      <c r="BH218" s="123">
        <v>10.931659698486328</v>
      </c>
      <c r="BI218" s="123"/>
      <c r="BJ218" s="108">
        <f t="shared" si="10"/>
        <v>12</v>
      </c>
      <c r="BK218" s="123">
        <v>12</v>
      </c>
      <c r="BL218" s="123">
        <v>0</v>
      </c>
      <c r="BM218" s="126"/>
      <c r="BN218" s="108">
        <f t="shared" si="11"/>
        <v>122.20000076293945</v>
      </c>
      <c r="BO218" s="108">
        <v>73</v>
      </c>
      <c r="BP218" s="108">
        <v>49.200000762939453</v>
      </c>
      <c r="BQ218" s="108">
        <v>266</v>
      </c>
      <c r="BR218" s="123">
        <v>67.858001708984375</v>
      </c>
      <c r="BS218" s="123">
        <v>24.683000564575195</v>
      </c>
      <c r="BT218" s="123">
        <v>40.176998138427734</v>
      </c>
      <c r="BU218" s="123">
        <v>34.034999847412109</v>
      </c>
      <c r="BV218" s="123">
        <v>69.099998474121094</v>
      </c>
      <c r="BW218" s="123">
        <v>5.8000001907348633</v>
      </c>
      <c r="BX218" s="123">
        <v>13.5</v>
      </c>
      <c r="BY218" s="123">
        <v>28</v>
      </c>
      <c r="BZ218" s="123">
        <v>1.3344400562345982E-2</v>
      </c>
      <c r="CA218" s="123">
        <v>1</v>
      </c>
      <c r="CB218" s="123">
        <v>29.298088073730469</v>
      </c>
      <c r="CC218" s="126"/>
      <c r="CD218" s="123">
        <v>338.18002319335938</v>
      </c>
      <c r="CE218" s="123">
        <v>30.534076690673828</v>
      </c>
      <c r="CF218" s="123">
        <v>18.875434875488281</v>
      </c>
      <c r="CG218" s="123">
        <v>35.338191986083984</v>
      </c>
      <c r="CH218" s="123">
        <v>272.26748657226563</v>
      </c>
      <c r="CI218" s="123">
        <v>81.206268310546875</v>
      </c>
      <c r="CJ218" s="123">
        <v>36.878334045410156</v>
      </c>
      <c r="CK218" s="123">
        <v>48.922645568847656</v>
      </c>
      <c r="CL218" s="124">
        <v>26.91480827331543</v>
      </c>
      <c r="CM218" s="125">
        <v>195.43952941894531</v>
      </c>
      <c r="CN218" s="123">
        <v>52.061256408691406</v>
      </c>
      <c r="CO218" s="123">
        <v>59.813648223876953</v>
      </c>
      <c r="CP218" s="123">
        <v>78.618782043457031</v>
      </c>
      <c r="CQ218" s="123">
        <v>0</v>
      </c>
      <c r="CR218" s="123">
        <v>47.226558685302734</v>
      </c>
      <c r="CS218" s="123">
        <v>8.3389043807983398</v>
      </c>
      <c r="CT218" s="123">
        <v>35.092929840087891</v>
      </c>
      <c r="CU218" s="123">
        <v>41.275733947753906</v>
      </c>
      <c r="CV218" s="124">
        <v>59.211452484130859</v>
      </c>
      <c r="CW218" s="125">
        <v>10</v>
      </c>
      <c r="CX218" s="123">
        <v>292</v>
      </c>
      <c r="CY218" s="123">
        <v>110.45802307128906</v>
      </c>
      <c r="CZ218" s="123">
        <v>46.035335540771484</v>
      </c>
      <c r="DA218" s="123">
        <v>21.392648696899414</v>
      </c>
      <c r="DB218" s="123">
        <v>31.410232543945313</v>
      </c>
      <c r="DC218" s="123">
        <v>72.627967834472656</v>
      </c>
      <c r="DD218" s="123">
        <v>58</v>
      </c>
      <c r="DE218" s="123">
        <v>170</v>
      </c>
      <c r="DF218" s="123">
        <v>100.42131805419922</v>
      </c>
      <c r="DG218" s="123">
        <v>68.621620178222656</v>
      </c>
      <c r="DH218" s="123">
        <v>44.168003082275391</v>
      </c>
      <c r="DI218" s="128">
        <v>38.146587371826172</v>
      </c>
      <c r="DJ218" s="127">
        <v>201</v>
      </c>
      <c r="DK218" s="123">
        <v>102.55100250244141</v>
      </c>
      <c r="DL218" s="123">
        <v>25.107000350952148</v>
      </c>
      <c r="DM218" s="123">
        <v>25.799999237060547</v>
      </c>
      <c r="DN218" s="123">
        <v>46.652000427246094</v>
      </c>
      <c r="DO218" s="124">
        <v>110.15635681152344</v>
      </c>
      <c r="DP218" s="125">
        <v>15.324000358581543</v>
      </c>
      <c r="DQ218" s="123"/>
      <c r="DR218" s="125">
        <v>0</v>
      </c>
      <c r="DS218" s="128">
        <v>31.399999618530273</v>
      </c>
      <c r="DT218" s="127">
        <v>13</v>
      </c>
      <c r="DU218" s="123"/>
      <c r="DV218" s="123">
        <v>8</v>
      </c>
      <c r="DW218" s="123">
        <v>1.7982857227325439</v>
      </c>
      <c r="DX218" s="125">
        <v>10</v>
      </c>
      <c r="DY218" s="128"/>
      <c r="DZ218" s="127">
        <v>46</v>
      </c>
      <c r="EA218" s="123">
        <v>3</v>
      </c>
      <c r="EB218" s="123">
        <v>0</v>
      </c>
      <c r="EC218" s="123">
        <v>1</v>
      </c>
      <c r="ED218" s="123">
        <v>236.60000610351563</v>
      </c>
      <c r="EE218" s="129"/>
      <c r="EF218" s="129"/>
      <c r="EG218" s="129"/>
    </row>
    <row r="219" spans="1:137" x14ac:dyDescent="0.3">
      <c r="A219" s="226">
        <f t="shared" si="12"/>
        <v>46020.149305556042</v>
      </c>
      <c r="B219" s="123">
        <v>216</v>
      </c>
      <c r="C219" s="123">
        <v>44.446998596191406</v>
      </c>
      <c r="D219" s="123">
        <v>96.472000122070313</v>
      </c>
      <c r="E219" s="123">
        <v>21.826999664306641</v>
      </c>
      <c r="F219" s="123">
        <v>3.3964977264404297</v>
      </c>
      <c r="G219" s="124">
        <v>15.720000267028809</v>
      </c>
      <c r="H219" s="125">
        <v>303</v>
      </c>
      <c r="I219" s="123">
        <v>270</v>
      </c>
      <c r="J219" s="123">
        <v>60.393001556396484</v>
      </c>
      <c r="K219" s="123">
        <v>60.871906280517578</v>
      </c>
      <c r="L219" s="123">
        <v>45.062000274658203</v>
      </c>
      <c r="M219" s="123">
        <v>11.76200008392334</v>
      </c>
      <c r="N219" s="123">
        <v>17.302999496459961</v>
      </c>
      <c r="O219" s="123">
        <v>16</v>
      </c>
      <c r="P219" s="123">
        <v>0</v>
      </c>
      <c r="Q219" s="123">
        <v>15.230477333068848</v>
      </c>
      <c r="R219" s="123">
        <v>7.0031251907348633</v>
      </c>
      <c r="S219" s="123">
        <v>5.3334846496582031</v>
      </c>
      <c r="T219" s="123">
        <v>7</v>
      </c>
      <c r="U219" s="123">
        <v>7</v>
      </c>
      <c r="V219" s="125">
        <v>860</v>
      </c>
      <c r="W219" s="123">
        <v>27.082822799682617</v>
      </c>
      <c r="X219" s="123">
        <v>25.333000183105469</v>
      </c>
      <c r="Y219" s="123">
        <v>6.7430000305175781</v>
      </c>
      <c r="Z219" s="123">
        <v>0</v>
      </c>
      <c r="AA219" s="123">
        <v>19.677999496459961</v>
      </c>
      <c r="AB219" s="123">
        <v>0</v>
      </c>
      <c r="AC219" s="123">
        <v>51.738521575927734</v>
      </c>
      <c r="AD219" s="123">
        <v>6.1069998741149902</v>
      </c>
      <c r="AE219" s="123">
        <v>0</v>
      </c>
      <c r="AF219" s="123">
        <v>80.778770446777344</v>
      </c>
      <c r="AG219" s="123">
        <v>0</v>
      </c>
      <c r="AH219" s="123">
        <v>60.028697967529297</v>
      </c>
      <c r="AI219" s="123">
        <v>11.133000373840332</v>
      </c>
      <c r="AJ219" s="123">
        <v>20.441282272338867</v>
      </c>
      <c r="AK219" s="123">
        <v>35.537487030029297</v>
      </c>
      <c r="AL219" s="123">
        <v>37.993000030517578</v>
      </c>
      <c r="AM219" s="126">
        <v>54.773998260498047</v>
      </c>
      <c r="AN219" s="125">
        <v>113</v>
      </c>
      <c r="AO219" s="127">
        <v>58</v>
      </c>
      <c r="AP219" s="123">
        <v>59.103603363037109</v>
      </c>
      <c r="AQ219" s="123">
        <v>36.331470489501953</v>
      </c>
      <c r="AR219" s="123">
        <v>93</v>
      </c>
      <c r="AS219" s="123"/>
      <c r="AT219" s="123">
        <v>109</v>
      </c>
      <c r="AU219" s="123"/>
      <c r="AV219" s="123">
        <v>55</v>
      </c>
      <c r="AW219" s="123"/>
      <c r="AX219" s="123">
        <v>30</v>
      </c>
      <c r="AY219" s="123">
        <v>32.760719299316406</v>
      </c>
      <c r="AZ219" s="123">
        <v>11</v>
      </c>
      <c r="BA219" s="123"/>
      <c r="BB219" s="123">
        <v>179</v>
      </c>
      <c r="BC219" s="123">
        <v>180.24900817871094</v>
      </c>
      <c r="BD219" s="123">
        <v>6.5999999046325684</v>
      </c>
      <c r="BE219" s="123">
        <v>6.7277097702026367</v>
      </c>
      <c r="BF219" s="123">
        <v>30</v>
      </c>
      <c r="BG219" s="123">
        <v>10</v>
      </c>
      <c r="BH219" s="123">
        <v>10.909934043884277</v>
      </c>
      <c r="BI219" s="123"/>
      <c r="BJ219" s="108">
        <f t="shared" si="10"/>
        <v>11</v>
      </c>
      <c r="BK219" s="123">
        <v>11</v>
      </c>
      <c r="BL219" s="123">
        <v>0</v>
      </c>
      <c r="BM219" s="126"/>
      <c r="BN219" s="108">
        <f t="shared" si="11"/>
        <v>120</v>
      </c>
      <c r="BO219" s="108">
        <v>71</v>
      </c>
      <c r="BP219" s="108">
        <v>49</v>
      </c>
      <c r="BQ219" s="108">
        <v>258</v>
      </c>
      <c r="BR219" s="123">
        <v>64.5780029296875</v>
      </c>
      <c r="BS219" s="123">
        <v>25.954999923706055</v>
      </c>
      <c r="BT219" s="123">
        <v>40.869998931884766</v>
      </c>
      <c r="BU219" s="123">
        <v>34.353000640869141</v>
      </c>
      <c r="BV219" s="123">
        <v>69</v>
      </c>
      <c r="BW219" s="123">
        <v>5.8000001907348633</v>
      </c>
      <c r="BX219" s="123">
        <v>13.5</v>
      </c>
      <c r="BY219" s="123">
        <v>28</v>
      </c>
      <c r="BZ219" s="123">
        <v>1.3518459163606167E-2</v>
      </c>
      <c r="CA219" s="123">
        <v>1</v>
      </c>
      <c r="CB219" s="123">
        <v>29.179752349853516</v>
      </c>
      <c r="CC219" s="126"/>
      <c r="CD219" s="123">
        <v>338.1650390625</v>
      </c>
      <c r="CE219" s="123">
        <v>31.058488845825195</v>
      </c>
      <c r="CF219" s="123">
        <v>18.202793121337891</v>
      </c>
      <c r="CG219" s="123">
        <v>35.338191986083984</v>
      </c>
      <c r="CH219" s="123">
        <v>272.01638793945313</v>
      </c>
      <c r="CI219" s="123">
        <v>80.991928100585938</v>
      </c>
      <c r="CJ219" s="123">
        <v>36.538188934326172</v>
      </c>
      <c r="CK219" s="123">
        <v>49.688045501708984</v>
      </c>
      <c r="CL219" s="124">
        <v>27.045272827148438</v>
      </c>
      <c r="CM219" s="125">
        <v>189.43064880371094</v>
      </c>
      <c r="CN219" s="123">
        <v>49.784259796142578</v>
      </c>
      <c r="CO219" s="123">
        <v>59.573787689208984</v>
      </c>
      <c r="CP219" s="123">
        <v>77.8154296875</v>
      </c>
      <c r="CQ219" s="123">
        <v>0</v>
      </c>
      <c r="CR219" s="123">
        <v>47.695907592773438</v>
      </c>
      <c r="CS219" s="123">
        <v>8.277277946472168</v>
      </c>
      <c r="CT219" s="123">
        <v>32.439128875732422</v>
      </c>
      <c r="CU219" s="123">
        <v>36.938606262207031</v>
      </c>
      <c r="CV219" s="124">
        <v>60.228649139404297</v>
      </c>
      <c r="CW219" s="125">
        <v>3</v>
      </c>
      <c r="CX219" s="123">
        <v>301</v>
      </c>
      <c r="CY219" s="123">
        <v>112.44759368896484</v>
      </c>
      <c r="CZ219" s="123">
        <v>46.192913055419922</v>
      </c>
      <c r="DA219" s="123">
        <v>19.681400299072266</v>
      </c>
      <c r="DB219" s="123">
        <v>33.169506072998047</v>
      </c>
      <c r="DC219" s="123">
        <v>72.292274475097656</v>
      </c>
      <c r="DD219" s="123">
        <v>57</v>
      </c>
      <c r="DE219" s="123">
        <v>170</v>
      </c>
      <c r="DF219" s="123">
        <v>100.20835876464844</v>
      </c>
      <c r="DG219" s="123">
        <v>68.639366149902344</v>
      </c>
      <c r="DH219" s="123">
        <v>44.413383483886719</v>
      </c>
      <c r="DI219" s="128">
        <v>37.768890380859375</v>
      </c>
      <c r="DJ219" s="127">
        <v>203</v>
      </c>
      <c r="DK219" s="123">
        <v>99.497001647949219</v>
      </c>
      <c r="DL219" s="123">
        <v>23.636999130249023</v>
      </c>
      <c r="DM219" s="123">
        <v>24.562999725341797</v>
      </c>
      <c r="DN219" s="123">
        <v>46.652000427246094</v>
      </c>
      <c r="DO219" s="124">
        <v>110.15635681152344</v>
      </c>
      <c r="DP219" s="125">
        <v>15.522000312805176</v>
      </c>
      <c r="DQ219" s="123"/>
      <c r="DR219" s="125">
        <v>0</v>
      </c>
      <c r="DS219" s="128">
        <v>28.100000381469727</v>
      </c>
      <c r="DT219" s="127">
        <v>13</v>
      </c>
      <c r="DU219" s="123"/>
      <c r="DV219" s="123">
        <v>8</v>
      </c>
      <c r="DW219" s="123">
        <v>1.8506267070770264</v>
      </c>
      <c r="DX219" s="125">
        <v>10</v>
      </c>
      <c r="DY219" s="128"/>
      <c r="DZ219" s="127">
        <v>46</v>
      </c>
      <c r="EA219" s="123">
        <v>3</v>
      </c>
      <c r="EB219" s="123">
        <v>0</v>
      </c>
      <c r="EC219" s="123">
        <v>1</v>
      </c>
      <c r="ED219" s="123">
        <v>239.80000305175781</v>
      </c>
      <c r="EE219" s="129"/>
      <c r="EF219" s="129"/>
      <c r="EG219" s="129"/>
    </row>
    <row r="220" spans="1:137" x14ac:dyDescent="0.3">
      <c r="A220" s="226">
        <f t="shared" si="12"/>
        <v>46020.150000000489</v>
      </c>
      <c r="B220" s="123">
        <v>213</v>
      </c>
      <c r="C220" s="123">
        <v>45.691001892089844</v>
      </c>
      <c r="D220" s="123">
        <v>95.567001342773438</v>
      </c>
      <c r="E220" s="123">
        <v>22.052999496459961</v>
      </c>
      <c r="F220" s="123">
        <v>0</v>
      </c>
      <c r="G220" s="124">
        <v>15.720000267028809</v>
      </c>
      <c r="H220" s="125">
        <v>304</v>
      </c>
      <c r="I220" s="123">
        <v>271</v>
      </c>
      <c r="J220" s="123">
        <v>60.733001708984375</v>
      </c>
      <c r="K220" s="123">
        <v>60.547084808349609</v>
      </c>
      <c r="L220" s="123">
        <v>45.944999694824219</v>
      </c>
      <c r="M220" s="123">
        <v>12.10099983215332</v>
      </c>
      <c r="N220" s="123">
        <v>17.113000869750977</v>
      </c>
      <c r="O220" s="123">
        <v>16</v>
      </c>
      <c r="P220" s="123">
        <v>0</v>
      </c>
      <c r="Q220" s="123">
        <v>17.07890510559082</v>
      </c>
      <c r="R220" s="123">
        <v>0</v>
      </c>
      <c r="S220" s="123">
        <v>3.7906250953674316</v>
      </c>
      <c r="T220" s="123">
        <v>8</v>
      </c>
      <c r="U220" s="123">
        <v>8</v>
      </c>
      <c r="V220" s="125">
        <v>860</v>
      </c>
      <c r="W220" s="123">
        <v>26.607669830322266</v>
      </c>
      <c r="X220" s="123">
        <v>24.881000518798828</v>
      </c>
      <c r="Y220" s="123">
        <v>6.1069998741149902</v>
      </c>
      <c r="Z220" s="123">
        <v>0</v>
      </c>
      <c r="AA220" s="123">
        <v>19</v>
      </c>
      <c r="AB220" s="123">
        <v>0</v>
      </c>
      <c r="AC220" s="123">
        <v>51.738521575927734</v>
      </c>
      <c r="AD220" s="123">
        <v>6.3610000610351563</v>
      </c>
      <c r="AE220" s="123">
        <v>0</v>
      </c>
      <c r="AF220" s="123">
        <v>80.094047546386719</v>
      </c>
      <c r="AG220" s="123">
        <v>0</v>
      </c>
      <c r="AH220" s="123">
        <v>59.881549835205078</v>
      </c>
      <c r="AI220" s="123">
        <v>12.02299976348877</v>
      </c>
      <c r="AJ220" s="123">
        <v>18.037025451660156</v>
      </c>
      <c r="AK220" s="123">
        <v>35.872707366943359</v>
      </c>
      <c r="AL220" s="123">
        <v>38.876998901367188</v>
      </c>
      <c r="AM220" s="126">
        <v>55.918998718261719</v>
      </c>
      <c r="AN220" s="125">
        <v>109.1875</v>
      </c>
      <c r="AO220" s="127">
        <v>56</v>
      </c>
      <c r="AP220" s="123">
        <v>59.708770751953125</v>
      </c>
      <c r="AQ220" s="123">
        <v>34.048690795898438</v>
      </c>
      <c r="AR220" s="123">
        <v>93</v>
      </c>
      <c r="AS220" s="123"/>
      <c r="AT220" s="123">
        <v>109</v>
      </c>
      <c r="AU220" s="123"/>
      <c r="AV220" s="123">
        <v>54</v>
      </c>
      <c r="AW220" s="123"/>
      <c r="AX220" s="123">
        <v>29</v>
      </c>
      <c r="AY220" s="123">
        <v>31.794326782226563</v>
      </c>
      <c r="AZ220" s="123">
        <v>11</v>
      </c>
      <c r="BA220" s="123"/>
      <c r="BB220" s="123">
        <v>179</v>
      </c>
      <c r="BC220" s="123">
        <v>177.90336608886719</v>
      </c>
      <c r="BD220" s="123">
        <v>6.4000000953674316</v>
      </c>
      <c r="BE220" s="123">
        <v>6.7023353576660156</v>
      </c>
      <c r="BF220" s="123">
        <v>29</v>
      </c>
      <c r="BG220" s="123">
        <v>10</v>
      </c>
      <c r="BH220" s="123">
        <v>10.945366859436035</v>
      </c>
      <c r="BI220" s="123"/>
      <c r="BJ220" s="108">
        <f t="shared" si="10"/>
        <v>11</v>
      </c>
      <c r="BK220" s="123">
        <v>11</v>
      </c>
      <c r="BL220" s="123">
        <v>0</v>
      </c>
      <c r="BM220" s="126"/>
      <c r="BN220" s="108">
        <f t="shared" si="11"/>
        <v>119.29999923706055</v>
      </c>
      <c r="BO220" s="108">
        <v>71</v>
      </c>
      <c r="BP220" s="108">
        <v>48.299999237060547</v>
      </c>
      <c r="BQ220" s="108">
        <v>258</v>
      </c>
      <c r="BR220" s="123">
        <v>69.101997375488281</v>
      </c>
      <c r="BS220" s="123">
        <v>24.937000274658203</v>
      </c>
      <c r="BT220" s="123">
        <v>40.523998260498047</v>
      </c>
      <c r="BU220" s="123">
        <v>34.28900146484375</v>
      </c>
      <c r="BV220" s="123">
        <v>69.099998474121094</v>
      </c>
      <c r="BW220" s="123">
        <v>5.8000001907348633</v>
      </c>
      <c r="BX220" s="123">
        <v>13.800000190734863</v>
      </c>
      <c r="BY220" s="123">
        <v>28</v>
      </c>
      <c r="BZ220" s="123">
        <v>1.4005051925778389E-2</v>
      </c>
      <c r="CA220" s="123">
        <v>1</v>
      </c>
      <c r="CB220" s="123">
        <v>29.16264533996582</v>
      </c>
      <c r="CC220" s="126"/>
      <c r="CD220" s="123">
        <v>336.52194213867188</v>
      </c>
      <c r="CE220" s="123">
        <v>30.20635986328125</v>
      </c>
      <c r="CF220" s="123">
        <v>18.225564956665039</v>
      </c>
      <c r="CG220" s="123">
        <v>35.338191986083984</v>
      </c>
      <c r="CH220" s="123">
        <v>271.9844970703125</v>
      </c>
      <c r="CI220" s="123">
        <v>82.257110595703125</v>
      </c>
      <c r="CJ220" s="123">
        <v>33.451637268066406</v>
      </c>
      <c r="CK220" s="123">
        <v>51.637088775634766</v>
      </c>
      <c r="CL220" s="124">
        <v>26.566675186157227</v>
      </c>
      <c r="CM220" s="125">
        <v>193.68656921386719</v>
      </c>
      <c r="CN220" s="123">
        <v>51.182628631591797</v>
      </c>
      <c r="CO220" s="123">
        <v>58.420368194580078</v>
      </c>
      <c r="CP220" s="123">
        <v>77.493629455566406</v>
      </c>
      <c r="CQ220" s="123">
        <v>0</v>
      </c>
      <c r="CR220" s="123">
        <v>47.724075317382813</v>
      </c>
      <c r="CS220" s="123">
        <v>8.8630514144897461</v>
      </c>
      <c r="CT220" s="123">
        <v>30.965499877929688</v>
      </c>
      <c r="CU220" s="123">
        <v>41.357082366943359</v>
      </c>
      <c r="CV220" s="124">
        <v>62.9063720703125</v>
      </c>
      <c r="CW220" s="125">
        <v>3</v>
      </c>
      <c r="CX220" s="123">
        <v>299</v>
      </c>
      <c r="CY220" s="123">
        <v>112.46126556396484</v>
      </c>
      <c r="CZ220" s="123">
        <v>45.897018432617188</v>
      </c>
      <c r="DA220" s="123">
        <v>19.2476806640625</v>
      </c>
      <c r="DB220" s="123">
        <v>33.313877105712891</v>
      </c>
      <c r="DC220" s="123">
        <v>73.368675231933594</v>
      </c>
      <c r="DD220" s="123">
        <v>52</v>
      </c>
      <c r="DE220" s="123">
        <v>172</v>
      </c>
      <c r="DF220" s="123">
        <v>99.966842651367188</v>
      </c>
      <c r="DG220" s="123">
        <v>68.250091552734375</v>
      </c>
      <c r="DH220" s="123">
        <v>43.983074188232422</v>
      </c>
      <c r="DI220" s="128">
        <v>36.563274383544922</v>
      </c>
      <c r="DJ220" s="127">
        <v>202</v>
      </c>
      <c r="DK220" s="123">
        <v>99.497001647949219</v>
      </c>
      <c r="DL220" s="123">
        <v>26.125</v>
      </c>
      <c r="DM220" s="123">
        <v>24.38599967956543</v>
      </c>
      <c r="DN220" s="123">
        <v>47.712001800537109</v>
      </c>
      <c r="DO220" s="124">
        <v>110.36027526855469</v>
      </c>
      <c r="DP220" s="125">
        <v>15.35200023651123</v>
      </c>
      <c r="DQ220" s="123"/>
      <c r="DR220" s="125">
        <v>0</v>
      </c>
      <c r="DS220" s="128">
        <v>27.799999237060547</v>
      </c>
      <c r="DT220" s="127">
        <v>13</v>
      </c>
      <c r="DU220" s="123"/>
      <c r="DV220" s="123">
        <v>7</v>
      </c>
      <c r="DW220" s="123">
        <v>2.0036120414733887</v>
      </c>
      <c r="DX220" s="125">
        <v>10</v>
      </c>
      <c r="DY220" s="128"/>
      <c r="DZ220" s="127">
        <v>46</v>
      </c>
      <c r="EA220" s="123">
        <v>3</v>
      </c>
      <c r="EB220" s="123">
        <v>0</v>
      </c>
      <c r="EC220" s="123">
        <v>1</v>
      </c>
      <c r="ED220" s="123">
        <v>241.10000610351563</v>
      </c>
      <c r="EE220" s="129"/>
      <c r="EF220" s="129"/>
      <c r="EG220" s="129"/>
    </row>
    <row r="221" spans="1:137" x14ac:dyDescent="0.3">
      <c r="A221" s="226">
        <f t="shared" si="12"/>
        <v>46020.150694444936</v>
      </c>
      <c r="B221" s="123">
        <v>213</v>
      </c>
      <c r="C221" s="123">
        <v>50.554000854492188</v>
      </c>
      <c r="D221" s="123">
        <v>96.472000122070313</v>
      </c>
      <c r="E221" s="123">
        <v>21.035999298095703</v>
      </c>
      <c r="F221" s="123">
        <v>5.8945002555847168</v>
      </c>
      <c r="G221" s="124">
        <v>16.172000885009766</v>
      </c>
      <c r="H221" s="125">
        <v>302</v>
      </c>
      <c r="I221" s="123">
        <v>272</v>
      </c>
      <c r="J221" s="123">
        <v>60.958999633789063</v>
      </c>
      <c r="K221" s="123">
        <v>61.98809814453125</v>
      </c>
      <c r="L221" s="123">
        <v>44.708000183105469</v>
      </c>
      <c r="M221" s="123">
        <v>12.10099983215332</v>
      </c>
      <c r="N221" s="123">
        <v>16.794000625610352</v>
      </c>
      <c r="O221" s="123">
        <v>15</v>
      </c>
      <c r="P221" s="123">
        <v>0</v>
      </c>
      <c r="Q221" s="123">
        <v>15.145464897155762</v>
      </c>
      <c r="R221" s="123">
        <v>0</v>
      </c>
      <c r="S221" s="123">
        <v>3.9158706665039063</v>
      </c>
      <c r="T221" s="123">
        <v>9</v>
      </c>
      <c r="U221" s="123">
        <v>9</v>
      </c>
      <c r="V221" s="125">
        <v>857</v>
      </c>
      <c r="W221" s="123">
        <v>25.726509094238281</v>
      </c>
      <c r="X221" s="123">
        <v>25.89900016784668</v>
      </c>
      <c r="Y221" s="123">
        <v>6.0430002212524414</v>
      </c>
      <c r="Z221" s="123">
        <v>0</v>
      </c>
      <c r="AA221" s="123">
        <v>20.469999313354492</v>
      </c>
      <c r="AB221" s="123">
        <v>0</v>
      </c>
      <c r="AC221" s="123">
        <v>52.565029144287109</v>
      </c>
      <c r="AD221" s="123">
        <v>6.6160001754760742</v>
      </c>
      <c r="AE221" s="123">
        <v>0</v>
      </c>
      <c r="AF221" s="123">
        <v>80.731925964355469</v>
      </c>
      <c r="AG221" s="123">
        <v>0</v>
      </c>
      <c r="AH221" s="123">
        <v>61.715797424316406</v>
      </c>
      <c r="AI221" s="123">
        <v>11.640999794006348</v>
      </c>
      <c r="AJ221" s="123">
        <v>16.977096557617188</v>
      </c>
      <c r="AK221" s="123">
        <v>35.694908142089844</v>
      </c>
      <c r="AL221" s="123">
        <v>36.578998565673828</v>
      </c>
      <c r="AM221" s="126">
        <v>55.091999053955078</v>
      </c>
      <c r="AN221" s="125">
        <v>109.1875</v>
      </c>
      <c r="AO221" s="127">
        <v>56</v>
      </c>
      <c r="AP221" s="123">
        <v>59.995090484619141</v>
      </c>
      <c r="AQ221" s="123">
        <v>34.601890563964844</v>
      </c>
      <c r="AR221" s="123">
        <v>93</v>
      </c>
      <c r="AS221" s="123"/>
      <c r="AT221" s="123">
        <v>109</v>
      </c>
      <c r="AU221" s="123"/>
      <c r="AV221" s="123">
        <v>54</v>
      </c>
      <c r="AW221" s="123"/>
      <c r="AX221" s="123">
        <v>29</v>
      </c>
      <c r="AY221" s="123">
        <v>31.794326782226563</v>
      </c>
      <c r="AZ221" s="123">
        <v>11</v>
      </c>
      <c r="BA221" s="123"/>
      <c r="BB221" s="123">
        <v>178</v>
      </c>
      <c r="BC221" s="123">
        <v>180.79183959960938</v>
      </c>
      <c r="BD221" s="123">
        <v>6.5999999046325684</v>
      </c>
      <c r="BE221" s="123">
        <v>6.6729516983032227</v>
      </c>
      <c r="BF221" s="123">
        <v>29</v>
      </c>
      <c r="BG221" s="123">
        <v>11</v>
      </c>
      <c r="BH221" s="123">
        <v>11.304512023925781</v>
      </c>
      <c r="BI221" s="123"/>
      <c r="BJ221" s="108">
        <f t="shared" si="10"/>
        <v>11</v>
      </c>
      <c r="BK221" s="123">
        <v>11</v>
      </c>
      <c r="BL221" s="123">
        <v>0</v>
      </c>
      <c r="BM221" s="126"/>
      <c r="BN221" s="108">
        <f t="shared" si="11"/>
        <v>121.20000076293945</v>
      </c>
      <c r="BO221" s="108">
        <v>72</v>
      </c>
      <c r="BP221" s="108">
        <v>49.200000762939453</v>
      </c>
      <c r="BQ221" s="108">
        <v>268</v>
      </c>
      <c r="BR221" s="123">
        <v>66.161003112792969</v>
      </c>
      <c r="BS221" s="123">
        <v>25.701000213623047</v>
      </c>
      <c r="BT221" s="123">
        <v>40.176998138427734</v>
      </c>
      <c r="BU221" s="123">
        <v>34.416000366210938</v>
      </c>
      <c r="BV221" s="123">
        <v>68.400001525878906</v>
      </c>
      <c r="BW221" s="123">
        <v>5.8000001907348633</v>
      </c>
      <c r="BX221" s="123">
        <v>13.800000190734863</v>
      </c>
      <c r="BY221" s="123">
        <v>28</v>
      </c>
      <c r="BZ221" s="123">
        <v>1.4743741601705551E-2</v>
      </c>
      <c r="CA221" s="123">
        <v>1</v>
      </c>
      <c r="CB221" s="123">
        <v>29.10600471496582</v>
      </c>
      <c r="CC221" s="126"/>
      <c r="CD221" s="123">
        <v>334.92715454101563</v>
      </c>
      <c r="CE221" s="123">
        <v>31.286941528320313</v>
      </c>
      <c r="CF221" s="123">
        <v>18.12999153137207</v>
      </c>
      <c r="CG221" s="123">
        <v>35.338191986083984</v>
      </c>
      <c r="CH221" s="123">
        <v>272.46505737304688</v>
      </c>
      <c r="CI221" s="123">
        <v>84.334609985351563</v>
      </c>
      <c r="CJ221" s="123">
        <v>34.985523223876953</v>
      </c>
      <c r="CK221" s="123">
        <v>49.624610900878906</v>
      </c>
      <c r="CL221" s="124">
        <v>26.566675186157227</v>
      </c>
      <c r="CM221" s="125">
        <v>189.54708862304688</v>
      </c>
      <c r="CN221" s="123">
        <v>53.525608062744141</v>
      </c>
      <c r="CO221" s="123">
        <v>55.905349731445313</v>
      </c>
      <c r="CP221" s="123">
        <v>77.609291076660156</v>
      </c>
      <c r="CQ221" s="123">
        <v>0</v>
      </c>
      <c r="CR221" s="123">
        <v>47.312274932861328</v>
      </c>
      <c r="CS221" s="123">
        <v>7.4954380989074707</v>
      </c>
      <c r="CT221" s="123">
        <v>31.390449523925781</v>
      </c>
      <c r="CU221" s="123">
        <v>39.905834197998047</v>
      </c>
      <c r="CV221" s="124">
        <v>66.526420593261719</v>
      </c>
      <c r="CW221" s="125">
        <v>1</v>
      </c>
      <c r="CX221" s="123">
        <v>302</v>
      </c>
      <c r="CY221" s="123">
        <v>109.94162750244141</v>
      </c>
      <c r="CZ221" s="123">
        <v>46.856891632080078</v>
      </c>
      <c r="DA221" s="123">
        <v>19.237056732177734</v>
      </c>
      <c r="DB221" s="123">
        <v>32.314968109130859</v>
      </c>
      <c r="DC221" s="123">
        <v>75.146995544433594</v>
      </c>
      <c r="DD221" s="123">
        <v>53</v>
      </c>
      <c r="DE221" s="123">
        <v>172</v>
      </c>
      <c r="DF221" s="123">
        <v>99.884803771972656</v>
      </c>
      <c r="DG221" s="123">
        <v>65.448005676269531</v>
      </c>
      <c r="DH221" s="123">
        <v>44.541637420654297</v>
      </c>
      <c r="DI221" s="128">
        <v>37.248531341552734</v>
      </c>
      <c r="DJ221" s="127">
        <v>202</v>
      </c>
      <c r="DK221" s="123">
        <v>101.53299713134766</v>
      </c>
      <c r="DL221" s="123">
        <v>22.506000518798828</v>
      </c>
      <c r="DM221" s="123">
        <v>22.618999481201172</v>
      </c>
      <c r="DN221" s="123">
        <v>47.712001800537109</v>
      </c>
      <c r="DO221" s="124">
        <v>109.14865875244141</v>
      </c>
      <c r="DP221" s="125">
        <v>15.494000434875488</v>
      </c>
      <c r="DQ221" s="123"/>
      <c r="DR221" s="125">
        <v>0</v>
      </c>
      <c r="DS221" s="128">
        <v>29</v>
      </c>
      <c r="DT221" s="127">
        <v>13</v>
      </c>
      <c r="DU221" s="123"/>
      <c r="DV221" s="123">
        <v>9</v>
      </c>
      <c r="DW221" s="123">
        <v>2.0697352886199951</v>
      </c>
      <c r="DX221" s="125">
        <v>10</v>
      </c>
      <c r="DY221" s="128"/>
      <c r="DZ221" s="127">
        <v>46</v>
      </c>
      <c r="EA221" s="123">
        <v>3</v>
      </c>
      <c r="EB221" s="123">
        <v>0</v>
      </c>
      <c r="EC221" s="123">
        <v>1</v>
      </c>
      <c r="ED221" s="123">
        <v>233.80000305175781</v>
      </c>
      <c r="EE221" s="129"/>
      <c r="EF221" s="129"/>
      <c r="EG221" s="129"/>
    </row>
    <row r="222" spans="1:137" x14ac:dyDescent="0.3">
      <c r="A222" s="226">
        <f t="shared" si="12"/>
        <v>46020.151388889382</v>
      </c>
      <c r="B222" s="123">
        <v>217</v>
      </c>
      <c r="C222" s="123">
        <v>51.798000335693359</v>
      </c>
      <c r="D222" s="123">
        <v>95.905998229980469</v>
      </c>
      <c r="E222" s="123">
        <v>19.339000701904297</v>
      </c>
      <c r="F222" s="123">
        <v>0</v>
      </c>
      <c r="G222" s="124">
        <v>16.511999130249023</v>
      </c>
      <c r="H222" s="125">
        <v>298</v>
      </c>
      <c r="I222" s="123">
        <v>269</v>
      </c>
      <c r="J222" s="123">
        <v>62.090000152587891</v>
      </c>
      <c r="K222" s="123">
        <v>59.910408020019531</v>
      </c>
      <c r="L222" s="123">
        <v>43.825000762939453</v>
      </c>
      <c r="M222" s="123">
        <v>12.21399974822998</v>
      </c>
      <c r="N222" s="123">
        <v>16.666999816894531</v>
      </c>
      <c r="O222" s="123">
        <v>17</v>
      </c>
      <c r="P222" s="123">
        <v>0</v>
      </c>
      <c r="Q222" s="123">
        <v>17.043848037719727</v>
      </c>
      <c r="R222" s="123">
        <v>6</v>
      </c>
      <c r="S222" s="123">
        <v>5.4112849235534668</v>
      </c>
      <c r="T222" s="123">
        <v>9</v>
      </c>
      <c r="U222" s="123">
        <v>9</v>
      </c>
      <c r="V222" s="125">
        <v>852</v>
      </c>
      <c r="W222" s="123">
        <v>25.947280883789063</v>
      </c>
      <c r="X222" s="123">
        <v>25.107000350952148</v>
      </c>
      <c r="Y222" s="123">
        <v>6.1069998741149902</v>
      </c>
      <c r="Z222" s="123">
        <v>0</v>
      </c>
      <c r="AA222" s="123">
        <v>20.357000350952148</v>
      </c>
      <c r="AB222" s="123">
        <v>0</v>
      </c>
      <c r="AC222" s="123">
        <v>51.508342742919922</v>
      </c>
      <c r="AD222" s="123">
        <v>6.6160001754760742</v>
      </c>
      <c r="AE222" s="123">
        <v>0</v>
      </c>
      <c r="AF222" s="123">
        <v>79.374725341796875</v>
      </c>
      <c r="AG222" s="123">
        <v>0</v>
      </c>
      <c r="AH222" s="123">
        <v>62.203311920166016</v>
      </c>
      <c r="AI222" s="123">
        <v>16.031000137329102</v>
      </c>
      <c r="AJ222" s="123">
        <v>16.977096557617188</v>
      </c>
      <c r="AK222" s="123">
        <v>35.940475463867188</v>
      </c>
      <c r="AL222" s="123">
        <v>39.053001403808594</v>
      </c>
      <c r="AM222" s="126">
        <v>54.328998565673828</v>
      </c>
      <c r="AN222" s="125">
        <v>112.875</v>
      </c>
      <c r="AO222" s="127">
        <v>58</v>
      </c>
      <c r="AP222" s="123">
        <v>59.936477661132813</v>
      </c>
      <c r="AQ222" s="123">
        <v>34.293071746826172</v>
      </c>
      <c r="AR222" s="123">
        <v>95</v>
      </c>
      <c r="AS222" s="123"/>
      <c r="AT222" s="123">
        <v>109</v>
      </c>
      <c r="AU222" s="123"/>
      <c r="AV222" s="123">
        <v>59</v>
      </c>
      <c r="AW222" s="123"/>
      <c r="AX222" s="123">
        <v>29</v>
      </c>
      <c r="AY222" s="123">
        <v>32.003639221191406</v>
      </c>
      <c r="AZ222" s="123">
        <v>10</v>
      </c>
      <c r="BA222" s="123"/>
      <c r="BB222" s="123">
        <v>179</v>
      </c>
      <c r="BC222" s="123">
        <v>178.0982666015625</v>
      </c>
      <c r="BD222" s="123">
        <v>6.5999999046325684</v>
      </c>
      <c r="BE222" s="123">
        <v>6.7072925567626953</v>
      </c>
      <c r="BF222" s="123">
        <v>30</v>
      </c>
      <c r="BG222" s="123">
        <v>10</v>
      </c>
      <c r="BH222" s="123">
        <v>11.080101013183594</v>
      </c>
      <c r="BI222" s="123"/>
      <c r="BJ222" s="108">
        <f t="shared" si="10"/>
        <v>11</v>
      </c>
      <c r="BK222" s="123">
        <v>11</v>
      </c>
      <c r="BL222" s="123">
        <v>0</v>
      </c>
      <c r="BM222" s="126"/>
      <c r="BN222" s="108">
        <f t="shared" si="11"/>
        <v>120.29999923706055</v>
      </c>
      <c r="BO222" s="108">
        <v>72</v>
      </c>
      <c r="BP222" s="108">
        <v>48.299999237060547</v>
      </c>
      <c r="BQ222" s="108">
        <v>260</v>
      </c>
      <c r="BR222" s="123">
        <v>66.161003112792969</v>
      </c>
      <c r="BS222" s="123">
        <v>25.954999923706055</v>
      </c>
      <c r="BT222" s="123">
        <v>40.523998260498047</v>
      </c>
      <c r="BU222" s="123">
        <v>34.226001739501953</v>
      </c>
      <c r="BV222" s="123">
        <v>69.199996948242188</v>
      </c>
      <c r="BW222" s="123">
        <v>5.6999998092651367</v>
      </c>
      <c r="BX222" s="123">
        <v>13.800000190734863</v>
      </c>
      <c r="BY222" s="123">
        <v>29</v>
      </c>
      <c r="BZ222" s="123">
        <v>1.4513781294226646E-2</v>
      </c>
      <c r="CA222" s="123">
        <v>1</v>
      </c>
      <c r="CB222" s="123">
        <v>29.10600471496582</v>
      </c>
      <c r="CC222" s="126"/>
      <c r="CD222" s="123">
        <v>332.76824951171875</v>
      </c>
      <c r="CE222" s="123">
        <v>30.550243377685547</v>
      </c>
      <c r="CF222" s="123">
        <v>18.122455596923828</v>
      </c>
      <c r="CG222" s="123">
        <v>35.338191986083984</v>
      </c>
      <c r="CH222" s="123">
        <v>272.33322143554688</v>
      </c>
      <c r="CI222" s="123">
        <v>80.905136108398438</v>
      </c>
      <c r="CJ222" s="123">
        <v>36.940494537353516</v>
      </c>
      <c r="CK222" s="123">
        <v>48.460746765136719</v>
      </c>
      <c r="CL222" s="124">
        <v>26.54817008972168</v>
      </c>
      <c r="CM222" s="125">
        <v>195.29718017578125</v>
      </c>
      <c r="CN222" s="123">
        <v>55.3291015625</v>
      </c>
      <c r="CO222" s="123">
        <v>58.906002044677734</v>
      </c>
      <c r="CP222" s="123">
        <v>81.048492431640625</v>
      </c>
      <c r="CQ222" s="123">
        <v>0</v>
      </c>
      <c r="CR222" s="123">
        <v>48.859970092773438</v>
      </c>
      <c r="CS222" s="123">
        <v>7.6664891242980957</v>
      </c>
      <c r="CT222" s="123">
        <v>30.779026031494141</v>
      </c>
      <c r="CU222" s="123">
        <v>42.450504302978516</v>
      </c>
      <c r="CV222" s="124">
        <v>65.843719482421875</v>
      </c>
      <c r="CW222" s="125">
        <v>2</v>
      </c>
      <c r="CX222" s="123">
        <v>299</v>
      </c>
      <c r="CY222" s="123">
        <v>111.25971984863281</v>
      </c>
      <c r="CZ222" s="123">
        <v>46.985443115234375</v>
      </c>
      <c r="DA222" s="123">
        <v>19.253995895385742</v>
      </c>
      <c r="DB222" s="123">
        <v>33.258369445800781</v>
      </c>
      <c r="DC222" s="123">
        <v>73.365806579589844</v>
      </c>
      <c r="DD222" s="123">
        <v>53</v>
      </c>
      <c r="DE222" s="123">
        <v>172</v>
      </c>
      <c r="DF222" s="123">
        <v>101.88262176513672</v>
      </c>
      <c r="DG222" s="123">
        <v>66.249969482421875</v>
      </c>
      <c r="DH222" s="123">
        <v>43.144550323486328</v>
      </c>
      <c r="DI222" s="128">
        <v>38.741500854492188</v>
      </c>
      <c r="DJ222" s="127">
        <v>198</v>
      </c>
      <c r="DK222" s="123">
        <v>101.53299713134766</v>
      </c>
      <c r="DL222" s="123">
        <v>22.506000518798828</v>
      </c>
      <c r="DM222" s="123">
        <v>25.093000411987305</v>
      </c>
      <c r="DN222" s="123">
        <v>47.181999206542969</v>
      </c>
      <c r="DO222" s="124">
        <v>111.45758819580078</v>
      </c>
      <c r="DP222" s="125">
        <v>15.267999649047852</v>
      </c>
      <c r="DQ222" s="123"/>
      <c r="DR222" s="125">
        <v>0</v>
      </c>
      <c r="DS222" s="128">
        <v>28.799999237060547</v>
      </c>
      <c r="DT222" s="127">
        <v>13</v>
      </c>
      <c r="DU222" s="123"/>
      <c r="DV222" s="123">
        <v>9</v>
      </c>
      <c r="DW222" s="123">
        <v>2.6744825839996338</v>
      </c>
      <c r="DX222" s="125">
        <v>10</v>
      </c>
      <c r="DY222" s="128"/>
      <c r="DZ222" s="127">
        <v>46</v>
      </c>
      <c r="EA222" s="123">
        <v>3</v>
      </c>
      <c r="EB222" s="123">
        <v>0</v>
      </c>
      <c r="EC222" s="123">
        <v>1</v>
      </c>
      <c r="ED222" s="123">
        <v>241.19999694824219</v>
      </c>
      <c r="EE222" s="129"/>
      <c r="EF222" s="129"/>
      <c r="EG222" s="129"/>
    </row>
    <row r="223" spans="1:137" x14ac:dyDescent="0.3">
      <c r="A223" s="226">
        <f t="shared" si="12"/>
        <v>46020.152083333829</v>
      </c>
      <c r="B223" s="123">
        <v>207</v>
      </c>
      <c r="C223" s="123">
        <v>50.666999816894531</v>
      </c>
      <c r="D223" s="123">
        <v>95.680000305175781</v>
      </c>
      <c r="E223" s="123">
        <v>19.565000534057617</v>
      </c>
      <c r="F223" s="123">
        <v>3.1394610404968262</v>
      </c>
      <c r="G223" s="124">
        <v>16.511999130249023</v>
      </c>
      <c r="H223" s="125">
        <v>298</v>
      </c>
      <c r="I223" s="123">
        <v>268</v>
      </c>
      <c r="J223" s="123">
        <v>60.054000854492188</v>
      </c>
      <c r="K223" s="123">
        <v>59.910408020019531</v>
      </c>
      <c r="L223" s="123">
        <v>44.000999450683594</v>
      </c>
      <c r="M223" s="123">
        <v>11.64900016784668</v>
      </c>
      <c r="N223" s="123">
        <v>17.430999755859375</v>
      </c>
      <c r="O223" s="123">
        <v>14</v>
      </c>
      <c r="P223" s="123">
        <v>0</v>
      </c>
      <c r="Q223" s="123">
        <v>16.126537322998047</v>
      </c>
      <c r="R223" s="123">
        <v>4.9968748092651367</v>
      </c>
      <c r="S223" s="123">
        <v>5.3420023918151855</v>
      </c>
      <c r="T223" s="123">
        <v>9</v>
      </c>
      <c r="U223" s="123">
        <v>9</v>
      </c>
      <c r="V223" s="125">
        <v>854</v>
      </c>
      <c r="W223" s="123">
        <v>25.843633651733398</v>
      </c>
      <c r="X223" s="123">
        <v>24.655000686645508</v>
      </c>
      <c r="Y223" s="123">
        <v>5.3429999351501465</v>
      </c>
      <c r="Z223" s="123">
        <v>0</v>
      </c>
      <c r="AA223" s="123">
        <v>19.677999496459961</v>
      </c>
      <c r="AB223" s="123">
        <v>0</v>
      </c>
      <c r="AC223" s="123">
        <v>51.547286987304688</v>
      </c>
      <c r="AD223" s="123">
        <v>6.6160001754760742</v>
      </c>
      <c r="AE223" s="123">
        <v>0</v>
      </c>
      <c r="AF223" s="123">
        <v>79.018196105957031</v>
      </c>
      <c r="AG223" s="123">
        <v>0</v>
      </c>
      <c r="AH223" s="123">
        <v>59.44647216796875</v>
      </c>
      <c r="AI223" s="123">
        <v>15.267999649047852</v>
      </c>
      <c r="AJ223" s="123">
        <v>20.757051467895508</v>
      </c>
      <c r="AK223" s="123">
        <v>36.073265075683594</v>
      </c>
      <c r="AL223" s="123">
        <v>37.816001892089844</v>
      </c>
      <c r="AM223" s="126">
        <v>53.819999694824219</v>
      </c>
      <c r="AN223" s="125">
        <v>111</v>
      </c>
      <c r="AO223" s="127">
        <v>56</v>
      </c>
      <c r="AP223" s="123">
        <v>60.036972045898438</v>
      </c>
      <c r="AQ223" s="123">
        <v>33.821651458740234</v>
      </c>
      <c r="AR223" s="123">
        <v>94</v>
      </c>
      <c r="AS223" s="123"/>
      <c r="AT223" s="123">
        <v>108</v>
      </c>
      <c r="AU223" s="123"/>
      <c r="AV223" s="123">
        <v>58</v>
      </c>
      <c r="AW223" s="123"/>
      <c r="AX223" s="123">
        <v>29</v>
      </c>
      <c r="AY223" s="123">
        <v>32.001602172851563</v>
      </c>
      <c r="AZ223" s="123">
        <v>11</v>
      </c>
      <c r="BA223" s="123"/>
      <c r="BB223" s="123">
        <v>178</v>
      </c>
      <c r="BC223" s="123">
        <v>181.75306701660156</v>
      </c>
      <c r="BD223" s="123">
        <v>6.5999999046325684</v>
      </c>
      <c r="BE223" s="123">
        <v>6.6979990005493164</v>
      </c>
      <c r="BF223" s="123">
        <v>30</v>
      </c>
      <c r="BG223" s="123">
        <v>10</v>
      </c>
      <c r="BH223" s="123">
        <v>10.961977005004883</v>
      </c>
      <c r="BI223" s="123"/>
      <c r="BJ223" s="108">
        <f t="shared" si="10"/>
        <v>11</v>
      </c>
      <c r="BK223" s="123">
        <v>11</v>
      </c>
      <c r="BL223" s="123">
        <v>0</v>
      </c>
      <c r="BM223" s="126"/>
      <c r="BN223" s="108">
        <f t="shared" si="11"/>
        <v>121.20000076293945</v>
      </c>
      <c r="BO223" s="108">
        <v>72</v>
      </c>
      <c r="BP223" s="108">
        <v>49.200000762939453</v>
      </c>
      <c r="BQ223" s="108">
        <v>269</v>
      </c>
      <c r="BR223" s="123">
        <v>73.05999755859375</v>
      </c>
      <c r="BS223" s="123">
        <v>25.191999435424805</v>
      </c>
      <c r="BT223" s="123">
        <v>40.869998931884766</v>
      </c>
      <c r="BU223" s="123">
        <v>34.226001739501953</v>
      </c>
      <c r="BV223" s="123">
        <v>70.5</v>
      </c>
      <c r="BW223" s="123">
        <v>5.8000001907348633</v>
      </c>
      <c r="BX223" s="123">
        <v>13.800000190734863</v>
      </c>
      <c r="BY223" s="123">
        <v>29</v>
      </c>
      <c r="BZ223" s="123">
        <v>1.5597970224916935E-2</v>
      </c>
      <c r="CA223" s="123">
        <v>1</v>
      </c>
      <c r="CB223" s="123">
        <v>29.151575088500977</v>
      </c>
      <c r="CC223" s="126"/>
      <c r="CD223" s="123">
        <v>334.97042846679688</v>
      </c>
      <c r="CE223" s="123">
        <v>32.583408355712891</v>
      </c>
      <c r="CF223" s="123">
        <v>18.144582748413086</v>
      </c>
      <c r="CG223" s="123">
        <v>35.338191986083984</v>
      </c>
      <c r="CH223" s="123">
        <v>272.96975708007813</v>
      </c>
      <c r="CI223" s="123">
        <v>81.424102783203125</v>
      </c>
      <c r="CJ223" s="123">
        <v>36.177150726318359</v>
      </c>
      <c r="CK223" s="123">
        <v>48.871303558349609</v>
      </c>
      <c r="CL223" s="124">
        <v>26.15147590637207</v>
      </c>
      <c r="CM223" s="125">
        <v>198.27052307128906</v>
      </c>
      <c r="CN223" s="123">
        <v>56.446056365966797</v>
      </c>
      <c r="CO223" s="123">
        <v>59.697444915771484</v>
      </c>
      <c r="CP223" s="123">
        <v>77.877227783203125</v>
      </c>
      <c r="CQ223" s="123">
        <v>0</v>
      </c>
      <c r="CR223" s="123">
        <v>50.115650177001953</v>
      </c>
      <c r="CS223" s="123">
        <v>7.3474698066711426</v>
      </c>
      <c r="CT223" s="123">
        <v>33.481220245361328</v>
      </c>
      <c r="CU223" s="123">
        <v>44.701557159423828</v>
      </c>
      <c r="CV223" s="124">
        <v>65.984886169433594</v>
      </c>
      <c r="CW223" s="125">
        <v>6</v>
      </c>
      <c r="CX223" s="123">
        <v>299</v>
      </c>
      <c r="CY223" s="123">
        <v>110.49658966064453</v>
      </c>
      <c r="CZ223" s="123">
        <v>46.791088104248047</v>
      </c>
      <c r="DA223" s="123">
        <v>19.536623001098633</v>
      </c>
      <c r="DB223" s="123">
        <v>33.669849395751953</v>
      </c>
      <c r="DC223" s="123">
        <v>72.977882385253906</v>
      </c>
      <c r="DD223" s="123">
        <v>51</v>
      </c>
      <c r="DE223" s="123">
        <v>171</v>
      </c>
      <c r="DF223" s="123">
        <v>101.25785064697266</v>
      </c>
      <c r="DG223" s="123">
        <v>62.829158782958984</v>
      </c>
      <c r="DH223" s="123">
        <v>43.264804840087891</v>
      </c>
      <c r="DI223" s="128">
        <v>37.002483367919922</v>
      </c>
      <c r="DJ223" s="127">
        <v>198</v>
      </c>
      <c r="DK223" s="123">
        <v>101.53299713134766</v>
      </c>
      <c r="DL223" s="123">
        <v>24.201999664306641</v>
      </c>
      <c r="DM223" s="123">
        <v>26.860000610351563</v>
      </c>
      <c r="DN223" s="123">
        <v>47.181999206542969</v>
      </c>
      <c r="DO223" s="124">
        <v>109.91667938232422</v>
      </c>
      <c r="DP223" s="125">
        <v>15.409000396728516</v>
      </c>
      <c r="DQ223" s="123"/>
      <c r="DR223" s="125">
        <v>0</v>
      </c>
      <c r="DS223" s="128">
        <v>28.299999237060547</v>
      </c>
      <c r="DT223" s="127">
        <v>13</v>
      </c>
      <c r="DU223" s="123"/>
      <c r="DV223" s="123">
        <v>9</v>
      </c>
      <c r="DW223" s="123">
        <v>2.6744825839996338</v>
      </c>
      <c r="DX223" s="125">
        <v>11</v>
      </c>
      <c r="DY223" s="128"/>
      <c r="DZ223" s="127">
        <v>46</v>
      </c>
      <c r="EA223" s="123">
        <v>3</v>
      </c>
      <c r="EB223" s="123">
        <v>0</v>
      </c>
      <c r="EC223" s="123">
        <v>1</v>
      </c>
      <c r="ED223" s="123">
        <v>235.89999389648438</v>
      </c>
      <c r="EE223" s="129"/>
      <c r="EF223" s="129"/>
      <c r="EG223" s="129"/>
    </row>
    <row r="224" spans="1:137" x14ac:dyDescent="0.3">
      <c r="A224" s="226">
        <f t="shared" si="12"/>
        <v>46020.152777778276</v>
      </c>
      <c r="B224" s="123">
        <v>207</v>
      </c>
      <c r="C224" s="123">
        <v>49.875</v>
      </c>
      <c r="D224" s="123">
        <v>96.018997192382813</v>
      </c>
      <c r="E224" s="123">
        <v>19.22599983215332</v>
      </c>
      <c r="F224" s="123">
        <v>6.4109644889831543</v>
      </c>
      <c r="G224" s="124">
        <v>15.607000350952148</v>
      </c>
      <c r="H224" s="125">
        <v>302</v>
      </c>
      <c r="I224" s="123">
        <v>268</v>
      </c>
      <c r="J224" s="123">
        <v>60.393001556396484</v>
      </c>
      <c r="K224" s="123">
        <v>61.56475830078125</v>
      </c>
      <c r="L224" s="123">
        <v>42.410999298095703</v>
      </c>
      <c r="M224" s="123">
        <v>11.64900016784668</v>
      </c>
      <c r="N224" s="123">
        <v>17.558000564575195</v>
      </c>
      <c r="O224" s="123">
        <v>16</v>
      </c>
      <c r="P224" s="123">
        <v>0</v>
      </c>
      <c r="Q224" s="123">
        <v>16.126537322998047</v>
      </c>
      <c r="R224" s="123">
        <v>4.9968748092651367</v>
      </c>
      <c r="S224" s="123">
        <v>4.3973331451416016</v>
      </c>
      <c r="T224" s="123">
        <v>9</v>
      </c>
      <c r="U224" s="123">
        <v>9</v>
      </c>
      <c r="V224" s="125">
        <v>845</v>
      </c>
      <c r="W224" s="123">
        <v>25.584283828735352</v>
      </c>
      <c r="X224" s="123">
        <v>25.107000350952148</v>
      </c>
      <c r="Y224" s="123">
        <v>5.9800000190734863</v>
      </c>
      <c r="Z224" s="123">
        <v>0</v>
      </c>
      <c r="AA224" s="123">
        <v>19.791999816894531</v>
      </c>
      <c r="AB224" s="123">
        <v>0</v>
      </c>
      <c r="AC224" s="123">
        <v>52.676753997802734</v>
      </c>
      <c r="AD224" s="123">
        <v>6.3610000610351563</v>
      </c>
      <c r="AE224" s="123">
        <v>0</v>
      </c>
      <c r="AF224" s="123">
        <v>79.484710693359375</v>
      </c>
      <c r="AG224" s="123">
        <v>0</v>
      </c>
      <c r="AH224" s="123">
        <v>59.44647216796875</v>
      </c>
      <c r="AI224" s="123">
        <v>13.041000366210938</v>
      </c>
      <c r="AJ224" s="123">
        <v>17.729280471801758</v>
      </c>
      <c r="AK224" s="123">
        <v>36.990795135498047</v>
      </c>
      <c r="AL224" s="123">
        <v>34.282001495361328</v>
      </c>
      <c r="AM224" s="126">
        <v>54.328998565673828</v>
      </c>
      <c r="AN224" s="125">
        <v>110.4375</v>
      </c>
      <c r="AO224" s="127">
        <v>56</v>
      </c>
      <c r="AP224" s="123">
        <v>60.043529510498047</v>
      </c>
      <c r="AQ224" s="123">
        <v>34.714378356933594</v>
      </c>
      <c r="AR224" s="123">
        <v>96</v>
      </c>
      <c r="AS224" s="123"/>
      <c r="AT224" s="123">
        <v>108</v>
      </c>
      <c r="AU224" s="123"/>
      <c r="AV224" s="123">
        <v>59</v>
      </c>
      <c r="AW224" s="123"/>
      <c r="AX224" s="123">
        <v>29</v>
      </c>
      <c r="AY224" s="123">
        <v>32.030479431152344</v>
      </c>
      <c r="AZ224" s="123">
        <v>11</v>
      </c>
      <c r="BA224" s="123"/>
      <c r="BB224" s="123">
        <v>178</v>
      </c>
      <c r="BC224" s="123">
        <v>179.54074096679688</v>
      </c>
      <c r="BD224" s="123">
        <v>6.6999998092651367</v>
      </c>
      <c r="BE224" s="123">
        <v>6.696988582611084</v>
      </c>
      <c r="BF224" s="123">
        <v>30</v>
      </c>
      <c r="BG224" s="123">
        <v>10</v>
      </c>
      <c r="BH224" s="123">
        <v>11.037242889404297</v>
      </c>
      <c r="BI224" s="123"/>
      <c r="BJ224" s="108">
        <f t="shared" si="10"/>
        <v>11</v>
      </c>
      <c r="BK224" s="123">
        <v>11</v>
      </c>
      <c r="BL224" s="123">
        <v>0</v>
      </c>
      <c r="BM224" s="126"/>
      <c r="BN224" s="108">
        <f t="shared" si="11"/>
        <v>121</v>
      </c>
      <c r="BO224" s="108">
        <v>73</v>
      </c>
      <c r="BP224" s="108">
        <v>48</v>
      </c>
      <c r="BQ224" s="108">
        <v>263</v>
      </c>
      <c r="BR224" s="123">
        <v>66.726997375488281</v>
      </c>
      <c r="BS224" s="123">
        <v>25.954999923706055</v>
      </c>
      <c r="BT224" s="123">
        <v>40.523998260498047</v>
      </c>
      <c r="BU224" s="123">
        <v>34.161998748779297</v>
      </c>
      <c r="BV224" s="123">
        <v>68.5</v>
      </c>
      <c r="BW224" s="123">
        <v>5.6999998092651367</v>
      </c>
      <c r="BX224" s="123">
        <v>13.5</v>
      </c>
      <c r="BY224" s="123">
        <v>29</v>
      </c>
      <c r="BZ224" s="123">
        <v>1.4365979470312595E-2</v>
      </c>
      <c r="CA224" s="123">
        <v>1</v>
      </c>
      <c r="CB224" s="123">
        <v>29.299253463745117</v>
      </c>
      <c r="CC224" s="126"/>
      <c r="CD224" s="123">
        <v>340.0626220703125</v>
      </c>
      <c r="CE224" s="123">
        <v>35.392936706542969</v>
      </c>
      <c r="CF224" s="123">
        <v>18.57398796081543</v>
      </c>
      <c r="CG224" s="123">
        <v>35.338191986083984</v>
      </c>
      <c r="CH224" s="123">
        <v>273.0181884765625</v>
      </c>
      <c r="CI224" s="123">
        <v>77.805107116699219</v>
      </c>
      <c r="CJ224" s="123">
        <v>32.567173004150391</v>
      </c>
      <c r="CK224" s="123">
        <v>49.711734771728516</v>
      </c>
      <c r="CL224" s="124">
        <v>25.252826690673828</v>
      </c>
      <c r="CM224" s="125">
        <v>195.15425109863281</v>
      </c>
      <c r="CN224" s="123">
        <v>56.969642639160156</v>
      </c>
      <c r="CO224" s="123">
        <v>58.058250427246094</v>
      </c>
      <c r="CP224" s="123">
        <v>78.241615295410156</v>
      </c>
      <c r="CQ224" s="123">
        <v>0</v>
      </c>
      <c r="CR224" s="123">
        <v>48.656341552734375</v>
      </c>
      <c r="CS224" s="123">
        <v>8.4441375732421875</v>
      </c>
      <c r="CT224" s="123">
        <v>34.564212799072266</v>
      </c>
      <c r="CU224" s="123">
        <v>43.915451049804688</v>
      </c>
      <c r="CV224" s="124">
        <v>66.161209106445313</v>
      </c>
      <c r="CW224" s="125">
        <v>0</v>
      </c>
      <c r="CX224" s="123">
        <v>293</v>
      </c>
      <c r="CY224" s="123">
        <v>113.02946472167969</v>
      </c>
      <c r="CZ224" s="123">
        <v>45.622104644775391</v>
      </c>
      <c r="DA224" s="123">
        <v>19.992380142211914</v>
      </c>
      <c r="DB224" s="123">
        <v>33.052745819091797</v>
      </c>
      <c r="DC224" s="123">
        <v>72.520492553710938</v>
      </c>
      <c r="DD224" s="123">
        <v>50</v>
      </c>
      <c r="DE224" s="123">
        <v>172</v>
      </c>
      <c r="DF224" s="123">
        <v>100.14930725097656</v>
      </c>
      <c r="DG224" s="123">
        <v>62.827499389648438</v>
      </c>
      <c r="DH224" s="123">
        <v>43.546279907226563</v>
      </c>
      <c r="DI224" s="128">
        <v>36.419517517089844</v>
      </c>
      <c r="DJ224" s="127">
        <v>205</v>
      </c>
      <c r="DK224" s="123">
        <v>102.29599761962891</v>
      </c>
      <c r="DL224" s="123">
        <v>24.201999664306641</v>
      </c>
      <c r="DM224" s="123">
        <v>26.329999923706055</v>
      </c>
      <c r="DN224" s="123">
        <v>48.243000030517578</v>
      </c>
      <c r="DO224" s="124">
        <v>111.63156127929688</v>
      </c>
      <c r="DP224" s="125">
        <v>15.494000434875488</v>
      </c>
      <c r="DQ224" s="123"/>
      <c r="DR224" s="125">
        <v>0</v>
      </c>
      <c r="DS224" s="128">
        <v>28.299999237060547</v>
      </c>
      <c r="DT224" s="127">
        <v>13</v>
      </c>
      <c r="DU224" s="123"/>
      <c r="DV224" s="123">
        <v>8</v>
      </c>
      <c r="DW224" s="123">
        <v>4.0493278503417969</v>
      </c>
      <c r="DX224" s="125">
        <v>10</v>
      </c>
      <c r="DY224" s="128"/>
      <c r="DZ224" s="127">
        <v>46</v>
      </c>
      <c r="EA224" s="123">
        <v>3</v>
      </c>
      <c r="EB224" s="123">
        <v>0</v>
      </c>
      <c r="EC224" s="123">
        <v>1</v>
      </c>
      <c r="ED224" s="123">
        <v>231.60000610351563</v>
      </c>
      <c r="EE224" s="129"/>
      <c r="EF224" s="129"/>
      <c r="EG224" s="129"/>
    </row>
    <row r="225" spans="1:137" x14ac:dyDescent="0.3">
      <c r="A225" s="226">
        <f t="shared" si="12"/>
        <v>46020.153472222722</v>
      </c>
      <c r="B225" s="123">
        <v>210</v>
      </c>
      <c r="C225" s="123">
        <v>48.179000854492188</v>
      </c>
      <c r="D225" s="123">
        <v>95.454002380371094</v>
      </c>
      <c r="E225" s="123">
        <v>20.469999313354492</v>
      </c>
      <c r="F225" s="123">
        <v>0</v>
      </c>
      <c r="G225" s="124">
        <v>16.85099983215332</v>
      </c>
      <c r="H225" s="125">
        <v>301</v>
      </c>
      <c r="I225" s="123">
        <v>269</v>
      </c>
      <c r="J225" s="123">
        <v>60.619998931884766</v>
      </c>
      <c r="K225" s="123">
        <v>60.073905944824219</v>
      </c>
      <c r="L225" s="123">
        <v>40.820999145507813</v>
      </c>
      <c r="M225" s="123">
        <v>11.534999847412109</v>
      </c>
      <c r="N225" s="123">
        <v>16.922000885009766</v>
      </c>
      <c r="O225" s="123">
        <v>16</v>
      </c>
      <c r="P225" s="123">
        <v>0</v>
      </c>
      <c r="Q225" s="123">
        <v>16.594003677368164</v>
      </c>
      <c r="R225" s="123">
        <v>4.9968748092651367</v>
      </c>
      <c r="S225" s="123">
        <v>4.3973331451416016</v>
      </c>
      <c r="T225" s="123">
        <v>9</v>
      </c>
      <c r="U225" s="123">
        <v>9</v>
      </c>
      <c r="V225" s="125">
        <v>846</v>
      </c>
      <c r="W225" s="123">
        <v>26.325963973999023</v>
      </c>
      <c r="X225" s="123">
        <v>23.636999130249023</v>
      </c>
      <c r="Y225" s="123">
        <v>5.5980000495910645</v>
      </c>
      <c r="Z225" s="123">
        <v>0</v>
      </c>
      <c r="AA225" s="123">
        <v>20.583000183105469</v>
      </c>
      <c r="AB225" s="123">
        <v>0</v>
      </c>
      <c r="AC225" s="123">
        <v>52.20806884765625</v>
      </c>
      <c r="AD225" s="123">
        <v>6.1069998741149902</v>
      </c>
      <c r="AE225" s="123">
        <v>0</v>
      </c>
      <c r="AF225" s="123">
        <v>79.438217163085938</v>
      </c>
      <c r="AG225" s="123">
        <v>0</v>
      </c>
      <c r="AH225" s="123">
        <v>61.511260986328125</v>
      </c>
      <c r="AI225" s="123">
        <v>10.814000129699707</v>
      </c>
      <c r="AJ225" s="123">
        <v>16.467353820800781</v>
      </c>
      <c r="AK225" s="123">
        <v>35.381938934326172</v>
      </c>
      <c r="AL225" s="123">
        <v>39.229999542236328</v>
      </c>
      <c r="AM225" s="126">
        <v>54.9010009765625</v>
      </c>
      <c r="AN225" s="125">
        <v>111.375</v>
      </c>
      <c r="AO225" s="127">
        <v>56</v>
      </c>
      <c r="AP225" s="123">
        <v>59.756923675537109</v>
      </c>
      <c r="AQ225" s="123">
        <v>34.768852233886719</v>
      </c>
      <c r="AR225" s="123">
        <v>97</v>
      </c>
      <c r="AS225" s="123"/>
      <c r="AT225" s="123">
        <v>108</v>
      </c>
      <c r="AU225" s="123"/>
      <c r="AV225" s="123">
        <v>58</v>
      </c>
      <c r="AW225" s="123"/>
      <c r="AX225" s="123">
        <v>29</v>
      </c>
      <c r="AY225" s="123">
        <v>31.996170043945313</v>
      </c>
      <c r="AZ225" s="123">
        <v>11</v>
      </c>
      <c r="BA225" s="123"/>
      <c r="BB225" s="123">
        <v>179</v>
      </c>
      <c r="BC225" s="123">
        <v>178.41162109375</v>
      </c>
      <c r="BD225" s="123">
        <v>6.8000001907348633</v>
      </c>
      <c r="BE225" s="123">
        <v>6.8271136283874512</v>
      </c>
      <c r="BF225" s="123">
        <v>30</v>
      </c>
      <c r="BG225" s="123">
        <v>10</v>
      </c>
      <c r="BH225" s="123">
        <v>10.934337615966797</v>
      </c>
      <c r="BI225" s="123"/>
      <c r="BJ225" s="108">
        <f t="shared" si="10"/>
        <v>11</v>
      </c>
      <c r="BK225" s="123">
        <v>11</v>
      </c>
      <c r="BL225" s="123">
        <v>0</v>
      </c>
      <c r="BM225" s="126"/>
      <c r="BN225" s="108">
        <f t="shared" si="11"/>
        <v>121</v>
      </c>
      <c r="BO225" s="108">
        <v>73</v>
      </c>
      <c r="BP225" s="108">
        <v>48</v>
      </c>
      <c r="BQ225" s="108">
        <v>265</v>
      </c>
      <c r="BR225" s="123">
        <v>66.839996337890625</v>
      </c>
      <c r="BS225" s="123">
        <v>23.156000137329102</v>
      </c>
      <c r="BT225" s="123">
        <v>40.176998138427734</v>
      </c>
      <c r="BU225" s="123">
        <v>34.161998748779297</v>
      </c>
      <c r="BV225" s="123">
        <v>68.199996948242188</v>
      </c>
      <c r="BW225" s="123">
        <v>5.8000001907348633</v>
      </c>
      <c r="BX225" s="123">
        <v>13.800000190734863</v>
      </c>
      <c r="BY225" s="123">
        <v>28</v>
      </c>
      <c r="BZ225" s="123">
        <v>1.3634087517857552E-2</v>
      </c>
      <c r="CA225" s="123">
        <v>1</v>
      </c>
      <c r="CB225" s="123">
        <v>29.12080192565918</v>
      </c>
      <c r="CC225" s="126"/>
      <c r="CD225" s="123">
        <v>341.9803466796875</v>
      </c>
      <c r="CE225" s="123">
        <v>34.325565338134766</v>
      </c>
      <c r="CF225" s="123">
        <v>18.596685409545898</v>
      </c>
      <c r="CG225" s="123">
        <v>35.338191986083984</v>
      </c>
      <c r="CH225" s="123">
        <v>272.65579223632813</v>
      </c>
      <c r="CI225" s="123">
        <v>79.643341064453125</v>
      </c>
      <c r="CJ225" s="123">
        <v>33.097801208496094</v>
      </c>
      <c r="CK225" s="123">
        <v>49.679065704345703</v>
      </c>
      <c r="CL225" s="124">
        <v>26.008312225341797</v>
      </c>
      <c r="CM225" s="125">
        <v>192.77522277832031</v>
      </c>
      <c r="CN225" s="123">
        <v>55.18170166015625</v>
      </c>
      <c r="CO225" s="123">
        <v>57.071903228759766</v>
      </c>
      <c r="CP225" s="123">
        <v>78.097999572753906</v>
      </c>
      <c r="CQ225" s="123">
        <v>0</v>
      </c>
      <c r="CR225" s="123">
        <v>48.375076293945313</v>
      </c>
      <c r="CS225" s="123">
        <v>8.5318164825439453</v>
      </c>
      <c r="CT225" s="123">
        <v>33.717784881591797</v>
      </c>
      <c r="CU225" s="123">
        <v>41.574665069580078</v>
      </c>
      <c r="CV225" s="124">
        <v>65.893531799316406</v>
      </c>
      <c r="CW225" s="125">
        <v>5</v>
      </c>
      <c r="CX225" s="123">
        <v>294</v>
      </c>
      <c r="CY225" s="123">
        <v>112.42852783203125</v>
      </c>
      <c r="CZ225" s="123">
        <v>47.815196990966797</v>
      </c>
      <c r="DA225" s="123">
        <v>19.170764923095703</v>
      </c>
      <c r="DB225" s="123">
        <v>33.029853820800781</v>
      </c>
      <c r="DC225" s="123">
        <v>72.603096008300781</v>
      </c>
      <c r="DD225" s="123">
        <v>47</v>
      </c>
      <c r="DE225" s="123">
        <v>167</v>
      </c>
      <c r="DF225" s="123">
        <v>99.579719543457031</v>
      </c>
      <c r="DG225" s="123">
        <v>62.878868103027344</v>
      </c>
      <c r="DH225" s="123">
        <v>43.047008514404297</v>
      </c>
      <c r="DI225" s="128">
        <v>36.310642242431641</v>
      </c>
      <c r="DJ225" s="127">
        <v>205</v>
      </c>
      <c r="DK225" s="123">
        <v>100.76899719238281</v>
      </c>
      <c r="DL225" s="123">
        <v>22.506000518798828</v>
      </c>
      <c r="DM225" s="123">
        <v>26.860000610351563</v>
      </c>
      <c r="DN225" s="123">
        <v>48.243000030517578</v>
      </c>
      <c r="DO225" s="124">
        <v>112.18760681152344</v>
      </c>
      <c r="DP225" s="125">
        <v>15.409000396728516</v>
      </c>
      <c r="DQ225" s="123"/>
      <c r="DR225" s="125">
        <v>0</v>
      </c>
      <c r="DS225" s="128">
        <v>29.899999618530273</v>
      </c>
      <c r="DT225" s="127">
        <v>13</v>
      </c>
      <c r="DU225" s="123"/>
      <c r="DV225" s="123">
        <v>8</v>
      </c>
      <c r="DW225" s="123">
        <v>4.1213173866271973</v>
      </c>
      <c r="DX225" s="125">
        <v>11</v>
      </c>
      <c r="DY225" s="128"/>
      <c r="DZ225" s="127">
        <v>47</v>
      </c>
      <c r="EA225" s="123">
        <v>3</v>
      </c>
      <c r="EB225" s="123">
        <v>0</v>
      </c>
      <c r="EC225" s="123">
        <v>1</v>
      </c>
      <c r="ED225" s="123">
        <v>230.39999389648438</v>
      </c>
      <c r="EE225" s="129"/>
      <c r="EF225" s="129"/>
      <c r="EG225" s="129"/>
    </row>
    <row r="226" spans="1:137" x14ac:dyDescent="0.3">
      <c r="A226" s="226">
        <f t="shared" si="12"/>
        <v>46020.154166667169</v>
      </c>
      <c r="B226" s="123">
        <v>209</v>
      </c>
      <c r="C226" s="123">
        <v>46.821998596191406</v>
      </c>
      <c r="D226" s="123">
        <v>96.358001708984375</v>
      </c>
      <c r="E226" s="123">
        <v>21.14900016784668</v>
      </c>
      <c r="F226" s="123">
        <v>0</v>
      </c>
      <c r="G226" s="124">
        <v>17.076999664306641</v>
      </c>
      <c r="H226" s="125">
        <v>303</v>
      </c>
      <c r="I226" s="123">
        <v>274</v>
      </c>
      <c r="J226" s="123">
        <v>60.279998779296875</v>
      </c>
      <c r="K226" s="123">
        <v>59.3851318359375</v>
      </c>
      <c r="L226" s="123">
        <v>93.305000305175781</v>
      </c>
      <c r="M226" s="123">
        <v>11.64900016784668</v>
      </c>
      <c r="N226" s="123">
        <v>17.430999755859375</v>
      </c>
      <c r="O226" s="123">
        <v>17</v>
      </c>
      <c r="P226" s="123">
        <v>0</v>
      </c>
      <c r="Q226" s="123">
        <v>17.525873184204102</v>
      </c>
      <c r="R226" s="123">
        <v>0</v>
      </c>
      <c r="S226" s="123">
        <v>3.8103854656219482</v>
      </c>
      <c r="T226" s="123">
        <v>9</v>
      </c>
      <c r="U226" s="123">
        <v>9</v>
      </c>
      <c r="V226" s="125">
        <v>844</v>
      </c>
      <c r="W226" s="123">
        <v>25.416549682617188</v>
      </c>
      <c r="X226" s="123">
        <v>25.445999145507813</v>
      </c>
      <c r="Y226" s="123">
        <v>7.315000057220459</v>
      </c>
      <c r="Z226" s="123">
        <v>0</v>
      </c>
      <c r="AA226" s="123">
        <v>20.017999649047852</v>
      </c>
      <c r="AB226" s="123">
        <v>0</v>
      </c>
      <c r="AC226" s="123">
        <v>51.551361083984375</v>
      </c>
      <c r="AD226" s="123">
        <v>6.1069998741149902</v>
      </c>
      <c r="AE226" s="123">
        <v>0</v>
      </c>
      <c r="AF226" s="123">
        <v>79.113578796386719</v>
      </c>
      <c r="AG226" s="123">
        <v>0</v>
      </c>
      <c r="AH226" s="123">
        <v>60.505702972412109</v>
      </c>
      <c r="AI226" s="123">
        <v>13.61400032043457</v>
      </c>
      <c r="AJ226" s="123">
        <v>15.908780097961426</v>
      </c>
      <c r="AK226" s="123">
        <v>35.348987579345703</v>
      </c>
      <c r="AL226" s="123">
        <v>38.876998901367188</v>
      </c>
      <c r="AM226" s="126">
        <v>55.347000122070313</v>
      </c>
      <c r="AN226" s="125">
        <v>111.375</v>
      </c>
      <c r="AO226" s="127">
        <v>58</v>
      </c>
      <c r="AP226" s="123">
        <v>61.643486022949219</v>
      </c>
      <c r="AQ226" s="123">
        <v>35.108707427978516</v>
      </c>
      <c r="AR226" s="123">
        <v>97</v>
      </c>
      <c r="AS226" s="123"/>
      <c r="AT226" s="123">
        <v>108</v>
      </c>
      <c r="AU226" s="123"/>
      <c r="AV226" s="123">
        <v>49</v>
      </c>
      <c r="AW226" s="123"/>
      <c r="AX226" s="123">
        <v>29</v>
      </c>
      <c r="AY226" s="123">
        <v>32.052265167236328</v>
      </c>
      <c r="AZ226" s="123">
        <v>12</v>
      </c>
      <c r="BA226" s="123"/>
      <c r="BB226" s="123">
        <v>178</v>
      </c>
      <c r="BC226" s="123">
        <v>178.40557861328125</v>
      </c>
      <c r="BD226" s="123">
        <v>6.6999998092651367</v>
      </c>
      <c r="BE226" s="123">
        <v>6.7109379768371582</v>
      </c>
      <c r="BF226" s="123">
        <v>29</v>
      </c>
      <c r="BG226" s="123">
        <v>10</v>
      </c>
      <c r="BH226" s="123">
        <v>10.934337615966797</v>
      </c>
      <c r="BI226" s="123"/>
      <c r="BJ226" s="108">
        <f t="shared" si="10"/>
        <v>10</v>
      </c>
      <c r="BK226" s="123">
        <v>10</v>
      </c>
      <c r="BL226" s="123">
        <v>0</v>
      </c>
      <c r="BM226" s="126"/>
      <c r="BN226" s="108">
        <f t="shared" si="11"/>
        <v>120</v>
      </c>
      <c r="BO226" s="108">
        <v>72</v>
      </c>
      <c r="BP226" s="108">
        <v>48</v>
      </c>
      <c r="BQ226" s="108">
        <v>265</v>
      </c>
      <c r="BR226" s="123">
        <v>65.143997192382813</v>
      </c>
      <c r="BS226" s="123">
        <v>25.191999435424805</v>
      </c>
      <c r="BT226" s="123">
        <v>41.215999603271484</v>
      </c>
      <c r="BU226" s="123">
        <v>34.671001434326172</v>
      </c>
      <c r="BV226" s="123">
        <v>68.800003051757813</v>
      </c>
      <c r="BW226" s="123">
        <v>5.9000000953674316</v>
      </c>
      <c r="BX226" s="123">
        <v>13.800000190734863</v>
      </c>
      <c r="BY226" s="123">
        <v>29</v>
      </c>
      <c r="BZ226" s="123">
        <v>1.4814968220889568E-2</v>
      </c>
      <c r="CA226" s="123">
        <v>1</v>
      </c>
      <c r="CB226" s="123">
        <v>29.12080192565918</v>
      </c>
      <c r="CC226" s="126"/>
      <c r="CD226" s="123">
        <v>341.81491088867188</v>
      </c>
      <c r="CE226" s="123">
        <v>35.192173004150391</v>
      </c>
      <c r="CF226" s="123">
        <v>18.514141082763672</v>
      </c>
      <c r="CG226" s="123">
        <v>35.338191986083984</v>
      </c>
      <c r="CH226" s="123">
        <v>271.98114013671875</v>
      </c>
      <c r="CI226" s="123">
        <v>79.502372741699219</v>
      </c>
      <c r="CJ226" s="123">
        <v>34.289928436279297</v>
      </c>
      <c r="CK226" s="123">
        <v>49.26788330078125</v>
      </c>
      <c r="CL226" s="124">
        <v>26.905866622924805</v>
      </c>
      <c r="CM226" s="125">
        <v>192.91508483886719</v>
      </c>
      <c r="CN226" s="123">
        <v>56.161155700683594</v>
      </c>
      <c r="CO226" s="123">
        <v>58.126327514648438</v>
      </c>
      <c r="CP226" s="123">
        <v>74.642112731933594</v>
      </c>
      <c r="CQ226" s="123">
        <v>0</v>
      </c>
      <c r="CR226" s="123">
        <v>47.841827392578125</v>
      </c>
      <c r="CS226" s="123">
        <v>7.4755330085754395</v>
      </c>
      <c r="CT226" s="123">
        <v>32.522758483886719</v>
      </c>
      <c r="CU226" s="123">
        <v>39.783588409423828</v>
      </c>
      <c r="CV226" s="124">
        <v>63.860366821289063</v>
      </c>
      <c r="CW226" s="125">
        <v>9</v>
      </c>
      <c r="CX226" s="123">
        <v>305</v>
      </c>
      <c r="CY226" s="123">
        <v>113.33070373535156</v>
      </c>
      <c r="CZ226" s="123">
        <v>48.299324035644531</v>
      </c>
      <c r="DA226" s="123">
        <v>19.938665390014648</v>
      </c>
      <c r="DB226" s="123">
        <v>33.749977111816406</v>
      </c>
      <c r="DC226" s="123">
        <v>74.144752502441406</v>
      </c>
      <c r="DD226" s="123">
        <v>44</v>
      </c>
      <c r="DE226" s="123">
        <v>171</v>
      </c>
      <c r="DF226" s="123">
        <v>99.073326110839844</v>
      </c>
      <c r="DG226" s="123">
        <v>63.855560302734375</v>
      </c>
      <c r="DH226" s="123">
        <v>43.672286987304688</v>
      </c>
      <c r="DI226" s="128">
        <v>36.607494354248047</v>
      </c>
      <c r="DJ226" s="127">
        <v>206</v>
      </c>
      <c r="DK226" s="123">
        <v>100.76899719238281</v>
      </c>
      <c r="DL226" s="123">
        <v>23.298000335693359</v>
      </c>
      <c r="DM226" s="123">
        <v>22.266000747680664</v>
      </c>
      <c r="DN226" s="123">
        <v>49.655998229980469</v>
      </c>
      <c r="DO226" s="124">
        <v>113.25599670410156</v>
      </c>
      <c r="DP226" s="125">
        <v>15.437000274658203</v>
      </c>
      <c r="DQ226" s="123"/>
      <c r="DR226" s="125">
        <v>0</v>
      </c>
      <c r="DS226" s="128">
        <v>29.5</v>
      </c>
      <c r="DT226" s="127">
        <v>13</v>
      </c>
      <c r="DU226" s="123"/>
      <c r="DV226" s="123">
        <v>9</v>
      </c>
      <c r="DW226" s="123">
        <v>4.0586562156677246</v>
      </c>
      <c r="DX226" s="125">
        <v>10</v>
      </c>
      <c r="DY226" s="128"/>
      <c r="DZ226" s="127">
        <v>45</v>
      </c>
      <c r="EA226" s="123">
        <v>3</v>
      </c>
      <c r="EB226" s="123">
        <v>0</v>
      </c>
      <c r="EC226" s="123">
        <v>2</v>
      </c>
      <c r="ED226" s="123">
        <v>231.89999389648438</v>
      </c>
      <c r="EE226" s="129"/>
      <c r="EF226" s="129"/>
      <c r="EG226" s="129"/>
    </row>
    <row r="227" spans="1:137" x14ac:dyDescent="0.3">
      <c r="A227" s="226">
        <f t="shared" si="12"/>
        <v>46020.154861111616</v>
      </c>
      <c r="B227" s="123">
        <v>209</v>
      </c>
      <c r="C227" s="123">
        <v>45.804000854492188</v>
      </c>
      <c r="D227" s="123">
        <v>95.34100341796875</v>
      </c>
      <c r="E227" s="123">
        <v>18.547000885009766</v>
      </c>
      <c r="F227" s="123">
        <v>2.7475428581237793</v>
      </c>
      <c r="G227" s="124">
        <v>16.85099983215332</v>
      </c>
      <c r="H227" s="125">
        <v>349</v>
      </c>
      <c r="I227" s="123">
        <v>310</v>
      </c>
      <c r="J227" s="123">
        <v>60.506999969482422</v>
      </c>
      <c r="K227" s="123">
        <v>59.510890960693359</v>
      </c>
      <c r="L227" s="123">
        <v>96.486000061035156</v>
      </c>
      <c r="M227" s="123">
        <v>12.21399974822998</v>
      </c>
      <c r="N227" s="123">
        <v>17.113000869750977</v>
      </c>
      <c r="O227" s="123">
        <v>18</v>
      </c>
      <c r="P227" s="123">
        <v>0</v>
      </c>
      <c r="Q227" s="123">
        <v>17.90361213684082</v>
      </c>
      <c r="R227" s="123">
        <v>7.9968748092651367</v>
      </c>
      <c r="S227" s="123">
        <v>3.6402378082275391</v>
      </c>
      <c r="T227" s="123">
        <v>9</v>
      </c>
      <c r="U227" s="123">
        <v>9</v>
      </c>
      <c r="V227" s="125">
        <v>844</v>
      </c>
      <c r="W227" s="123">
        <v>26.241466522216797</v>
      </c>
      <c r="X227" s="123">
        <v>24.655000686645508</v>
      </c>
      <c r="Y227" s="123">
        <v>7.125</v>
      </c>
      <c r="Z227" s="123">
        <v>0</v>
      </c>
      <c r="AA227" s="123">
        <v>18.77400016784668</v>
      </c>
      <c r="AB227" s="123">
        <v>0</v>
      </c>
      <c r="AC227" s="123">
        <v>51.562484741210938</v>
      </c>
      <c r="AD227" s="123">
        <v>6.6160001754760742</v>
      </c>
      <c r="AE227" s="123">
        <v>0</v>
      </c>
      <c r="AF227" s="123">
        <v>79.111366271972656</v>
      </c>
      <c r="AG227" s="123">
        <v>0</v>
      </c>
      <c r="AH227" s="123">
        <v>58.473934173583984</v>
      </c>
      <c r="AI227" s="123">
        <v>12.277999877929688</v>
      </c>
      <c r="AJ227" s="123">
        <v>15.861074447631836</v>
      </c>
      <c r="AK227" s="123">
        <v>36.288490295410156</v>
      </c>
      <c r="AL227" s="123">
        <v>38.522998809814453</v>
      </c>
      <c r="AM227" s="126">
        <v>55.347000122070313</v>
      </c>
      <c r="AN227" s="125">
        <v>112.1875</v>
      </c>
      <c r="AO227" s="127">
        <v>57</v>
      </c>
      <c r="AP227" s="123">
        <v>60.665172576904297</v>
      </c>
      <c r="AQ227" s="123">
        <v>34.839454650878906</v>
      </c>
      <c r="AR227" s="123">
        <v>96</v>
      </c>
      <c r="AS227" s="123"/>
      <c r="AT227" s="123">
        <v>108</v>
      </c>
      <c r="AU227" s="123"/>
      <c r="AV227" s="123">
        <v>50</v>
      </c>
      <c r="AW227" s="123"/>
      <c r="AX227" s="123">
        <v>30</v>
      </c>
      <c r="AY227" s="123">
        <v>32.123115539550781</v>
      </c>
      <c r="AZ227" s="123">
        <v>11</v>
      </c>
      <c r="BA227" s="123"/>
      <c r="BB227" s="123">
        <v>179</v>
      </c>
      <c r="BC227" s="123">
        <v>175.25489807128906</v>
      </c>
      <c r="BD227" s="123">
        <v>6.6999998092651367</v>
      </c>
      <c r="BE227" s="123">
        <v>6.7019448280334473</v>
      </c>
      <c r="BF227" s="123">
        <v>30</v>
      </c>
      <c r="BG227" s="123">
        <v>10</v>
      </c>
      <c r="BH227" s="123">
        <v>11.036877632141113</v>
      </c>
      <c r="BI227" s="123"/>
      <c r="BJ227" s="108">
        <f t="shared" si="10"/>
        <v>10</v>
      </c>
      <c r="BK227" s="123">
        <v>10</v>
      </c>
      <c r="BL227" s="123">
        <v>0</v>
      </c>
      <c r="BM227" s="126"/>
      <c r="BN227" s="108">
        <f t="shared" si="11"/>
        <v>120</v>
      </c>
      <c r="BO227" s="108">
        <v>72</v>
      </c>
      <c r="BP227" s="108">
        <v>48</v>
      </c>
      <c r="BQ227" s="108">
        <v>265</v>
      </c>
      <c r="BR227" s="123">
        <v>65.821998596191406</v>
      </c>
      <c r="BS227" s="123">
        <v>24.937000274658203</v>
      </c>
      <c r="BT227" s="123">
        <v>40.869998931884766</v>
      </c>
      <c r="BU227" s="123">
        <v>34.543998718261719</v>
      </c>
      <c r="BV227" s="123">
        <v>68.699996948242188</v>
      </c>
      <c r="BW227" s="123">
        <v>5.8000001907348633</v>
      </c>
      <c r="BX227" s="123">
        <v>13.800000190734863</v>
      </c>
      <c r="BY227" s="123">
        <v>28</v>
      </c>
      <c r="BZ227" s="123">
        <v>1.443949993699789E-2</v>
      </c>
      <c r="CA227" s="123">
        <v>1</v>
      </c>
      <c r="CB227" s="123">
        <v>29.347644805908203</v>
      </c>
      <c r="CC227" s="126"/>
      <c r="CD227" s="123">
        <v>348.9598388671875</v>
      </c>
      <c r="CE227" s="123">
        <v>35.641941070556641</v>
      </c>
      <c r="CF227" s="123">
        <v>19.131217956542969</v>
      </c>
      <c r="CG227" s="123">
        <v>35.338191986083984</v>
      </c>
      <c r="CH227" s="123">
        <v>272.04843139648438</v>
      </c>
      <c r="CI227" s="123">
        <v>80.926498413085938</v>
      </c>
      <c r="CJ227" s="123">
        <v>33.493282318115234</v>
      </c>
      <c r="CK227" s="123">
        <v>50.000823974609375</v>
      </c>
      <c r="CL227" s="124">
        <v>26.534383773803711</v>
      </c>
      <c r="CM227" s="125">
        <v>190.37367248535156</v>
      </c>
      <c r="CN227" s="123">
        <v>51.711311340332031</v>
      </c>
      <c r="CO227" s="123">
        <v>60.368740081787109</v>
      </c>
      <c r="CP227" s="123">
        <v>74.587181091308594</v>
      </c>
      <c r="CQ227" s="123">
        <v>0</v>
      </c>
      <c r="CR227" s="123">
        <v>47.9554443359375</v>
      </c>
      <c r="CS227" s="123">
        <v>7.8612446784973145</v>
      </c>
      <c r="CT227" s="123">
        <v>33.067977905273438</v>
      </c>
      <c r="CU227" s="123">
        <v>36.231800079345703</v>
      </c>
      <c r="CV227" s="124">
        <v>63.795402526855469</v>
      </c>
      <c r="CW227" s="125">
        <v>0</v>
      </c>
      <c r="CX227" s="123">
        <v>298</v>
      </c>
      <c r="CY227" s="123">
        <v>110.76438140869141</v>
      </c>
      <c r="CZ227" s="123">
        <v>48.458759307861328</v>
      </c>
      <c r="DA227" s="123">
        <v>18.999847412109375</v>
      </c>
      <c r="DB227" s="123">
        <v>33.091354370117188</v>
      </c>
      <c r="DC227" s="123">
        <v>72.400161743164063</v>
      </c>
      <c r="DD227" s="123">
        <v>47</v>
      </c>
      <c r="DE227" s="123">
        <v>171</v>
      </c>
      <c r="DF227" s="123">
        <v>100.28083038330078</v>
      </c>
      <c r="DG227" s="123">
        <v>63.308628082275391</v>
      </c>
      <c r="DH227" s="123">
        <v>45.049770355224609</v>
      </c>
      <c r="DI227" s="128">
        <v>37.040298461914063</v>
      </c>
      <c r="DJ227" s="127">
        <v>202</v>
      </c>
      <c r="DK227" s="123">
        <v>100.26000213623047</v>
      </c>
      <c r="DL227" s="123">
        <v>22.958000183105469</v>
      </c>
      <c r="DM227" s="123">
        <v>24.38599967956543</v>
      </c>
      <c r="DN227" s="123">
        <v>46.298999786376953</v>
      </c>
      <c r="DO227" s="124">
        <v>113.30045318603516</v>
      </c>
      <c r="DP227" s="125">
        <v>15.494000434875488</v>
      </c>
      <c r="DQ227" s="123"/>
      <c r="DR227" s="125">
        <v>0</v>
      </c>
      <c r="DS227" s="128">
        <v>29.700000762939453</v>
      </c>
      <c r="DT227" s="127">
        <v>12</v>
      </c>
      <c r="DU227" s="123"/>
      <c r="DV227" s="123">
        <v>8</v>
      </c>
      <c r="DW227" s="123">
        <v>3.8404419422149658</v>
      </c>
      <c r="DX227" s="125">
        <v>10</v>
      </c>
      <c r="DY227" s="128"/>
      <c r="DZ227" s="127">
        <v>45</v>
      </c>
      <c r="EA227" s="123">
        <v>3</v>
      </c>
      <c r="EB227" s="123">
        <v>0</v>
      </c>
      <c r="EC227" s="123">
        <v>1</v>
      </c>
      <c r="ED227" s="123">
        <v>237.10000610351563</v>
      </c>
      <c r="EE227" s="129"/>
      <c r="EF227" s="129"/>
      <c r="EG227" s="129"/>
    </row>
    <row r="228" spans="1:137" x14ac:dyDescent="0.3">
      <c r="A228" s="226">
        <f t="shared" si="12"/>
        <v>46020.155555556063</v>
      </c>
      <c r="B228" s="123">
        <v>211</v>
      </c>
      <c r="C228" s="123">
        <v>45.804000854492188</v>
      </c>
      <c r="D228" s="123">
        <v>95.454002380371094</v>
      </c>
      <c r="E228" s="123">
        <v>19.565000534057617</v>
      </c>
      <c r="F228" s="123">
        <v>4.1460185050964355</v>
      </c>
      <c r="G228" s="124">
        <v>16.738000869750977</v>
      </c>
      <c r="H228" s="125">
        <v>355</v>
      </c>
      <c r="I228" s="123">
        <v>313</v>
      </c>
      <c r="J228" s="123">
        <v>60.846000671386719</v>
      </c>
      <c r="K228" s="123">
        <v>59.918846130371094</v>
      </c>
      <c r="L228" s="123">
        <v>98.075996398925781</v>
      </c>
      <c r="M228" s="123">
        <v>12.10099983215332</v>
      </c>
      <c r="N228" s="123">
        <v>17.367000579833984</v>
      </c>
      <c r="O228" s="123">
        <v>18</v>
      </c>
      <c r="P228" s="123">
        <v>0</v>
      </c>
      <c r="Q228" s="123">
        <v>17.868318557739258</v>
      </c>
      <c r="R228" s="123">
        <v>7.0031251907348633</v>
      </c>
      <c r="S228" s="123">
        <v>5.8314390182495117</v>
      </c>
      <c r="T228" s="123">
        <v>9</v>
      </c>
      <c r="U228" s="123">
        <v>9</v>
      </c>
      <c r="V228" s="125">
        <v>840</v>
      </c>
      <c r="W228" s="123">
        <v>26.166458129882813</v>
      </c>
      <c r="X228" s="123">
        <v>25.673000335693359</v>
      </c>
      <c r="Y228" s="123">
        <v>6.7430000305175781</v>
      </c>
      <c r="Z228" s="123">
        <v>0</v>
      </c>
      <c r="AA228" s="123">
        <v>18.77400016784668</v>
      </c>
      <c r="AB228" s="123">
        <v>0</v>
      </c>
      <c r="AC228" s="123">
        <v>51.625770568847656</v>
      </c>
      <c r="AD228" s="123">
        <v>6.3610000610351563</v>
      </c>
      <c r="AE228" s="123">
        <v>0</v>
      </c>
      <c r="AF228" s="123">
        <v>79.648101806640625</v>
      </c>
      <c r="AG228" s="123">
        <v>0</v>
      </c>
      <c r="AH228" s="123">
        <v>58.363967895507813</v>
      </c>
      <c r="AI228" s="123">
        <v>12.02299976348877</v>
      </c>
      <c r="AJ228" s="123">
        <v>15.641268730163574</v>
      </c>
      <c r="AK228" s="123">
        <v>35.959518432617188</v>
      </c>
      <c r="AL228" s="123">
        <v>36.402999877929688</v>
      </c>
      <c r="AM228" s="126">
        <v>53.882999420166016</v>
      </c>
      <c r="AN228" s="125">
        <v>112.125</v>
      </c>
      <c r="AO228" s="127">
        <v>57</v>
      </c>
      <c r="AP228" s="123">
        <v>59.743701934814453</v>
      </c>
      <c r="AQ228" s="123">
        <v>33.9434814453125</v>
      </c>
      <c r="AR228" s="123">
        <v>96</v>
      </c>
      <c r="AS228" s="123"/>
      <c r="AT228" s="123">
        <v>109</v>
      </c>
      <c r="AU228" s="123"/>
      <c r="AV228" s="123">
        <v>51</v>
      </c>
      <c r="AW228" s="123"/>
      <c r="AX228" s="123">
        <v>30</v>
      </c>
      <c r="AY228" s="123">
        <v>32.756797790527344</v>
      </c>
      <c r="AZ228" s="123">
        <v>13</v>
      </c>
      <c r="BA228" s="123"/>
      <c r="BB228" s="123">
        <v>179</v>
      </c>
      <c r="BC228" s="123">
        <v>180.126953125</v>
      </c>
      <c r="BD228" s="123">
        <v>6.6999998092651367</v>
      </c>
      <c r="BE228" s="123">
        <v>6.7005438804626465</v>
      </c>
      <c r="BF228" s="123">
        <v>29</v>
      </c>
      <c r="BG228" s="123">
        <v>10</v>
      </c>
      <c r="BH228" s="123">
        <v>11.081681251525879</v>
      </c>
      <c r="BI228" s="123"/>
      <c r="BJ228" s="108">
        <f t="shared" si="10"/>
        <v>10</v>
      </c>
      <c r="BK228" s="123">
        <v>10</v>
      </c>
      <c r="BL228" s="123">
        <v>0</v>
      </c>
      <c r="BM228" s="126"/>
      <c r="BN228" s="108">
        <f t="shared" si="11"/>
        <v>120</v>
      </c>
      <c r="BO228" s="108">
        <v>72</v>
      </c>
      <c r="BP228" s="108">
        <v>48</v>
      </c>
      <c r="BQ228" s="108">
        <v>265</v>
      </c>
      <c r="BR228" s="123">
        <v>67.632003784179688</v>
      </c>
      <c r="BS228" s="123">
        <v>24.429000854492188</v>
      </c>
      <c r="BT228" s="123">
        <v>40.523998260498047</v>
      </c>
      <c r="BU228" s="123">
        <v>35.053001403808594</v>
      </c>
      <c r="BV228" s="123">
        <v>67.900001525878906</v>
      </c>
      <c r="BW228" s="123">
        <v>5.8000001907348633</v>
      </c>
      <c r="BX228" s="123">
        <v>13.800000190734863</v>
      </c>
      <c r="BY228" s="123">
        <v>28</v>
      </c>
      <c r="BZ228" s="123">
        <v>1.443949993699789E-2</v>
      </c>
      <c r="CA228" s="123">
        <v>1</v>
      </c>
      <c r="CB228" s="123">
        <v>29.259078979492188</v>
      </c>
      <c r="CC228" s="126"/>
      <c r="CD228" s="123">
        <v>335.44085693359375</v>
      </c>
      <c r="CE228" s="123">
        <v>32.893714904785156</v>
      </c>
      <c r="CF228" s="123">
        <v>18.86638069152832</v>
      </c>
      <c r="CG228" s="123">
        <v>35.338191986083984</v>
      </c>
      <c r="CH228" s="123">
        <v>271.49774169921875</v>
      </c>
      <c r="CI228" s="123">
        <v>79.449958801269531</v>
      </c>
      <c r="CJ228" s="123">
        <v>34.261436462402344</v>
      </c>
      <c r="CK228" s="123">
        <v>48.622299194335938</v>
      </c>
      <c r="CL228" s="124">
        <v>27.12483024597168</v>
      </c>
      <c r="CM228" s="125">
        <v>181.40937805175781</v>
      </c>
      <c r="CN228" s="123">
        <v>48.800613403320313</v>
      </c>
      <c r="CO228" s="123">
        <v>59.349761962890625</v>
      </c>
      <c r="CP228" s="123">
        <v>69.897247314453125</v>
      </c>
      <c r="CQ228" s="123">
        <v>0</v>
      </c>
      <c r="CR228" s="123">
        <v>47.794635772705078</v>
      </c>
      <c r="CS228" s="123">
        <v>8.4255571365356445</v>
      </c>
      <c r="CT228" s="123">
        <v>35.099742889404297</v>
      </c>
      <c r="CU228" s="123">
        <v>38.504776000976563</v>
      </c>
      <c r="CV228" s="124">
        <v>65.021217346191406</v>
      </c>
      <c r="CW228" s="125">
        <v>4</v>
      </c>
      <c r="CX228" s="123">
        <v>307</v>
      </c>
      <c r="CY228" s="123">
        <v>112.83301544189453</v>
      </c>
      <c r="CZ228" s="123">
        <v>46.170269012451172</v>
      </c>
      <c r="DA228" s="123">
        <v>20.088689804077148</v>
      </c>
      <c r="DB228" s="123">
        <v>33.013458251953125</v>
      </c>
      <c r="DC228" s="123">
        <v>72.948234558105469</v>
      </c>
      <c r="DD228" s="123">
        <v>47</v>
      </c>
      <c r="DE228" s="123">
        <v>171</v>
      </c>
      <c r="DF228" s="123">
        <v>100.68156433105469</v>
      </c>
      <c r="DG228" s="123">
        <v>63.973819732666016</v>
      </c>
      <c r="DH228" s="123">
        <v>44.249446868896484</v>
      </c>
      <c r="DI228" s="128">
        <v>37.040298461914063</v>
      </c>
      <c r="DJ228" s="127">
        <v>202</v>
      </c>
      <c r="DK228" s="123">
        <v>100.26000213623047</v>
      </c>
      <c r="DL228" s="123">
        <v>26.576999664306641</v>
      </c>
      <c r="DM228" s="123">
        <v>25.093000411987305</v>
      </c>
      <c r="DN228" s="123">
        <v>46.298999786376953</v>
      </c>
      <c r="DO228" s="124">
        <v>113.17034912109375</v>
      </c>
      <c r="DP228" s="125">
        <v>15.494000434875488</v>
      </c>
      <c r="DQ228" s="123"/>
      <c r="DR228" s="125">
        <v>0</v>
      </c>
      <c r="DS228" s="128">
        <v>29.200000762939453</v>
      </c>
      <c r="DT228" s="127">
        <v>12</v>
      </c>
      <c r="DU228" s="123"/>
      <c r="DV228" s="123">
        <v>8</v>
      </c>
      <c r="DW228" s="123">
        <v>3.847930908203125</v>
      </c>
      <c r="DX228" s="125">
        <v>11</v>
      </c>
      <c r="DY228" s="128"/>
      <c r="DZ228" s="127">
        <v>44</v>
      </c>
      <c r="EA228" s="123">
        <v>3</v>
      </c>
      <c r="EB228" s="123">
        <v>0</v>
      </c>
      <c r="EC228" s="123">
        <v>1</v>
      </c>
      <c r="ED228" s="123">
        <v>237</v>
      </c>
      <c r="EE228" s="129"/>
      <c r="EF228" s="129"/>
      <c r="EG228" s="129"/>
    </row>
    <row r="229" spans="1:137" x14ac:dyDescent="0.3">
      <c r="A229" s="226">
        <f t="shared" si="12"/>
        <v>46020.156250000509</v>
      </c>
      <c r="B229" s="123">
        <v>209</v>
      </c>
      <c r="C229" s="123">
        <v>49.648998260498047</v>
      </c>
      <c r="D229" s="123">
        <v>95.792999267578125</v>
      </c>
      <c r="E229" s="123">
        <v>19.113000869750977</v>
      </c>
      <c r="F229" s="123">
        <v>2.0929551124572754</v>
      </c>
      <c r="G229" s="124">
        <v>17.416000366210938</v>
      </c>
      <c r="H229" s="125">
        <v>354</v>
      </c>
      <c r="I229" s="123">
        <v>316</v>
      </c>
      <c r="J229" s="123">
        <v>59.375999450683594</v>
      </c>
      <c r="K229" s="123">
        <v>60.208526611328125</v>
      </c>
      <c r="L229" s="123">
        <v>98.075996398925781</v>
      </c>
      <c r="M229" s="123">
        <v>12.10099983215332</v>
      </c>
      <c r="N229" s="123">
        <v>17.875999450683594</v>
      </c>
      <c r="O229" s="123">
        <v>16</v>
      </c>
      <c r="P229" s="123">
        <v>0</v>
      </c>
      <c r="Q229" s="123">
        <v>17.484384536743164</v>
      </c>
      <c r="R229" s="123">
        <v>7.0031251907348633</v>
      </c>
      <c r="S229" s="123">
        <v>5.7810816764831543</v>
      </c>
      <c r="T229" s="123">
        <v>9</v>
      </c>
      <c r="U229" s="123">
        <v>9</v>
      </c>
      <c r="V229" s="125">
        <v>844</v>
      </c>
      <c r="W229" s="123">
        <v>25.680568695068359</v>
      </c>
      <c r="X229" s="123">
        <v>24.993999481201172</v>
      </c>
      <c r="Y229" s="123">
        <v>5.0890002250671387</v>
      </c>
      <c r="Z229" s="123">
        <v>0</v>
      </c>
      <c r="AA229" s="123">
        <v>20.017999649047852</v>
      </c>
      <c r="AB229" s="123">
        <v>0</v>
      </c>
      <c r="AC229" s="123">
        <v>52.435108184814453</v>
      </c>
      <c r="AD229" s="123">
        <v>6.3610000610351563</v>
      </c>
      <c r="AE229" s="123">
        <v>0</v>
      </c>
      <c r="AF229" s="123">
        <v>79.901786804199219</v>
      </c>
      <c r="AG229" s="123">
        <v>0</v>
      </c>
      <c r="AH229" s="123">
        <v>61.242668151855469</v>
      </c>
      <c r="AI229" s="123">
        <v>12.531999588012695</v>
      </c>
      <c r="AJ229" s="123">
        <v>15.764641761779785</v>
      </c>
      <c r="AK229" s="123">
        <v>36.288349151611328</v>
      </c>
      <c r="AL229" s="123">
        <v>36.226001739501953</v>
      </c>
      <c r="AM229" s="126">
        <v>54.519001007080078</v>
      </c>
      <c r="AN229" s="125">
        <v>112.5625</v>
      </c>
      <c r="AO229" s="127">
        <v>56</v>
      </c>
      <c r="AP229" s="123">
        <v>59.743701934814453</v>
      </c>
      <c r="AQ229" s="123">
        <v>35.820533752441406</v>
      </c>
      <c r="AR229" s="123">
        <v>95</v>
      </c>
      <c r="AS229" s="123"/>
      <c r="AT229" s="123">
        <v>108</v>
      </c>
      <c r="AU229" s="123"/>
      <c r="AV229" s="123">
        <v>51</v>
      </c>
      <c r="AW229" s="123"/>
      <c r="AX229" s="123">
        <v>30</v>
      </c>
      <c r="AY229" s="123">
        <v>31.779098510742188</v>
      </c>
      <c r="AZ229" s="123">
        <v>11</v>
      </c>
      <c r="BA229" s="123"/>
      <c r="BB229" s="123">
        <v>178</v>
      </c>
      <c r="BC229" s="123">
        <v>177.14521789550781</v>
      </c>
      <c r="BD229" s="123">
        <v>6.5999999046325684</v>
      </c>
      <c r="BE229" s="123">
        <v>6.7001919746398926</v>
      </c>
      <c r="BF229" s="123">
        <v>30</v>
      </c>
      <c r="BG229" s="123">
        <v>10</v>
      </c>
      <c r="BH229" s="123">
        <v>10.99864387512207</v>
      </c>
      <c r="BI229" s="123"/>
      <c r="BJ229" s="108">
        <f t="shared" si="10"/>
        <v>10</v>
      </c>
      <c r="BK229" s="123">
        <v>10</v>
      </c>
      <c r="BL229" s="123">
        <v>0</v>
      </c>
      <c r="BM229" s="126"/>
      <c r="BN229" s="108">
        <f t="shared" si="11"/>
        <v>121</v>
      </c>
      <c r="BO229" s="108">
        <v>73</v>
      </c>
      <c r="BP229" s="108">
        <v>48</v>
      </c>
      <c r="BQ229" s="108">
        <v>266</v>
      </c>
      <c r="BR229" s="123">
        <v>66.839996337890625</v>
      </c>
      <c r="BS229" s="123">
        <v>23.665000915527344</v>
      </c>
      <c r="BT229" s="123">
        <v>40.523998260498047</v>
      </c>
      <c r="BU229" s="123">
        <v>35.116001129150391</v>
      </c>
      <c r="BV229" s="123">
        <v>69.599998474121094</v>
      </c>
      <c r="BW229" s="123">
        <v>5.8000001907348633</v>
      </c>
      <c r="BX229" s="123">
        <v>13.800000190734863</v>
      </c>
      <c r="BY229" s="123">
        <v>28</v>
      </c>
      <c r="BZ229" s="123">
        <v>1.30082992836833E-2</v>
      </c>
      <c r="CA229" s="123">
        <v>1</v>
      </c>
      <c r="CB229" s="123">
        <v>29.178287506103516</v>
      </c>
      <c r="CC229" s="126"/>
      <c r="CD229" s="123">
        <v>333.04888916015625</v>
      </c>
      <c r="CE229" s="123">
        <v>32.567718505859375</v>
      </c>
      <c r="CF229" s="123">
        <v>18.739774703979492</v>
      </c>
      <c r="CG229" s="123">
        <v>35.338191986083984</v>
      </c>
      <c r="CH229" s="123">
        <v>270.78952026367188</v>
      </c>
      <c r="CI229" s="123">
        <v>78.893348693847656</v>
      </c>
      <c r="CJ229" s="123">
        <v>33.471187591552734</v>
      </c>
      <c r="CK229" s="123">
        <v>48.803981781005859</v>
      </c>
      <c r="CL229" s="124">
        <v>26.238468170166016</v>
      </c>
      <c r="CM229" s="125">
        <v>182.62364196777344</v>
      </c>
      <c r="CN229" s="123">
        <v>54.335567474365234</v>
      </c>
      <c r="CO229" s="123">
        <v>56.97314453125</v>
      </c>
      <c r="CP229" s="123">
        <v>71.072708129882813</v>
      </c>
      <c r="CQ229" s="123">
        <v>0</v>
      </c>
      <c r="CR229" s="123">
        <v>48.923358917236328</v>
      </c>
      <c r="CS229" s="123">
        <v>7.5741171836853027</v>
      </c>
      <c r="CT229" s="123">
        <v>34.474571228027344</v>
      </c>
      <c r="CU229" s="123">
        <v>40.394184112548828</v>
      </c>
      <c r="CV229" s="124">
        <v>63.23480224609375</v>
      </c>
      <c r="CW229" s="125">
        <v>4</v>
      </c>
      <c r="CX229" s="123">
        <v>301</v>
      </c>
      <c r="CY229" s="123">
        <v>110.21419525146484</v>
      </c>
      <c r="CZ229" s="123">
        <v>46.963302612304688</v>
      </c>
      <c r="DA229" s="123">
        <v>18.873012542724609</v>
      </c>
      <c r="DB229" s="123">
        <v>31.279016494750977</v>
      </c>
      <c r="DC229" s="123">
        <v>75.735275268554688</v>
      </c>
      <c r="DD229" s="123">
        <v>46</v>
      </c>
      <c r="DE229" s="123">
        <v>172</v>
      </c>
      <c r="DF229" s="123">
        <v>101.17375946044922</v>
      </c>
      <c r="DG229" s="123">
        <v>62.161533355712891</v>
      </c>
      <c r="DH229" s="123">
        <v>43.489143371582031</v>
      </c>
      <c r="DI229" s="128">
        <v>38.316429138183594</v>
      </c>
      <c r="DJ229" s="127">
        <v>206</v>
      </c>
      <c r="DK229" s="123">
        <v>104.58599853515625</v>
      </c>
      <c r="DL229" s="123">
        <v>24.881000518798828</v>
      </c>
      <c r="DM229" s="123">
        <v>24.38599967956543</v>
      </c>
      <c r="DN229" s="123">
        <v>47.712001800537109</v>
      </c>
      <c r="DO229" s="124">
        <v>111.95915222167969</v>
      </c>
      <c r="DP229" s="125">
        <v>15.607000350952148</v>
      </c>
      <c r="DQ229" s="123"/>
      <c r="DR229" s="125">
        <v>0</v>
      </c>
      <c r="DS229" s="128">
        <v>29.399999618530273</v>
      </c>
      <c r="DT229" s="127">
        <v>12</v>
      </c>
      <c r="DU229" s="123"/>
      <c r="DV229" s="123">
        <v>14</v>
      </c>
      <c r="DW229" s="123">
        <v>3.8383879661560059</v>
      </c>
      <c r="DX229" s="125">
        <v>10</v>
      </c>
      <c r="DY229" s="128"/>
      <c r="DZ229" s="127">
        <v>44</v>
      </c>
      <c r="EA229" s="123">
        <v>3</v>
      </c>
      <c r="EB229" s="123">
        <v>0</v>
      </c>
      <c r="EC229" s="123">
        <v>1</v>
      </c>
      <c r="ED229" s="123">
        <v>236</v>
      </c>
      <c r="EE229" s="129"/>
      <c r="EF229" s="129"/>
      <c r="EG229" s="129"/>
    </row>
    <row r="230" spans="1:137" x14ac:dyDescent="0.3">
      <c r="A230" s="226">
        <f t="shared" si="12"/>
        <v>46020.156944444956</v>
      </c>
      <c r="B230" s="123">
        <v>207</v>
      </c>
      <c r="C230" s="123">
        <v>48.066001892089844</v>
      </c>
      <c r="D230" s="123">
        <v>95.226997375488281</v>
      </c>
      <c r="E230" s="123">
        <v>20.809000015258789</v>
      </c>
      <c r="F230" s="123">
        <v>0</v>
      </c>
      <c r="G230" s="124">
        <v>17.076999664306641</v>
      </c>
      <c r="H230" s="125">
        <v>352</v>
      </c>
      <c r="I230" s="123">
        <v>317</v>
      </c>
      <c r="J230" s="123">
        <v>60.393001556396484</v>
      </c>
      <c r="K230" s="123">
        <v>59.483707427978516</v>
      </c>
      <c r="L230" s="123">
        <v>97.899002075195313</v>
      </c>
      <c r="M230" s="123">
        <v>12.666000366210938</v>
      </c>
      <c r="N230" s="123">
        <v>17.239999771118164</v>
      </c>
      <c r="O230" s="123">
        <v>15</v>
      </c>
      <c r="P230" s="123">
        <v>0</v>
      </c>
      <c r="Q230" s="123">
        <v>16.509794235229492</v>
      </c>
      <c r="R230" s="123">
        <v>6</v>
      </c>
      <c r="S230" s="123">
        <v>6.4277768135070801</v>
      </c>
      <c r="T230" s="123">
        <v>9</v>
      </c>
      <c r="U230" s="123">
        <v>9</v>
      </c>
      <c r="V230" s="125">
        <v>838</v>
      </c>
      <c r="W230" s="123">
        <v>24.812971115112305</v>
      </c>
      <c r="X230" s="123">
        <v>24.767999649047852</v>
      </c>
      <c r="Y230" s="123">
        <v>5.0250000953674316</v>
      </c>
      <c r="Z230" s="123">
        <v>0</v>
      </c>
      <c r="AA230" s="123">
        <v>20.923000335693359</v>
      </c>
      <c r="AB230" s="123">
        <v>0</v>
      </c>
      <c r="AC230" s="123">
        <v>52.455810546875</v>
      </c>
      <c r="AD230" s="123">
        <v>6.1069998741149902</v>
      </c>
      <c r="AE230" s="123">
        <v>0</v>
      </c>
      <c r="AF230" s="123">
        <v>81.119720458984375</v>
      </c>
      <c r="AG230" s="123">
        <v>0</v>
      </c>
      <c r="AH230" s="123">
        <v>60.862163543701172</v>
      </c>
      <c r="AI230" s="123">
        <v>13.041000366210938</v>
      </c>
      <c r="AJ230" s="123">
        <v>15.785947799682617</v>
      </c>
      <c r="AK230" s="123">
        <v>35.458656311035156</v>
      </c>
      <c r="AL230" s="123">
        <v>35.166000366210938</v>
      </c>
      <c r="AM230" s="126">
        <v>55.027999877929688</v>
      </c>
      <c r="AN230" s="125">
        <v>112.75</v>
      </c>
      <c r="AO230" s="127">
        <v>58</v>
      </c>
      <c r="AP230" s="123">
        <v>59.977024078369141</v>
      </c>
      <c r="AQ230" s="123">
        <v>36.441581726074219</v>
      </c>
      <c r="AR230" s="123">
        <v>96</v>
      </c>
      <c r="AS230" s="123"/>
      <c r="AT230" s="123">
        <v>107</v>
      </c>
      <c r="AU230" s="123"/>
      <c r="AV230" s="123">
        <v>52</v>
      </c>
      <c r="AW230" s="123"/>
      <c r="AX230" s="123">
        <v>30</v>
      </c>
      <c r="AY230" s="123">
        <v>32.780246734619141</v>
      </c>
      <c r="AZ230" s="123">
        <v>11</v>
      </c>
      <c r="BA230" s="123"/>
      <c r="BB230" s="123">
        <v>178</v>
      </c>
      <c r="BC230" s="123">
        <v>179.97023010253906</v>
      </c>
      <c r="BD230" s="123">
        <v>6.5999999046325684</v>
      </c>
      <c r="BE230" s="123">
        <v>6.6924896240234375</v>
      </c>
      <c r="BF230" s="123">
        <v>29</v>
      </c>
      <c r="BG230" s="123">
        <v>11</v>
      </c>
      <c r="BH230" s="123">
        <v>11.323294639587402</v>
      </c>
      <c r="BI230" s="123"/>
      <c r="BJ230" s="108">
        <f t="shared" si="10"/>
        <v>10</v>
      </c>
      <c r="BK230" s="123">
        <v>10</v>
      </c>
      <c r="BL230" s="123">
        <v>0</v>
      </c>
      <c r="BM230" s="126"/>
      <c r="BN230" s="108">
        <f t="shared" si="11"/>
        <v>120.20000076293945</v>
      </c>
      <c r="BO230" s="108">
        <v>72</v>
      </c>
      <c r="BP230" s="108">
        <v>48.200000762939453</v>
      </c>
      <c r="BQ230" s="108">
        <v>263</v>
      </c>
      <c r="BR230" s="123">
        <v>66.161003112792969</v>
      </c>
      <c r="BS230" s="123">
        <v>23.920000076293945</v>
      </c>
      <c r="BT230" s="123">
        <v>39.831001281738281</v>
      </c>
      <c r="BU230" s="123">
        <v>34.28900146484375</v>
      </c>
      <c r="BV230" s="123">
        <v>68.699996948242188</v>
      </c>
      <c r="BW230" s="123">
        <v>5.8000001907348633</v>
      </c>
      <c r="BX230" s="123">
        <v>13.800000190734863</v>
      </c>
      <c r="BY230" s="123">
        <v>28</v>
      </c>
      <c r="BZ230" s="123">
        <v>1.3358503580093384E-2</v>
      </c>
      <c r="CA230" s="123">
        <v>1</v>
      </c>
      <c r="CB230" s="123">
        <v>29.259597778320313</v>
      </c>
      <c r="CC230" s="126"/>
      <c r="CD230" s="123">
        <v>335.54678344726563</v>
      </c>
      <c r="CE230" s="123">
        <v>34.097492218017578</v>
      </c>
      <c r="CF230" s="123">
        <v>19.184833526611328</v>
      </c>
      <c r="CG230" s="123">
        <v>35.338191986083984</v>
      </c>
      <c r="CH230" s="123">
        <v>270.488525390625</v>
      </c>
      <c r="CI230" s="123">
        <v>77.438919067382813</v>
      </c>
      <c r="CJ230" s="123">
        <v>32.796016693115234</v>
      </c>
      <c r="CK230" s="123">
        <v>48.830448150634766</v>
      </c>
      <c r="CL230" s="124">
        <v>27.170215606689453</v>
      </c>
      <c r="CM230" s="125">
        <v>184.95338439941406</v>
      </c>
      <c r="CN230" s="123">
        <v>52.109764099121094</v>
      </c>
      <c r="CO230" s="123">
        <v>55.2537841796875</v>
      </c>
      <c r="CP230" s="123">
        <v>73.920822143554688</v>
      </c>
      <c r="CQ230" s="123">
        <v>0</v>
      </c>
      <c r="CR230" s="123">
        <v>47.495338439941406</v>
      </c>
      <c r="CS230" s="123">
        <v>8.2174282073974609</v>
      </c>
      <c r="CT230" s="123">
        <v>31.771747589111328</v>
      </c>
      <c r="CU230" s="123">
        <v>36.934169769287109</v>
      </c>
      <c r="CV230" s="124">
        <v>62.57952880859375</v>
      </c>
      <c r="CW230" s="125">
        <v>1</v>
      </c>
      <c r="CX230" s="123">
        <v>303</v>
      </c>
      <c r="CY230" s="123">
        <v>109.78131866455078</v>
      </c>
      <c r="CZ230" s="123">
        <v>48.518199920654297</v>
      </c>
      <c r="DA230" s="123">
        <v>19.04121208190918</v>
      </c>
      <c r="DB230" s="123">
        <v>31.957296371459961</v>
      </c>
      <c r="DC230" s="123">
        <v>75.49835205078125</v>
      </c>
      <c r="DD230" s="123">
        <v>49</v>
      </c>
      <c r="DE230" s="123">
        <v>172</v>
      </c>
      <c r="DF230" s="123">
        <v>100.06373596191406</v>
      </c>
      <c r="DG230" s="123">
        <v>61.555294036865234</v>
      </c>
      <c r="DH230" s="123">
        <v>43.629100799560547</v>
      </c>
      <c r="DI230" s="128">
        <v>38.642292022705078</v>
      </c>
      <c r="DJ230" s="127">
        <v>203</v>
      </c>
      <c r="DK230" s="123">
        <v>104.07700347900391</v>
      </c>
      <c r="DL230" s="123">
        <v>23.52400016784668</v>
      </c>
      <c r="DM230" s="123">
        <v>24.38599967956543</v>
      </c>
      <c r="DN230" s="123">
        <v>49.833000183105469</v>
      </c>
      <c r="DO230" s="124">
        <v>111.49878692626953</v>
      </c>
      <c r="DP230" s="125">
        <v>15.23900032043457</v>
      </c>
      <c r="DQ230" s="123"/>
      <c r="DR230" s="125">
        <v>0</v>
      </c>
      <c r="DS230" s="128">
        <v>30.5</v>
      </c>
      <c r="DT230" s="127">
        <v>12</v>
      </c>
      <c r="DU230" s="123"/>
      <c r="DV230" s="123">
        <v>5</v>
      </c>
      <c r="DW230" s="123">
        <v>3.7407376766204834</v>
      </c>
      <c r="DX230" s="125">
        <v>11</v>
      </c>
      <c r="DY230" s="128"/>
      <c r="DZ230" s="127">
        <v>44</v>
      </c>
      <c r="EA230" s="123">
        <v>3</v>
      </c>
      <c r="EB230" s="123">
        <v>0</v>
      </c>
      <c r="EC230" s="123">
        <v>1</v>
      </c>
      <c r="ED230" s="123">
        <v>233.80000305175781</v>
      </c>
      <c r="EE230" s="129"/>
      <c r="EF230" s="129"/>
      <c r="EG230" s="129"/>
    </row>
    <row r="231" spans="1:137" x14ac:dyDescent="0.3">
      <c r="A231" s="226">
        <f t="shared" si="12"/>
        <v>46020.157638889403</v>
      </c>
      <c r="B231" s="123">
        <v>214</v>
      </c>
      <c r="C231" s="123">
        <v>49.423000335693359</v>
      </c>
      <c r="D231" s="123">
        <v>96.018997192382813</v>
      </c>
      <c r="E231" s="123">
        <v>17.982000350952148</v>
      </c>
      <c r="F231" s="123">
        <v>11.491674423217773</v>
      </c>
      <c r="G231" s="124">
        <v>16.85099983215332</v>
      </c>
      <c r="H231" s="125">
        <v>352</v>
      </c>
      <c r="I231" s="123">
        <v>317</v>
      </c>
      <c r="J231" s="123">
        <v>58.923000335693359</v>
      </c>
      <c r="K231" s="123">
        <v>60.530086517333984</v>
      </c>
      <c r="L231" s="123">
        <v>100.72699737548828</v>
      </c>
      <c r="M231" s="123">
        <v>13.345000267028809</v>
      </c>
      <c r="N231" s="123">
        <v>17.430999755859375</v>
      </c>
      <c r="O231" s="123">
        <v>19</v>
      </c>
      <c r="P231" s="123">
        <v>0</v>
      </c>
      <c r="Q231" s="123">
        <v>18.778213500976563</v>
      </c>
      <c r="R231" s="123">
        <v>4.9968748092651367</v>
      </c>
      <c r="S231" s="123">
        <v>5.6530513763427734</v>
      </c>
      <c r="T231" s="123">
        <v>9</v>
      </c>
      <c r="U231" s="123">
        <v>9</v>
      </c>
      <c r="V231" s="125">
        <v>843</v>
      </c>
      <c r="W231" s="123">
        <v>25.035942077636719</v>
      </c>
      <c r="X231" s="123">
        <v>24.993999481201172</v>
      </c>
      <c r="Y231" s="123">
        <v>4.9619998931884766</v>
      </c>
      <c r="Z231" s="123">
        <v>0</v>
      </c>
      <c r="AA231" s="123">
        <v>22.166999816894531</v>
      </c>
      <c r="AB231" s="123">
        <v>0</v>
      </c>
      <c r="AC231" s="123">
        <v>50.709892272949219</v>
      </c>
      <c r="AD231" s="123">
        <v>6.3610000610351563</v>
      </c>
      <c r="AE231" s="123">
        <v>0</v>
      </c>
      <c r="AF231" s="123">
        <v>82.071640014648438</v>
      </c>
      <c r="AG231" s="123">
        <v>0</v>
      </c>
      <c r="AH231" s="123">
        <v>60.313926696777344</v>
      </c>
      <c r="AI231" s="123">
        <v>13.359000205993652</v>
      </c>
      <c r="AJ231" s="123">
        <v>15.419222831726074</v>
      </c>
      <c r="AK231" s="123">
        <v>35.987506866455078</v>
      </c>
      <c r="AL231" s="123">
        <v>35.166000366210938</v>
      </c>
      <c r="AM231" s="126">
        <v>55.791999816894531</v>
      </c>
      <c r="AN231" s="125">
        <v>112.75</v>
      </c>
      <c r="AO231" s="127">
        <v>58</v>
      </c>
      <c r="AP231" s="123">
        <v>60.194412231445313</v>
      </c>
      <c r="AQ231" s="123">
        <v>36.742790222167969</v>
      </c>
      <c r="AR231" s="123">
        <v>96</v>
      </c>
      <c r="AS231" s="123"/>
      <c r="AT231" s="123">
        <v>107</v>
      </c>
      <c r="AU231" s="123"/>
      <c r="AV231" s="123">
        <v>58</v>
      </c>
      <c r="AW231" s="123"/>
      <c r="AX231" s="123">
        <v>29</v>
      </c>
      <c r="AY231" s="123">
        <v>32.245487213134766</v>
      </c>
      <c r="AZ231" s="123">
        <v>13</v>
      </c>
      <c r="BA231" s="123"/>
      <c r="BB231" s="123">
        <v>178</v>
      </c>
      <c r="BC231" s="123">
        <v>179.13804626464844</v>
      </c>
      <c r="BD231" s="123">
        <v>6.5999999046325684</v>
      </c>
      <c r="BE231" s="123">
        <v>6.6924896240234375</v>
      </c>
      <c r="BF231" s="123">
        <v>29</v>
      </c>
      <c r="BG231" s="123">
        <v>11</v>
      </c>
      <c r="BH231" s="123">
        <v>11.275861740112305</v>
      </c>
      <c r="BI231" s="123"/>
      <c r="BJ231" s="108">
        <f t="shared" si="10"/>
        <v>10</v>
      </c>
      <c r="BK231" s="123">
        <v>10</v>
      </c>
      <c r="BL231" s="123">
        <v>0</v>
      </c>
      <c r="BM231" s="126"/>
      <c r="BN231" s="108">
        <f t="shared" si="11"/>
        <v>121.20000076293945</v>
      </c>
      <c r="BO231" s="108">
        <v>73</v>
      </c>
      <c r="BP231" s="108">
        <v>48.200000762939453</v>
      </c>
      <c r="BQ231" s="108">
        <v>264</v>
      </c>
      <c r="BR231" s="123">
        <v>71.816001892089844</v>
      </c>
      <c r="BS231" s="123">
        <v>22.902000427246094</v>
      </c>
      <c r="BT231" s="123">
        <v>40.176998138427734</v>
      </c>
      <c r="BU231" s="123">
        <v>34.28900146484375</v>
      </c>
      <c r="BV231" s="123">
        <v>69</v>
      </c>
      <c r="BW231" s="123">
        <v>5.8000001907348633</v>
      </c>
      <c r="BX231" s="123">
        <v>13.800000190734863</v>
      </c>
      <c r="BY231" s="123">
        <v>28</v>
      </c>
      <c r="BZ231" s="123">
        <v>1.4533823356032372E-2</v>
      </c>
      <c r="CA231" s="123">
        <v>1</v>
      </c>
      <c r="CB231" s="123">
        <v>29.758493423461914</v>
      </c>
      <c r="CC231" s="126"/>
      <c r="CD231" s="123">
        <v>340.03955078125</v>
      </c>
      <c r="CE231" s="123">
        <v>32.572925567626953</v>
      </c>
      <c r="CF231" s="123">
        <v>19.147495269775391</v>
      </c>
      <c r="CG231" s="123">
        <v>35.338191986083984</v>
      </c>
      <c r="CH231" s="123">
        <v>271.58856201171875</v>
      </c>
      <c r="CI231" s="123">
        <v>79.98065185546875</v>
      </c>
      <c r="CJ231" s="123">
        <v>33.758766174316406</v>
      </c>
      <c r="CK231" s="123">
        <v>48.768756866455078</v>
      </c>
      <c r="CL231" s="124">
        <v>26.449907302856445</v>
      </c>
      <c r="CM231" s="125">
        <v>186.60954284667969</v>
      </c>
      <c r="CN231" s="123">
        <v>50.937191009521484</v>
      </c>
      <c r="CO231" s="123">
        <v>56.601367950439453</v>
      </c>
      <c r="CP231" s="123">
        <v>74.301918029785156</v>
      </c>
      <c r="CQ231" s="123">
        <v>0</v>
      </c>
      <c r="CR231" s="123">
        <v>47.477127075195313</v>
      </c>
      <c r="CS231" s="123">
        <v>8.1018829345703125</v>
      </c>
      <c r="CT231" s="123">
        <v>31.771747589111328</v>
      </c>
      <c r="CU231" s="123">
        <v>40.761035919189453</v>
      </c>
      <c r="CV231" s="124">
        <v>64.562507629394531</v>
      </c>
      <c r="CW231" s="125">
        <v>0</v>
      </c>
      <c r="CX231" s="123">
        <v>305</v>
      </c>
      <c r="CY231" s="123">
        <v>114.05442810058594</v>
      </c>
      <c r="CZ231" s="123">
        <v>44.975330352783203</v>
      </c>
      <c r="DA231" s="123">
        <v>18.94987678527832</v>
      </c>
      <c r="DB231" s="123">
        <v>31.736894607543945</v>
      </c>
      <c r="DC231" s="123">
        <v>74.482452392578125</v>
      </c>
      <c r="DD231" s="123">
        <v>51</v>
      </c>
      <c r="DE231" s="123">
        <v>170</v>
      </c>
      <c r="DF231" s="123">
        <v>99.441375732421875</v>
      </c>
      <c r="DG231" s="123">
        <v>62.796314239501953</v>
      </c>
      <c r="DH231" s="123">
        <v>42.816211700439453</v>
      </c>
      <c r="DI231" s="128">
        <v>38.137561798095703</v>
      </c>
      <c r="DJ231" s="127">
        <v>196</v>
      </c>
      <c r="DK231" s="123">
        <v>100.76899719238281</v>
      </c>
      <c r="DL231" s="123">
        <v>23.410999298095703</v>
      </c>
      <c r="DM231" s="123">
        <v>20.322000503540039</v>
      </c>
      <c r="DN231" s="123">
        <v>46.828998565673828</v>
      </c>
      <c r="DO231" s="124">
        <v>110.3734130859375</v>
      </c>
      <c r="DP231" s="125">
        <v>15.23900032043457</v>
      </c>
      <c r="DQ231" s="123"/>
      <c r="DR231" s="125">
        <v>0</v>
      </c>
      <c r="DS231" s="128">
        <v>31.100000381469727</v>
      </c>
      <c r="DT231" s="127">
        <v>12</v>
      </c>
      <c r="DU231" s="123"/>
      <c r="DV231" s="123">
        <v>9</v>
      </c>
      <c r="DW231" s="123">
        <v>3.6647334098815918</v>
      </c>
      <c r="DX231" s="125">
        <v>11</v>
      </c>
      <c r="DY231" s="128"/>
      <c r="DZ231" s="127">
        <v>45</v>
      </c>
      <c r="EA231" s="123">
        <v>3</v>
      </c>
      <c r="EB231" s="123">
        <v>0</v>
      </c>
      <c r="EC231" s="123">
        <v>1</v>
      </c>
      <c r="ED231" s="123">
        <v>233.39999389648438</v>
      </c>
      <c r="EE231" s="129"/>
      <c r="EF231" s="129"/>
      <c r="EG231" s="129"/>
    </row>
    <row r="232" spans="1:137" x14ac:dyDescent="0.3">
      <c r="A232" s="226">
        <f t="shared" si="12"/>
        <v>46020.158333333849</v>
      </c>
      <c r="B232" s="123">
        <v>218</v>
      </c>
      <c r="C232" s="123">
        <v>50.893001556396484</v>
      </c>
      <c r="D232" s="123">
        <v>96.810997009277344</v>
      </c>
      <c r="E232" s="123">
        <v>17.982000350952148</v>
      </c>
      <c r="F232" s="123">
        <v>6.1041879653930664</v>
      </c>
      <c r="G232" s="124">
        <v>19</v>
      </c>
      <c r="H232" s="125">
        <v>354</v>
      </c>
      <c r="I232" s="123">
        <v>313</v>
      </c>
      <c r="J232" s="123">
        <v>59.375999450683594</v>
      </c>
      <c r="K232" s="123">
        <v>60.218997955322266</v>
      </c>
      <c r="L232" s="123">
        <v>100.72699737548828</v>
      </c>
      <c r="M232" s="123">
        <v>12.553000450134277</v>
      </c>
      <c r="N232" s="123">
        <v>18.767000198364258</v>
      </c>
      <c r="O232" s="123">
        <v>18</v>
      </c>
      <c r="P232" s="123">
        <v>0</v>
      </c>
      <c r="Q232" s="123">
        <v>17.226823806762695</v>
      </c>
      <c r="R232" s="123">
        <v>0</v>
      </c>
      <c r="S232" s="123">
        <v>5.3497090339660645</v>
      </c>
      <c r="T232" s="123">
        <v>9</v>
      </c>
      <c r="U232" s="123">
        <v>9</v>
      </c>
      <c r="V232" s="125">
        <v>846</v>
      </c>
      <c r="W232" s="123">
        <v>25.890499114990234</v>
      </c>
      <c r="X232" s="123">
        <v>24.767999649047852</v>
      </c>
      <c r="Y232" s="123">
        <v>4.9619998931884766</v>
      </c>
      <c r="Z232" s="123">
        <v>0</v>
      </c>
      <c r="AA232" s="123">
        <v>22.052999496459961</v>
      </c>
      <c r="AB232" s="123">
        <v>0</v>
      </c>
      <c r="AC232" s="123">
        <v>51.260814666748047</v>
      </c>
      <c r="AD232" s="123">
        <v>6.6160001754760742</v>
      </c>
      <c r="AE232" s="123">
        <v>0</v>
      </c>
      <c r="AF232" s="123">
        <v>79.269172668457031</v>
      </c>
      <c r="AG232" s="123">
        <v>0</v>
      </c>
      <c r="AH232" s="123">
        <v>60.328212738037109</v>
      </c>
      <c r="AI232" s="123">
        <v>13.423000335693359</v>
      </c>
      <c r="AJ232" s="123">
        <v>16.170808792114258</v>
      </c>
      <c r="AK232" s="123">
        <v>37.104152679443359</v>
      </c>
      <c r="AL232" s="123">
        <v>34.988998413085938</v>
      </c>
      <c r="AM232" s="126">
        <v>54.456001281738281</v>
      </c>
      <c r="AN232" s="125">
        <v>111.5625</v>
      </c>
      <c r="AO232" s="127">
        <v>56</v>
      </c>
      <c r="AP232" s="123">
        <v>60.573860168457031</v>
      </c>
      <c r="AQ232" s="123">
        <v>32.810886383056641</v>
      </c>
      <c r="AR232" s="123">
        <v>95</v>
      </c>
      <c r="AS232" s="123"/>
      <c r="AT232" s="123">
        <v>107</v>
      </c>
      <c r="AU232" s="123"/>
      <c r="AV232" s="123">
        <v>58</v>
      </c>
      <c r="AW232" s="123"/>
      <c r="AX232" s="123">
        <v>30</v>
      </c>
      <c r="AY232" s="123">
        <v>31.998405456542969</v>
      </c>
      <c r="AZ232" s="123">
        <v>12</v>
      </c>
      <c r="BA232" s="123"/>
      <c r="BB232" s="123">
        <v>178</v>
      </c>
      <c r="BC232" s="123">
        <v>173.83653259277344</v>
      </c>
      <c r="BD232" s="123">
        <v>6.5999999046325684</v>
      </c>
      <c r="BE232" s="123">
        <v>6.7006163597106934</v>
      </c>
      <c r="BF232" s="123">
        <v>29</v>
      </c>
      <c r="BG232" s="123">
        <v>10</v>
      </c>
      <c r="BH232" s="123">
        <v>10.953269958496094</v>
      </c>
      <c r="BI232" s="123"/>
      <c r="BJ232" s="108">
        <f t="shared" si="10"/>
        <v>10</v>
      </c>
      <c r="BK232" s="123">
        <v>10</v>
      </c>
      <c r="BL232" s="123">
        <v>0</v>
      </c>
      <c r="BM232" s="126"/>
      <c r="BN232" s="108">
        <f t="shared" si="11"/>
        <v>120.20000076293945</v>
      </c>
      <c r="BO232" s="108">
        <v>72</v>
      </c>
      <c r="BP232" s="108">
        <v>48.200000762939453</v>
      </c>
      <c r="BQ232" s="108">
        <v>265</v>
      </c>
      <c r="BR232" s="123">
        <v>68.196998596191406</v>
      </c>
      <c r="BS232" s="123">
        <v>24.683000564575195</v>
      </c>
      <c r="BT232" s="123">
        <v>40.523998260498047</v>
      </c>
      <c r="BU232" s="123">
        <v>34.28900146484375</v>
      </c>
      <c r="BV232" s="123">
        <v>68.699996948242188</v>
      </c>
      <c r="BW232" s="123">
        <v>5.8000001907348633</v>
      </c>
      <c r="BX232" s="123">
        <v>13.800000190734863</v>
      </c>
      <c r="BY232" s="123">
        <v>29</v>
      </c>
      <c r="BZ232" s="123">
        <v>1.4047373086214066E-2</v>
      </c>
      <c r="CA232" s="123">
        <v>1</v>
      </c>
      <c r="CB232" s="123">
        <v>29.439231872558594</v>
      </c>
      <c r="CC232" s="126"/>
      <c r="CD232" s="123">
        <v>343.89007568359375</v>
      </c>
      <c r="CE232" s="123">
        <v>34.078376770019531</v>
      </c>
      <c r="CF232" s="123">
        <v>19.835329055786133</v>
      </c>
      <c r="CG232" s="123">
        <v>35.338191986083984</v>
      </c>
      <c r="CH232" s="123">
        <v>273.52633666992188</v>
      </c>
      <c r="CI232" s="123">
        <v>79.143951416015625</v>
      </c>
      <c r="CJ232" s="123">
        <v>34.577888488769531</v>
      </c>
      <c r="CK232" s="123">
        <v>48.811851501464844</v>
      </c>
      <c r="CL232" s="124">
        <v>25.524208068847656</v>
      </c>
      <c r="CM232" s="125">
        <v>189.56536865234375</v>
      </c>
      <c r="CN232" s="123">
        <v>52.459758758544922</v>
      </c>
      <c r="CO232" s="123">
        <v>55.802509307861328</v>
      </c>
      <c r="CP232" s="123">
        <v>77.227714538574219</v>
      </c>
      <c r="CQ232" s="123">
        <v>0</v>
      </c>
      <c r="CR232" s="123">
        <v>48.171852111816406</v>
      </c>
      <c r="CS232" s="123">
        <v>8.0561103820800781</v>
      </c>
      <c r="CT232" s="123">
        <v>33.262298583984375</v>
      </c>
      <c r="CU232" s="123">
        <v>40.925930023193359</v>
      </c>
      <c r="CV232" s="124">
        <v>66.076522827148438</v>
      </c>
      <c r="CW232" s="125">
        <v>8</v>
      </c>
      <c r="CX232" s="123">
        <v>301</v>
      </c>
      <c r="CY232" s="123">
        <v>114.34307861328125</v>
      </c>
      <c r="CZ232" s="123">
        <v>46.204322814941406</v>
      </c>
      <c r="DA232" s="123">
        <v>19.321174621582031</v>
      </c>
      <c r="DB232" s="123">
        <v>34.088081359863281</v>
      </c>
      <c r="DC232" s="123">
        <v>74.167495727539063</v>
      </c>
      <c r="DD232" s="123">
        <v>49</v>
      </c>
      <c r="DE232" s="123">
        <v>170</v>
      </c>
      <c r="DF232" s="123">
        <v>99.669021606445313</v>
      </c>
      <c r="DG232" s="123">
        <v>62.259513854980469</v>
      </c>
      <c r="DH232" s="123">
        <v>43.102954864501953</v>
      </c>
      <c r="DI232" s="128">
        <v>37.181865692138672</v>
      </c>
      <c r="DJ232" s="127">
        <v>196</v>
      </c>
      <c r="DK232" s="123">
        <v>100.76899719238281</v>
      </c>
      <c r="DL232" s="123">
        <v>23.410999298095703</v>
      </c>
      <c r="DM232" s="123">
        <v>23.856000900268555</v>
      </c>
      <c r="DN232" s="123">
        <v>47.535999298095703</v>
      </c>
      <c r="DO232" s="124">
        <v>110.18890380859375</v>
      </c>
      <c r="DP232" s="125">
        <v>15.550000190734863</v>
      </c>
      <c r="DQ232" s="123"/>
      <c r="DR232" s="125">
        <v>0</v>
      </c>
      <c r="DS232" s="128">
        <v>30.200000762939453</v>
      </c>
      <c r="DT232" s="127">
        <v>12</v>
      </c>
      <c r="DU232" s="123"/>
      <c r="DV232" s="123">
        <v>7</v>
      </c>
      <c r="DW232" s="123">
        <v>3.51959228515625</v>
      </c>
      <c r="DX232" s="125">
        <v>10</v>
      </c>
      <c r="DY232" s="128"/>
      <c r="DZ232" s="127">
        <v>45</v>
      </c>
      <c r="EA232" s="123">
        <v>3</v>
      </c>
      <c r="EB232" s="123">
        <v>0</v>
      </c>
      <c r="EC232" s="123">
        <v>1</v>
      </c>
      <c r="ED232" s="123">
        <v>230.39999389648438</v>
      </c>
      <c r="EE232" s="129"/>
      <c r="EF232" s="129"/>
      <c r="EG232" s="129"/>
    </row>
    <row r="233" spans="1:137" x14ac:dyDescent="0.3">
      <c r="A233" s="226">
        <f t="shared" si="12"/>
        <v>46020.159027778296</v>
      </c>
      <c r="B233" s="123">
        <v>215</v>
      </c>
      <c r="C233" s="123">
        <v>47.5</v>
      </c>
      <c r="D233" s="123">
        <v>96.924003601074219</v>
      </c>
      <c r="E233" s="123">
        <v>18.660999298095703</v>
      </c>
      <c r="F233" s="123">
        <v>0</v>
      </c>
      <c r="G233" s="124">
        <v>17.982000350952148</v>
      </c>
      <c r="H233" s="125">
        <v>354</v>
      </c>
      <c r="I233" s="123">
        <v>316</v>
      </c>
      <c r="J233" s="123">
        <v>59.941001892089844</v>
      </c>
      <c r="K233" s="123">
        <v>60.149192810058594</v>
      </c>
      <c r="L233" s="123">
        <v>98.606002807617188</v>
      </c>
      <c r="M233" s="123">
        <v>11.64900016784668</v>
      </c>
      <c r="N233" s="123">
        <v>17.430999755859375</v>
      </c>
      <c r="O233" s="123">
        <v>16</v>
      </c>
      <c r="P233" s="123">
        <v>0</v>
      </c>
      <c r="Q233" s="123">
        <v>16.601823806762695</v>
      </c>
      <c r="R233" s="123">
        <v>4.9968748092651367</v>
      </c>
      <c r="S233" s="123">
        <v>5.3497090339660645</v>
      </c>
      <c r="T233" s="123">
        <v>0</v>
      </c>
      <c r="U233" s="123">
        <v>0</v>
      </c>
      <c r="V233" s="125">
        <v>838</v>
      </c>
      <c r="W233" s="123">
        <v>27.306474685668945</v>
      </c>
      <c r="X233" s="123">
        <v>24.881000518798828</v>
      </c>
      <c r="Y233" s="123">
        <v>6.2979998588562012</v>
      </c>
      <c r="Z233" s="123">
        <v>0</v>
      </c>
      <c r="AA233" s="123">
        <v>20.809000015258789</v>
      </c>
      <c r="AB233" s="123">
        <v>0</v>
      </c>
      <c r="AC233" s="123">
        <v>50.790557861328125</v>
      </c>
      <c r="AD233" s="123">
        <v>6.1069998741149902</v>
      </c>
      <c r="AE233" s="123">
        <v>0</v>
      </c>
      <c r="AF233" s="123">
        <v>78.74151611328125</v>
      </c>
      <c r="AG233" s="123">
        <v>0</v>
      </c>
      <c r="AH233" s="123">
        <v>59.571144104003906</v>
      </c>
      <c r="AI233" s="123">
        <v>13.041000366210938</v>
      </c>
      <c r="AJ233" s="123">
        <v>16.166887283325195</v>
      </c>
      <c r="AK233" s="123">
        <v>37.144126892089844</v>
      </c>
      <c r="AL233" s="123">
        <v>36.048999786376953</v>
      </c>
      <c r="AM233" s="126">
        <v>53.119998931884766</v>
      </c>
      <c r="AN233" s="125">
        <v>110.75</v>
      </c>
      <c r="AO233" s="127">
        <v>56</v>
      </c>
      <c r="AP233" s="123">
        <v>60.183757781982422</v>
      </c>
      <c r="AQ233" s="123">
        <v>33.215618133544922</v>
      </c>
      <c r="AR233" s="123">
        <v>96</v>
      </c>
      <c r="AS233" s="123"/>
      <c r="AT233" s="123">
        <v>107</v>
      </c>
      <c r="AU233" s="123"/>
      <c r="AV233" s="123">
        <v>59</v>
      </c>
      <c r="AW233" s="123"/>
      <c r="AX233" s="123">
        <v>30</v>
      </c>
      <c r="AY233" s="123">
        <v>32.300491333007813</v>
      </c>
      <c r="AZ233" s="123">
        <v>13</v>
      </c>
      <c r="BA233" s="123"/>
      <c r="BB233" s="123">
        <v>178</v>
      </c>
      <c r="BC233" s="123">
        <v>180.82830810546875</v>
      </c>
      <c r="BD233" s="123">
        <v>6.5999999046325684</v>
      </c>
      <c r="BE233" s="123">
        <v>6.684760570526123</v>
      </c>
      <c r="BF233" s="123">
        <v>29</v>
      </c>
      <c r="BG233" s="123">
        <v>10</v>
      </c>
      <c r="BH233" s="123">
        <v>10.953269958496094</v>
      </c>
      <c r="BI233" s="123"/>
      <c r="BJ233" s="108">
        <f t="shared" si="10"/>
        <v>11</v>
      </c>
      <c r="BK233" s="123">
        <v>11</v>
      </c>
      <c r="BL233" s="123">
        <v>0</v>
      </c>
      <c r="BM233" s="126"/>
      <c r="BN233" s="108">
        <f t="shared" si="11"/>
        <v>120.20000076293945</v>
      </c>
      <c r="BO233" s="108">
        <v>72</v>
      </c>
      <c r="BP233" s="108">
        <v>48.200000762939453</v>
      </c>
      <c r="BQ233" s="108">
        <v>259</v>
      </c>
      <c r="BR233" s="123">
        <v>65.596000671386719</v>
      </c>
      <c r="BS233" s="123">
        <v>23.665000915527344</v>
      </c>
      <c r="BT233" s="123">
        <v>40.523998260498047</v>
      </c>
      <c r="BU233" s="123">
        <v>34.86199951171875</v>
      </c>
      <c r="BV233" s="123">
        <v>69.099998474121094</v>
      </c>
      <c r="BW233" s="123">
        <v>5.8000001907348633</v>
      </c>
      <c r="BX233" s="123">
        <v>13.800000190734863</v>
      </c>
      <c r="BY233" s="123">
        <v>28</v>
      </c>
      <c r="BZ233" s="123">
        <v>1.4047373086214066E-2</v>
      </c>
      <c r="CA233" s="123">
        <v>1</v>
      </c>
      <c r="CB233" s="123">
        <v>29.27867317199707</v>
      </c>
      <c r="CC233" s="126"/>
      <c r="CD233" s="123">
        <v>337.643798828125</v>
      </c>
      <c r="CE233" s="123">
        <v>32.488971710205078</v>
      </c>
      <c r="CF233" s="123">
        <v>18.636001586914063</v>
      </c>
      <c r="CG233" s="123">
        <v>35.338191986083984</v>
      </c>
      <c r="CH233" s="123">
        <v>274.25564575195313</v>
      </c>
      <c r="CI233" s="123">
        <v>77.135154724121094</v>
      </c>
      <c r="CJ233" s="123">
        <v>32.232795715332031</v>
      </c>
      <c r="CK233" s="123">
        <v>49.571430206298828</v>
      </c>
      <c r="CL233" s="124">
        <v>25.574895858764648</v>
      </c>
      <c r="CM233" s="125">
        <v>182.86135864257813</v>
      </c>
      <c r="CN233" s="123">
        <v>49.930461883544922</v>
      </c>
      <c r="CO233" s="123">
        <v>54.593963623046875</v>
      </c>
      <c r="CP233" s="123">
        <v>73.434715270996094</v>
      </c>
      <c r="CQ233" s="123">
        <v>0</v>
      </c>
      <c r="CR233" s="123">
        <v>47.706241607666016</v>
      </c>
      <c r="CS233" s="123">
        <v>8.2936506271362305</v>
      </c>
      <c r="CT233" s="123">
        <v>32.862522125244141</v>
      </c>
      <c r="CU233" s="123">
        <v>39.002235412597656</v>
      </c>
      <c r="CV233" s="124">
        <v>66.491172790527344</v>
      </c>
      <c r="CW233" s="125">
        <v>3</v>
      </c>
      <c r="CX233" s="123">
        <v>303</v>
      </c>
      <c r="CY233" s="123">
        <v>114.24169158935547</v>
      </c>
      <c r="CZ233" s="123">
        <v>45.767768859863281</v>
      </c>
      <c r="DA233" s="123">
        <v>19.404764175415039</v>
      </c>
      <c r="DB233" s="123">
        <v>34.484325408935547</v>
      </c>
      <c r="DC233" s="123">
        <v>73.19097900390625</v>
      </c>
      <c r="DD233" s="123">
        <v>52</v>
      </c>
      <c r="DE233" s="123">
        <v>169</v>
      </c>
      <c r="DF233" s="123">
        <v>99.080940246582031</v>
      </c>
      <c r="DG233" s="123">
        <v>64.622695922851563</v>
      </c>
      <c r="DH233" s="123">
        <v>43.422573089599609</v>
      </c>
      <c r="DI233" s="128">
        <v>37.922500610351563</v>
      </c>
      <c r="DJ233" s="127">
        <v>204</v>
      </c>
      <c r="DK233" s="123">
        <v>103.31400299072266</v>
      </c>
      <c r="DL233" s="123">
        <v>23.636999130249023</v>
      </c>
      <c r="DM233" s="123">
        <v>25.799999237060547</v>
      </c>
      <c r="DN233" s="123">
        <v>47.535999298095703</v>
      </c>
      <c r="DO233" s="124">
        <v>110.56654357910156</v>
      </c>
      <c r="DP233" s="125">
        <v>15.23900032043457</v>
      </c>
      <c r="DQ233" s="123"/>
      <c r="DR233" s="125">
        <v>0</v>
      </c>
      <c r="DS233" s="128">
        <v>30.399999618530273</v>
      </c>
      <c r="DT233" s="127">
        <v>12</v>
      </c>
      <c r="DU233" s="123"/>
      <c r="DV233" s="123">
        <v>7</v>
      </c>
      <c r="DW233" s="123">
        <v>3.769132137298584</v>
      </c>
      <c r="DX233" s="125">
        <v>10</v>
      </c>
      <c r="DY233" s="128"/>
      <c r="DZ233" s="127">
        <v>45</v>
      </c>
      <c r="EA233" s="123">
        <v>3</v>
      </c>
      <c r="EB233" s="123">
        <v>0</v>
      </c>
      <c r="EC233" s="123">
        <v>1</v>
      </c>
      <c r="ED233" s="123">
        <v>235.80000305175781</v>
      </c>
      <c r="EE233" s="129"/>
      <c r="EF233" s="129"/>
      <c r="EG233" s="129"/>
    </row>
    <row r="234" spans="1:137" x14ac:dyDescent="0.3">
      <c r="A234" s="226">
        <f t="shared" si="12"/>
        <v>46020.159722222743</v>
      </c>
      <c r="B234" s="123">
        <v>215</v>
      </c>
      <c r="C234" s="123">
        <v>47.160999298095703</v>
      </c>
      <c r="D234" s="123">
        <v>95.792999267578125</v>
      </c>
      <c r="E234" s="123">
        <v>17.416000366210938</v>
      </c>
      <c r="F234" s="123">
        <v>0</v>
      </c>
      <c r="G234" s="124">
        <v>18.094999313354492</v>
      </c>
      <c r="H234" s="125">
        <v>354</v>
      </c>
      <c r="I234" s="123">
        <v>316</v>
      </c>
      <c r="J234" s="123">
        <v>59.941001892089844</v>
      </c>
      <c r="K234" s="123">
        <v>60.450107574462891</v>
      </c>
      <c r="L234" s="123">
        <v>97.722999572753906</v>
      </c>
      <c r="M234" s="123">
        <v>12.10099983215332</v>
      </c>
      <c r="N234" s="123">
        <v>17.621000289916992</v>
      </c>
      <c r="O234" s="123">
        <v>16</v>
      </c>
      <c r="P234" s="123">
        <v>0</v>
      </c>
      <c r="Q234" s="123">
        <v>16.601823806762695</v>
      </c>
      <c r="R234" s="123">
        <v>4.9968748092651367</v>
      </c>
      <c r="S234" s="123">
        <v>4.9226036071777344</v>
      </c>
      <c r="T234" s="123">
        <v>0</v>
      </c>
      <c r="U234" s="123">
        <v>0</v>
      </c>
      <c r="V234" s="125">
        <v>843</v>
      </c>
      <c r="W234" s="123">
        <v>26.181575775146484</v>
      </c>
      <c r="X234" s="123">
        <v>24.767999649047852</v>
      </c>
      <c r="Y234" s="123">
        <v>6.0430002212524414</v>
      </c>
      <c r="Z234" s="123">
        <v>0</v>
      </c>
      <c r="AA234" s="123">
        <v>20.131000518798828</v>
      </c>
      <c r="AB234" s="123">
        <v>0</v>
      </c>
      <c r="AC234" s="123">
        <v>51.736278533935547</v>
      </c>
      <c r="AD234" s="123">
        <v>6.3610000610351563</v>
      </c>
      <c r="AE234" s="123">
        <v>0</v>
      </c>
      <c r="AF234" s="123">
        <v>79.050605773925781</v>
      </c>
      <c r="AG234" s="123">
        <v>0</v>
      </c>
      <c r="AH234" s="123">
        <v>60.078773498535156</v>
      </c>
      <c r="AI234" s="123">
        <v>12.786999702453613</v>
      </c>
      <c r="AJ234" s="123">
        <v>16.536678314208984</v>
      </c>
      <c r="AK234" s="123">
        <v>36.238948822021484</v>
      </c>
      <c r="AL234" s="123">
        <v>36.226001739501953</v>
      </c>
      <c r="AM234" s="126">
        <v>56.681999206542969</v>
      </c>
      <c r="AN234" s="125">
        <v>111.4375</v>
      </c>
      <c r="AO234" s="127">
        <v>57</v>
      </c>
      <c r="AP234" s="123">
        <v>59.451728820800781</v>
      </c>
      <c r="AQ234" s="123">
        <v>33.713253021240234</v>
      </c>
      <c r="AR234" s="123">
        <v>96</v>
      </c>
      <c r="AS234" s="123"/>
      <c r="AT234" s="123">
        <v>107</v>
      </c>
      <c r="AU234" s="123"/>
      <c r="AV234" s="123">
        <v>57</v>
      </c>
      <c r="AW234" s="123"/>
      <c r="AX234" s="123">
        <v>30</v>
      </c>
      <c r="AY234" s="123">
        <v>32.574794769287109</v>
      </c>
      <c r="AZ234" s="123">
        <v>13</v>
      </c>
      <c r="BA234" s="123"/>
      <c r="BB234" s="123">
        <v>179</v>
      </c>
      <c r="BC234" s="123">
        <v>177.50564575195313</v>
      </c>
      <c r="BD234" s="123">
        <v>6.9000000953674316</v>
      </c>
      <c r="BE234" s="123">
        <v>6.786933422088623</v>
      </c>
      <c r="BF234" s="123">
        <v>30</v>
      </c>
      <c r="BG234" s="123">
        <v>10</v>
      </c>
      <c r="BH234" s="123">
        <v>11.07201099395752</v>
      </c>
      <c r="BI234" s="123"/>
      <c r="BJ234" s="108">
        <f t="shared" si="10"/>
        <v>11</v>
      </c>
      <c r="BK234" s="123">
        <v>11</v>
      </c>
      <c r="BL234" s="123">
        <v>0</v>
      </c>
      <c r="BM234" s="126"/>
      <c r="BN234" s="108">
        <f t="shared" si="11"/>
        <v>120.20000076293945</v>
      </c>
      <c r="BO234" s="108">
        <v>72</v>
      </c>
      <c r="BP234" s="108">
        <v>48.200000762939453</v>
      </c>
      <c r="BQ234" s="108">
        <v>259</v>
      </c>
      <c r="BR234" s="123">
        <v>67.291999816894531</v>
      </c>
      <c r="BS234" s="123">
        <v>25.445999145507813</v>
      </c>
      <c r="BT234" s="123">
        <v>40.176998138427734</v>
      </c>
      <c r="BU234" s="123">
        <v>33.652999877929688</v>
      </c>
      <c r="BV234" s="123">
        <v>69.099998474121094</v>
      </c>
      <c r="BW234" s="123">
        <v>5.9000000953674316</v>
      </c>
      <c r="BX234" s="123">
        <v>13.699999809265137</v>
      </c>
      <c r="BY234" s="123">
        <v>29</v>
      </c>
      <c r="BZ234" s="123">
        <v>1.5390422195196152E-2</v>
      </c>
      <c r="CA234" s="123">
        <v>1</v>
      </c>
      <c r="CB234" s="123">
        <v>29.27867317199707</v>
      </c>
      <c r="CC234" s="126"/>
      <c r="CD234" s="123">
        <v>338.81082153320313</v>
      </c>
      <c r="CE234" s="123">
        <v>31.802606582641602</v>
      </c>
      <c r="CF234" s="123">
        <v>18.641513824462891</v>
      </c>
      <c r="CG234" s="123">
        <v>35.338191986083984</v>
      </c>
      <c r="CH234" s="123">
        <v>273.06692504882813</v>
      </c>
      <c r="CI234" s="123">
        <v>78.101020812988281</v>
      </c>
      <c r="CJ234" s="123">
        <v>33.155654907226563</v>
      </c>
      <c r="CK234" s="123">
        <v>48.868095397949219</v>
      </c>
      <c r="CL234" s="124">
        <v>25.355657577514648</v>
      </c>
      <c r="CM234" s="125">
        <v>184.03984069824219</v>
      </c>
      <c r="CN234" s="123">
        <v>53.245567321777344</v>
      </c>
      <c r="CO234" s="123">
        <v>54.638225555419922</v>
      </c>
      <c r="CP234" s="123">
        <v>73.64593505859375</v>
      </c>
      <c r="CQ234" s="123">
        <v>0</v>
      </c>
      <c r="CR234" s="123">
        <v>48.891750335693359</v>
      </c>
      <c r="CS234" s="123">
        <v>8.2014789581298828</v>
      </c>
      <c r="CT234" s="123">
        <v>31.950708389282227</v>
      </c>
      <c r="CU234" s="123">
        <v>41.639934539794922</v>
      </c>
      <c r="CV234" s="124">
        <v>65.234367370605469</v>
      </c>
      <c r="CW234" s="125">
        <v>2</v>
      </c>
      <c r="CX234" s="123">
        <v>299</v>
      </c>
      <c r="CY234" s="123">
        <v>114.57987976074219</v>
      </c>
      <c r="CZ234" s="123">
        <v>45.012168884277344</v>
      </c>
      <c r="DA234" s="123">
        <v>19.998622894287109</v>
      </c>
      <c r="DB234" s="123">
        <v>33.691741943359375</v>
      </c>
      <c r="DC234" s="123">
        <v>71.983879089355469</v>
      </c>
      <c r="DD234" s="123">
        <v>53</v>
      </c>
      <c r="DE234" s="123">
        <v>168</v>
      </c>
      <c r="DF234" s="123">
        <v>99.876182556152344</v>
      </c>
      <c r="DG234" s="123">
        <v>64.553482055664063</v>
      </c>
      <c r="DH234" s="123">
        <v>42.348506927490234</v>
      </c>
      <c r="DI234" s="128">
        <v>38.000865936279297</v>
      </c>
      <c r="DJ234" s="127">
        <v>203</v>
      </c>
      <c r="DK234" s="123">
        <v>103.05899810791016</v>
      </c>
      <c r="DL234" s="123">
        <v>25.785999298095703</v>
      </c>
      <c r="DM234" s="123">
        <v>24.38599967956543</v>
      </c>
      <c r="DN234" s="123">
        <v>49.125999450683594</v>
      </c>
      <c r="DO234" s="124">
        <v>110.81674957275391</v>
      </c>
      <c r="DP234" s="125">
        <v>15.23900032043457</v>
      </c>
      <c r="DQ234" s="123"/>
      <c r="DR234" s="125">
        <v>0</v>
      </c>
      <c r="DS234" s="128">
        <v>29.200000762939453</v>
      </c>
      <c r="DT234" s="127">
        <v>12</v>
      </c>
      <c r="DU234" s="123"/>
      <c r="DV234" s="123">
        <v>10</v>
      </c>
      <c r="DW234" s="123">
        <v>3.4572606086730957</v>
      </c>
      <c r="DX234" s="125">
        <v>10</v>
      </c>
      <c r="DY234" s="128"/>
      <c r="DZ234" s="127">
        <v>45</v>
      </c>
      <c r="EA234" s="123">
        <v>3</v>
      </c>
      <c r="EB234" s="123">
        <v>0</v>
      </c>
      <c r="EC234" s="123">
        <v>1</v>
      </c>
      <c r="ED234" s="123">
        <v>233.19999694824219</v>
      </c>
      <c r="EE234" s="129"/>
      <c r="EF234" s="129"/>
      <c r="EG234" s="129"/>
    </row>
    <row r="235" spans="1:137" x14ac:dyDescent="0.3">
      <c r="A235" s="226">
        <f t="shared" si="12"/>
        <v>46020.16041666719</v>
      </c>
      <c r="B235" s="123">
        <v>211</v>
      </c>
      <c r="C235" s="123">
        <v>48.743999481201172</v>
      </c>
      <c r="D235" s="123">
        <v>97.942001342773438</v>
      </c>
      <c r="E235" s="123">
        <v>36.416999816894531</v>
      </c>
      <c r="F235" s="123">
        <v>0</v>
      </c>
      <c r="G235" s="124">
        <v>16.964000701904297</v>
      </c>
      <c r="H235" s="125">
        <v>355</v>
      </c>
      <c r="I235" s="123">
        <v>317</v>
      </c>
      <c r="J235" s="123">
        <v>58.018001556396484</v>
      </c>
      <c r="K235" s="123">
        <v>59.787193298339844</v>
      </c>
      <c r="L235" s="123">
        <v>98.606002807617188</v>
      </c>
      <c r="M235" s="123">
        <v>12.21399974822998</v>
      </c>
      <c r="N235" s="123">
        <v>18.702999114990234</v>
      </c>
      <c r="O235" s="123">
        <v>17</v>
      </c>
      <c r="P235" s="123">
        <v>0</v>
      </c>
      <c r="Q235" s="123">
        <v>17.157951354980469</v>
      </c>
      <c r="R235" s="123">
        <v>4.9968748092651367</v>
      </c>
      <c r="S235" s="123">
        <v>6.0760488510131836</v>
      </c>
      <c r="T235" s="123">
        <v>0</v>
      </c>
      <c r="U235" s="123">
        <v>0</v>
      </c>
      <c r="V235" s="125">
        <v>845</v>
      </c>
      <c r="W235" s="123">
        <v>26.43745231628418</v>
      </c>
      <c r="X235" s="123">
        <v>24.655000686645508</v>
      </c>
      <c r="Y235" s="123">
        <v>6.0430002212524414</v>
      </c>
      <c r="Z235" s="123">
        <v>0</v>
      </c>
      <c r="AA235" s="123">
        <v>20.243999481201172</v>
      </c>
      <c r="AB235" s="123">
        <v>0</v>
      </c>
      <c r="AC235" s="123">
        <v>51.869468688964844</v>
      </c>
      <c r="AD235" s="123">
        <v>6.3610000610351563</v>
      </c>
      <c r="AE235" s="123">
        <v>0</v>
      </c>
      <c r="AF235" s="123">
        <v>79.445289611816406</v>
      </c>
      <c r="AG235" s="123">
        <v>0</v>
      </c>
      <c r="AH235" s="123">
        <v>60.210746765136719</v>
      </c>
      <c r="AI235" s="123">
        <v>12.340999603271484</v>
      </c>
      <c r="AJ235" s="123">
        <v>16.824357986450195</v>
      </c>
      <c r="AK235" s="123">
        <v>35.881904602050781</v>
      </c>
      <c r="AL235" s="123">
        <v>36.226001739501953</v>
      </c>
      <c r="AM235" s="126">
        <v>55.665000915527344</v>
      </c>
      <c r="AN235" s="125">
        <v>111.4375</v>
      </c>
      <c r="AO235" s="127">
        <v>57</v>
      </c>
      <c r="AP235" s="123">
        <v>60.327861785888672</v>
      </c>
      <c r="AQ235" s="123">
        <v>34.998683929443359</v>
      </c>
      <c r="AR235" s="123">
        <v>97</v>
      </c>
      <c r="AS235" s="123"/>
      <c r="AT235" s="123">
        <v>107</v>
      </c>
      <c r="AU235" s="123"/>
      <c r="AV235" s="123">
        <v>51</v>
      </c>
      <c r="AW235" s="123"/>
      <c r="AX235" s="123">
        <v>28</v>
      </c>
      <c r="AY235" s="123">
        <v>31.955780029296875</v>
      </c>
      <c r="AZ235" s="123">
        <v>12</v>
      </c>
      <c r="BA235" s="123"/>
      <c r="BB235" s="123">
        <v>179</v>
      </c>
      <c r="BC235" s="123">
        <v>178.96212768554688</v>
      </c>
      <c r="BD235" s="123">
        <v>6.9000000953674316</v>
      </c>
      <c r="BE235" s="123">
        <v>6.764284610748291</v>
      </c>
      <c r="BF235" s="123">
        <v>30</v>
      </c>
      <c r="BG235" s="123">
        <v>11</v>
      </c>
      <c r="BH235" s="123">
        <v>11.128671646118164</v>
      </c>
      <c r="BI235" s="123"/>
      <c r="BJ235" s="108">
        <f t="shared" si="10"/>
        <v>11</v>
      </c>
      <c r="BK235" s="123">
        <v>11</v>
      </c>
      <c r="BL235" s="123">
        <v>0</v>
      </c>
      <c r="BM235" s="126"/>
      <c r="BN235" s="108">
        <f t="shared" si="11"/>
        <v>121.20000076293945</v>
      </c>
      <c r="BO235" s="108">
        <v>72</v>
      </c>
      <c r="BP235" s="108">
        <v>49.200000762939453</v>
      </c>
      <c r="BQ235" s="108">
        <v>262</v>
      </c>
      <c r="BR235" s="123">
        <v>64.351997375488281</v>
      </c>
      <c r="BS235" s="123">
        <v>27.482000350952148</v>
      </c>
      <c r="BT235" s="123">
        <v>40.176998138427734</v>
      </c>
      <c r="BU235" s="123">
        <v>33.716999053955078</v>
      </c>
      <c r="BV235" s="123">
        <v>68.699996948242188</v>
      </c>
      <c r="BW235" s="123">
        <v>5.8000001907348633</v>
      </c>
      <c r="BX235" s="123">
        <v>13.5</v>
      </c>
      <c r="BY235" s="123">
        <v>28</v>
      </c>
      <c r="BZ235" s="123">
        <v>1.3299955986440182E-2</v>
      </c>
      <c r="CA235" s="123">
        <v>1</v>
      </c>
      <c r="CB235" s="123">
        <v>29.211931228637695</v>
      </c>
      <c r="CC235" s="126"/>
      <c r="CD235" s="123">
        <v>332.70761108398438</v>
      </c>
      <c r="CE235" s="123">
        <v>32.183448791503906</v>
      </c>
      <c r="CF235" s="123">
        <v>18.570919036865234</v>
      </c>
      <c r="CG235" s="123">
        <v>35.338191986083984</v>
      </c>
      <c r="CH235" s="123">
        <v>272.8841552734375</v>
      </c>
      <c r="CI235" s="123">
        <v>76.728729248046875</v>
      </c>
      <c r="CJ235" s="123">
        <v>34.706371307373047</v>
      </c>
      <c r="CK235" s="123">
        <v>46.409992218017578</v>
      </c>
      <c r="CL235" s="124">
        <v>25.352121353149414</v>
      </c>
      <c r="CM235" s="125">
        <v>189.63951110839844</v>
      </c>
      <c r="CN235" s="123">
        <v>55.914398193359375</v>
      </c>
      <c r="CO235" s="123">
        <v>55.680168151855469</v>
      </c>
      <c r="CP235" s="123">
        <v>76.086929321289063</v>
      </c>
      <c r="CQ235" s="123">
        <v>0</v>
      </c>
      <c r="CR235" s="123">
        <v>49.421863555908203</v>
      </c>
      <c r="CS235" s="123">
        <v>8.4898910522460938</v>
      </c>
      <c r="CT235" s="123">
        <v>31.325971603393555</v>
      </c>
      <c r="CU235" s="123">
        <v>40.051410675048828</v>
      </c>
      <c r="CV235" s="124">
        <v>62.397045135498047</v>
      </c>
      <c r="CW235" s="125">
        <v>9</v>
      </c>
      <c r="CX235" s="123">
        <v>297</v>
      </c>
      <c r="CY235" s="123">
        <v>112.42929840087891</v>
      </c>
      <c r="CZ235" s="123">
        <v>44.853763580322266</v>
      </c>
      <c r="DA235" s="123">
        <v>19.695333480834961</v>
      </c>
      <c r="DB235" s="123">
        <v>31.234212875366211</v>
      </c>
      <c r="DC235" s="123">
        <v>71.799003601074219</v>
      </c>
      <c r="DD235" s="123">
        <v>52</v>
      </c>
      <c r="DE235" s="123">
        <v>168</v>
      </c>
      <c r="DF235" s="123">
        <v>98.392005920410156</v>
      </c>
      <c r="DG235" s="123">
        <v>65.715675354003906</v>
      </c>
      <c r="DH235" s="123">
        <v>42.076381683349609</v>
      </c>
      <c r="DI235" s="128">
        <v>38.629104614257813</v>
      </c>
      <c r="DJ235" s="127">
        <v>203</v>
      </c>
      <c r="DK235" s="123">
        <v>101.53299713134766</v>
      </c>
      <c r="DL235" s="123">
        <v>24.655000686645508</v>
      </c>
      <c r="DM235" s="123">
        <v>24.38599967956543</v>
      </c>
      <c r="DN235" s="123">
        <v>49.125999450683594</v>
      </c>
      <c r="DO235" s="124">
        <v>111.80537414550781</v>
      </c>
      <c r="DP235" s="125">
        <v>15.607000350952148</v>
      </c>
      <c r="DQ235" s="123"/>
      <c r="DR235" s="125">
        <v>0</v>
      </c>
      <c r="DS235" s="128">
        <v>29.799999237060547</v>
      </c>
      <c r="DT235" s="127">
        <v>12</v>
      </c>
      <c r="DU235" s="123"/>
      <c r="DV235" s="123">
        <v>9</v>
      </c>
      <c r="DW235" s="123">
        <v>3.2423887252807617</v>
      </c>
      <c r="DX235" s="125">
        <v>10</v>
      </c>
      <c r="DY235" s="128"/>
      <c r="DZ235" s="127">
        <v>43</v>
      </c>
      <c r="EA235" s="123">
        <v>3</v>
      </c>
      <c r="EB235" s="123">
        <v>0</v>
      </c>
      <c r="EC235" s="123">
        <v>1</v>
      </c>
      <c r="ED235" s="123">
        <v>236.10000610351563</v>
      </c>
      <c r="EE235" s="129"/>
      <c r="EF235" s="129"/>
      <c r="EG235" s="129"/>
    </row>
    <row r="236" spans="1:137" x14ac:dyDescent="0.3">
      <c r="A236" s="226">
        <f t="shared" si="12"/>
        <v>46020.161111111636</v>
      </c>
      <c r="B236" s="123">
        <v>210</v>
      </c>
      <c r="C236" s="123">
        <v>48.291999816894531</v>
      </c>
      <c r="D236" s="123">
        <v>96.697998046875</v>
      </c>
      <c r="E236" s="123">
        <v>37.095001220703125</v>
      </c>
      <c r="F236" s="123">
        <v>0</v>
      </c>
      <c r="G236" s="124">
        <v>17.190000534057617</v>
      </c>
      <c r="H236" s="125">
        <v>355</v>
      </c>
      <c r="I236" s="123">
        <v>308</v>
      </c>
      <c r="J236" s="123">
        <v>60.958999633789063</v>
      </c>
      <c r="K236" s="123">
        <v>59.640781402587891</v>
      </c>
      <c r="L236" s="123">
        <v>99.489997863769531</v>
      </c>
      <c r="M236" s="123">
        <v>11.64900016784668</v>
      </c>
      <c r="N236" s="123">
        <v>17.684999465942383</v>
      </c>
      <c r="O236" s="123">
        <v>17</v>
      </c>
      <c r="P236" s="123">
        <v>0</v>
      </c>
      <c r="Q236" s="123">
        <v>17.064119338989258</v>
      </c>
      <c r="R236" s="123">
        <v>0</v>
      </c>
      <c r="S236" s="123">
        <v>4.814145565032959</v>
      </c>
      <c r="T236" s="123">
        <v>0</v>
      </c>
      <c r="U236" s="123">
        <v>0</v>
      </c>
      <c r="V236" s="125">
        <v>842</v>
      </c>
      <c r="W236" s="123">
        <v>27.384273529052734</v>
      </c>
      <c r="X236" s="123">
        <v>24.655000686645508</v>
      </c>
      <c r="Y236" s="123">
        <v>6.4879999160766602</v>
      </c>
      <c r="Z236" s="123">
        <v>0</v>
      </c>
      <c r="AA236" s="123">
        <v>20.357000350952148</v>
      </c>
      <c r="AB236" s="123">
        <v>0</v>
      </c>
      <c r="AC236" s="123">
        <v>51.191219329833984</v>
      </c>
      <c r="AD236" s="123">
        <v>6.6160001754760742</v>
      </c>
      <c r="AE236" s="123">
        <v>0</v>
      </c>
      <c r="AF236" s="123">
        <v>79.580253601074219</v>
      </c>
      <c r="AG236" s="123">
        <v>0</v>
      </c>
      <c r="AH236" s="123">
        <v>59.004257202148438</v>
      </c>
      <c r="AI236" s="123">
        <v>14.25</v>
      </c>
      <c r="AJ236" s="123">
        <v>18.022989273071289</v>
      </c>
      <c r="AK236" s="123">
        <v>35.561222076416016</v>
      </c>
      <c r="AL236" s="123">
        <v>37.463001251220703</v>
      </c>
      <c r="AM236" s="126">
        <v>54.391998291015625</v>
      </c>
      <c r="AN236" s="125">
        <v>112.75</v>
      </c>
      <c r="AO236" s="127">
        <v>58</v>
      </c>
      <c r="AP236" s="123">
        <v>60.305484771728516</v>
      </c>
      <c r="AQ236" s="123">
        <v>34.854591369628906</v>
      </c>
      <c r="AR236" s="123">
        <v>96</v>
      </c>
      <c r="AS236" s="123"/>
      <c r="AT236" s="123">
        <v>108</v>
      </c>
      <c r="AU236" s="123"/>
      <c r="AV236" s="123">
        <v>52</v>
      </c>
      <c r="AW236" s="123"/>
      <c r="AX236" s="123">
        <v>30</v>
      </c>
      <c r="AY236" s="123">
        <v>32.981452941894531</v>
      </c>
      <c r="AZ236" s="123">
        <v>12</v>
      </c>
      <c r="BA236" s="123"/>
      <c r="BB236" s="123">
        <v>178</v>
      </c>
      <c r="BC236" s="123">
        <v>174.86241149902344</v>
      </c>
      <c r="BD236" s="123">
        <v>6.5999999046325684</v>
      </c>
      <c r="BE236" s="123">
        <v>6.6877284049987793</v>
      </c>
      <c r="BF236" s="123">
        <v>30</v>
      </c>
      <c r="BG236" s="123">
        <v>10</v>
      </c>
      <c r="BH236" s="123">
        <v>11.028010368347168</v>
      </c>
      <c r="BI236" s="123"/>
      <c r="BJ236" s="108">
        <f t="shared" si="10"/>
        <v>11</v>
      </c>
      <c r="BK236" s="123">
        <v>11</v>
      </c>
      <c r="BL236" s="123">
        <v>0</v>
      </c>
      <c r="BM236" s="126"/>
      <c r="BN236" s="108">
        <f t="shared" si="11"/>
        <v>122</v>
      </c>
      <c r="BO236" s="108">
        <v>73</v>
      </c>
      <c r="BP236" s="108">
        <v>49</v>
      </c>
      <c r="BQ236" s="108">
        <v>257</v>
      </c>
      <c r="BR236" s="123">
        <v>64.351997375488281</v>
      </c>
      <c r="BS236" s="123">
        <v>23.156000137329102</v>
      </c>
      <c r="BT236" s="123">
        <v>40.176998138427734</v>
      </c>
      <c r="BU236" s="123">
        <v>33.907001495361328</v>
      </c>
      <c r="BV236" s="123">
        <v>68.199996948242188</v>
      </c>
      <c r="BW236" s="123">
        <v>5.9000000953674316</v>
      </c>
      <c r="BX236" s="123">
        <v>13.5</v>
      </c>
      <c r="BY236" s="123">
        <v>28</v>
      </c>
      <c r="BZ236" s="123">
        <v>1.3076749630272388E-2</v>
      </c>
      <c r="CA236" s="123">
        <v>1</v>
      </c>
      <c r="CB236" s="123">
        <v>29.161825180053711</v>
      </c>
      <c r="CC236" s="126"/>
      <c r="CD236" s="123">
        <v>342.50173950195313</v>
      </c>
      <c r="CE236" s="123">
        <v>33.303020477294922</v>
      </c>
      <c r="CF236" s="123">
        <v>18.43980598449707</v>
      </c>
      <c r="CG236" s="123">
        <v>35.338191986083984</v>
      </c>
      <c r="CH236" s="123">
        <v>272.8304443359375</v>
      </c>
      <c r="CI236" s="123">
        <v>76.728729248046875</v>
      </c>
      <c r="CJ236" s="123">
        <v>33.124916076660156</v>
      </c>
      <c r="CK236" s="123">
        <v>46.681076049804688</v>
      </c>
      <c r="CL236" s="124">
        <v>26.397897720336914</v>
      </c>
      <c r="CM236" s="125">
        <v>189.79489135742188</v>
      </c>
      <c r="CN236" s="123">
        <v>56.054428100585938</v>
      </c>
      <c r="CO236" s="123">
        <v>55.623836517333984</v>
      </c>
      <c r="CP236" s="123">
        <v>75.387313842773438</v>
      </c>
      <c r="CQ236" s="123">
        <v>0</v>
      </c>
      <c r="CR236" s="123">
        <v>47.578815460205078</v>
      </c>
      <c r="CS236" s="123">
        <v>8.9243764877319336</v>
      </c>
      <c r="CT236" s="123">
        <v>32.035087585449219</v>
      </c>
      <c r="CU236" s="123">
        <v>39.727180480957031</v>
      </c>
      <c r="CV236" s="124">
        <v>65.085769653320313</v>
      </c>
      <c r="CW236" s="125">
        <v>2</v>
      </c>
      <c r="CX236" s="123">
        <v>294</v>
      </c>
      <c r="CY236" s="123">
        <v>112.35768127441406</v>
      </c>
      <c r="CZ236" s="123">
        <v>45.748214721679688</v>
      </c>
      <c r="DA236" s="123">
        <v>19.697957992553711</v>
      </c>
      <c r="DB236" s="123">
        <v>31.619499206542969</v>
      </c>
      <c r="DC236" s="123">
        <v>72.410133361816406</v>
      </c>
      <c r="DD236" s="123">
        <v>53</v>
      </c>
      <c r="DE236" s="123">
        <v>170</v>
      </c>
      <c r="DF236" s="123">
        <v>98.392005920410156</v>
      </c>
      <c r="DG236" s="123">
        <v>63.007358551025391</v>
      </c>
      <c r="DH236" s="123">
        <v>41.952877044677734</v>
      </c>
      <c r="DI236" s="128">
        <v>37.986190795898438</v>
      </c>
      <c r="DJ236" s="127">
        <v>204</v>
      </c>
      <c r="DK236" s="123">
        <v>103.31400299072266</v>
      </c>
      <c r="DL236" s="123">
        <v>25.107000350952148</v>
      </c>
      <c r="DM236" s="123">
        <v>24.916000366210938</v>
      </c>
      <c r="DN236" s="123">
        <v>48.772998809814453</v>
      </c>
      <c r="DO236" s="124">
        <v>109.65333557128906</v>
      </c>
      <c r="DP236" s="125">
        <v>15.579000473022461</v>
      </c>
      <c r="DQ236" s="123"/>
      <c r="DR236" s="125">
        <v>0</v>
      </c>
      <c r="DS236" s="128">
        <v>30.399999618530273</v>
      </c>
      <c r="DT236" s="127">
        <v>12</v>
      </c>
      <c r="DU236" s="123"/>
      <c r="DV236" s="123">
        <v>8</v>
      </c>
      <c r="DW236" s="123">
        <v>3.3042900562286377</v>
      </c>
      <c r="DX236" s="125">
        <v>10</v>
      </c>
      <c r="DY236" s="128"/>
      <c r="DZ236" s="127">
        <v>44</v>
      </c>
      <c r="EA236" s="123">
        <v>3</v>
      </c>
      <c r="EB236" s="123">
        <v>0</v>
      </c>
      <c r="EC236" s="123">
        <v>1</v>
      </c>
      <c r="ED236" s="123">
        <v>234.5</v>
      </c>
      <c r="EE236" s="129"/>
      <c r="EF236" s="129"/>
      <c r="EG236" s="129"/>
    </row>
    <row r="237" spans="1:137" x14ac:dyDescent="0.3">
      <c r="A237" s="226">
        <f t="shared" si="12"/>
        <v>46020.161805556083</v>
      </c>
      <c r="B237" s="123">
        <v>206</v>
      </c>
      <c r="C237" s="123">
        <v>50.554000854492188</v>
      </c>
      <c r="D237" s="123">
        <v>96.245002746582031</v>
      </c>
      <c r="E237" s="123">
        <v>35.625</v>
      </c>
      <c r="F237" s="123">
        <v>0</v>
      </c>
      <c r="G237" s="124">
        <v>16.964000701904297</v>
      </c>
      <c r="H237" s="125">
        <v>356</v>
      </c>
      <c r="I237" s="123">
        <v>320</v>
      </c>
      <c r="J237" s="123">
        <v>58.810001373291016</v>
      </c>
      <c r="K237" s="123">
        <v>59.196258544921875</v>
      </c>
      <c r="L237" s="123">
        <v>100.01999664306641</v>
      </c>
      <c r="M237" s="123">
        <v>12.439999580383301</v>
      </c>
      <c r="N237" s="123">
        <v>17.558000564575195</v>
      </c>
      <c r="O237" s="123">
        <v>17</v>
      </c>
      <c r="P237" s="123">
        <v>0</v>
      </c>
      <c r="Q237" s="123">
        <v>17.064119338989258</v>
      </c>
      <c r="R237" s="123">
        <v>0</v>
      </c>
      <c r="S237" s="123">
        <v>2.58742356300354</v>
      </c>
      <c r="T237" s="123">
        <v>0</v>
      </c>
      <c r="U237" s="123">
        <v>0</v>
      </c>
      <c r="V237" s="125">
        <v>850</v>
      </c>
      <c r="W237" s="123">
        <v>24.133712768554688</v>
      </c>
      <c r="X237" s="123">
        <v>24.315000534057617</v>
      </c>
      <c r="Y237" s="123">
        <v>6.3610000610351563</v>
      </c>
      <c r="Z237" s="123">
        <v>0</v>
      </c>
      <c r="AA237" s="123">
        <v>21.488000869750977</v>
      </c>
      <c r="AB237" s="123">
        <v>0</v>
      </c>
      <c r="AC237" s="123">
        <v>50.350090026855469</v>
      </c>
      <c r="AD237" s="123">
        <v>6.3610000610351563</v>
      </c>
      <c r="AE237" s="123">
        <v>0</v>
      </c>
      <c r="AF237" s="123">
        <v>79.777336120605469</v>
      </c>
      <c r="AG237" s="123">
        <v>0</v>
      </c>
      <c r="AH237" s="123">
        <v>60.562263488769531</v>
      </c>
      <c r="AI237" s="123">
        <v>12.404999732971191</v>
      </c>
      <c r="AJ237" s="123">
        <v>18.134147644042969</v>
      </c>
      <c r="AK237" s="123">
        <v>36.915660858154297</v>
      </c>
      <c r="AL237" s="123">
        <v>37.463001251220703</v>
      </c>
      <c r="AM237" s="126">
        <v>54.201000213623047</v>
      </c>
      <c r="AN237" s="125">
        <v>109.8125</v>
      </c>
      <c r="AO237" s="127">
        <v>57</v>
      </c>
      <c r="AP237" s="123">
        <v>60.259788513183594</v>
      </c>
      <c r="AQ237" s="123">
        <v>32.228397369384766</v>
      </c>
      <c r="AR237" s="123">
        <v>95</v>
      </c>
      <c r="AS237" s="123"/>
      <c r="AT237" s="123">
        <v>107</v>
      </c>
      <c r="AU237" s="123"/>
      <c r="AV237" s="123">
        <v>51</v>
      </c>
      <c r="AW237" s="123"/>
      <c r="AX237" s="123">
        <v>30</v>
      </c>
      <c r="AY237" s="123">
        <v>32.665664672851563</v>
      </c>
      <c r="AZ237" s="123">
        <v>12</v>
      </c>
      <c r="BA237" s="123"/>
      <c r="BB237" s="123">
        <v>178</v>
      </c>
      <c r="BC237" s="123">
        <v>178.88986206054688</v>
      </c>
      <c r="BD237" s="123">
        <v>6.5999999046325684</v>
      </c>
      <c r="BE237" s="123">
        <v>6.6863994598388672</v>
      </c>
      <c r="BF237" s="123">
        <v>29</v>
      </c>
      <c r="BG237" s="123">
        <v>10</v>
      </c>
      <c r="BH237" s="123">
        <v>11.039226531982422</v>
      </c>
      <c r="BI237" s="123"/>
      <c r="BJ237" s="108">
        <f t="shared" si="10"/>
        <v>12</v>
      </c>
      <c r="BK237" s="123">
        <v>12</v>
      </c>
      <c r="BL237" s="123">
        <v>0</v>
      </c>
      <c r="BM237" s="126"/>
      <c r="BN237" s="108">
        <f t="shared" si="11"/>
        <v>121</v>
      </c>
      <c r="BO237" s="108">
        <v>73</v>
      </c>
      <c r="BP237" s="108">
        <v>48</v>
      </c>
      <c r="BQ237" s="108">
        <v>257</v>
      </c>
      <c r="BR237" s="123">
        <v>68.30999755859375</v>
      </c>
      <c r="BS237" s="123">
        <v>25.191999435424805</v>
      </c>
      <c r="BT237" s="123">
        <v>40.869998931884766</v>
      </c>
      <c r="BU237" s="123">
        <v>34.034999847412109</v>
      </c>
      <c r="BV237" s="123">
        <v>67.900001525878906</v>
      </c>
      <c r="BW237" s="123">
        <v>5.8000001907348633</v>
      </c>
      <c r="BX237" s="123">
        <v>13.5</v>
      </c>
      <c r="BY237" s="123">
        <v>29</v>
      </c>
      <c r="BZ237" s="123">
        <v>1.6495572403073311E-2</v>
      </c>
      <c r="CA237" s="123">
        <v>1</v>
      </c>
      <c r="CB237" s="123">
        <v>29.133953094482422</v>
      </c>
      <c r="CC237" s="126"/>
      <c r="CD237" s="123">
        <v>336.53848266601563</v>
      </c>
      <c r="CE237" s="123">
        <v>32.410144805908203</v>
      </c>
      <c r="CF237" s="123">
        <v>17.421405792236328</v>
      </c>
      <c r="CG237" s="123">
        <v>35.338191986083984</v>
      </c>
      <c r="CH237" s="123">
        <v>272.63827514648438</v>
      </c>
      <c r="CI237" s="123">
        <v>80.110748291015625</v>
      </c>
      <c r="CJ237" s="123">
        <v>33.843990325927734</v>
      </c>
      <c r="CK237" s="123">
        <v>48.089729309082031</v>
      </c>
      <c r="CL237" s="124">
        <v>25.388004302978516</v>
      </c>
      <c r="CM237" s="125">
        <v>191.32341003417969</v>
      </c>
      <c r="CN237" s="123">
        <v>55.811977386474609</v>
      </c>
      <c r="CO237" s="123">
        <v>56.947139739990234</v>
      </c>
      <c r="CP237" s="123">
        <v>74.827644348144531</v>
      </c>
      <c r="CQ237" s="123">
        <v>0</v>
      </c>
      <c r="CR237" s="123">
        <v>47.679374694824219</v>
      </c>
      <c r="CS237" s="123">
        <v>9.276127815246582</v>
      </c>
      <c r="CT237" s="123">
        <v>35.934078216552734</v>
      </c>
      <c r="CU237" s="123">
        <v>37.531566619873047</v>
      </c>
      <c r="CV237" s="124">
        <v>61.394840240478516</v>
      </c>
      <c r="CW237" s="125">
        <v>1</v>
      </c>
      <c r="CX237" s="123">
        <v>298</v>
      </c>
      <c r="CY237" s="123">
        <v>113.98802185058594</v>
      </c>
      <c r="CZ237" s="123">
        <v>44.853599548339844</v>
      </c>
      <c r="DA237" s="123">
        <v>19.900175094604492</v>
      </c>
      <c r="DB237" s="123">
        <v>32.230754852294922</v>
      </c>
      <c r="DC237" s="123">
        <v>72.065635681152344</v>
      </c>
      <c r="DD237" s="123">
        <v>52</v>
      </c>
      <c r="DE237" s="123">
        <v>171</v>
      </c>
      <c r="DF237" s="123">
        <v>99.123619079589844</v>
      </c>
      <c r="DG237" s="123">
        <v>61.760616302490234</v>
      </c>
      <c r="DH237" s="123">
        <v>41.451164245605469</v>
      </c>
      <c r="DI237" s="128">
        <v>38.714900970458984</v>
      </c>
      <c r="DJ237" s="127">
        <v>204</v>
      </c>
      <c r="DK237" s="123">
        <v>103.05899810791016</v>
      </c>
      <c r="DL237" s="123">
        <v>22.844999313354492</v>
      </c>
      <c r="DM237" s="123">
        <v>25.445999145507813</v>
      </c>
      <c r="DN237" s="123">
        <v>49.303001403808594</v>
      </c>
      <c r="DO237" s="124">
        <v>110.63892364501953</v>
      </c>
      <c r="DP237" s="125">
        <v>15.12600040435791</v>
      </c>
      <c r="DQ237" s="123"/>
      <c r="DR237" s="125">
        <v>0</v>
      </c>
      <c r="DS237" s="128">
        <v>30.200000762939453</v>
      </c>
      <c r="DT237" s="127">
        <v>12</v>
      </c>
      <c r="DU237" s="123"/>
      <c r="DV237" s="123">
        <v>12</v>
      </c>
      <c r="DW237" s="123">
        <v>3.3205084800720215</v>
      </c>
      <c r="DX237" s="125">
        <v>10</v>
      </c>
      <c r="DY237" s="128"/>
      <c r="DZ237" s="127">
        <v>44</v>
      </c>
      <c r="EA237" s="123">
        <v>3</v>
      </c>
      <c r="EB237" s="123">
        <v>0</v>
      </c>
      <c r="EC237" s="123">
        <v>1</v>
      </c>
      <c r="ED237" s="123">
        <v>229.5</v>
      </c>
      <c r="EE237" s="129"/>
      <c r="EF237" s="129"/>
      <c r="EG237" s="129"/>
    </row>
    <row r="238" spans="1:137" x14ac:dyDescent="0.3">
      <c r="A238" s="226">
        <f t="shared" si="12"/>
        <v>46020.16250000053</v>
      </c>
      <c r="B238" s="123">
        <v>206</v>
      </c>
      <c r="C238" s="123">
        <v>49.762001037597656</v>
      </c>
      <c r="D238" s="123">
        <v>96.697998046875</v>
      </c>
      <c r="E238" s="123">
        <v>36.416999816894531</v>
      </c>
      <c r="F238" s="123">
        <v>0</v>
      </c>
      <c r="G238" s="124">
        <v>16.625</v>
      </c>
      <c r="H238" s="125">
        <v>354</v>
      </c>
      <c r="I238" s="123">
        <v>316</v>
      </c>
      <c r="J238" s="123">
        <v>58.358001708984375</v>
      </c>
      <c r="K238" s="123">
        <v>60.65484619140625</v>
      </c>
      <c r="L238" s="123">
        <v>101.08000183105469</v>
      </c>
      <c r="M238" s="123">
        <v>12.439999580383301</v>
      </c>
      <c r="N238" s="123">
        <v>18.066999435424805</v>
      </c>
      <c r="O238" s="123">
        <v>16</v>
      </c>
      <c r="P238" s="123">
        <v>0</v>
      </c>
      <c r="Q238" s="123">
        <v>17.202068328857422</v>
      </c>
      <c r="R238" s="123">
        <v>7.0031251907348633</v>
      </c>
      <c r="S238" s="123">
        <v>2.718393087387085</v>
      </c>
      <c r="T238" s="123">
        <v>0</v>
      </c>
      <c r="U238" s="123">
        <v>0</v>
      </c>
      <c r="V238" s="125">
        <v>850</v>
      </c>
      <c r="W238" s="123">
        <v>24.593219757080078</v>
      </c>
      <c r="X238" s="123">
        <v>24.315000534057617</v>
      </c>
      <c r="Y238" s="123">
        <v>5.7890000343322754</v>
      </c>
      <c r="Z238" s="123">
        <v>0</v>
      </c>
      <c r="AA238" s="123">
        <v>21.714000701904297</v>
      </c>
      <c r="AB238" s="123">
        <v>0</v>
      </c>
      <c r="AC238" s="123">
        <v>51.913791656494141</v>
      </c>
      <c r="AD238" s="123">
        <v>6.3610000610351563</v>
      </c>
      <c r="AE238" s="123">
        <v>0</v>
      </c>
      <c r="AF238" s="123">
        <v>80.150566101074219</v>
      </c>
      <c r="AG238" s="123">
        <v>0</v>
      </c>
      <c r="AH238" s="123">
        <v>58.933708190917969</v>
      </c>
      <c r="AI238" s="123">
        <v>13.232000350952148</v>
      </c>
      <c r="AJ238" s="123">
        <v>16.40924072265625</v>
      </c>
      <c r="AK238" s="123">
        <v>36.430328369140625</v>
      </c>
      <c r="AL238" s="123">
        <v>34.812000274658203</v>
      </c>
      <c r="AM238" s="126">
        <v>55.219001770019531</v>
      </c>
      <c r="AN238" s="125">
        <v>109.8125</v>
      </c>
      <c r="AO238" s="127">
        <v>57</v>
      </c>
      <c r="AP238" s="123">
        <v>60.269252777099609</v>
      </c>
      <c r="AQ238" s="123">
        <v>35.073192596435547</v>
      </c>
      <c r="AR238" s="123">
        <v>95</v>
      </c>
      <c r="AS238" s="123"/>
      <c r="AT238" s="123">
        <v>107</v>
      </c>
      <c r="AU238" s="123"/>
      <c r="AV238" s="123">
        <v>51</v>
      </c>
      <c r="AW238" s="123"/>
      <c r="AX238" s="123">
        <v>30</v>
      </c>
      <c r="AY238" s="123">
        <v>32.860347747802734</v>
      </c>
      <c r="AZ238" s="123">
        <v>11</v>
      </c>
      <c r="BA238" s="123"/>
      <c r="BB238" s="123">
        <v>178</v>
      </c>
      <c r="BC238" s="123">
        <v>176.67668151855469</v>
      </c>
      <c r="BD238" s="123">
        <v>6.5999999046325684</v>
      </c>
      <c r="BE238" s="123">
        <v>6.6851372718811035</v>
      </c>
      <c r="BF238" s="123">
        <v>29</v>
      </c>
      <c r="BG238" s="123">
        <v>10</v>
      </c>
      <c r="BH238" s="123">
        <v>11.079532623291016</v>
      </c>
      <c r="BI238" s="123"/>
      <c r="BJ238" s="108">
        <f t="shared" si="10"/>
        <v>12</v>
      </c>
      <c r="BK238" s="123">
        <v>12</v>
      </c>
      <c r="BL238" s="123">
        <v>0</v>
      </c>
      <c r="BM238" s="126"/>
      <c r="BN238" s="108">
        <f t="shared" si="11"/>
        <v>121</v>
      </c>
      <c r="BO238" s="108">
        <v>73</v>
      </c>
      <c r="BP238" s="108">
        <v>48</v>
      </c>
      <c r="BQ238" s="108">
        <v>265</v>
      </c>
      <c r="BR238" s="123">
        <v>65.596000671386719</v>
      </c>
      <c r="BS238" s="123">
        <v>24.429000854492188</v>
      </c>
      <c r="BT238" s="123">
        <v>42.602001190185547</v>
      </c>
      <c r="BU238" s="123">
        <v>33.779998779296875</v>
      </c>
      <c r="BV238" s="123">
        <v>68.900001525878906</v>
      </c>
      <c r="BW238" s="123">
        <v>5.6999998092651367</v>
      </c>
      <c r="BX238" s="123">
        <v>13.5</v>
      </c>
      <c r="BY238" s="123">
        <v>27</v>
      </c>
      <c r="BZ238" s="123">
        <v>1.4138130471110344E-2</v>
      </c>
      <c r="CA238" s="123">
        <v>1</v>
      </c>
      <c r="CB238" s="123">
        <v>29.096445083618164</v>
      </c>
      <c r="CC238" s="126"/>
      <c r="CD238" s="123">
        <v>335.46627807617188</v>
      </c>
      <c r="CE238" s="123">
        <v>32.578132629394531</v>
      </c>
      <c r="CF238" s="123">
        <v>17.345281600952148</v>
      </c>
      <c r="CG238" s="123">
        <v>35.338191986083984</v>
      </c>
      <c r="CH238" s="123">
        <v>273.2618408203125</v>
      </c>
      <c r="CI238" s="123">
        <v>76.424522399902344</v>
      </c>
      <c r="CJ238" s="123">
        <v>33.008514404296875</v>
      </c>
      <c r="CK238" s="123">
        <v>47.652435302734375</v>
      </c>
      <c r="CL238" s="124">
        <v>27.486610412597656</v>
      </c>
      <c r="CM238" s="125">
        <v>194.17391967773438</v>
      </c>
      <c r="CN238" s="123">
        <v>55.447967529296875</v>
      </c>
      <c r="CO238" s="123">
        <v>57.954826354980469</v>
      </c>
      <c r="CP238" s="123">
        <v>77.341339111328125</v>
      </c>
      <c r="CQ238" s="123">
        <v>0</v>
      </c>
      <c r="CR238" s="123">
        <v>48.414779663085938</v>
      </c>
      <c r="CS238" s="123">
        <v>8.6300325393676758</v>
      </c>
      <c r="CT238" s="123">
        <v>34.541023254394531</v>
      </c>
      <c r="CU238" s="123">
        <v>35.176795959472656</v>
      </c>
      <c r="CV238" s="124">
        <v>61.775150299072266</v>
      </c>
      <c r="CW238" s="125">
        <v>1</v>
      </c>
      <c r="CX238" s="123">
        <v>301</v>
      </c>
      <c r="CY238" s="123">
        <v>111.15557098388672</v>
      </c>
      <c r="CZ238" s="123">
        <v>47.599788665771484</v>
      </c>
      <c r="DA238" s="123">
        <v>19.5975341796875</v>
      </c>
      <c r="DB238" s="123">
        <v>34.001686096191406</v>
      </c>
      <c r="DC238" s="123">
        <v>72.512870788574219</v>
      </c>
      <c r="DD238" s="123">
        <v>46</v>
      </c>
      <c r="DE238" s="123">
        <v>169</v>
      </c>
      <c r="DF238" s="123">
        <v>98.849525451660156</v>
      </c>
      <c r="DG238" s="123">
        <v>60.333061218261719</v>
      </c>
      <c r="DH238" s="123">
        <v>42.072635650634766</v>
      </c>
      <c r="DI238" s="128">
        <v>38.550701141357422</v>
      </c>
      <c r="DJ238" s="127">
        <v>202</v>
      </c>
      <c r="DK238" s="123">
        <v>102.80500030517578</v>
      </c>
      <c r="DL238" s="123">
        <v>22.844999313354492</v>
      </c>
      <c r="DM238" s="123">
        <v>22.795999526977539</v>
      </c>
      <c r="DN238" s="123">
        <v>50.009998321533203</v>
      </c>
      <c r="DO238" s="124">
        <v>110.78326416015625</v>
      </c>
      <c r="DP238" s="125">
        <v>15.182999610900879</v>
      </c>
      <c r="DQ238" s="123"/>
      <c r="DR238" s="125">
        <v>0</v>
      </c>
      <c r="DS238" s="128">
        <v>30.200000762939453</v>
      </c>
      <c r="DT238" s="127">
        <v>12</v>
      </c>
      <c r="DU238" s="123"/>
      <c r="DV238" s="123">
        <v>8</v>
      </c>
      <c r="DW238" s="123">
        <v>3.2251589298248291</v>
      </c>
      <c r="DX238" s="125">
        <v>11</v>
      </c>
      <c r="DY238" s="128"/>
      <c r="DZ238" s="127">
        <v>44</v>
      </c>
      <c r="EA238" s="123">
        <v>3</v>
      </c>
      <c r="EB238" s="123">
        <v>0</v>
      </c>
      <c r="EC238" s="123">
        <v>1</v>
      </c>
      <c r="ED238" s="123">
        <v>228.60000610351563</v>
      </c>
      <c r="EE238" s="129"/>
      <c r="EF238" s="129"/>
      <c r="EG238" s="129"/>
    </row>
    <row r="239" spans="1:137" x14ac:dyDescent="0.3">
      <c r="A239" s="226">
        <f t="shared" si="12"/>
        <v>46020.163194444976</v>
      </c>
      <c r="B239" s="123">
        <v>208</v>
      </c>
      <c r="C239" s="123">
        <v>49.988998413085938</v>
      </c>
      <c r="D239" s="123">
        <v>95.905998229980469</v>
      </c>
      <c r="E239" s="123">
        <v>36.416999816894531</v>
      </c>
      <c r="F239" s="123">
        <v>0</v>
      </c>
      <c r="G239" s="124">
        <v>16.625</v>
      </c>
      <c r="H239" s="125">
        <v>352</v>
      </c>
      <c r="I239" s="123">
        <v>312</v>
      </c>
      <c r="J239" s="123">
        <v>58.810001373291016</v>
      </c>
      <c r="K239" s="123">
        <v>60.608924865722656</v>
      </c>
      <c r="L239" s="123">
        <v>96.132003784179688</v>
      </c>
      <c r="M239" s="123">
        <v>12.10099983215332</v>
      </c>
      <c r="N239" s="123">
        <v>17.875999450683594</v>
      </c>
      <c r="O239" s="123">
        <v>16</v>
      </c>
      <c r="P239" s="123">
        <v>0</v>
      </c>
      <c r="Q239" s="123">
        <v>17.51678466796875</v>
      </c>
      <c r="R239" s="123">
        <v>4.9968748092651367</v>
      </c>
      <c r="S239" s="123">
        <v>3.2992396354675293</v>
      </c>
      <c r="T239" s="123">
        <v>0</v>
      </c>
      <c r="U239" s="123">
        <v>0</v>
      </c>
      <c r="V239" s="125">
        <v>843</v>
      </c>
      <c r="W239" s="123">
        <v>24.713438034057617</v>
      </c>
      <c r="X239" s="123">
        <v>25.559000015258789</v>
      </c>
      <c r="Y239" s="123">
        <v>6.5520000457763672</v>
      </c>
      <c r="Z239" s="123">
        <v>0</v>
      </c>
      <c r="AA239" s="123">
        <v>21.261999130249023</v>
      </c>
      <c r="AB239" s="123">
        <v>0</v>
      </c>
      <c r="AC239" s="123">
        <v>50.882556915283203</v>
      </c>
      <c r="AD239" s="123">
        <v>6.1069998741149902</v>
      </c>
      <c r="AE239" s="123">
        <v>0</v>
      </c>
      <c r="AF239" s="123">
        <v>80.632347106933594</v>
      </c>
      <c r="AG239" s="123">
        <v>0</v>
      </c>
      <c r="AH239" s="123">
        <v>59.397598266601563</v>
      </c>
      <c r="AI239" s="123">
        <v>11.640999794006348</v>
      </c>
      <c r="AJ239" s="123">
        <v>16.269254684448242</v>
      </c>
      <c r="AK239" s="123">
        <v>34.96307373046875</v>
      </c>
      <c r="AL239" s="123">
        <v>36.578998565673828</v>
      </c>
      <c r="AM239" s="126">
        <v>54.328998565673828</v>
      </c>
      <c r="AN239" s="125">
        <v>112.4375</v>
      </c>
      <c r="AO239" s="127">
        <v>56</v>
      </c>
      <c r="AP239" s="123">
        <v>60.33392333984375</v>
      </c>
      <c r="AQ239" s="123">
        <v>33.662075042724609</v>
      </c>
      <c r="AR239" s="123">
        <v>98</v>
      </c>
      <c r="AS239" s="123"/>
      <c r="AT239" s="123">
        <v>106</v>
      </c>
      <c r="AU239" s="123"/>
      <c r="AV239" s="123">
        <v>59</v>
      </c>
      <c r="AW239" s="123"/>
      <c r="AX239" s="123">
        <v>30</v>
      </c>
      <c r="AY239" s="123">
        <v>32.880271911621094</v>
      </c>
      <c r="AZ239" s="123">
        <v>11</v>
      </c>
      <c r="BA239" s="123"/>
      <c r="BB239" s="123">
        <v>177</v>
      </c>
      <c r="BC239" s="123">
        <v>176.74095153808594</v>
      </c>
      <c r="BD239" s="123">
        <v>6.5999999046325684</v>
      </c>
      <c r="BE239" s="123">
        <v>6.677001953125</v>
      </c>
      <c r="BF239" s="123">
        <v>30</v>
      </c>
      <c r="BG239" s="123">
        <v>10</v>
      </c>
      <c r="BH239" s="123">
        <v>10.999850273132324</v>
      </c>
      <c r="BI239" s="123"/>
      <c r="BJ239" s="108">
        <f t="shared" si="10"/>
        <v>13</v>
      </c>
      <c r="BK239" s="123">
        <v>13</v>
      </c>
      <c r="BL239" s="123">
        <v>0</v>
      </c>
      <c r="BM239" s="126"/>
      <c r="BN239" s="108">
        <f t="shared" si="11"/>
        <v>120.20000076293945</v>
      </c>
      <c r="BO239" s="108">
        <v>72</v>
      </c>
      <c r="BP239" s="108">
        <v>48.200000762939453</v>
      </c>
      <c r="BQ239" s="108">
        <v>268</v>
      </c>
      <c r="BR239" s="123">
        <v>65.596000671386719</v>
      </c>
      <c r="BS239" s="123">
        <v>25.445999145507813</v>
      </c>
      <c r="BT239" s="123">
        <v>41.215999603271484</v>
      </c>
      <c r="BU239" s="123">
        <v>33.5260009765625</v>
      </c>
      <c r="BV239" s="123">
        <v>69</v>
      </c>
      <c r="BW239" s="123">
        <v>5.6999998092651367</v>
      </c>
      <c r="BX239" s="123">
        <v>13.600000381469727</v>
      </c>
      <c r="BY239" s="123">
        <v>29</v>
      </c>
      <c r="BZ239" s="123">
        <v>1.4138130471110344E-2</v>
      </c>
      <c r="CA239" s="123">
        <v>1</v>
      </c>
      <c r="CB239" s="123">
        <v>29.05488395690918</v>
      </c>
      <c r="CC239" s="126"/>
      <c r="CD239" s="123">
        <v>339.04946899414063</v>
      </c>
      <c r="CE239" s="123">
        <v>32.753448486328125</v>
      </c>
      <c r="CF239" s="123">
        <v>17.379926681518555</v>
      </c>
      <c r="CG239" s="123">
        <v>35.338191986083984</v>
      </c>
      <c r="CH239" s="123">
        <v>274.58523559570313</v>
      </c>
      <c r="CI239" s="123">
        <v>76.450309753417969</v>
      </c>
      <c r="CJ239" s="123">
        <v>31.45555305480957</v>
      </c>
      <c r="CK239" s="123">
        <v>48.110099792480469</v>
      </c>
      <c r="CL239" s="124">
        <v>26.409397125244141</v>
      </c>
      <c r="CM239" s="125">
        <v>191.62057495117188</v>
      </c>
      <c r="CN239" s="123">
        <v>54.537883758544922</v>
      </c>
      <c r="CO239" s="123">
        <v>57.651012420654297</v>
      </c>
      <c r="CP239" s="123">
        <v>75.783439636230469</v>
      </c>
      <c r="CQ239" s="123">
        <v>0</v>
      </c>
      <c r="CR239" s="123">
        <v>48.706752777099609</v>
      </c>
      <c r="CS239" s="123">
        <v>8.7044219970703125</v>
      </c>
      <c r="CT239" s="123">
        <v>31.484767913818359</v>
      </c>
      <c r="CU239" s="123">
        <v>36.576179504394531</v>
      </c>
      <c r="CV239" s="124">
        <v>62.872261047363281</v>
      </c>
      <c r="CW239" s="125">
        <v>10</v>
      </c>
      <c r="CX239" s="123">
        <v>299</v>
      </c>
      <c r="CY239" s="123">
        <v>111.11944580078125</v>
      </c>
      <c r="CZ239" s="123">
        <v>45.993400573730469</v>
      </c>
      <c r="DA239" s="123">
        <v>19.506875991821289</v>
      </c>
      <c r="DB239" s="123">
        <v>33.637840270996094</v>
      </c>
      <c r="DC239" s="123">
        <v>73.872314453125</v>
      </c>
      <c r="DD239" s="123">
        <v>49</v>
      </c>
      <c r="DE239" s="123">
        <v>169</v>
      </c>
      <c r="DF239" s="123">
        <v>98.500396728515625</v>
      </c>
      <c r="DG239" s="123">
        <v>58.340904235839844</v>
      </c>
      <c r="DH239" s="123">
        <v>42.027656555175781</v>
      </c>
      <c r="DI239" s="128">
        <v>38.892333984375</v>
      </c>
      <c r="DJ239" s="127">
        <v>201</v>
      </c>
      <c r="DK239" s="123">
        <v>100.00599670410156</v>
      </c>
      <c r="DL239" s="123">
        <v>25.559000015258789</v>
      </c>
      <c r="DM239" s="123">
        <v>22.618999481201172</v>
      </c>
      <c r="DN239" s="123">
        <v>50.186000823974609</v>
      </c>
      <c r="DO239" s="124">
        <v>112.0107421875</v>
      </c>
      <c r="DP239" s="125">
        <v>15.211000442504883</v>
      </c>
      <c r="DQ239" s="123"/>
      <c r="DR239" s="125">
        <v>0</v>
      </c>
      <c r="DS239" s="128">
        <v>29.700000762939453</v>
      </c>
      <c r="DT239" s="127">
        <v>12</v>
      </c>
      <c r="DU239" s="123"/>
      <c r="DV239" s="123">
        <v>6</v>
      </c>
      <c r="DW239" s="123">
        <v>3.2388598918914795</v>
      </c>
      <c r="DX239" s="125">
        <v>10</v>
      </c>
      <c r="DY239" s="128"/>
      <c r="DZ239" s="127">
        <v>43</v>
      </c>
      <c r="EA239" s="123">
        <v>3</v>
      </c>
      <c r="EB239" s="123">
        <v>0</v>
      </c>
      <c r="EC239" s="123">
        <v>1</v>
      </c>
      <c r="ED239" s="123">
        <v>228.60000610351563</v>
      </c>
      <c r="EE239" s="129"/>
      <c r="EF239" s="129"/>
      <c r="EG239" s="129"/>
    </row>
    <row r="240" spans="1:137" x14ac:dyDescent="0.3">
      <c r="A240" s="226">
        <f t="shared" si="12"/>
        <v>46020.163888889423</v>
      </c>
      <c r="B240" s="123">
        <v>208</v>
      </c>
      <c r="C240" s="123">
        <v>45.465000152587891</v>
      </c>
      <c r="D240" s="123">
        <v>96.018997192382813</v>
      </c>
      <c r="E240" s="123">
        <v>36.756000518798828</v>
      </c>
      <c r="F240" s="123">
        <v>0</v>
      </c>
      <c r="G240" s="124">
        <v>16.39900016784668</v>
      </c>
      <c r="H240" s="125">
        <v>353</v>
      </c>
      <c r="I240" s="123">
        <v>311</v>
      </c>
      <c r="J240" s="123">
        <v>58.131999969482422</v>
      </c>
      <c r="K240" s="123">
        <v>61.031814575195313</v>
      </c>
      <c r="L240" s="123">
        <v>98.606002807617188</v>
      </c>
      <c r="M240" s="123">
        <v>12.439999580383301</v>
      </c>
      <c r="N240" s="123">
        <v>17.239999771118164</v>
      </c>
      <c r="O240" s="123">
        <v>17</v>
      </c>
      <c r="P240" s="123">
        <v>0</v>
      </c>
      <c r="Q240" s="123">
        <v>17.812597274780273</v>
      </c>
      <c r="R240" s="123">
        <v>4.9968748092651367</v>
      </c>
      <c r="S240" s="123">
        <v>4.5868668556213379</v>
      </c>
      <c r="T240" s="123">
        <v>0</v>
      </c>
      <c r="U240" s="123">
        <v>0</v>
      </c>
      <c r="V240" s="125">
        <v>843</v>
      </c>
      <c r="W240" s="123">
        <v>24.728414535522461</v>
      </c>
      <c r="X240" s="123">
        <v>26.35099983215332</v>
      </c>
      <c r="Y240" s="123">
        <v>5.7249999046325684</v>
      </c>
      <c r="Z240" s="123">
        <v>0</v>
      </c>
      <c r="AA240" s="123">
        <v>18.320999145507813</v>
      </c>
      <c r="AB240" s="123">
        <v>0</v>
      </c>
      <c r="AC240" s="123">
        <v>51.978404998779297</v>
      </c>
      <c r="AD240" s="123">
        <v>6.3610000610351563</v>
      </c>
      <c r="AE240" s="123">
        <v>0</v>
      </c>
      <c r="AF240" s="123">
        <v>80.044586181640625</v>
      </c>
      <c r="AG240" s="123">
        <v>0</v>
      </c>
      <c r="AH240" s="123">
        <v>59.751327514648438</v>
      </c>
      <c r="AI240" s="123">
        <v>12.149999618530273</v>
      </c>
      <c r="AJ240" s="123">
        <v>17.047878265380859</v>
      </c>
      <c r="AK240" s="123">
        <v>35.187572479248047</v>
      </c>
      <c r="AL240" s="123">
        <v>34.458999633789063</v>
      </c>
      <c r="AM240" s="126">
        <v>54.456001281738281</v>
      </c>
      <c r="AN240" s="125">
        <v>113.9375</v>
      </c>
      <c r="AO240" s="127">
        <v>56</v>
      </c>
      <c r="AP240" s="123">
        <v>60.918312072753906</v>
      </c>
      <c r="AQ240" s="123">
        <v>34.282749176025391</v>
      </c>
      <c r="AR240" s="123">
        <v>98</v>
      </c>
      <c r="AS240" s="123"/>
      <c r="AT240" s="123">
        <v>106</v>
      </c>
      <c r="AU240" s="123"/>
      <c r="AV240" s="123">
        <v>59</v>
      </c>
      <c r="AW240" s="123"/>
      <c r="AX240" s="123">
        <v>28</v>
      </c>
      <c r="AY240" s="123">
        <v>31.865856170654297</v>
      </c>
      <c r="AZ240" s="123">
        <v>11</v>
      </c>
      <c r="BA240" s="123"/>
      <c r="BB240" s="123">
        <v>177</v>
      </c>
      <c r="BC240" s="123">
        <v>176.74095153808594</v>
      </c>
      <c r="BD240" s="123">
        <v>6.5999999046325684</v>
      </c>
      <c r="BE240" s="123">
        <v>6.6862425804138184</v>
      </c>
      <c r="BF240" s="123">
        <v>30</v>
      </c>
      <c r="BG240" s="123">
        <v>10</v>
      </c>
      <c r="BH240" s="123">
        <v>10.863689422607422</v>
      </c>
      <c r="BI240" s="123"/>
      <c r="BJ240" s="108">
        <f t="shared" si="10"/>
        <v>13</v>
      </c>
      <c r="BK240" s="123">
        <v>13</v>
      </c>
      <c r="BL240" s="123">
        <v>0</v>
      </c>
      <c r="BM240" s="126"/>
      <c r="BN240" s="108">
        <f t="shared" si="11"/>
        <v>120</v>
      </c>
      <c r="BO240" s="108">
        <v>72</v>
      </c>
      <c r="BP240" s="108">
        <v>48</v>
      </c>
      <c r="BQ240" s="108">
        <v>262</v>
      </c>
      <c r="BR240" s="123">
        <v>65.483001708984375</v>
      </c>
      <c r="BS240" s="123">
        <v>25.191999435424805</v>
      </c>
      <c r="BT240" s="123">
        <v>40.869998931884766</v>
      </c>
      <c r="BU240" s="123">
        <v>33.208000183105469</v>
      </c>
      <c r="BV240" s="123">
        <v>68.900001525878906</v>
      </c>
      <c r="BW240" s="123">
        <v>5.6999998092651367</v>
      </c>
      <c r="BX240" s="123">
        <v>13.600000381469727</v>
      </c>
      <c r="BY240" s="123">
        <v>29</v>
      </c>
      <c r="BZ240" s="123">
        <v>1.4218369498848915E-2</v>
      </c>
      <c r="CA240" s="123">
        <v>1</v>
      </c>
      <c r="CB240" s="123">
        <v>29.306880950927734</v>
      </c>
      <c r="CC240" s="126"/>
      <c r="CD240" s="123">
        <v>338.90277099609375</v>
      </c>
      <c r="CE240" s="123">
        <v>32.264553070068359</v>
      </c>
      <c r="CF240" s="123">
        <v>17.344045639038086</v>
      </c>
      <c r="CG240" s="123">
        <v>35.338191986083984</v>
      </c>
      <c r="CH240" s="123">
        <v>273.25326538085938</v>
      </c>
      <c r="CI240" s="123">
        <v>76.450309753417969</v>
      </c>
      <c r="CJ240" s="123">
        <v>31.45555305480957</v>
      </c>
      <c r="CK240" s="123">
        <v>48.654678344726563</v>
      </c>
      <c r="CL240" s="124">
        <v>25.949275970458984</v>
      </c>
      <c r="CM240" s="125">
        <v>187.64627075195313</v>
      </c>
      <c r="CN240" s="123">
        <v>53.159629821777344</v>
      </c>
      <c r="CO240" s="123">
        <v>57.453807830810547</v>
      </c>
      <c r="CP240" s="123">
        <v>75.758415222167969</v>
      </c>
      <c r="CQ240" s="123">
        <v>0</v>
      </c>
      <c r="CR240" s="123">
        <v>49.224136352539063</v>
      </c>
      <c r="CS240" s="123">
        <v>8.6033487319946289</v>
      </c>
      <c r="CT240" s="123">
        <v>32.757762908935547</v>
      </c>
      <c r="CU240" s="123">
        <v>37.712623596191406</v>
      </c>
      <c r="CV240" s="124">
        <v>62.462638854980469</v>
      </c>
      <c r="CW240" s="125">
        <v>0</v>
      </c>
      <c r="CX240" s="123">
        <v>298</v>
      </c>
      <c r="CY240" s="123">
        <v>109.77543640136719</v>
      </c>
      <c r="CZ240" s="123">
        <v>46.485095977783203</v>
      </c>
      <c r="DA240" s="123">
        <v>19.273006439208984</v>
      </c>
      <c r="DB240" s="123">
        <v>33.637840270996094</v>
      </c>
      <c r="DC240" s="123">
        <v>73.485946655273438</v>
      </c>
      <c r="DD240" s="123">
        <v>44</v>
      </c>
      <c r="DE240" s="123">
        <v>169</v>
      </c>
      <c r="DF240" s="123">
        <v>97.700363159179688</v>
      </c>
      <c r="DG240" s="123">
        <v>62.222015380859375</v>
      </c>
      <c r="DH240" s="123">
        <v>42.027656555175781</v>
      </c>
      <c r="DI240" s="128">
        <v>36.291210174560547</v>
      </c>
      <c r="DJ240" s="127">
        <v>201</v>
      </c>
      <c r="DK240" s="123">
        <v>100.00599670410156</v>
      </c>
      <c r="DL240" s="123">
        <v>22.844999313354492</v>
      </c>
      <c r="DM240" s="123">
        <v>22.618999481201172</v>
      </c>
      <c r="DN240" s="123">
        <v>48.596000671386719</v>
      </c>
      <c r="DO240" s="124">
        <v>110.96102142333984</v>
      </c>
      <c r="DP240" s="125">
        <v>15.211000442504883</v>
      </c>
      <c r="DQ240" s="123"/>
      <c r="DR240" s="125">
        <v>0</v>
      </c>
      <c r="DS240" s="128">
        <v>29.399999618530273</v>
      </c>
      <c r="DT240" s="127">
        <v>13</v>
      </c>
      <c r="DU240" s="123"/>
      <c r="DV240" s="123">
        <v>11</v>
      </c>
      <c r="DW240" s="123">
        <v>3.10910964012146</v>
      </c>
      <c r="DX240" s="125">
        <v>10</v>
      </c>
      <c r="DY240" s="128"/>
      <c r="DZ240" s="127">
        <v>43</v>
      </c>
      <c r="EA240" s="123">
        <v>3</v>
      </c>
      <c r="EB240" s="123">
        <v>0</v>
      </c>
      <c r="EC240" s="123">
        <v>1</v>
      </c>
      <c r="ED240" s="123">
        <v>229.10000610351563</v>
      </c>
      <c r="EE240" s="129"/>
      <c r="EF240" s="129"/>
      <c r="EG240" s="129"/>
    </row>
    <row r="241" spans="1:137" x14ac:dyDescent="0.3">
      <c r="A241" s="226">
        <f t="shared" si="12"/>
        <v>46020.16458333387</v>
      </c>
      <c r="B241" s="123">
        <v>214</v>
      </c>
      <c r="C241" s="123">
        <v>44.106998443603516</v>
      </c>
      <c r="D241" s="123">
        <v>95.905998229980469</v>
      </c>
      <c r="E241" s="123">
        <v>20.809000015258789</v>
      </c>
      <c r="F241" s="123">
        <v>3.2518484592437744</v>
      </c>
      <c r="G241" s="124">
        <v>16.39900016784668</v>
      </c>
      <c r="H241" s="125">
        <v>356</v>
      </c>
      <c r="I241" s="123">
        <v>312</v>
      </c>
      <c r="J241" s="123">
        <v>59.941001892089844</v>
      </c>
      <c r="K241" s="123">
        <v>60.486995697021484</v>
      </c>
      <c r="L241" s="123">
        <v>100.55000305175781</v>
      </c>
      <c r="M241" s="123">
        <v>12.439999580383301</v>
      </c>
      <c r="N241" s="123">
        <v>17.113000869750977</v>
      </c>
      <c r="O241" s="123">
        <v>18</v>
      </c>
      <c r="P241" s="123">
        <v>0</v>
      </c>
      <c r="Q241" s="123">
        <v>16.711532592773438</v>
      </c>
      <c r="R241" s="123">
        <v>0</v>
      </c>
      <c r="S241" s="123">
        <v>3.7493648529052734</v>
      </c>
      <c r="T241" s="123">
        <v>0</v>
      </c>
      <c r="U241" s="123">
        <v>0</v>
      </c>
      <c r="V241" s="125">
        <v>851</v>
      </c>
      <c r="W241" s="123">
        <v>24.488082885742188</v>
      </c>
      <c r="X241" s="123">
        <v>25.673000335693359</v>
      </c>
      <c r="Y241" s="123">
        <v>5.8520002365112305</v>
      </c>
      <c r="Z241" s="123">
        <v>0</v>
      </c>
      <c r="AA241" s="123">
        <v>19.905000686645508</v>
      </c>
      <c r="AB241" s="123">
        <v>0</v>
      </c>
      <c r="AC241" s="123">
        <v>52.022876739501953</v>
      </c>
      <c r="AD241" s="123">
        <v>6.3610000610351563</v>
      </c>
      <c r="AE241" s="123">
        <v>0</v>
      </c>
      <c r="AF241" s="123">
        <v>79.725509643554688</v>
      </c>
      <c r="AG241" s="123">
        <v>0</v>
      </c>
      <c r="AH241" s="123">
        <v>59.808509826660156</v>
      </c>
      <c r="AI241" s="123">
        <v>11.38700008392334</v>
      </c>
      <c r="AJ241" s="123">
        <v>17.707202911376953</v>
      </c>
      <c r="AK241" s="123">
        <v>35.912731170654297</v>
      </c>
      <c r="AL241" s="123">
        <v>35.341999053955078</v>
      </c>
      <c r="AM241" s="126">
        <v>53.882999420166016</v>
      </c>
      <c r="AN241" s="125">
        <v>114.625</v>
      </c>
      <c r="AO241" s="127">
        <v>60</v>
      </c>
      <c r="AP241" s="123">
        <v>60.127590179443359</v>
      </c>
      <c r="AQ241" s="123">
        <v>36.023513793945313</v>
      </c>
      <c r="AR241" s="123">
        <v>98</v>
      </c>
      <c r="AS241" s="123"/>
      <c r="AT241" s="123">
        <v>106</v>
      </c>
      <c r="AU241" s="123"/>
      <c r="AV241" s="123">
        <v>58</v>
      </c>
      <c r="AW241" s="123"/>
      <c r="AX241" s="123">
        <v>29</v>
      </c>
      <c r="AY241" s="123">
        <v>32.239425659179688</v>
      </c>
      <c r="AZ241" s="123">
        <v>10</v>
      </c>
      <c r="BA241" s="123"/>
      <c r="BB241" s="123">
        <v>177</v>
      </c>
      <c r="BC241" s="123">
        <v>178.47503662109375</v>
      </c>
      <c r="BD241" s="123">
        <v>6.5</v>
      </c>
      <c r="BE241" s="123">
        <v>6.6173629760742188</v>
      </c>
      <c r="BF241" s="123">
        <v>29</v>
      </c>
      <c r="BG241" s="123">
        <v>10</v>
      </c>
      <c r="BH241" s="123">
        <v>10.866374969482422</v>
      </c>
      <c r="BI241" s="123"/>
      <c r="BJ241" s="108">
        <f t="shared" si="10"/>
        <v>11</v>
      </c>
      <c r="BK241" s="123">
        <v>11</v>
      </c>
      <c r="BL241" s="123">
        <v>0</v>
      </c>
      <c r="BM241" s="126"/>
      <c r="BN241" s="108">
        <f t="shared" si="11"/>
        <v>120</v>
      </c>
      <c r="BO241" s="108">
        <v>72</v>
      </c>
      <c r="BP241" s="108">
        <v>48</v>
      </c>
      <c r="BQ241" s="108">
        <v>264</v>
      </c>
      <c r="BR241" s="123">
        <v>69.3280029296875</v>
      </c>
      <c r="BS241" s="123">
        <v>23.920000076293945</v>
      </c>
      <c r="BT241" s="123">
        <v>41.562999725341797</v>
      </c>
      <c r="BU241" s="123">
        <v>33.398998260498047</v>
      </c>
      <c r="BV241" s="123">
        <v>68.900001525878906</v>
      </c>
      <c r="BW241" s="123">
        <v>5.8000001907348633</v>
      </c>
      <c r="BX241" s="123">
        <v>13.5</v>
      </c>
      <c r="BY241" s="123">
        <v>28</v>
      </c>
      <c r="BZ241" s="123">
        <v>1.4801607467234135E-2</v>
      </c>
      <c r="CA241" s="123">
        <v>1</v>
      </c>
      <c r="CB241" s="123">
        <v>29.127120971679688</v>
      </c>
      <c r="CC241" s="126"/>
      <c r="CD241" s="123">
        <v>337.76605224609375</v>
      </c>
      <c r="CE241" s="123">
        <v>32.727996826171875</v>
      </c>
      <c r="CF241" s="123">
        <v>17.340799331665039</v>
      </c>
      <c r="CG241" s="123">
        <v>35.338191986083984</v>
      </c>
      <c r="CH241" s="123">
        <v>271.7318115234375</v>
      </c>
      <c r="CI241" s="123">
        <v>76.977127075195313</v>
      </c>
      <c r="CJ241" s="123">
        <v>33.213748931884766</v>
      </c>
      <c r="CK241" s="123">
        <v>47.430213928222656</v>
      </c>
      <c r="CL241" s="124">
        <v>25.380094528198242</v>
      </c>
      <c r="CM241" s="125">
        <v>187.64627075195313</v>
      </c>
      <c r="CN241" s="123">
        <v>52.465408325195313</v>
      </c>
      <c r="CO241" s="123">
        <v>57.585403442382813</v>
      </c>
      <c r="CP241" s="123">
        <v>75.428421020507813</v>
      </c>
      <c r="CQ241" s="123">
        <v>0</v>
      </c>
      <c r="CR241" s="123">
        <v>49.278594970703125</v>
      </c>
      <c r="CS241" s="123">
        <v>9.4354486465454102</v>
      </c>
      <c r="CT241" s="123">
        <v>31.217691421508789</v>
      </c>
      <c r="CU241" s="123">
        <v>35.269924163818359</v>
      </c>
      <c r="CV241" s="124">
        <v>62.539833068847656</v>
      </c>
      <c r="CW241" s="125">
        <v>9</v>
      </c>
      <c r="CX241" s="123">
        <v>302</v>
      </c>
      <c r="CY241" s="123">
        <v>108.92716217041016</v>
      </c>
      <c r="CZ241" s="123">
        <v>46.025341033935547</v>
      </c>
      <c r="DA241" s="123">
        <v>19.273006439208984</v>
      </c>
      <c r="DB241" s="123">
        <v>32.883956909179688</v>
      </c>
      <c r="DC241" s="123">
        <v>75.282875061035156</v>
      </c>
      <c r="DD241" s="123">
        <v>44</v>
      </c>
      <c r="DE241" s="123">
        <v>170</v>
      </c>
      <c r="DF241" s="123">
        <v>97.880584716796875</v>
      </c>
      <c r="DG241" s="123">
        <v>63.190471649169922</v>
      </c>
      <c r="DH241" s="123">
        <v>43.048622131347656</v>
      </c>
      <c r="DI241" s="128">
        <v>36.916690826416016</v>
      </c>
      <c r="DJ241" s="127">
        <v>205</v>
      </c>
      <c r="DK241" s="123">
        <v>101.53299713134766</v>
      </c>
      <c r="DL241" s="123">
        <v>22.958000183105469</v>
      </c>
      <c r="DM241" s="123">
        <v>25.62299919128418</v>
      </c>
      <c r="DN241" s="123">
        <v>48.596000671386719</v>
      </c>
      <c r="DO241" s="124">
        <v>114.48995971679688</v>
      </c>
      <c r="DP241" s="125">
        <v>14.984999656677246</v>
      </c>
      <c r="DQ241" s="123"/>
      <c r="DR241" s="125">
        <v>0</v>
      </c>
      <c r="DS241" s="128">
        <v>29.200000762939453</v>
      </c>
      <c r="DT241" s="127">
        <v>12</v>
      </c>
      <c r="DU241" s="123"/>
      <c r="DV241" s="123">
        <v>11</v>
      </c>
      <c r="DW241" s="123">
        <v>3.2849342823028564</v>
      </c>
      <c r="DX241" s="125">
        <v>10</v>
      </c>
      <c r="DY241" s="128"/>
      <c r="DZ241" s="127">
        <v>44</v>
      </c>
      <c r="EA241" s="123">
        <v>3</v>
      </c>
      <c r="EB241" s="123">
        <v>0</v>
      </c>
      <c r="EC241" s="123">
        <v>1</v>
      </c>
      <c r="ED241" s="123">
        <v>230.10000610351563</v>
      </c>
      <c r="EE241" s="129"/>
      <c r="EF241" s="129"/>
      <c r="EG241" s="129"/>
    </row>
    <row r="242" spans="1:137" x14ac:dyDescent="0.3">
      <c r="A242" s="226">
        <f t="shared" si="12"/>
        <v>46020.165277778317</v>
      </c>
      <c r="B242" s="123">
        <v>214</v>
      </c>
      <c r="C242" s="123">
        <v>47.612998962402344</v>
      </c>
      <c r="D242" s="123">
        <v>95.113998413085938</v>
      </c>
      <c r="E242" s="123">
        <v>21.14900016784668</v>
      </c>
      <c r="F242" s="123">
        <v>10.553666114807129</v>
      </c>
      <c r="G242" s="124">
        <v>17.076999664306641</v>
      </c>
      <c r="H242" s="125">
        <v>355</v>
      </c>
      <c r="I242" s="123">
        <v>315</v>
      </c>
      <c r="J242" s="123">
        <v>60.279998779296875</v>
      </c>
      <c r="K242" s="123">
        <v>59.752593994140625</v>
      </c>
      <c r="L242" s="123">
        <v>101.78700256347656</v>
      </c>
      <c r="M242" s="123">
        <v>12.10099983215332</v>
      </c>
      <c r="N242" s="123">
        <v>17.684999465942383</v>
      </c>
      <c r="O242" s="123">
        <v>18</v>
      </c>
      <c r="P242" s="123">
        <v>0</v>
      </c>
      <c r="Q242" s="123">
        <v>18.699302673339844</v>
      </c>
      <c r="R242" s="123">
        <v>4.9968748092651367</v>
      </c>
      <c r="S242" s="123">
        <v>3.7493648529052734</v>
      </c>
      <c r="T242" s="123">
        <v>0</v>
      </c>
      <c r="U242" s="123">
        <v>0</v>
      </c>
      <c r="V242" s="125">
        <v>844</v>
      </c>
      <c r="W242" s="123">
        <v>23.579658508300781</v>
      </c>
      <c r="X242" s="123">
        <v>25.107000350952148</v>
      </c>
      <c r="Y242" s="123">
        <v>6.4879999160766602</v>
      </c>
      <c r="Z242" s="123">
        <v>0</v>
      </c>
      <c r="AA242" s="123">
        <v>18.660999298095703</v>
      </c>
      <c r="AB242" s="123">
        <v>0</v>
      </c>
      <c r="AC242" s="123">
        <v>52.116897583007813</v>
      </c>
      <c r="AD242" s="123">
        <v>5.8520002365112305</v>
      </c>
      <c r="AE242" s="123">
        <v>0</v>
      </c>
      <c r="AF242" s="123">
        <v>79.212051391601563</v>
      </c>
      <c r="AG242" s="123">
        <v>0</v>
      </c>
      <c r="AH242" s="123">
        <v>61.004535675048828</v>
      </c>
      <c r="AI242" s="123">
        <v>11.260000228881836</v>
      </c>
      <c r="AJ242" s="123">
        <v>16.94621467590332</v>
      </c>
      <c r="AK242" s="123">
        <v>36.680633544921875</v>
      </c>
      <c r="AL242" s="123">
        <v>35.695999145507813</v>
      </c>
      <c r="AM242" s="126">
        <v>53.692001342773438</v>
      </c>
      <c r="AN242" s="125">
        <v>111.25</v>
      </c>
      <c r="AO242" s="127">
        <v>58</v>
      </c>
      <c r="AP242" s="123">
        <v>60.006511688232422</v>
      </c>
      <c r="AQ242" s="123">
        <v>34.343471527099609</v>
      </c>
      <c r="AR242" s="123">
        <v>97</v>
      </c>
      <c r="AS242" s="123"/>
      <c r="AT242" s="123">
        <v>105</v>
      </c>
      <c r="AU242" s="123"/>
      <c r="AV242" s="123">
        <v>59</v>
      </c>
      <c r="AW242" s="123"/>
      <c r="AX242" s="123">
        <v>31</v>
      </c>
      <c r="AY242" s="123">
        <v>33.184192657470703</v>
      </c>
      <c r="AZ242" s="123">
        <v>10</v>
      </c>
      <c r="BA242" s="123"/>
      <c r="BB242" s="123">
        <v>177</v>
      </c>
      <c r="BC242" s="123">
        <v>177.04495239257813</v>
      </c>
      <c r="BD242" s="123">
        <v>6.5999999046325684</v>
      </c>
      <c r="BE242" s="123">
        <v>6.669093132019043</v>
      </c>
      <c r="BF242" s="123">
        <v>29</v>
      </c>
      <c r="BG242" s="123">
        <v>10</v>
      </c>
      <c r="BH242" s="123">
        <v>10.917263984680176</v>
      </c>
      <c r="BI242" s="123"/>
      <c r="BJ242" s="108">
        <f t="shared" si="10"/>
        <v>11</v>
      </c>
      <c r="BK242" s="123">
        <v>11</v>
      </c>
      <c r="BL242" s="123">
        <v>0</v>
      </c>
      <c r="BM242" s="126"/>
      <c r="BN242" s="108">
        <f t="shared" si="11"/>
        <v>120.20000076293945</v>
      </c>
      <c r="BO242" s="108">
        <v>72</v>
      </c>
      <c r="BP242" s="108">
        <v>48.200000762939453</v>
      </c>
      <c r="BQ242" s="108">
        <v>261</v>
      </c>
      <c r="BR242" s="123">
        <v>64.804000854492188</v>
      </c>
      <c r="BS242" s="123">
        <v>23.920000076293945</v>
      </c>
      <c r="BT242" s="123">
        <v>41.215999603271484</v>
      </c>
      <c r="BU242" s="123">
        <v>34.034999847412109</v>
      </c>
      <c r="BV242" s="123">
        <v>67.900001525878906</v>
      </c>
      <c r="BW242" s="123">
        <v>5.6999998092651367</v>
      </c>
      <c r="BX242" s="123">
        <v>13.5</v>
      </c>
      <c r="BY242" s="123">
        <v>28</v>
      </c>
      <c r="BZ242" s="123">
        <v>1.5771783888339996E-2</v>
      </c>
      <c r="CA242" s="123">
        <v>1</v>
      </c>
      <c r="CB242" s="123">
        <v>29.240720748901367</v>
      </c>
      <c r="CC242" s="126"/>
      <c r="CD242" s="123">
        <v>336.38986206054688</v>
      </c>
      <c r="CE242" s="123">
        <v>31.171100616455078</v>
      </c>
      <c r="CF242" s="123">
        <v>17.816263198852539</v>
      </c>
      <c r="CG242" s="123">
        <v>35.338191986083984</v>
      </c>
      <c r="CH242" s="123">
        <v>271.64480590820313</v>
      </c>
      <c r="CI242" s="123">
        <v>77.286659240722656</v>
      </c>
      <c r="CJ242" s="123">
        <v>34.625282287597656</v>
      </c>
      <c r="CK242" s="123">
        <v>46.976535797119141</v>
      </c>
      <c r="CL242" s="124">
        <v>24.257686614990234</v>
      </c>
      <c r="CM242" s="125">
        <v>194.20970153808594</v>
      </c>
      <c r="CN242" s="123">
        <v>55.929931640625</v>
      </c>
      <c r="CO242" s="123">
        <v>58.011642456054688</v>
      </c>
      <c r="CP242" s="123">
        <v>77.206169128417969</v>
      </c>
      <c r="CQ242" s="123">
        <v>0</v>
      </c>
      <c r="CR242" s="123">
        <v>47.967464447021484</v>
      </c>
      <c r="CS242" s="123">
        <v>9.0434284210205078</v>
      </c>
      <c r="CT242" s="123">
        <v>30.338733673095703</v>
      </c>
      <c r="CU242" s="123">
        <v>40.075138092041016</v>
      </c>
      <c r="CV242" s="124">
        <v>62.422271728515625</v>
      </c>
      <c r="CW242" s="125">
        <v>0</v>
      </c>
      <c r="CX242" s="123">
        <v>293</v>
      </c>
      <c r="CY242" s="123">
        <v>110.63447570800781</v>
      </c>
      <c r="CZ242" s="123">
        <v>45.536918640136719</v>
      </c>
      <c r="DA242" s="123">
        <v>19.333461761474609</v>
      </c>
      <c r="DB242" s="123">
        <v>33.606021881103516</v>
      </c>
      <c r="DC242" s="123">
        <v>72.485893249511719</v>
      </c>
      <c r="DD242" s="123">
        <v>48</v>
      </c>
      <c r="DE242" s="123">
        <v>171</v>
      </c>
      <c r="DF242" s="123">
        <v>97.761634826660156</v>
      </c>
      <c r="DG242" s="123">
        <v>62.183914184570313</v>
      </c>
      <c r="DH242" s="123">
        <v>43.230281829833984</v>
      </c>
      <c r="DI242" s="128">
        <v>37.137866973876953</v>
      </c>
      <c r="DJ242" s="127">
        <v>208</v>
      </c>
      <c r="DK242" s="123">
        <v>106.36799621582031</v>
      </c>
      <c r="DL242" s="123">
        <v>26.464000701904297</v>
      </c>
      <c r="DM242" s="123">
        <v>23.856000900268555</v>
      </c>
      <c r="DN242" s="123">
        <v>48.418998718261719</v>
      </c>
      <c r="DO242" s="124">
        <v>109.89162445068359</v>
      </c>
      <c r="DP242" s="125">
        <v>15.041000366210938</v>
      </c>
      <c r="DQ242" s="123"/>
      <c r="DR242" s="125">
        <v>0</v>
      </c>
      <c r="DS242" s="128">
        <v>30</v>
      </c>
      <c r="DT242" s="127">
        <v>12</v>
      </c>
      <c r="DU242" s="123"/>
      <c r="DV242" s="123">
        <v>10</v>
      </c>
      <c r="DW242" s="123">
        <v>3.2313542366027832</v>
      </c>
      <c r="DX242" s="125">
        <v>10</v>
      </c>
      <c r="DY242" s="128"/>
      <c r="DZ242" s="127">
        <v>44</v>
      </c>
      <c r="EA242" s="123">
        <v>3</v>
      </c>
      <c r="EB242" s="123">
        <v>0</v>
      </c>
      <c r="EC242" s="123">
        <v>1</v>
      </c>
      <c r="ED242" s="123">
        <v>229.39999389648438</v>
      </c>
      <c r="EE242" s="129"/>
      <c r="EF242" s="129"/>
      <c r="EG242" s="129"/>
    </row>
    <row r="243" spans="1:137" x14ac:dyDescent="0.3">
      <c r="A243" s="226">
        <f t="shared" si="12"/>
        <v>46020.165972222763</v>
      </c>
      <c r="B243" s="123">
        <v>216</v>
      </c>
      <c r="C243" s="123">
        <v>47.048000335693359</v>
      </c>
      <c r="D243" s="123">
        <v>95.454002380371094</v>
      </c>
      <c r="E243" s="123">
        <v>20.243999481201172</v>
      </c>
      <c r="F243" s="123">
        <v>0</v>
      </c>
      <c r="G243" s="124">
        <v>16.172000885009766</v>
      </c>
      <c r="H243" s="125">
        <v>355</v>
      </c>
      <c r="I243" s="123">
        <v>316</v>
      </c>
      <c r="J243" s="123">
        <v>59.941001892089844</v>
      </c>
      <c r="K243" s="123">
        <v>60.221630096435547</v>
      </c>
      <c r="L243" s="123">
        <v>101.25700378417969</v>
      </c>
      <c r="M243" s="123">
        <v>12.10099983215332</v>
      </c>
      <c r="N243" s="123">
        <v>17.367000579833984</v>
      </c>
      <c r="O243" s="123">
        <v>16</v>
      </c>
      <c r="P243" s="123">
        <v>0</v>
      </c>
      <c r="Q243" s="123">
        <v>16.954917907714844</v>
      </c>
      <c r="R243" s="123">
        <v>6</v>
      </c>
      <c r="S243" s="123">
        <v>6.0552363395690918</v>
      </c>
      <c r="T243" s="123">
        <v>7</v>
      </c>
      <c r="U243" s="123">
        <v>7</v>
      </c>
      <c r="V243" s="125">
        <v>842</v>
      </c>
      <c r="W243" s="123">
        <v>24.461080551147461</v>
      </c>
      <c r="X243" s="123">
        <v>26.238000869750977</v>
      </c>
      <c r="Y243" s="123">
        <v>5.5980000495910645</v>
      </c>
      <c r="Z243" s="123">
        <v>0</v>
      </c>
      <c r="AA243" s="123">
        <v>18.886999130249023</v>
      </c>
      <c r="AB243" s="123">
        <v>0</v>
      </c>
      <c r="AC243" s="123">
        <v>52.562904357910156</v>
      </c>
      <c r="AD243" s="123">
        <v>6.1069998741149902</v>
      </c>
      <c r="AE243" s="123">
        <v>0</v>
      </c>
      <c r="AF243" s="123">
        <v>78.654853820800781</v>
      </c>
      <c r="AG243" s="123">
        <v>0</v>
      </c>
      <c r="AH243" s="123">
        <v>60.096290588378906</v>
      </c>
      <c r="AI243" s="123">
        <v>13.868000030517578</v>
      </c>
      <c r="AJ243" s="123">
        <v>17.050054550170898</v>
      </c>
      <c r="AK243" s="123">
        <v>35.84893798828125</v>
      </c>
      <c r="AL243" s="123">
        <v>34.988998413085938</v>
      </c>
      <c r="AM243" s="126">
        <v>54.264999389648438</v>
      </c>
      <c r="AN243" s="125">
        <v>113.25</v>
      </c>
      <c r="AO243" s="127">
        <v>58</v>
      </c>
      <c r="AP243" s="123">
        <v>59.811389923095703</v>
      </c>
      <c r="AQ243" s="123">
        <v>34.855621337890625</v>
      </c>
      <c r="AR243" s="123">
        <v>97</v>
      </c>
      <c r="AS243" s="123"/>
      <c r="AT243" s="123">
        <v>105</v>
      </c>
      <c r="AU243" s="123"/>
      <c r="AV243" s="123">
        <v>52</v>
      </c>
      <c r="AW243" s="123"/>
      <c r="AX243" s="123">
        <v>29</v>
      </c>
      <c r="AY243" s="123">
        <v>31.43757438659668</v>
      </c>
      <c r="AZ243" s="123">
        <v>9</v>
      </c>
      <c r="BA243" s="123"/>
      <c r="BB243" s="123">
        <v>178</v>
      </c>
      <c r="BC243" s="123">
        <v>177.04495239257813</v>
      </c>
      <c r="BD243" s="123">
        <v>6.6999998092651367</v>
      </c>
      <c r="BE243" s="123">
        <v>6.7732086181640625</v>
      </c>
      <c r="BF243" s="123">
        <v>29</v>
      </c>
      <c r="BG243" s="123">
        <v>11</v>
      </c>
      <c r="BH243" s="123">
        <v>11.260390281677246</v>
      </c>
      <c r="BI243" s="123"/>
      <c r="BJ243" s="108">
        <f t="shared" si="10"/>
        <v>11</v>
      </c>
      <c r="BK243" s="123">
        <v>11</v>
      </c>
      <c r="BL243" s="123">
        <v>0</v>
      </c>
      <c r="BM243" s="126"/>
      <c r="BN243" s="108">
        <f t="shared" si="11"/>
        <v>121.20000076293945</v>
      </c>
      <c r="BO243" s="108">
        <v>73</v>
      </c>
      <c r="BP243" s="108">
        <v>48.200000762939453</v>
      </c>
      <c r="BQ243" s="108">
        <v>261</v>
      </c>
      <c r="BR243" s="123">
        <v>63.898998260498047</v>
      </c>
      <c r="BS243" s="123">
        <v>24.937000274658203</v>
      </c>
      <c r="BT243" s="123">
        <v>41.562999725341797</v>
      </c>
      <c r="BU243" s="123">
        <v>34.86199951171875</v>
      </c>
      <c r="BV243" s="123">
        <v>68.900001525878906</v>
      </c>
      <c r="BW243" s="123">
        <v>5.8000001907348633</v>
      </c>
      <c r="BX243" s="123">
        <v>13.5</v>
      </c>
      <c r="BY243" s="123">
        <v>28</v>
      </c>
      <c r="BZ243" s="123">
        <v>1.4530341140925884E-2</v>
      </c>
      <c r="CA243" s="123">
        <v>0</v>
      </c>
      <c r="CB243" s="123">
        <v>29.188495635986328</v>
      </c>
      <c r="CC243" s="126"/>
      <c r="CD243" s="123">
        <v>332.12164306640625</v>
      </c>
      <c r="CE243" s="123">
        <v>29.384433746337891</v>
      </c>
      <c r="CF243" s="123">
        <v>17.358993530273438</v>
      </c>
      <c r="CG243" s="123">
        <v>35.338191986083984</v>
      </c>
      <c r="CH243" s="123">
        <v>272.1092529296875</v>
      </c>
      <c r="CI243" s="123">
        <v>77.74169921875</v>
      </c>
      <c r="CJ243" s="123">
        <v>33.189830780029297</v>
      </c>
      <c r="CK243" s="123">
        <v>48.50750732421875</v>
      </c>
      <c r="CL243" s="124">
        <v>23.785406112670898</v>
      </c>
      <c r="CM243" s="125">
        <v>188.49980163574219</v>
      </c>
      <c r="CN243" s="123">
        <v>55.7550048828125</v>
      </c>
      <c r="CO243" s="123">
        <v>55.6558837890625</v>
      </c>
      <c r="CP243" s="123">
        <v>74.147621154785156</v>
      </c>
      <c r="CQ243" s="123">
        <v>0</v>
      </c>
      <c r="CR243" s="123">
        <v>47.343116760253906</v>
      </c>
      <c r="CS243" s="123">
        <v>8.3457002639770508</v>
      </c>
      <c r="CT243" s="123">
        <v>31.004888534545898</v>
      </c>
      <c r="CU243" s="123">
        <v>38.596225738525391</v>
      </c>
      <c r="CV243" s="124">
        <v>66.526779174804688</v>
      </c>
      <c r="CW243" s="125">
        <v>2</v>
      </c>
      <c r="CX243" s="123">
        <v>296</v>
      </c>
      <c r="CY243" s="123">
        <v>111.00917816162109</v>
      </c>
      <c r="CZ243" s="123">
        <v>45.536918640136719</v>
      </c>
      <c r="DA243" s="123">
        <v>19.078380584716797</v>
      </c>
      <c r="DB243" s="123">
        <v>34.274684906005859</v>
      </c>
      <c r="DC243" s="123">
        <v>74.582176208496094</v>
      </c>
      <c r="DD243" s="123">
        <v>41</v>
      </c>
      <c r="DE243" s="123">
        <v>170</v>
      </c>
      <c r="DF243" s="123">
        <v>97.19195556640625</v>
      </c>
      <c r="DG243" s="123">
        <v>62.319019317626953</v>
      </c>
      <c r="DH243" s="123">
        <v>42.196071624755859</v>
      </c>
      <c r="DI243" s="128">
        <v>36.296764373779297</v>
      </c>
      <c r="DJ243" s="127">
        <v>201</v>
      </c>
      <c r="DK243" s="123">
        <v>106.36799621582031</v>
      </c>
      <c r="DL243" s="123">
        <v>24.201999664306641</v>
      </c>
      <c r="DM243" s="123">
        <v>23.856000900268555</v>
      </c>
      <c r="DN243" s="123">
        <v>48.418998718261719</v>
      </c>
      <c r="DO243" s="124">
        <v>109.83245086669922</v>
      </c>
      <c r="DP243" s="125">
        <v>14.899999618530273</v>
      </c>
      <c r="DQ243" s="123"/>
      <c r="DR243" s="125">
        <v>0</v>
      </c>
      <c r="DS243" s="128">
        <v>29.100000381469727</v>
      </c>
      <c r="DT243" s="127">
        <v>12</v>
      </c>
      <c r="DU243" s="123"/>
      <c r="DV243" s="123">
        <v>10</v>
      </c>
      <c r="DW243" s="123">
        <v>3.1500799655914307</v>
      </c>
      <c r="DX243" s="125">
        <v>10</v>
      </c>
      <c r="DY243" s="128"/>
      <c r="DZ243" s="127">
        <v>43</v>
      </c>
      <c r="EA243" s="123">
        <v>3</v>
      </c>
      <c r="EB243" s="123">
        <v>0</v>
      </c>
      <c r="EC243" s="123">
        <v>1</v>
      </c>
      <c r="ED243" s="123">
        <v>229.30000305175781</v>
      </c>
      <c r="EE243" s="129"/>
      <c r="EF243" s="129"/>
      <c r="EG243" s="129"/>
    </row>
    <row r="244" spans="1:137" x14ac:dyDescent="0.3">
      <c r="A244" s="226">
        <f t="shared" si="12"/>
        <v>46020.16666666721</v>
      </c>
      <c r="B244" s="123">
        <v>208</v>
      </c>
      <c r="C244" s="123">
        <v>51.798000335693359</v>
      </c>
      <c r="D244" s="123">
        <v>95.567001342773438</v>
      </c>
      <c r="E244" s="123">
        <v>36.191001892089844</v>
      </c>
      <c r="F244" s="123">
        <v>0</v>
      </c>
      <c r="G244" s="124">
        <v>16.285999298095703</v>
      </c>
      <c r="H244" s="125">
        <v>355</v>
      </c>
      <c r="I244" s="123">
        <v>317</v>
      </c>
      <c r="J244" s="123">
        <v>60.166999816894531</v>
      </c>
      <c r="K244" s="123">
        <v>61.347511291503906</v>
      </c>
      <c r="L244" s="123">
        <v>98.959999084472656</v>
      </c>
      <c r="M244" s="123">
        <v>11.98799991607666</v>
      </c>
      <c r="N244" s="123">
        <v>18.320999145507813</v>
      </c>
      <c r="O244" s="123">
        <v>17</v>
      </c>
      <c r="P244" s="123">
        <v>0</v>
      </c>
      <c r="Q244" s="123">
        <v>17.218111038208008</v>
      </c>
      <c r="R244" s="123">
        <v>6</v>
      </c>
      <c r="S244" s="123">
        <v>4.7893948554992676</v>
      </c>
      <c r="T244" s="123">
        <v>9</v>
      </c>
      <c r="U244" s="123">
        <v>9</v>
      </c>
      <c r="V244" s="125">
        <v>847</v>
      </c>
      <c r="W244" s="123">
        <v>26.255918502807617</v>
      </c>
      <c r="X244" s="123">
        <v>25.445999145507813</v>
      </c>
      <c r="Y244" s="123">
        <v>5.2800002098083496</v>
      </c>
      <c r="Z244" s="123">
        <v>0</v>
      </c>
      <c r="AA244" s="123">
        <v>18.886999130249023</v>
      </c>
      <c r="AB244" s="123">
        <v>0</v>
      </c>
      <c r="AC244" s="123">
        <v>52.773468017578125</v>
      </c>
      <c r="AD244" s="123">
        <v>6.3610000610351563</v>
      </c>
      <c r="AE244" s="123">
        <v>0</v>
      </c>
      <c r="AF244" s="123">
        <v>79.893646240234375</v>
      </c>
      <c r="AG244" s="123">
        <v>0</v>
      </c>
      <c r="AH244" s="123">
        <v>61.696659088134766</v>
      </c>
      <c r="AI244" s="123">
        <v>12.913999557495117</v>
      </c>
      <c r="AJ244" s="123">
        <v>15.863069534301758</v>
      </c>
      <c r="AK244" s="123">
        <v>35.189449310302734</v>
      </c>
      <c r="AL244" s="123">
        <v>38.876998901367188</v>
      </c>
      <c r="AM244" s="126">
        <v>53.564998626708984</v>
      </c>
      <c r="AN244" s="125">
        <v>111.5</v>
      </c>
      <c r="AO244" s="127">
        <v>60</v>
      </c>
      <c r="AP244" s="123">
        <v>61.433132171630859</v>
      </c>
      <c r="AQ244" s="123">
        <v>36.441646575927734</v>
      </c>
      <c r="AR244" s="123">
        <v>96</v>
      </c>
      <c r="AS244" s="123"/>
      <c r="AT244" s="123">
        <v>106</v>
      </c>
      <c r="AU244" s="123"/>
      <c r="AV244" s="123">
        <v>51</v>
      </c>
      <c r="AW244" s="123"/>
      <c r="AX244" s="123">
        <v>30</v>
      </c>
      <c r="AY244" s="123">
        <v>32.301296234130859</v>
      </c>
      <c r="AZ244" s="123">
        <v>9</v>
      </c>
      <c r="BA244" s="123"/>
      <c r="BB244" s="123">
        <v>177</v>
      </c>
      <c r="BC244" s="123">
        <v>175.45338439941406</v>
      </c>
      <c r="BD244" s="123">
        <v>6.6999998092651367</v>
      </c>
      <c r="BE244" s="123">
        <v>6.7383894920349121</v>
      </c>
      <c r="BF244" s="123">
        <v>30</v>
      </c>
      <c r="BG244" s="123">
        <v>11</v>
      </c>
      <c r="BH244" s="123">
        <v>11.829001426696777</v>
      </c>
      <c r="BI244" s="123"/>
      <c r="BJ244" s="108">
        <f t="shared" si="10"/>
        <v>11</v>
      </c>
      <c r="BK244" s="123">
        <v>11</v>
      </c>
      <c r="BL244" s="123">
        <v>0</v>
      </c>
      <c r="BM244" s="126"/>
      <c r="BN244" s="108">
        <f t="shared" si="11"/>
        <v>120.20000076293945</v>
      </c>
      <c r="BO244" s="108">
        <v>72</v>
      </c>
      <c r="BP244" s="108">
        <v>48.200000762939453</v>
      </c>
      <c r="BQ244" s="108">
        <v>265</v>
      </c>
      <c r="BR244" s="123">
        <v>63.333999633789063</v>
      </c>
      <c r="BS244" s="123">
        <v>24.937000274658203</v>
      </c>
      <c r="BT244" s="123">
        <v>40.869998931884766</v>
      </c>
      <c r="BU244" s="123">
        <v>34.479999542236328</v>
      </c>
      <c r="BV244" s="123">
        <v>69.199996948242188</v>
      </c>
      <c r="BW244" s="123">
        <v>5.8000001907348633</v>
      </c>
      <c r="BX244" s="123">
        <v>13.5</v>
      </c>
      <c r="BY244" s="123">
        <v>28</v>
      </c>
      <c r="BZ244" s="123">
        <v>1.4530341140925884E-2</v>
      </c>
      <c r="CA244" s="123">
        <v>1</v>
      </c>
      <c r="CB244" s="123">
        <v>29.215240478515625</v>
      </c>
      <c r="CC244" s="126"/>
      <c r="CD244" s="123">
        <v>329.80502319335938</v>
      </c>
      <c r="CE244" s="123">
        <v>29.593355178833008</v>
      </c>
      <c r="CF244" s="123">
        <v>17.25244140625</v>
      </c>
      <c r="CG244" s="123">
        <v>35.338191986083984</v>
      </c>
      <c r="CH244" s="123">
        <v>271.88442993164063</v>
      </c>
      <c r="CI244" s="123">
        <v>76.491462707519531</v>
      </c>
      <c r="CJ244" s="123">
        <v>31.771255493164063</v>
      </c>
      <c r="CK244" s="123">
        <v>48.485904693603516</v>
      </c>
      <c r="CL244" s="124">
        <v>24.396770477294922</v>
      </c>
      <c r="CM244" s="125">
        <v>188.23373413085938</v>
      </c>
      <c r="CN244" s="123">
        <v>55.163288116455078</v>
      </c>
      <c r="CO244" s="123">
        <v>55.810405731201172</v>
      </c>
      <c r="CP244" s="123">
        <v>75.131874084472656</v>
      </c>
      <c r="CQ244" s="123">
        <v>0</v>
      </c>
      <c r="CR244" s="123">
        <v>49.127639770507813</v>
      </c>
      <c r="CS244" s="123">
        <v>8.5638914108276367</v>
      </c>
      <c r="CT244" s="123">
        <v>30.796918869018555</v>
      </c>
      <c r="CU244" s="123">
        <v>40.255344390869141</v>
      </c>
      <c r="CV244" s="124">
        <v>63.2703857421875</v>
      </c>
      <c r="CW244" s="125">
        <v>6</v>
      </c>
      <c r="CX244" s="123">
        <v>305</v>
      </c>
      <c r="CY244" s="123">
        <v>109.64079284667969</v>
      </c>
      <c r="CZ244" s="123">
        <v>47.525600433349609</v>
      </c>
      <c r="DA244" s="123">
        <v>19.455327987670898</v>
      </c>
      <c r="DB244" s="123">
        <v>33.322330474853516</v>
      </c>
      <c r="DC244" s="123">
        <v>72.233169555664063</v>
      </c>
      <c r="DD244" s="123">
        <v>43</v>
      </c>
      <c r="DE244" s="123">
        <v>169</v>
      </c>
      <c r="DF244" s="123">
        <v>96.567092895507813</v>
      </c>
      <c r="DG244" s="123">
        <v>62.795627593994141</v>
      </c>
      <c r="DH244" s="123">
        <v>41.625003814697266</v>
      </c>
      <c r="DI244" s="128">
        <v>36.33251953125</v>
      </c>
      <c r="DJ244" s="127">
        <v>204</v>
      </c>
      <c r="DK244" s="123">
        <v>101.53299713134766</v>
      </c>
      <c r="DL244" s="123">
        <v>26.238000869750977</v>
      </c>
      <c r="DM244" s="123">
        <v>26.329999923706055</v>
      </c>
      <c r="DN244" s="123">
        <v>47.712001800537109</v>
      </c>
      <c r="DO244" s="124">
        <v>110.09812164306641</v>
      </c>
      <c r="DP244" s="125">
        <v>14.899999618530273</v>
      </c>
      <c r="DQ244" s="123"/>
      <c r="DR244" s="125">
        <v>0</v>
      </c>
      <c r="DS244" s="128">
        <v>28.700000762939453</v>
      </c>
      <c r="DT244" s="127">
        <v>12</v>
      </c>
      <c r="DU244" s="123"/>
      <c r="DV244" s="123">
        <v>10</v>
      </c>
      <c r="DW244" s="123">
        <v>3.0805168151855469</v>
      </c>
      <c r="DX244" s="125">
        <v>10</v>
      </c>
      <c r="DY244" s="128"/>
      <c r="DZ244" s="127">
        <v>44</v>
      </c>
      <c r="EA244" s="123">
        <v>3</v>
      </c>
      <c r="EB244" s="123">
        <v>0</v>
      </c>
      <c r="EC244" s="123">
        <v>1</v>
      </c>
      <c r="ED244" s="123">
        <v>230.39999389648438</v>
      </c>
      <c r="EE244" s="129"/>
      <c r="EF244" s="129"/>
      <c r="EG244" s="129"/>
    </row>
    <row r="245" spans="1:137" x14ac:dyDescent="0.3">
      <c r="A245" s="226">
        <f t="shared" si="12"/>
        <v>46020.167361111657</v>
      </c>
      <c r="B245" s="123">
        <v>208</v>
      </c>
      <c r="C245" s="123">
        <v>51.685001373291016</v>
      </c>
      <c r="D245" s="123">
        <v>94.662002563476563</v>
      </c>
      <c r="E245" s="123">
        <v>38.791999816894531</v>
      </c>
      <c r="F245" s="123">
        <v>0</v>
      </c>
      <c r="G245" s="124">
        <v>16.625</v>
      </c>
      <c r="H245" s="125">
        <v>354</v>
      </c>
      <c r="I245" s="123">
        <v>309</v>
      </c>
      <c r="J245" s="123">
        <v>60.619998931884766</v>
      </c>
      <c r="K245" s="123">
        <v>60.420406341552734</v>
      </c>
      <c r="L245" s="123">
        <v>96.662002563476563</v>
      </c>
      <c r="M245" s="123">
        <v>11.98799991607666</v>
      </c>
      <c r="N245" s="123">
        <v>18.448999404907227</v>
      </c>
      <c r="O245" s="123">
        <v>16</v>
      </c>
      <c r="P245" s="123">
        <v>0</v>
      </c>
      <c r="Q245" s="123">
        <v>16.298189163208008</v>
      </c>
      <c r="R245" s="123">
        <v>0</v>
      </c>
      <c r="S245" s="123">
        <v>4.4279837608337402</v>
      </c>
      <c r="T245" s="123">
        <v>9</v>
      </c>
      <c r="U245" s="123">
        <v>9</v>
      </c>
      <c r="V245" s="125">
        <v>847</v>
      </c>
      <c r="W245" s="123">
        <v>25.042572021484375</v>
      </c>
      <c r="X245" s="123">
        <v>25.89900016784668</v>
      </c>
      <c r="Y245" s="123">
        <v>5.2800002098083496</v>
      </c>
      <c r="Z245" s="123">
        <v>0</v>
      </c>
      <c r="AA245" s="123">
        <v>18.547000885009766</v>
      </c>
      <c r="AB245" s="123">
        <v>0</v>
      </c>
      <c r="AC245" s="123">
        <v>52.456127166748047</v>
      </c>
      <c r="AD245" s="123">
        <v>6.1069998741149902</v>
      </c>
      <c r="AE245" s="123">
        <v>0</v>
      </c>
      <c r="AF245" s="123">
        <v>79.842674255371094</v>
      </c>
      <c r="AG245" s="123">
        <v>0</v>
      </c>
      <c r="AH245" s="123">
        <v>61.879161834716797</v>
      </c>
      <c r="AI245" s="123">
        <v>11.322999954223633</v>
      </c>
      <c r="AJ245" s="123">
        <v>16.839794158935547</v>
      </c>
      <c r="AK245" s="123">
        <v>36.597503662109375</v>
      </c>
      <c r="AL245" s="123">
        <v>36.932998657226563</v>
      </c>
      <c r="AM245" s="126">
        <v>53.564998626708984</v>
      </c>
      <c r="AN245" s="125">
        <v>112.3125</v>
      </c>
      <c r="AO245" s="127">
        <v>60</v>
      </c>
      <c r="AP245" s="123">
        <v>61.877532958984375</v>
      </c>
      <c r="AQ245" s="123">
        <v>35.850811004638672</v>
      </c>
      <c r="AR245" s="123">
        <v>98</v>
      </c>
      <c r="AS245" s="123"/>
      <c r="AT245" s="123">
        <v>105</v>
      </c>
      <c r="AU245" s="123"/>
      <c r="AV245" s="123">
        <v>51</v>
      </c>
      <c r="AW245" s="123"/>
      <c r="AX245" s="123">
        <v>29</v>
      </c>
      <c r="AY245" s="123">
        <v>32.199810028076172</v>
      </c>
      <c r="AZ245" s="123">
        <v>10</v>
      </c>
      <c r="BA245" s="123"/>
      <c r="BB245" s="123">
        <v>177</v>
      </c>
      <c r="BC245" s="123">
        <v>174.49484252929688</v>
      </c>
      <c r="BD245" s="123">
        <v>6.6999998092651367</v>
      </c>
      <c r="BE245" s="123">
        <v>6.7255759239196777</v>
      </c>
      <c r="BF245" s="123">
        <v>30</v>
      </c>
      <c r="BG245" s="123">
        <v>11</v>
      </c>
      <c r="BH245" s="123">
        <v>11.817453384399414</v>
      </c>
      <c r="BI245" s="123"/>
      <c r="BJ245" s="108">
        <f t="shared" si="10"/>
        <v>10</v>
      </c>
      <c r="BK245" s="123">
        <v>10</v>
      </c>
      <c r="BL245" s="123">
        <v>0</v>
      </c>
      <c r="BM245" s="126"/>
      <c r="BN245" s="108">
        <f t="shared" si="11"/>
        <v>119.20000076293945</v>
      </c>
      <c r="BO245" s="108">
        <v>72</v>
      </c>
      <c r="BP245" s="108">
        <v>47.200000762939453</v>
      </c>
      <c r="BQ245" s="108">
        <v>257</v>
      </c>
      <c r="BR245" s="123">
        <v>62.316001892089844</v>
      </c>
      <c r="BS245" s="123">
        <v>24.429000854492188</v>
      </c>
      <c r="BT245" s="123">
        <v>40.523998260498047</v>
      </c>
      <c r="BU245" s="123">
        <v>34.161998748779297</v>
      </c>
      <c r="BV245" s="123">
        <v>69.199996948242188</v>
      </c>
      <c r="BW245" s="123">
        <v>5.6999998092651367</v>
      </c>
      <c r="BX245" s="123">
        <v>13.600000381469727</v>
      </c>
      <c r="BY245" s="123">
        <v>29</v>
      </c>
      <c r="BZ245" s="123">
        <v>1.4834629371762276E-2</v>
      </c>
      <c r="CA245" s="123">
        <v>1</v>
      </c>
      <c r="CB245" s="123">
        <v>29.298187255859375</v>
      </c>
      <c r="CC245" s="126"/>
      <c r="CD245" s="123">
        <v>332.437255859375</v>
      </c>
      <c r="CE245" s="123">
        <v>29.751346588134766</v>
      </c>
      <c r="CF245" s="123">
        <v>17.533367156982422</v>
      </c>
      <c r="CG245" s="123">
        <v>35.338191986083984</v>
      </c>
      <c r="CH245" s="123">
        <v>271.22909545898438</v>
      </c>
      <c r="CI245" s="123">
        <v>80.340286254882813</v>
      </c>
      <c r="CJ245" s="123">
        <v>35.873600006103516</v>
      </c>
      <c r="CK245" s="123">
        <v>48.119060516357422</v>
      </c>
      <c r="CL245" s="124">
        <v>25.341796875</v>
      </c>
      <c r="CM245" s="125">
        <v>193.79013061523438</v>
      </c>
      <c r="CN245" s="123">
        <v>57.9493408203125</v>
      </c>
      <c r="CO245" s="123">
        <v>57.576869964599609</v>
      </c>
      <c r="CP245" s="123">
        <v>76.673500061035156</v>
      </c>
      <c r="CQ245" s="123">
        <v>0</v>
      </c>
      <c r="CR245" s="123">
        <v>48.692668914794922</v>
      </c>
      <c r="CS245" s="123">
        <v>8.3779363632202148</v>
      </c>
      <c r="CT245" s="123">
        <v>30.267518997192383</v>
      </c>
      <c r="CU245" s="123">
        <v>38.463924407958984</v>
      </c>
      <c r="CV245" s="124">
        <v>62.082656860351563</v>
      </c>
      <c r="CW245" s="125">
        <v>0</v>
      </c>
      <c r="CX245" s="123">
        <v>300</v>
      </c>
      <c r="CY245" s="123">
        <v>112.06972503662109</v>
      </c>
      <c r="CZ245" s="123">
        <v>47.215850830078125</v>
      </c>
      <c r="DA245" s="123">
        <v>19.423105239868164</v>
      </c>
      <c r="DB245" s="123">
        <v>35.606220245361328</v>
      </c>
      <c r="DC245" s="123">
        <v>72.920257568359375</v>
      </c>
      <c r="DD245" s="123">
        <v>43</v>
      </c>
      <c r="DE245" s="123">
        <v>169</v>
      </c>
      <c r="DF245" s="123">
        <v>100.47203063964844</v>
      </c>
      <c r="DG245" s="123">
        <v>61.020919799804688</v>
      </c>
      <c r="DH245" s="123">
        <v>42.535449981689453</v>
      </c>
      <c r="DI245" s="128">
        <v>37.946392059326172</v>
      </c>
      <c r="DJ245" s="127">
        <v>202</v>
      </c>
      <c r="DK245" s="123">
        <v>101.53299713134766</v>
      </c>
      <c r="DL245" s="123">
        <v>23.75</v>
      </c>
      <c r="DM245" s="123">
        <v>24.916000366210938</v>
      </c>
      <c r="DN245" s="123">
        <v>47.712001800537109</v>
      </c>
      <c r="DO245" s="124">
        <v>109.56051635742188</v>
      </c>
      <c r="DP245" s="125">
        <v>14.956999778747559</v>
      </c>
      <c r="DQ245" s="123"/>
      <c r="DR245" s="125">
        <v>0</v>
      </c>
      <c r="DS245" s="128">
        <v>29</v>
      </c>
      <c r="DT245" s="127">
        <v>12</v>
      </c>
      <c r="DU245" s="123"/>
      <c r="DV245" s="123">
        <v>9</v>
      </c>
      <c r="DW245" s="123">
        <v>2.9905149936676025</v>
      </c>
      <c r="DX245" s="125">
        <v>11</v>
      </c>
      <c r="DY245" s="128"/>
      <c r="DZ245" s="127">
        <v>43</v>
      </c>
      <c r="EA245" s="123">
        <v>3</v>
      </c>
      <c r="EB245" s="123">
        <v>0</v>
      </c>
      <c r="EC245" s="123">
        <v>1</v>
      </c>
      <c r="ED245" s="123">
        <v>229.89999389648438</v>
      </c>
      <c r="EE245" s="129"/>
      <c r="EF245" s="129"/>
      <c r="EG245" s="129"/>
    </row>
    <row r="246" spans="1:137" x14ac:dyDescent="0.3">
      <c r="A246" s="226">
        <f t="shared" si="12"/>
        <v>46020.168055556103</v>
      </c>
      <c r="B246" s="123">
        <v>208</v>
      </c>
      <c r="C246" s="123">
        <v>48.518001556396484</v>
      </c>
      <c r="D246" s="123">
        <v>95.454002380371094</v>
      </c>
      <c r="E246" s="123">
        <v>37.321998596191406</v>
      </c>
      <c r="F246" s="123">
        <v>0</v>
      </c>
      <c r="G246" s="124">
        <v>16.85099983215332</v>
      </c>
      <c r="H246" s="125">
        <v>353</v>
      </c>
      <c r="I246" s="123">
        <v>312</v>
      </c>
      <c r="J246" s="123">
        <v>59.602001190185547</v>
      </c>
      <c r="K246" s="123">
        <v>60.362838745117188</v>
      </c>
      <c r="L246" s="123">
        <v>100.55000305175781</v>
      </c>
      <c r="M246" s="123">
        <v>12.326999664306641</v>
      </c>
      <c r="N246" s="123">
        <v>16.794000625610352</v>
      </c>
      <c r="O246" s="123">
        <v>17</v>
      </c>
      <c r="P246" s="123">
        <v>0</v>
      </c>
      <c r="Q246" s="123">
        <v>16.955959320068359</v>
      </c>
      <c r="R246" s="123">
        <v>4.9968748092651367</v>
      </c>
      <c r="S246" s="123">
        <v>5.1733593940734863</v>
      </c>
      <c r="T246" s="123">
        <v>9</v>
      </c>
      <c r="U246" s="123">
        <v>9</v>
      </c>
      <c r="V246" s="125">
        <v>849</v>
      </c>
      <c r="W246" s="123">
        <v>24.811540603637695</v>
      </c>
      <c r="X246" s="123">
        <v>25.785999298095703</v>
      </c>
      <c r="Y246" s="123">
        <v>5.5339999198913574</v>
      </c>
      <c r="Z246" s="123">
        <v>0</v>
      </c>
      <c r="AA246" s="123">
        <v>17.416000366210938</v>
      </c>
      <c r="AB246" s="123">
        <v>0</v>
      </c>
      <c r="AC246" s="123">
        <v>52.724868774414063</v>
      </c>
      <c r="AD246" s="123">
        <v>6.3610000610351563</v>
      </c>
      <c r="AE246" s="123">
        <v>0</v>
      </c>
      <c r="AF246" s="123">
        <v>79.125968933105469</v>
      </c>
      <c r="AG246" s="123">
        <v>0</v>
      </c>
      <c r="AH246" s="123">
        <v>61.407821655273438</v>
      </c>
      <c r="AI246" s="123">
        <v>11.451000213623047</v>
      </c>
      <c r="AJ246" s="123">
        <v>18.218545913696289</v>
      </c>
      <c r="AK246" s="123">
        <v>36.324691772460938</v>
      </c>
      <c r="AL246" s="123">
        <v>35.519001007080078</v>
      </c>
      <c r="AM246" s="126">
        <v>55.347000122070313</v>
      </c>
      <c r="AN246" s="125">
        <v>111.875</v>
      </c>
      <c r="AO246" s="127">
        <v>58</v>
      </c>
      <c r="AP246" s="123">
        <v>60.587291717529297</v>
      </c>
      <c r="AQ246" s="123">
        <v>35.765850067138672</v>
      </c>
      <c r="AR246" s="123">
        <v>98</v>
      </c>
      <c r="AS246" s="123"/>
      <c r="AT246" s="123">
        <v>106</v>
      </c>
      <c r="AU246" s="123"/>
      <c r="AV246" s="123">
        <v>51</v>
      </c>
      <c r="AW246" s="123"/>
      <c r="AX246" s="123">
        <v>30</v>
      </c>
      <c r="AY246" s="123">
        <v>32.272945404052734</v>
      </c>
      <c r="AZ246" s="123">
        <v>11</v>
      </c>
      <c r="BA246" s="123"/>
      <c r="BB246" s="123">
        <v>177</v>
      </c>
      <c r="BC246" s="123">
        <v>175.41079711914063</v>
      </c>
      <c r="BD246" s="123">
        <v>6.5999999046325684</v>
      </c>
      <c r="BE246" s="123">
        <v>6.708308219909668</v>
      </c>
      <c r="BF246" s="123">
        <v>31</v>
      </c>
      <c r="BG246" s="123">
        <v>11</v>
      </c>
      <c r="BH246" s="123">
        <v>11.496916770935059</v>
      </c>
      <c r="BI246" s="123"/>
      <c r="BJ246" s="108">
        <f t="shared" si="10"/>
        <v>11</v>
      </c>
      <c r="BK246" s="123">
        <v>11</v>
      </c>
      <c r="BL246" s="123">
        <v>0</v>
      </c>
      <c r="BM246" s="126"/>
      <c r="BN246" s="108">
        <f t="shared" si="11"/>
        <v>119.20000076293945</v>
      </c>
      <c r="BO246" s="108">
        <v>72</v>
      </c>
      <c r="BP246" s="108">
        <v>47.200000762939453</v>
      </c>
      <c r="BQ246" s="108">
        <v>259</v>
      </c>
      <c r="BR246" s="123">
        <v>65.143997192382813</v>
      </c>
      <c r="BS246" s="123">
        <v>24.429000854492188</v>
      </c>
      <c r="BT246" s="123">
        <v>40.869998931884766</v>
      </c>
      <c r="BU246" s="123">
        <v>33.971000671386719</v>
      </c>
      <c r="BV246" s="123">
        <v>69.599998474121094</v>
      </c>
      <c r="BW246" s="123">
        <v>5.9000000953674316</v>
      </c>
      <c r="BX246" s="123">
        <v>13.600000381469727</v>
      </c>
      <c r="BY246" s="123">
        <v>29</v>
      </c>
      <c r="BZ246" s="123">
        <v>1.2604392133653164E-2</v>
      </c>
      <c r="CA246" s="123">
        <v>1</v>
      </c>
      <c r="CB246" s="123">
        <v>29.202056884765625</v>
      </c>
      <c r="CC246" s="126"/>
      <c r="CD246" s="123">
        <v>327.40798950195313</v>
      </c>
      <c r="CE246" s="123">
        <v>28.832925796508789</v>
      </c>
      <c r="CF246" s="123">
        <v>17.217849731445313</v>
      </c>
      <c r="CG246" s="123">
        <v>35.338191986083984</v>
      </c>
      <c r="CH246" s="123">
        <v>270.301513671875</v>
      </c>
      <c r="CI246" s="123">
        <v>77.866432189941406</v>
      </c>
      <c r="CJ246" s="123">
        <v>34.219154357910156</v>
      </c>
      <c r="CK246" s="123">
        <v>47.713035583496094</v>
      </c>
      <c r="CL246" s="124">
        <v>24.922346115112305</v>
      </c>
      <c r="CM246" s="125">
        <v>191.129150390625</v>
      </c>
      <c r="CN246" s="123">
        <v>54.883026123046875</v>
      </c>
      <c r="CO246" s="123">
        <v>56.858974456787109</v>
      </c>
      <c r="CP246" s="123">
        <v>76.369186401367188</v>
      </c>
      <c r="CQ246" s="123">
        <v>0</v>
      </c>
      <c r="CR246" s="123">
        <v>47.748958587646484</v>
      </c>
      <c r="CS246" s="123">
        <v>8.3964147567749023</v>
      </c>
      <c r="CT246" s="123">
        <v>27.647266387939453</v>
      </c>
      <c r="CU246" s="123">
        <v>37.895870208740234</v>
      </c>
      <c r="CV246" s="124">
        <v>62.089424133300781</v>
      </c>
      <c r="CW246" s="125">
        <v>0</v>
      </c>
      <c r="CX246" s="123">
        <v>303</v>
      </c>
      <c r="CY246" s="123">
        <v>108.66178894042969</v>
      </c>
      <c r="CZ246" s="123">
        <v>47.34637451171875</v>
      </c>
      <c r="DA246" s="123">
        <v>19.88593864440918</v>
      </c>
      <c r="DB246" s="123">
        <v>31.478706359863281</v>
      </c>
      <c r="DC246" s="123">
        <v>74.995834350585938</v>
      </c>
      <c r="DD246" s="123">
        <v>45</v>
      </c>
      <c r="DE246" s="123">
        <v>169</v>
      </c>
      <c r="DF246" s="123">
        <v>98.560592651367188</v>
      </c>
      <c r="DG246" s="123">
        <v>61.636222839355469</v>
      </c>
      <c r="DH246" s="123">
        <v>41.361648559570313</v>
      </c>
      <c r="DI246" s="128">
        <v>37.856319427490234</v>
      </c>
      <c r="DJ246" s="127">
        <v>200</v>
      </c>
      <c r="DK246" s="123">
        <v>105.09500122070313</v>
      </c>
      <c r="DL246" s="123">
        <v>24.655000686645508</v>
      </c>
      <c r="DM246" s="123">
        <v>23.503000259399414</v>
      </c>
      <c r="DN246" s="123">
        <v>50.186000823974609</v>
      </c>
      <c r="DO246" s="124">
        <v>109.57223510742188</v>
      </c>
      <c r="DP246" s="125">
        <v>15.267999649047852</v>
      </c>
      <c r="DQ246" s="123"/>
      <c r="DR246" s="125">
        <v>0</v>
      </c>
      <c r="DS246" s="128">
        <v>31.799999237060547</v>
      </c>
      <c r="DT246" s="127">
        <v>12</v>
      </c>
      <c r="DU246" s="123"/>
      <c r="DV246" s="123">
        <v>8</v>
      </c>
      <c r="DW246" s="123">
        <v>2.9096531867980957</v>
      </c>
      <c r="DX246" s="125">
        <v>10</v>
      </c>
      <c r="DY246" s="128"/>
      <c r="DZ246" s="127">
        <v>45</v>
      </c>
      <c r="EA246" s="123">
        <v>3</v>
      </c>
      <c r="EB246" s="123">
        <v>0</v>
      </c>
      <c r="EC246" s="123">
        <v>1</v>
      </c>
      <c r="ED246" s="123">
        <v>232.60000610351563</v>
      </c>
      <c r="EE246" s="129"/>
      <c r="EF246" s="129"/>
      <c r="EG246" s="129"/>
    </row>
    <row r="247" spans="1:137" x14ac:dyDescent="0.3">
      <c r="A247" s="226">
        <f t="shared" si="12"/>
        <v>46020.16875000055</v>
      </c>
      <c r="B247" s="123">
        <v>207</v>
      </c>
      <c r="C247" s="123">
        <v>45.125</v>
      </c>
      <c r="D247" s="123">
        <v>95.226997375488281</v>
      </c>
      <c r="E247" s="123">
        <v>21.035999298095703</v>
      </c>
      <c r="F247" s="123">
        <v>6.9469766616821289</v>
      </c>
      <c r="G247" s="124">
        <v>17.190000534057617</v>
      </c>
      <c r="H247" s="125">
        <v>357</v>
      </c>
      <c r="I247" s="123">
        <v>318</v>
      </c>
      <c r="J247" s="123">
        <v>61.071998596191406</v>
      </c>
      <c r="K247" s="123">
        <v>63.030166625976563</v>
      </c>
      <c r="L247" s="123">
        <v>103.20099639892578</v>
      </c>
      <c r="M247" s="123">
        <v>12.892999649047852</v>
      </c>
      <c r="N247" s="123">
        <v>18.511999130249023</v>
      </c>
      <c r="O247" s="123">
        <v>15</v>
      </c>
      <c r="P247" s="123">
        <v>0</v>
      </c>
      <c r="Q247" s="123">
        <v>15.776518821716309</v>
      </c>
      <c r="R247" s="123">
        <v>6</v>
      </c>
      <c r="S247" s="123">
        <v>4.099886417388916</v>
      </c>
      <c r="T247" s="123">
        <v>9</v>
      </c>
      <c r="U247" s="123">
        <v>9</v>
      </c>
      <c r="V247" s="125">
        <v>851</v>
      </c>
      <c r="W247" s="123">
        <v>24.681381225585938</v>
      </c>
      <c r="X247" s="123">
        <v>25.107000350952148</v>
      </c>
      <c r="Y247" s="123">
        <v>6.8070001602172852</v>
      </c>
      <c r="Z247" s="123">
        <v>0</v>
      </c>
      <c r="AA247" s="123">
        <v>17.302999496459961</v>
      </c>
      <c r="AB247" s="123">
        <v>0</v>
      </c>
      <c r="AC247" s="123">
        <v>50.296566009521484</v>
      </c>
      <c r="AD247" s="123">
        <v>6.3610000610351563</v>
      </c>
      <c r="AE247" s="123">
        <v>0</v>
      </c>
      <c r="AF247" s="123">
        <v>78.812812805175781</v>
      </c>
      <c r="AG247" s="123">
        <v>0</v>
      </c>
      <c r="AH247" s="123">
        <v>59.014949798583984</v>
      </c>
      <c r="AI247" s="123">
        <v>11.133000373840332</v>
      </c>
      <c r="AJ247" s="123">
        <v>19.00349235534668</v>
      </c>
      <c r="AK247" s="123">
        <v>36.713512420654297</v>
      </c>
      <c r="AL247" s="123">
        <v>34.282001495361328</v>
      </c>
      <c r="AM247" s="126">
        <v>55.536998748779297</v>
      </c>
      <c r="AN247" s="125">
        <v>113.4375</v>
      </c>
      <c r="AO247" s="127">
        <v>58</v>
      </c>
      <c r="AP247" s="123">
        <v>60.339714050292969</v>
      </c>
      <c r="AQ247" s="123">
        <v>35.181900024414063</v>
      </c>
      <c r="AR247" s="123">
        <v>98</v>
      </c>
      <c r="AS247" s="123"/>
      <c r="AT247" s="123">
        <v>105</v>
      </c>
      <c r="AU247" s="123"/>
      <c r="AV247" s="123">
        <v>50</v>
      </c>
      <c r="AW247" s="123"/>
      <c r="AX247" s="123">
        <v>30</v>
      </c>
      <c r="AY247" s="123">
        <v>32.97210693359375</v>
      </c>
      <c r="AZ247" s="123">
        <v>12</v>
      </c>
      <c r="BA247" s="123"/>
      <c r="BB247" s="123">
        <v>177</v>
      </c>
      <c r="BC247" s="123">
        <v>177.08396911621094</v>
      </c>
      <c r="BD247" s="123">
        <v>6.5999999046325684</v>
      </c>
      <c r="BE247" s="123">
        <v>6.7022209167480469</v>
      </c>
      <c r="BF247" s="123">
        <v>30</v>
      </c>
      <c r="BG247" s="123">
        <v>11</v>
      </c>
      <c r="BH247" s="123">
        <v>11.415963172912598</v>
      </c>
      <c r="BI247" s="123"/>
      <c r="BJ247" s="108">
        <f t="shared" si="10"/>
        <v>10</v>
      </c>
      <c r="BK247" s="123">
        <v>10</v>
      </c>
      <c r="BL247" s="123">
        <v>0</v>
      </c>
      <c r="BM247" s="126"/>
      <c r="BN247" s="108">
        <f t="shared" si="11"/>
        <v>120</v>
      </c>
      <c r="BO247" s="108">
        <v>72</v>
      </c>
      <c r="BP247" s="108">
        <v>48</v>
      </c>
      <c r="BQ247" s="108">
        <v>260</v>
      </c>
      <c r="BR247" s="123">
        <v>63.446998596191406</v>
      </c>
      <c r="BS247" s="123">
        <v>23.920000076293945</v>
      </c>
      <c r="BT247" s="123">
        <v>40.523998260498047</v>
      </c>
      <c r="BU247" s="123">
        <v>33.398998260498047</v>
      </c>
      <c r="BV247" s="123">
        <v>69.400001525878906</v>
      </c>
      <c r="BW247" s="123">
        <v>5.8000001907348633</v>
      </c>
      <c r="BX247" s="123">
        <v>13.600000381469727</v>
      </c>
      <c r="BY247" s="123">
        <v>28</v>
      </c>
      <c r="BZ247" s="123">
        <v>1.2604392133653164E-2</v>
      </c>
      <c r="CA247" s="123">
        <v>1</v>
      </c>
      <c r="CB247" s="123">
        <v>29.130208969116211</v>
      </c>
      <c r="CC247" s="126"/>
      <c r="CD247" s="123">
        <v>329.051513671875</v>
      </c>
      <c r="CE247" s="123">
        <v>28.832925796508789</v>
      </c>
      <c r="CF247" s="123">
        <v>17.199150085449219</v>
      </c>
      <c r="CG247" s="123">
        <v>35.338191986083984</v>
      </c>
      <c r="CH247" s="123">
        <v>270.13946533203125</v>
      </c>
      <c r="CI247" s="123">
        <v>79.423614501953125</v>
      </c>
      <c r="CJ247" s="123">
        <v>33.54693603515625</v>
      </c>
      <c r="CK247" s="123">
        <v>49.771053314208984</v>
      </c>
      <c r="CL247" s="124">
        <v>26.817638397216797</v>
      </c>
      <c r="CM247" s="125">
        <v>187.26129150390625</v>
      </c>
      <c r="CN247" s="123">
        <v>55.861328125</v>
      </c>
      <c r="CO247" s="123">
        <v>55.361679077148438</v>
      </c>
      <c r="CP247" s="123">
        <v>72.283233642578125</v>
      </c>
      <c r="CQ247" s="123">
        <v>0</v>
      </c>
      <c r="CR247" s="123">
        <v>47.319629669189453</v>
      </c>
      <c r="CS247" s="123">
        <v>8.2778921127319336</v>
      </c>
      <c r="CT247" s="123">
        <v>28.214076995849609</v>
      </c>
      <c r="CU247" s="123">
        <v>39.336631774902344</v>
      </c>
      <c r="CV247" s="124">
        <v>60.961399078369141</v>
      </c>
      <c r="CW247" s="125">
        <v>8</v>
      </c>
      <c r="CX247" s="123">
        <v>298</v>
      </c>
      <c r="CY247" s="123">
        <v>108.14083862304688</v>
      </c>
      <c r="CZ247" s="123">
        <v>46.370002746582031</v>
      </c>
      <c r="DA247" s="123">
        <v>19.514074325561523</v>
      </c>
      <c r="DB247" s="123">
        <v>32.081764221191406</v>
      </c>
      <c r="DC247" s="123">
        <v>74.099311828613281</v>
      </c>
      <c r="DD247" s="123">
        <v>47</v>
      </c>
      <c r="DE247" s="123">
        <v>168</v>
      </c>
      <c r="DF247" s="123">
        <v>98.997138977050781</v>
      </c>
      <c r="DG247" s="123">
        <v>62.528228759765625</v>
      </c>
      <c r="DH247" s="123">
        <v>41.763687133789063</v>
      </c>
      <c r="DI247" s="128">
        <v>37.152183532714844</v>
      </c>
      <c r="DJ247" s="127">
        <v>204</v>
      </c>
      <c r="DK247" s="123">
        <v>105.34999847412109</v>
      </c>
      <c r="DL247" s="123">
        <v>26.238000869750977</v>
      </c>
      <c r="DM247" s="123">
        <v>24.38599967956543</v>
      </c>
      <c r="DN247" s="123">
        <v>47.006000518798828</v>
      </c>
      <c r="DO247" s="124">
        <v>111.74797821044922</v>
      </c>
      <c r="DP247" s="125">
        <v>15.154999732971191</v>
      </c>
      <c r="DQ247" s="123"/>
      <c r="DR247" s="125">
        <v>0</v>
      </c>
      <c r="DS247" s="128">
        <v>29.100000381469727</v>
      </c>
      <c r="DT247" s="127">
        <v>12</v>
      </c>
      <c r="DU247" s="123"/>
      <c r="DV247" s="123">
        <v>7</v>
      </c>
      <c r="DW247" s="123">
        <v>2.8874075412750244</v>
      </c>
      <c r="DX247" s="125">
        <v>10</v>
      </c>
      <c r="DY247" s="128"/>
      <c r="DZ247" s="127">
        <v>44</v>
      </c>
      <c r="EA247" s="123">
        <v>3</v>
      </c>
      <c r="EB247" s="123">
        <v>0</v>
      </c>
      <c r="EC247" s="123">
        <v>1</v>
      </c>
      <c r="ED247" s="123">
        <v>233.19999694824219</v>
      </c>
      <c r="EE247" s="129"/>
      <c r="EF247" s="129"/>
      <c r="EG247" s="129"/>
    </row>
    <row r="248" spans="1:137" x14ac:dyDescent="0.3">
      <c r="A248" s="226">
        <f t="shared" si="12"/>
        <v>46020.169444444997</v>
      </c>
      <c r="B248" s="123">
        <v>205</v>
      </c>
      <c r="C248" s="123">
        <v>46.708999633789063</v>
      </c>
      <c r="D248" s="123">
        <v>95.680000305175781</v>
      </c>
      <c r="E248" s="123">
        <v>17.642999649047852</v>
      </c>
      <c r="F248" s="123">
        <v>4.1450982093811035</v>
      </c>
      <c r="G248" s="124">
        <v>16.172000885009766</v>
      </c>
      <c r="H248" s="125">
        <v>360</v>
      </c>
      <c r="I248" s="123">
        <v>316</v>
      </c>
      <c r="J248" s="123">
        <v>61.071998596191406</v>
      </c>
      <c r="K248" s="123">
        <v>62.624233245849609</v>
      </c>
      <c r="L248" s="123">
        <v>99.489997863769531</v>
      </c>
      <c r="M248" s="123">
        <v>13.345000267028809</v>
      </c>
      <c r="N248" s="123">
        <v>17.812000274658203</v>
      </c>
      <c r="O248" s="123">
        <v>17</v>
      </c>
      <c r="P248" s="123">
        <v>0</v>
      </c>
      <c r="Q248" s="123">
        <v>16.981334686279297</v>
      </c>
      <c r="R248" s="123">
        <v>4.9968748092651367</v>
      </c>
      <c r="S248" s="123">
        <v>5.7989187240600586</v>
      </c>
      <c r="T248" s="123">
        <v>9</v>
      </c>
      <c r="U248" s="123">
        <v>9</v>
      </c>
      <c r="V248" s="125">
        <v>844</v>
      </c>
      <c r="W248" s="123">
        <v>24.869340896606445</v>
      </c>
      <c r="X248" s="123">
        <v>23.184000015258789</v>
      </c>
      <c r="Y248" s="123">
        <v>5.4710001945495605</v>
      </c>
      <c r="Z248" s="123">
        <v>0</v>
      </c>
      <c r="AA248" s="123">
        <v>17.302999496459961</v>
      </c>
      <c r="AB248" s="123">
        <v>0</v>
      </c>
      <c r="AC248" s="123">
        <v>50.219863891601563</v>
      </c>
      <c r="AD248" s="123">
        <v>6.1069998741149902</v>
      </c>
      <c r="AE248" s="123">
        <v>0</v>
      </c>
      <c r="AF248" s="123">
        <v>79.201347351074219</v>
      </c>
      <c r="AG248" s="123">
        <v>0</v>
      </c>
      <c r="AH248" s="123">
        <v>58.214504241943359</v>
      </c>
      <c r="AI248" s="123">
        <v>10.62399959564209</v>
      </c>
      <c r="AJ248" s="123">
        <v>17.934926986694336</v>
      </c>
      <c r="AK248" s="123">
        <v>36.849258422851563</v>
      </c>
      <c r="AL248" s="123">
        <v>34.104999542236328</v>
      </c>
      <c r="AM248" s="126">
        <v>54.456001281738281</v>
      </c>
      <c r="AN248" s="125">
        <v>114.375</v>
      </c>
      <c r="AO248" s="127">
        <v>58</v>
      </c>
      <c r="AP248" s="123">
        <v>62.110382080078125</v>
      </c>
      <c r="AQ248" s="123">
        <v>35.851608276367188</v>
      </c>
      <c r="AR248" s="123">
        <v>98</v>
      </c>
      <c r="AS248" s="123"/>
      <c r="AT248" s="123">
        <v>104</v>
      </c>
      <c r="AU248" s="123"/>
      <c r="AV248" s="123">
        <v>58</v>
      </c>
      <c r="AW248" s="123"/>
      <c r="AX248" s="123">
        <v>30</v>
      </c>
      <c r="AY248" s="123">
        <v>33.018043518066406</v>
      </c>
      <c r="AZ248" s="123">
        <v>12</v>
      </c>
      <c r="BA248" s="123"/>
      <c r="BB248" s="123">
        <v>176</v>
      </c>
      <c r="BC248" s="123">
        <v>175.35490417480469</v>
      </c>
      <c r="BD248" s="123">
        <v>6.5999999046325684</v>
      </c>
      <c r="BE248" s="123">
        <v>6.6865911483764648</v>
      </c>
      <c r="BF248" s="123">
        <v>29</v>
      </c>
      <c r="BG248" s="123">
        <v>11</v>
      </c>
      <c r="BH248" s="123">
        <v>11.415963172912598</v>
      </c>
      <c r="BI248" s="123"/>
      <c r="BJ248" s="108">
        <f t="shared" si="10"/>
        <v>10</v>
      </c>
      <c r="BK248" s="123">
        <v>10</v>
      </c>
      <c r="BL248" s="123">
        <v>0</v>
      </c>
      <c r="BM248" s="126"/>
      <c r="BN248" s="108">
        <f t="shared" si="11"/>
        <v>120.20000076293945</v>
      </c>
      <c r="BO248" s="108">
        <v>72</v>
      </c>
      <c r="BP248" s="108">
        <v>48.200000762939453</v>
      </c>
      <c r="BQ248" s="108">
        <v>255</v>
      </c>
      <c r="BR248" s="123">
        <v>61.185001373291016</v>
      </c>
      <c r="BS248" s="123">
        <v>24.429000854492188</v>
      </c>
      <c r="BT248" s="123">
        <v>40.523998260498047</v>
      </c>
      <c r="BU248" s="123">
        <v>33.462001800537109</v>
      </c>
      <c r="BV248" s="123">
        <v>69.400001525878906</v>
      </c>
      <c r="BW248" s="123">
        <v>5.5999999046325684</v>
      </c>
      <c r="BX248" s="123">
        <v>13.800000190734863</v>
      </c>
      <c r="BY248" s="123">
        <v>29</v>
      </c>
      <c r="BZ248" s="123">
        <v>1.4535233378410339E-2</v>
      </c>
      <c r="CA248" s="123">
        <v>1</v>
      </c>
      <c r="CB248" s="123">
        <v>29.230365753173828</v>
      </c>
      <c r="CC248" s="126"/>
      <c r="CD248" s="123">
        <v>329.78985595703125</v>
      </c>
      <c r="CE248" s="123">
        <v>30.118869781494141</v>
      </c>
      <c r="CF248" s="123">
        <v>17.131099700927734</v>
      </c>
      <c r="CG248" s="123">
        <v>35.338191986083984</v>
      </c>
      <c r="CH248" s="123">
        <v>270.73623657226563</v>
      </c>
      <c r="CI248" s="123">
        <v>79.205093383789063</v>
      </c>
      <c r="CJ248" s="123">
        <v>33.686992645263672</v>
      </c>
      <c r="CK248" s="123">
        <v>48.649684906005859</v>
      </c>
      <c r="CL248" s="124">
        <v>25.38966178894043</v>
      </c>
      <c r="CM248" s="125">
        <v>182.5606689453125</v>
      </c>
      <c r="CN248" s="123">
        <v>55.228904724121094</v>
      </c>
      <c r="CO248" s="123">
        <v>55.586353302001953</v>
      </c>
      <c r="CP248" s="123">
        <v>69.663536071777344</v>
      </c>
      <c r="CQ248" s="123">
        <v>0</v>
      </c>
      <c r="CR248" s="123">
        <v>48.497127532958984</v>
      </c>
      <c r="CS248" s="123">
        <v>8.4738140106201172</v>
      </c>
      <c r="CT248" s="123">
        <v>28.874265670776367</v>
      </c>
      <c r="CU248" s="123">
        <v>38.731719970703125</v>
      </c>
      <c r="CV248" s="124">
        <v>61.524066925048828</v>
      </c>
      <c r="CW248" s="125">
        <v>3</v>
      </c>
      <c r="CX248" s="123">
        <v>293</v>
      </c>
      <c r="CY248" s="123">
        <v>108.41688537597656</v>
      </c>
      <c r="CZ248" s="123">
        <v>47.991035461425781</v>
      </c>
      <c r="DA248" s="123">
        <v>19.769140243530273</v>
      </c>
      <c r="DB248" s="123">
        <v>31.457616806030273</v>
      </c>
      <c r="DC248" s="123">
        <v>72.977005004882813</v>
      </c>
      <c r="DD248" s="123">
        <v>47</v>
      </c>
      <c r="DE248" s="123">
        <v>170</v>
      </c>
      <c r="DF248" s="123">
        <v>101.27934265136719</v>
      </c>
      <c r="DG248" s="123">
        <v>63.428009033203125</v>
      </c>
      <c r="DH248" s="123">
        <v>42.036994934082031</v>
      </c>
      <c r="DI248" s="128">
        <v>36.180713653564453</v>
      </c>
      <c r="DJ248" s="127">
        <v>206</v>
      </c>
      <c r="DK248" s="123">
        <v>101.53299713134766</v>
      </c>
      <c r="DL248" s="123">
        <v>24.655000686645508</v>
      </c>
      <c r="DM248" s="123">
        <v>24.38599967956543</v>
      </c>
      <c r="DN248" s="123">
        <v>48.949001312255859</v>
      </c>
      <c r="DO248" s="124">
        <v>110.04216766357422</v>
      </c>
      <c r="DP248" s="125">
        <v>16.427000045776367</v>
      </c>
      <c r="DQ248" s="123"/>
      <c r="DR248" s="125">
        <v>0</v>
      </c>
      <c r="DS248" s="128">
        <v>30.200000762939453</v>
      </c>
      <c r="DT248" s="127">
        <v>12</v>
      </c>
      <c r="DU248" s="123"/>
      <c r="DV248" s="123">
        <v>9</v>
      </c>
      <c r="DW248" s="123">
        <v>2.8874075412750244</v>
      </c>
      <c r="DX248" s="125">
        <v>10</v>
      </c>
      <c r="DY248" s="128"/>
      <c r="DZ248" s="127">
        <v>44</v>
      </c>
      <c r="EA248" s="123">
        <v>3</v>
      </c>
      <c r="EB248" s="123">
        <v>0</v>
      </c>
      <c r="EC248" s="123">
        <v>1</v>
      </c>
      <c r="ED248" s="123">
        <v>234.19999694824219</v>
      </c>
      <c r="EE248" s="129"/>
      <c r="EF248" s="129"/>
      <c r="EG248" s="129"/>
    </row>
    <row r="249" spans="1:137" x14ac:dyDescent="0.3">
      <c r="A249" s="226">
        <f t="shared" si="12"/>
        <v>46020.170138889443</v>
      </c>
      <c r="B249" s="123">
        <v>207</v>
      </c>
      <c r="C249" s="123">
        <v>46.256000518798828</v>
      </c>
      <c r="D249" s="123">
        <v>95.454002380371094</v>
      </c>
      <c r="E249" s="123">
        <v>20.583000183105469</v>
      </c>
      <c r="F249" s="123">
        <v>0</v>
      </c>
      <c r="G249" s="124">
        <v>16.738000869750977</v>
      </c>
      <c r="H249" s="125">
        <v>359</v>
      </c>
      <c r="I249" s="123">
        <v>316</v>
      </c>
      <c r="J249" s="123">
        <v>60.619998931884766</v>
      </c>
      <c r="K249" s="123">
        <v>63.257633209228516</v>
      </c>
      <c r="L249" s="123">
        <v>98.606002807617188</v>
      </c>
      <c r="M249" s="123">
        <v>12.553000450134277</v>
      </c>
      <c r="N249" s="123">
        <v>18.066999435424805</v>
      </c>
      <c r="O249" s="123">
        <v>15</v>
      </c>
      <c r="P249" s="123">
        <v>0</v>
      </c>
      <c r="Q249" s="123">
        <v>15.643769264221191</v>
      </c>
      <c r="R249" s="123">
        <v>4.9968748092651367</v>
      </c>
      <c r="S249" s="123">
        <v>5.1121559143066406</v>
      </c>
      <c r="T249" s="123">
        <v>9</v>
      </c>
      <c r="U249" s="123">
        <v>9</v>
      </c>
      <c r="V249" s="125">
        <v>836</v>
      </c>
      <c r="W249" s="123">
        <v>24.683526992797852</v>
      </c>
      <c r="X249" s="123">
        <v>24.655000686645508</v>
      </c>
      <c r="Y249" s="123">
        <v>5.5339999198913574</v>
      </c>
      <c r="Z249" s="123">
        <v>0</v>
      </c>
      <c r="AA249" s="123">
        <v>19.677999496459961</v>
      </c>
      <c r="AB249" s="123">
        <v>0</v>
      </c>
      <c r="AC249" s="123">
        <v>51.289714813232422</v>
      </c>
      <c r="AD249" s="123">
        <v>6.1069998741149902</v>
      </c>
      <c r="AE249" s="123">
        <v>0</v>
      </c>
      <c r="AF249" s="123">
        <v>78.913185119628906</v>
      </c>
      <c r="AG249" s="123">
        <v>0</v>
      </c>
      <c r="AH249" s="123">
        <v>57.276092529296875</v>
      </c>
      <c r="AI249" s="123">
        <v>10.814000129699707</v>
      </c>
      <c r="AJ249" s="123">
        <v>16.9820556640625</v>
      </c>
      <c r="AK249" s="123">
        <v>36.048038482666016</v>
      </c>
      <c r="AL249" s="123">
        <v>33.929000854492188</v>
      </c>
      <c r="AM249" s="126">
        <v>55.155998229980469</v>
      </c>
      <c r="AN249" s="125">
        <v>114.5</v>
      </c>
      <c r="AO249" s="127">
        <v>59</v>
      </c>
      <c r="AP249" s="123">
        <v>61.111400604248047</v>
      </c>
      <c r="AQ249" s="123">
        <v>35.187870025634766</v>
      </c>
      <c r="AR249" s="123">
        <v>99</v>
      </c>
      <c r="AS249" s="123"/>
      <c r="AT249" s="123">
        <v>104</v>
      </c>
      <c r="AU249" s="123"/>
      <c r="AV249" s="123">
        <v>58</v>
      </c>
      <c r="AW249" s="123"/>
      <c r="AX249" s="123">
        <v>30</v>
      </c>
      <c r="AY249" s="123">
        <v>34.102775573730469</v>
      </c>
      <c r="AZ249" s="123">
        <v>11</v>
      </c>
      <c r="BA249" s="123"/>
      <c r="BB249" s="123">
        <v>176</v>
      </c>
      <c r="BC249" s="123">
        <v>175.35490417480469</v>
      </c>
      <c r="BD249" s="123">
        <v>6.5</v>
      </c>
      <c r="BE249" s="123">
        <v>6.6739649772644043</v>
      </c>
      <c r="BF249" s="123">
        <v>29</v>
      </c>
      <c r="BG249" s="123">
        <v>11</v>
      </c>
      <c r="BH249" s="123">
        <v>11.411101341247559</v>
      </c>
      <c r="BI249" s="123"/>
      <c r="BJ249" s="108">
        <f t="shared" si="10"/>
        <v>10</v>
      </c>
      <c r="BK249" s="123">
        <v>10</v>
      </c>
      <c r="BL249" s="123">
        <v>0</v>
      </c>
      <c r="BM249" s="126"/>
      <c r="BN249" s="108">
        <f t="shared" si="11"/>
        <v>120</v>
      </c>
      <c r="BO249" s="108">
        <v>72</v>
      </c>
      <c r="BP249" s="108">
        <v>48</v>
      </c>
      <c r="BQ249" s="108">
        <v>255</v>
      </c>
      <c r="BR249" s="123">
        <v>66.047996520996094</v>
      </c>
      <c r="BS249" s="123">
        <v>24.683000564575195</v>
      </c>
      <c r="BT249" s="123">
        <v>40.869998931884766</v>
      </c>
      <c r="BU249" s="123">
        <v>33.080001831054688</v>
      </c>
      <c r="BV249" s="123">
        <v>68.699996948242188</v>
      </c>
      <c r="BW249" s="123">
        <v>5.9000000953674316</v>
      </c>
      <c r="BX249" s="123">
        <v>14</v>
      </c>
      <c r="BY249" s="123">
        <v>29</v>
      </c>
      <c r="BZ249" s="123">
        <v>1.4016014523804188E-2</v>
      </c>
      <c r="CA249" s="123">
        <v>1</v>
      </c>
      <c r="CB249" s="123">
        <v>29.520177841186523</v>
      </c>
      <c r="CC249" s="126"/>
      <c r="CD249" s="123">
        <v>334.343994140625</v>
      </c>
      <c r="CE249" s="123">
        <v>29.195579528808594</v>
      </c>
      <c r="CF249" s="123">
        <v>17.127569198608398</v>
      </c>
      <c r="CG249" s="123">
        <v>35.338191986083984</v>
      </c>
      <c r="CH249" s="123">
        <v>270.56094360351563</v>
      </c>
      <c r="CI249" s="123">
        <v>80.892997741699219</v>
      </c>
      <c r="CJ249" s="123">
        <v>35.381942749023438</v>
      </c>
      <c r="CK249" s="123">
        <v>48.530277252197266</v>
      </c>
      <c r="CL249" s="124">
        <v>25.273406982421875</v>
      </c>
      <c r="CM249" s="125">
        <v>186.80610656738281</v>
      </c>
      <c r="CN249" s="123">
        <v>51.770729064941406</v>
      </c>
      <c r="CO249" s="123">
        <v>55.978458404541016</v>
      </c>
      <c r="CP249" s="123">
        <v>75.159217834472656</v>
      </c>
      <c r="CQ249" s="123">
        <v>0</v>
      </c>
      <c r="CR249" s="123">
        <v>46.584060668945313</v>
      </c>
      <c r="CS249" s="123">
        <v>8.4136152267456055</v>
      </c>
      <c r="CT249" s="123">
        <v>30.567113876342773</v>
      </c>
      <c r="CU249" s="123">
        <v>39.412696838378906</v>
      </c>
      <c r="CV249" s="124">
        <v>63.278453826904297</v>
      </c>
      <c r="CW249" s="125">
        <v>7</v>
      </c>
      <c r="CX249" s="123">
        <v>297</v>
      </c>
      <c r="CY249" s="123">
        <v>107.40972137451172</v>
      </c>
      <c r="CZ249" s="123">
        <v>48.693195343017578</v>
      </c>
      <c r="DA249" s="123">
        <v>19.643581390380859</v>
      </c>
      <c r="DB249" s="123">
        <v>33.233535766601563</v>
      </c>
      <c r="DC249" s="123">
        <v>72.597587585449219</v>
      </c>
      <c r="DD249" s="123">
        <v>47</v>
      </c>
      <c r="DE249" s="123">
        <v>165</v>
      </c>
      <c r="DF249" s="123">
        <v>100.26702880859375</v>
      </c>
      <c r="DG249" s="123">
        <v>63.04827880859375</v>
      </c>
      <c r="DH249" s="123">
        <v>42.732315063476563</v>
      </c>
      <c r="DI249" s="128">
        <v>36.253108978271484</v>
      </c>
      <c r="DJ249" s="127">
        <v>203</v>
      </c>
      <c r="DK249" s="123">
        <v>100.51499938964844</v>
      </c>
      <c r="DL249" s="123">
        <v>24.655000686645508</v>
      </c>
      <c r="DM249" s="123">
        <v>21.91200065612793</v>
      </c>
      <c r="DN249" s="123">
        <v>48.066001892089844</v>
      </c>
      <c r="DO249" s="124">
        <v>112.17890930175781</v>
      </c>
      <c r="DP249" s="125">
        <v>15.267999649047852</v>
      </c>
      <c r="DQ249" s="123"/>
      <c r="DR249" s="125">
        <v>0</v>
      </c>
      <c r="DS249" s="128">
        <v>30.100000381469727</v>
      </c>
      <c r="DT249" s="127">
        <v>12</v>
      </c>
      <c r="DU249" s="123"/>
      <c r="DV249" s="123">
        <v>7</v>
      </c>
      <c r="DW249" s="123">
        <v>2.8575992584228516</v>
      </c>
      <c r="DX249" s="125">
        <v>10</v>
      </c>
      <c r="DY249" s="128"/>
      <c r="DZ249" s="127">
        <v>44</v>
      </c>
      <c r="EA249" s="123">
        <v>3</v>
      </c>
      <c r="EB249" s="123">
        <v>0</v>
      </c>
      <c r="EC249" s="123">
        <v>1</v>
      </c>
      <c r="ED249" s="123">
        <v>230.89999389648438</v>
      </c>
      <c r="EE249" s="129"/>
      <c r="EF249" s="129"/>
      <c r="EG249" s="129"/>
    </row>
    <row r="250" spans="1:137" x14ac:dyDescent="0.3">
      <c r="A250" s="226">
        <f t="shared" si="12"/>
        <v>46020.17083333389</v>
      </c>
      <c r="B250" s="123">
        <v>207</v>
      </c>
      <c r="C250" s="123">
        <v>49.988998413085938</v>
      </c>
      <c r="D250" s="123">
        <v>95.000999450683594</v>
      </c>
      <c r="E250" s="123">
        <v>37.887001037597656</v>
      </c>
      <c r="F250" s="123">
        <v>0</v>
      </c>
      <c r="G250" s="124">
        <v>16.172000885009766</v>
      </c>
      <c r="H250" s="125">
        <v>357</v>
      </c>
      <c r="I250" s="123">
        <v>322</v>
      </c>
      <c r="J250" s="123">
        <v>60.958999633789063</v>
      </c>
      <c r="K250" s="123">
        <v>62.448825836181641</v>
      </c>
      <c r="L250" s="123">
        <v>98.430000305175781</v>
      </c>
      <c r="M250" s="123">
        <v>12.666000366210938</v>
      </c>
      <c r="N250" s="123">
        <v>18.194000244140625</v>
      </c>
      <c r="O250" s="123">
        <v>15</v>
      </c>
      <c r="P250" s="123">
        <v>0</v>
      </c>
      <c r="Q250" s="123">
        <v>15.643769264221191</v>
      </c>
      <c r="R250" s="123">
        <v>6</v>
      </c>
      <c r="S250" s="123">
        <v>5.5772390365600586</v>
      </c>
      <c r="T250" s="123">
        <v>9</v>
      </c>
      <c r="U250" s="123">
        <v>9</v>
      </c>
      <c r="V250" s="125">
        <v>838</v>
      </c>
      <c r="W250" s="123">
        <v>26.705448150634766</v>
      </c>
      <c r="X250" s="123">
        <v>24.315000534057617</v>
      </c>
      <c r="Y250" s="123">
        <v>5.7249999046325684</v>
      </c>
      <c r="Z250" s="123">
        <v>0</v>
      </c>
      <c r="AA250" s="123">
        <v>18.660999298095703</v>
      </c>
      <c r="AB250" s="123">
        <v>0</v>
      </c>
      <c r="AC250" s="123">
        <v>51.000385284423828</v>
      </c>
      <c r="AD250" s="123">
        <v>6.1069998741149902</v>
      </c>
      <c r="AE250" s="123">
        <v>0</v>
      </c>
      <c r="AF250" s="123">
        <v>78.935325622558594</v>
      </c>
      <c r="AG250" s="123">
        <v>0</v>
      </c>
      <c r="AH250" s="123">
        <v>58.748180389404297</v>
      </c>
      <c r="AI250" s="123">
        <v>12.149999618530273</v>
      </c>
      <c r="AJ250" s="123">
        <v>16.29987907409668</v>
      </c>
      <c r="AK250" s="123">
        <v>37.068939208984375</v>
      </c>
      <c r="AL250" s="123">
        <v>34.458999633789063</v>
      </c>
      <c r="AM250" s="126">
        <v>54.519001007080078</v>
      </c>
      <c r="AN250" s="125">
        <v>112.5625</v>
      </c>
      <c r="AO250" s="127">
        <v>58</v>
      </c>
      <c r="AP250" s="123">
        <v>60.886486053466797</v>
      </c>
      <c r="AQ250" s="123">
        <v>34.658725738525391</v>
      </c>
      <c r="AR250" s="123">
        <v>97</v>
      </c>
      <c r="AS250" s="123"/>
      <c r="AT250" s="123">
        <v>105</v>
      </c>
      <c r="AU250" s="123"/>
      <c r="AV250" s="123">
        <v>58</v>
      </c>
      <c r="AW250" s="123"/>
      <c r="AX250" s="123">
        <v>29</v>
      </c>
      <c r="AY250" s="123">
        <v>31.867429733276367</v>
      </c>
      <c r="AZ250" s="123">
        <v>11</v>
      </c>
      <c r="BA250" s="123"/>
      <c r="BB250" s="123">
        <v>176</v>
      </c>
      <c r="BC250" s="123">
        <v>172.8211669921875</v>
      </c>
      <c r="BD250" s="123">
        <v>6.5999999046325684</v>
      </c>
      <c r="BE250" s="123">
        <v>6.6316704750061035</v>
      </c>
      <c r="BF250" s="123">
        <v>29</v>
      </c>
      <c r="BG250" s="123">
        <v>11</v>
      </c>
      <c r="BH250" s="123">
        <v>11.427401542663574</v>
      </c>
      <c r="BI250" s="123"/>
      <c r="BJ250" s="108">
        <f t="shared" si="10"/>
        <v>10</v>
      </c>
      <c r="BK250" s="123">
        <v>10</v>
      </c>
      <c r="BL250" s="123">
        <v>0</v>
      </c>
      <c r="BM250" s="126"/>
      <c r="BN250" s="108">
        <f t="shared" si="11"/>
        <v>121</v>
      </c>
      <c r="BO250" s="108">
        <v>73</v>
      </c>
      <c r="BP250" s="108">
        <v>48</v>
      </c>
      <c r="BQ250" s="108">
        <v>263</v>
      </c>
      <c r="BR250" s="123">
        <v>66.500999450683594</v>
      </c>
      <c r="BS250" s="123">
        <v>24.937000274658203</v>
      </c>
      <c r="BT250" s="123">
        <v>40.523998260498047</v>
      </c>
      <c r="BU250" s="123">
        <v>33.208000183105469</v>
      </c>
      <c r="BV250" s="123">
        <v>68.699996948242188</v>
      </c>
      <c r="BW250" s="123">
        <v>5.9000000953674316</v>
      </c>
      <c r="BX250" s="123">
        <v>13.800000190734863</v>
      </c>
      <c r="BY250" s="123">
        <v>29</v>
      </c>
      <c r="BZ250" s="123">
        <v>1.2630115263164043E-2</v>
      </c>
      <c r="CA250" s="123">
        <v>1</v>
      </c>
      <c r="CB250" s="123">
        <v>29.576963424682617</v>
      </c>
      <c r="CC250" s="126"/>
      <c r="CD250" s="123">
        <v>331.09237670898438</v>
      </c>
      <c r="CE250" s="123">
        <v>28.974264144897461</v>
      </c>
      <c r="CF250" s="123">
        <v>17.19603157043457</v>
      </c>
      <c r="CG250" s="123">
        <v>35.338191986083984</v>
      </c>
      <c r="CH250" s="123">
        <v>269.5987548828125</v>
      </c>
      <c r="CI250" s="123">
        <v>82.617660522460938</v>
      </c>
      <c r="CJ250" s="123">
        <v>38.970283508300781</v>
      </c>
      <c r="CK250" s="123">
        <v>47.918712615966797</v>
      </c>
      <c r="CL250" s="124">
        <v>25.3951416015625</v>
      </c>
      <c r="CM250" s="125">
        <v>186.66459655761719</v>
      </c>
      <c r="CN250" s="123">
        <v>50.475006103515625</v>
      </c>
      <c r="CO250" s="123">
        <v>56.339332580566406</v>
      </c>
      <c r="CP250" s="123">
        <v>76.536323547363281</v>
      </c>
      <c r="CQ250" s="123">
        <v>0</v>
      </c>
      <c r="CR250" s="123">
        <v>46.165599822998047</v>
      </c>
      <c r="CS250" s="123">
        <v>8.709589958190918</v>
      </c>
      <c r="CT250" s="123">
        <v>32.811546325683594</v>
      </c>
      <c r="CU250" s="123">
        <v>42.471267700195313</v>
      </c>
      <c r="CV250" s="124">
        <v>61.850143432617188</v>
      </c>
      <c r="CW250" s="125">
        <v>9</v>
      </c>
      <c r="CX250" s="123">
        <v>297</v>
      </c>
      <c r="CY250" s="123">
        <v>109.45384979248047</v>
      </c>
      <c r="CZ250" s="123">
        <v>45.992748260498047</v>
      </c>
      <c r="DA250" s="123">
        <v>19.732515335083008</v>
      </c>
      <c r="DB250" s="123">
        <v>32.214836120605469</v>
      </c>
      <c r="DC250" s="123">
        <v>72.965583801269531</v>
      </c>
      <c r="DD250" s="123">
        <v>51</v>
      </c>
      <c r="DE250" s="123">
        <v>169</v>
      </c>
      <c r="DF250" s="123">
        <v>98.556617736816406</v>
      </c>
      <c r="DG250" s="123">
        <v>62.868324279785156</v>
      </c>
      <c r="DH250" s="123">
        <v>41.342914581298828</v>
      </c>
      <c r="DI250" s="128">
        <v>35.939788818359375</v>
      </c>
      <c r="DJ250" s="127">
        <v>203</v>
      </c>
      <c r="DK250" s="123">
        <v>100.51499938964844</v>
      </c>
      <c r="DL250" s="123">
        <v>26.011999130249023</v>
      </c>
      <c r="DM250" s="123">
        <v>21.91200065612793</v>
      </c>
      <c r="DN250" s="123">
        <v>48.418998718261719</v>
      </c>
      <c r="DO250" s="124">
        <v>113.79811859130859</v>
      </c>
      <c r="DP250" s="125">
        <v>15.211000442504883</v>
      </c>
      <c r="DQ250" s="123"/>
      <c r="DR250" s="125">
        <v>27</v>
      </c>
      <c r="DS250" s="128">
        <v>30.200000762939453</v>
      </c>
      <c r="DT250" s="127">
        <v>12</v>
      </c>
      <c r="DU250" s="123"/>
      <c r="DV250" s="123">
        <v>11</v>
      </c>
      <c r="DW250" s="123">
        <v>2.8144264221191406</v>
      </c>
      <c r="DX250" s="125">
        <v>10</v>
      </c>
      <c r="DY250" s="128"/>
      <c r="DZ250" s="127">
        <v>44</v>
      </c>
      <c r="EA250" s="123">
        <v>3</v>
      </c>
      <c r="EB250" s="123">
        <v>0</v>
      </c>
      <c r="EC250" s="123">
        <v>1</v>
      </c>
      <c r="ED250" s="123">
        <v>228.89999389648438</v>
      </c>
      <c r="EE250" s="129"/>
      <c r="EF250" s="129"/>
      <c r="EG250" s="129"/>
    </row>
    <row r="251" spans="1:137" x14ac:dyDescent="0.3">
      <c r="A251" s="226">
        <f t="shared" si="12"/>
        <v>46020.171527778337</v>
      </c>
      <c r="B251" s="123">
        <v>211</v>
      </c>
      <c r="C251" s="123">
        <v>53.154998779296875</v>
      </c>
      <c r="D251" s="123">
        <v>96.132003784179688</v>
      </c>
      <c r="E251" s="123">
        <v>35.625</v>
      </c>
      <c r="F251" s="123">
        <v>0</v>
      </c>
      <c r="G251" s="124">
        <v>16.625</v>
      </c>
      <c r="H251" s="125">
        <v>359</v>
      </c>
      <c r="I251" s="123">
        <v>318</v>
      </c>
      <c r="J251" s="123">
        <v>63.221000671386719</v>
      </c>
      <c r="K251" s="123">
        <v>61.754878997802734</v>
      </c>
      <c r="L251" s="123">
        <v>100.19699859619141</v>
      </c>
      <c r="M251" s="123">
        <v>13.005999565124512</v>
      </c>
      <c r="N251" s="123">
        <v>17.812000274658203</v>
      </c>
      <c r="O251" s="123">
        <v>16</v>
      </c>
      <c r="P251" s="123">
        <v>0</v>
      </c>
      <c r="Q251" s="123">
        <v>16.326295852661133</v>
      </c>
      <c r="R251" s="123">
        <v>6</v>
      </c>
      <c r="S251" s="123">
        <v>6.2370648384094238</v>
      </c>
      <c r="T251" s="123">
        <v>9</v>
      </c>
      <c r="U251" s="123">
        <v>9</v>
      </c>
      <c r="V251" s="125">
        <v>839</v>
      </c>
      <c r="W251" s="123">
        <v>26.507965087890625</v>
      </c>
      <c r="X251" s="123">
        <v>24.993999481201172</v>
      </c>
      <c r="Y251" s="123">
        <v>6.7430000305175781</v>
      </c>
      <c r="Z251" s="123">
        <v>0</v>
      </c>
      <c r="AA251" s="123">
        <v>19.339000701904297</v>
      </c>
      <c r="AB251" s="123">
        <v>0</v>
      </c>
      <c r="AC251" s="123">
        <v>50.331615447998047</v>
      </c>
      <c r="AD251" s="123">
        <v>6.1069998741149902</v>
      </c>
      <c r="AE251" s="123">
        <v>0</v>
      </c>
      <c r="AF251" s="123">
        <v>79.870719909667969</v>
      </c>
      <c r="AG251" s="123">
        <v>0</v>
      </c>
      <c r="AH251" s="123">
        <v>59.24365234375</v>
      </c>
      <c r="AI251" s="123">
        <v>11.831999778747559</v>
      </c>
      <c r="AJ251" s="123">
        <v>16.312761306762695</v>
      </c>
      <c r="AK251" s="123">
        <v>37.101779937744141</v>
      </c>
      <c r="AL251" s="123">
        <v>35.341999053955078</v>
      </c>
      <c r="AM251" s="126">
        <v>54.583000183105469</v>
      </c>
      <c r="AN251" s="125">
        <v>112.5625</v>
      </c>
      <c r="AO251" s="127">
        <v>57</v>
      </c>
      <c r="AP251" s="123">
        <v>60.395156860351563</v>
      </c>
      <c r="AQ251" s="123">
        <v>34.798183441162109</v>
      </c>
      <c r="AR251" s="123">
        <v>87</v>
      </c>
      <c r="AS251" s="123"/>
      <c r="AT251" s="123">
        <v>104</v>
      </c>
      <c r="AU251" s="123"/>
      <c r="AV251" s="123">
        <v>49</v>
      </c>
      <c r="AW251" s="123"/>
      <c r="AX251" s="123">
        <v>29</v>
      </c>
      <c r="AY251" s="123">
        <v>31.99919319152832</v>
      </c>
      <c r="AZ251" s="123">
        <v>0</v>
      </c>
      <c r="BA251" s="123"/>
      <c r="BB251" s="123">
        <v>176</v>
      </c>
      <c r="BC251" s="123">
        <v>172.8211669921875</v>
      </c>
      <c r="BD251" s="123">
        <v>6.5999999046325684</v>
      </c>
      <c r="BE251" s="123">
        <v>6.6316704750061035</v>
      </c>
      <c r="BF251" s="123">
        <v>29</v>
      </c>
      <c r="BG251" s="123">
        <v>11</v>
      </c>
      <c r="BH251" s="123">
        <v>11.56025505065918</v>
      </c>
      <c r="BI251" s="123"/>
      <c r="BJ251" s="108">
        <f t="shared" si="10"/>
        <v>10</v>
      </c>
      <c r="BK251" s="123">
        <v>10</v>
      </c>
      <c r="BL251" s="123">
        <v>0</v>
      </c>
      <c r="BM251" s="126"/>
      <c r="BN251" s="108">
        <f t="shared" si="11"/>
        <v>121.20000076293945</v>
      </c>
      <c r="BO251" s="108">
        <v>73</v>
      </c>
      <c r="BP251" s="108">
        <v>48.200000762939453</v>
      </c>
      <c r="BQ251" s="108">
        <v>258</v>
      </c>
      <c r="BR251" s="123">
        <v>65.596000671386719</v>
      </c>
      <c r="BS251" s="123">
        <v>24.173999786376953</v>
      </c>
      <c r="BT251" s="123">
        <v>40.176998138427734</v>
      </c>
      <c r="BU251" s="123">
        <v>33.080001831054688</v>
      </c>
      <c r="BV251" s="123">
        <v>69.599998474121094</v>
      </c>
      <c r="BW251" s="123">
        <v>5.8000001907348633</v>
      </c>
      <c r="BX251" s="123">
        <v>13.800000190734863</v>
      </c>
      <c r="BY251" s="123">
        <v>29</v>
      </c>
      <c r="BZ251" s="123">
        <v>1.4697226695716381E-2</v>
      </c>
      <c r="CA251" s="123">
        <v>1</v>
      </c>
      <c r="CB251" s="123">
        <v>29.149190902709961</v>
      </c>
      <c r="CC251" s="126"/>
      <c r="CD251" s="123">
        <v>332.52664184570313</v>
      </c>
      <c r="CE251" s="123">
        <v>30.965173721313477</v>
      </c>
      <c r="CF251" s="123">
        <v>17.066488265991211</v>
      </c>
      <c r="CG251" s="123">
        <v>35.338191986083984</v>
      </c>
      <c r="CH251" s="123">
        <v>269.27920532226563</v>
      </c>
      <c r="CI251" s="123">
        <v>83.010704040527344</v>
      </c>
      <c r="CJ251" s="123">
        <v>40.146564483642578</v>
      </c>
      <c r="CK251" s="123">
        <v>47.360019683837891</v>
      </c>
      <c r="CL251" s="124">
        <v>25.66767692565918</v>
      </c>
      <c r="CM251" s="125">
        <v>187.96888732910156</v>
      </c>
      <c r="CN251" s="123">
        <v>47.481891632080078</v>
      </c>
      <c r="CO251" s="123">
        <v>56.121356964111328</v>
      </c>
      <c r="CP251" s="123">
        <v>76.839401245117188</v>
      </c>
      <c r="CQ251" s="123">
        <v>0</v>
      </c>
      <c r="CR251" s="123">
        <v>46.845706939697266</v>
      </c>
      <c r="CS251" s="123">
        <v>9.0503158569335938</v>
      </c>
      <c r="CT251" s="123">
        <v>31.670051574707031</v>
      </c>
      <c r="CU251" s="123">
        <v>38.645946502685547</v>
      </c>
      <c r="CV251" s="124">
        <v>62.574924468994141</v>
      </c>
      <c r="CW251" s="125">
        <v>1</v>
      </c>
      <c r="CX251" s="123">
        <v>297</v>
      </c>
      <c r="CY251" s="123">
        <v>107.27757263183594</v>
      </c>
      <c r="CZ251" s="123">
        <v>47.386409759521484</v>
      </c>
      <c r="DA251" s="123">
        <v>20.346546173095703</v>
      </c>
      <c r="DB251" s="123">
        <v>33.877212524414063</v>
      </c>
      <c r="DC251" s="123">
        <v>73.127731323242188</v>
      </c>
      <c r="DD251" s="123">
        <v>49</v>
      </c>
      <c r="DE251" s="123">
        <v>168</v>
      </c>
      <c r="DF251" s="123">
        <v>96.973747253417969</v>
      </c>
      <c r="DG251" s="123">
        <v>64.619911193847656</v>
      </c>
      <c r="DH251" s="123">
        <v>40.571754455566406</v>
      </c>
      <c r="DI251" s="128">
        <v>35.983386993408203</v>
      </c>
      <c r="DJ251" s="127">
        <v>208</v>
      </c>
      <c r="DK251" s="123">
        <v>107.89399719238281</v>
      </c>
      <c r="DL251" s="123">
        <v>22.844999313354492</v>
      </c>
      <c r="DM251" s="123">
        <v>25.270000457763672</v>
      </c>
      <c r="DN251" s="123">
        <v>47.181999206542969</v>
      </c>
      <c r="DO251" s="124">
        <v>111.31001281738281</v>
      </c>
      <c r="DP251" s="125">
        <v>14.843999862670898</v>
      </c>
      <c r="DQ251" s="123"/>
      <c r="DR251" s="125">
        <v>68</v>
      </c>
      <c r="DS251" s="128">
        <v>28.200000762939453</v>
      </c>
      <c r="DT251" s="127">
        <v>13</v>
      </c>
      <c r="DU251" s="123"/>
      <c r="DV251" s="123">
        <v>7</v>
      </c>
      <c r="DW251" s="123">
        <v>2.9240331649780273</v>
      </c>
      <c r="DX251" s="125">
        <v>11</v>
      </c>
      <c r="DY251" s="128"/>
      <c r="DZ251" s="127">
        <v>44</v>
      </c>
      <c r="EA251" s="123">
        <v>3</v>
      </c>
      <c r="EB251" s="123">
        <v>0</v>
      </c>
      <c r="EC251" s="123">
        <v>2</v>
      </c>
      <c r="ED251" s="123">
        <v>230.5</v>
      </c>
      <c r="EE251" s="129"/>
      <c r="EF251" s="129"/>
      <c r="EG251" s="129"/>
    </row>
    <row r="252" spans="1:137" x14ac:dyDescent="0.3">
      <c r="A252" s="226">
        <f t="shared" si="12"/>
        <v>46020.172222222784</v>
      </c>
      <c r="B252" s="123">
        <v>215</v>
      </c>
      <c r="C252" s="123">
        <v>54.965000152587891</v>
      </c>
      <c r="D252" s="123">
        <v>96.132003784179688</v>
      </c>
      <c r="E252" s="123">
        <v>39.243999481201172</v>
      </c>
      <c r="F252" s="123">
        <v>0</v>
      </c>
      <c r="G252" s="124">
        <v>17.190000534057617</v>
      </c>
      <c r="H252" s="125">
        <v>359</v>
      </c>
      <c r="I252" s="123">
        <v>318</v>
      </c>
      <c r="J252" s="123">
        <v>61.63800048828125</v>
      </c>
      <c r="K252" s="123">
        <v>62.270095825195313</v>
      </c>
      <c r="L252" s="123">
        <v>98.782997131347656</v>
      </c>
      <c r="M252" s="123">
        <v>12.779000282287598</v>
      </c>
      <c r="N252" s="123">
        <v>18.003000259399414</v>
      </c>
      <c r="O252" s="123">
        <v>16</v>
      </c>
      <c r="P252" s="123">
        <v>0</v>
      </c>
      <c r="Q252" s="123">
        <v>15.532665252685547</v>
      </c>
      <c r="R252" s="123">
        <v>6</v>
      </c>
      <c r="S252" s="123">
        <v>7.9940633773803711</v>
      </c>
      <c r="T252" s="123">
        <v>9</v>
      </c>
      <c r="U252" s="123">
        <v>9</v>
      </c>
      <c r="V252" s="125">
        <v>839</v>
      </c>
      <c r="W252" s="123">
        <v>27.38245964050293</v>
      </c>
      <c r="X252" s="123">
        <v>24.541999816894531</v>
      </c>
      <c r="Y252" s="123">
        <v>6.5520000457763672</v>
      </c>
      <c r="Z252" s="123">
        <v>0</v>
      </c>
      <c r="AA252" s="123">
        <v>18.547000885009766</v>
      </c>
      <c r="AB252" s="123">
        <v>0</v>
      </c>
      <c r="AC252" s="123">
        <v>51.8294677734375</v>
      </c>
      <c r="AD252" s="123">
        <v>6.3610000610351563</v>
      </c>
      <c r="AE252" s="123">
        <v>0</v>
      </c>
      <c r="AF252" s="123">
        <v>78.639022827148438</v>
      </c>
      <c r="AG252" s="123">
        <v>0</v>
      </c>
      <c r="AH252" s="123">
        <v>58.848728179931641</v>
      </c>
      <c r="AI252" s="123">
        <v>12.340999603271484</v>
      </c>
      <c r="AJ252" s="123">
        <v>17.564956665039063</v>
      </c>
      <c r="AK252" s="123">
        <v>36.717144012451172</v>
      </c>
      <c r="AL252" s="123">
        <v>36.402999877929688</v>
      </c>
      <c r="AM252" s="126">
        <v>56.110000610351563</v>
      </c>
      <c r="AN252" s="125">
        <v>112.5</v>
      </c>
      <c r="AO252" s="127">
        <v>57</v>
      </c>
      <c r="AP252" s="123">
        <v>59.550647735595703</v>
      </c>
      <c r="AQ252" s="123">
        <v>35.281505584716797</v>
      </c>
      <c r="AR252" s="123">
        <v>87</v>
      </c>
      <c r="AS252" s="123"/>
      <c r="AT252" s="123">
        <v>104</v>
      </c>
      <c r="AU252" s="123"/>
      <c r="AV252" s="123">
        <v>49</v>
      </c>
      <c r="AW252" s="123"/>
      <c r="AX252" s="123">
        <v>30</v>
      </c>
      <c r="AY252" s="123">
        <v>32.134605407714844</v>
      </c>
      <c r="AZ252" s="123">
        <v>4</v>
      </c>
      <c r="BA252" s="123"/>
      <c r="BB252" s="123">
        <v>176</v>
      </c>
      <c r="BC252" s="123">
        <v>175.66433715820313</v>
      </c>
      <c r="BD252" s="123">
        <v>6.6999998092651367</v>
      </c>
      <c r="BE252" s="123">
        <v>6.6832370758056641</v>
      </c>
      <c r="BF252" s="123">
        <v>30</v>
      </c>
      <c r="BG252" s="123">
        <v>11</v>
      </c>
      <c r="BH252" s="123">
        <v>11.422346115112305</v>
      </c>
      <c r="BI252" s="123"/>
      <c r="BJ252" s="108">
        <f t="shared" si="10"/>
        <v>10</v>
      </c>
      <c r="BK252" s="123">
        <v>10</v>
      </c>
      <c r="BL252" s="123">
        <v>0</v>
      </c>
      <c r="BM252" s="126"/>
      <c r="BN252" s="108">
        <f t="shared" si="11"/>
        <v>121.29999923706055</v>
      </c>
      <c r="BO252" s="108">
        <v>73</v>
      </c>
      <c r="BP252" s="108">
        <v>48.299999237060547</v>
      </c>
      <c r="BQ252" s="108">
        <v>262</v>
      </c>
      <c r="BR252" s="123">
        <v>67.632003784179688</v>
      </c>
      <c r="BS252" s="123">
        <v>23.410999298095703</v>
      </c>
      <c r="BT252" s="123">
        <v>40.176998138427734</v>
      </c>
      <c r="BU252" s="123">
        <v>33.652999877929688</v>
      </c>
      <c r="BV252" s="123">
        <v>69.599998474121094</v>
      </c>
      <c r="BW252" s="123">
        <v>5.8000001907348633</v>
      </c>
      <c r="BX252" s="123">
        <v>13.800000190734863</v>
      </c>
      <c r="BY252" s="123">
        <v>28</v>
      </c>
      <c r="BZ252" s="123">
        <v>1.6040429472923279E-2</v>
      </c>
      <c r="CA252" s="123">
        <v>1</v>
      </c>
      <c r="CB252" s="123">
        <v>29.083946228027344</v>
      </c>
      <c r="CC252" s="126"/>
      <c r="CD252" s="123">
        <v>338.20095825195313</v>
      </c>
      <c r="CE252" s="123">
        <v>31.176914215087891</v>
      </c>
      <c r="CF252" s="123">
        <v>17.423730850219727</v>
      </c>
      <c r="CG252" s="123">
        <v>35.338191986083984</v>
      </c>
      <c r="CH252" s="123">
        <v>270.84060668945313</v>
      </c>
      <c r="CI252" s="123">
        <v>85.302330017089844</v>
      </c>
      <c r="CJ252" s="123">
        <v>39.775291442871094</v>
      </c>
      <c r="CK252" s="123">
        <v>47.469371795654297</v>
      </c>
      <c r="CL252" s="124">
        <v>26.521860122680664</v>
      </c>
      <c r="CM252" s="125">
        <v>189.39999389648438</v>
      </c>
      <c r="CN252" s="123">
        <v>49.133319854736328</v>
      </c>
      <c r="CO252" s="123">
        <v>57.765892028808594</v>
      </c>
      <c r="CP252" s="123">
        <v>80.400238037109375</v>
      </c>
      <c r="CQ252" s="123">
        <v>0</v>
      </c>
      <c r="CR252" s="123">
        <v>47.440090179443359</v>
      </c>
      <c r="CS252" s="123">
        <v>9.2300758361816406</v>
      </c>
      <c r="CT252" s="123">
        <v>31.188947677612305</v>
      </c>
      <c r="CU252" s="123">
        <v>36.224246978759766</v>
      </c>
      <c r="CV252" s="124">
        <v>62.523433685302734</v>
      </c>
      <c r="CW252" s="125">
        <v>3</v>
      </c>
      <c r="CX252" s="123">
        <v>299</v>
      </c>
      <c r="CY252" s="123">
        <v>107.507568359375</v>
      </c>
      <c r="CZ252" s="123">
        <v>47.975337982177734</v>
      </c>
      <c r="DA252" s="123">
        <v>21.144100189208984</v>
      </c>
      <c r="DB252" s="123">
        <v>32.677082061767578</v>
      </c>
      <c r="DC252" s="123">
        <v>72.26123046875</v>
      </c>
      <c r="DD252" s="123">
        <v>54</v>
      </c>
      <c r="DE252" s="123">
        <v>171</v>
      </c>
      <c r="DF252" s="123">
        <v>96.715232849121094</v>
      </c>
      <c r="DG252" s="123">
        <v>68.8106689453125</v>
      </c>
      <c r="DH252" s="123">
        <v>41.660717010498047</v>
      </c>
      <c r="DI252" s="128">
        <v>35.983386993408203</v>
      </c>
      <c r="DJ252" s="127">
        <v>202</v>
      </c>
      <c r="DK252" s="123">
        <v>104.33200073242188</v>
      </c>
      <c r="DL252" s="123">
        <v>25.219999313354492</v>
      </c>
      <c r="DM252" s="123">
        <v>27.389999389648438</v>
      </c>
      <c r="DN252" s="123">
        <v>47.181999206542969</v>
      </c>
      <c r="DO252" s="124">
        <v>110.10726928710938</v>
      </c>
      <c r="DP252" s="125">
        <v>15.550000190734863</v>
      </c>
      <c r="DQ252" s="123"/>
      <c r="DR252" s="125">
        <v>68</v>
      </c>
      <c r="DS252" s="128">
        <v>29.200000762939453</v>
      </c>
      <c r="DT252" s="127">
        <v>13</v>
      </c>
      <c r="DU252" s="123"/>
      <c r="DV252" s="123">
        <v>8</v>
      </c>
      <c r="DW252" s="123">
        <v>2.8806211948394775</v>
      </c>
      <c r="DX252" s="125">
        <v>12</v>
      </c>
      <c r="DY252" s="128"/>
      <c r="DZ252" s="127">
        <v>44</v>
      </c>
      <c r="EA252" s="123">
        <v>3</v>
      </c>
      <c r="EB252" s="123">
        <v>0</v>
      </c>
      <c r="EC252" s="123">
        <v>1</v>
      </c>
      <c r="ED252" s="123">
        <v>233.30000305175781</v>
      </c>
      <c r="EE252" s="129"/>
      <c r="EF252" s="129"/>
      <c r="EG252" s="129"/>
    </row>
    <row r="253" spans="1:137" x14ac:dyDescent="0.3">
      <c r="A253" s="226">
        <f t="shared" si="12"/>
        <v>46020.17291666723</v>
      </c>
      <c r="B253" s="123">
        <v>214</v>
      </c>
      <c r="C253" s="123">
        <v>52.929000854492188</v>
      </c>
      <c r="D253" s="123">
        <v>96.018997192382813</v>
      </c>
      <c r="E253" s="123">
        <v>36.529998779296875</v>
      </c>
      <c r="F253" s="123">
        <v>0</v>
      </c>
      <c r="G253" s="124">
        <v>17.302999496459961</v>
      </c>
      <c r="H253" s="125">
        <v>360</v>
      </c>
      <c r="I253" s="123">
        <v>319</v>
      </c>
      <c r="J253" s="123">
        <v>61.185001373291016</v>
      </c>
      <c r="K253" s="123">
        <v>62.072502136230469</v>
      </c>
      <c r="L253" s="123">
        <v>105.49800109863281</v>
      </c>
      <c r="M253" s="123">
        <v>12.10099983215332</v>
      </c>
      <c r="N253" s="123">
        <v>17.302999496459961</v>
      </c>
      <c r="O253" s="123">
        <v>17</v>
      </c>
      <c r="P253" s="123">
        <v>0</v>
      </c>
      <c r="Q253" s="123">
        <v>16.932449340820313</v>
      </c>
      <c r="R253" s="123">
        <v>4.9968748092651367</v>
      </c>
      <c r="S253" s="123">
        <v>4.3952550888061523</v>
      </c>
      <c r="T253" s="123">
        <v>9</v>
      </c>
      <c r="U253" s="123">
        <v>9</v>
      </c>
      <c r="V253" s="125">
        <v>847</v>
      </c>
      <c r="W253" s="123">
        <v>27.056652069091797</v>
      </c>
      <c r="X253" s="123">
        <v>25.333000183105469</v>
      </c>
      <c r="Y253" s="123">
        <v>6.0430002212524414</v>
      </c>
      <c r="Z253" s="123">
        <v>0</v>
      </c>
      <c r="AA253" s="123">
        <v>18.434000015258789</v>
      </c>
      <c r="AB253" s="123">
        <v>0</v>
      </c>
      <c r="AC253" s="123">
        <v>50.868442535400391</v>
      </c>
      <c r="AD253" s="123">
        <v>6.1069998741149902</v>
      </c>
      <c r="AE253" s="123">
        <v>0</v>
      </c>
      <c r="AF253" s="123">
        <v>79.615615844726563</v>
      </c>
      <c r="AG253" s="123">
        <v>0</v>
      </c>
      <c r="AH253" s="123">
        <v>60.238143920898438</v>
      </c>
      <c r="AI253" s="123">
        <v>13.104999542236328</v>
      </c>
      <c r="AJ253" s="123">
        <v>16.078794479370117</v>
      </c>
      <c r="AK253" s="123">
        <v>36.256340026855469</v>
      </c>
      <c r="AL253" s="123">
        <v>34.988998413085938</v>
      </c>
      <c r="AM253" s="126">
        <v>57.381999969482422</v>
      </c>
      <c r="AN253" s="125">
        <v>111.5</v>
      </c>
      <c r="AO253" s="127">
        <v>59</v>
      </c>
      <c r="AP253" s="123">
        <v>59.289199829101563</v>
      </c>
      <c r="AQ253" s="123">
        <v>37.212837219238281</v>
      </c>
      <c r="AR253" s="123">
        <v>87</v>
      </c>
      <c r="AS253" s="123"/>
      <c r="AT253" s="123">
        <v>104</v>
      </c>
      <c r="AU253" s="123"/>
      <c r="AV253" s="123">
        <v>51</v>
      </c>
      <c r="AW253" s="123"/>
      <c r="AX253" s="123">
        <v>29</v>
      </c>
      <c r="AY253" s="123">
        <v>32.134605407714844</v>
      </c>
      <c r="AZ253" s="123">
        <v>3</v>
      </c>
      <c r="BA253" s="123"/>
      <c r="BB253" s="123">
        <v>178</v>
      </c>
      <c r="BC253" s="123">
        <v>179.08668518066406</v>
      </c>
      <c r="BD253" s="123">
        <v>6.5999999046325684</v>
      </c>
      <c r="BE253" s="123">
        <v>6.6697173118591309</v>
      </c>
      <c r="BF253" s="123">
        <v>29</v>
      </c>
      <c r="BG253" s="123">
        <v>10</v>
      </c>
      <c r="BH253" s="123">
        <v>10.999719619750977</v>
      </c>
      <c r="BI253" s="123"/>
      <c r="BJ253" s="108">
        <f t="shared" si="10"/>
        <v>11</v>
      </c>
      <c r="BK253" s="123">
        <v>11</v>
      </c>
      <c r="BL253" s="123">
        <v>0</v>
      </c>
      <c r="BM253" s="126"/>
      <c r="BN253" s="108">
        <f t="shared" si="11"/>
        <v>120.20000076293945</v>
      </c>
      <c r="BO253" s="108">
        <v>72</v>
      </c>
      <c r="BP253" s="108">
        <v>48.200000762939453</v>
      </c>
      <c r="BQ253" s="108">
        <v>264</v>
      </c>
      <c r="BR253" s="123">
        <v>63.560001373291016</v>
      </c>
      <c r="BS253" s="123">
        <v>24.173999786376953</v>
      </c>
      <c r="BT253" s="123">
        <v>40.523998260498047</v>
      </c>
      <c r="BU253" s="123">
        <v>33.779998779296875</v>
      </c>
      <c r="BV253" s="123">
        <v>69.900001525878906</v>
      </c>
      <c r="BW253" s="123">
        <v>5.8000001907348633</v>
      </c>
      <c r="BX253" s="123">
        <v>13.800000190734863</v>
      </c>
      <c r="BY253" s="123">
        <v>29</v>
      </c>
      <c r="BZ253" s="123">
        <v>1.3749204576015472E-2</v>
      </c>
      <c r="CA253" s="123">
        <v>1</v>
      </c>
      <c r="CB253" s="123">
        <v>29.083946228027344</v>
      </c>
      <c r="CC253" s="126"/>
      <c r="CD253" s="123">
        <v>336.98333740234375</v>
      </c>
      <c r="CE253" s="123">
        <v>31.436271667480469</v>
      </c>
      <c r="CF253" s="123">
        <v>17.800872802734375</v>
      </c>
      <c r="CG253" s="123">
        <v>35.338191986083984</v>
      </c>
      <c r="CH253" s="123">
        <v>271.8565673828125</v>
      </c>
      <c r="CI253" s="123">
        <v>85.326324462890625</v>
      </c>
      <c r="CJ253" s="123">
        <v>41.381233215332031</v>
      </c>
      <c r="CK253" s="123">
        <v>45.859794616699219</v>
      </c>
      <c r="CL253" s="124">
        <v>26.296485900878906</v>
      </c>
      <c r="CM253" s="125">
        <v>191.89692687988281</v>
      </c>
      <c r="CN253" s="123">
        <v>52.301216125488281</v>
      </c>
      <c r="CO253" s="123">
        <v>54.696468353271484</v>
      </c>
      <c r="CP253" s="123">
        <v>82.129547119140625</v>
      </c>
      <c r="CQ253" s="123">
        <v>0</v>
      </c>
      <c r="CR253" s="123">
        <v>47.850872039794922</v>
      </c>
      <c r="CS253" s="123">
        <v>7.4841694831848145</v>
      </c>
      <c r="CT253" s="123">
        <v>33.560546875</v>
      </c>
      <c r="CU253" s="123">
        <v>40.258358001708984</v>
      </c>
      <c r="CV253" s="124">
        <v>62.472389221191406</v>
      </c>
      <c r="CW253" s="125">
        <v>3</v>
      </c>
      <c r="CX253" s="123">
        <v>307</v>
      </c>
      <c r="CY253" s="123">
        <v>108.18778991699219</v>
      </c>
      <c r="CZ253" s="123">
        <v>49.961017608642578</v>
      </c>
      <c r="DA253" s="123">
        <v>21.480310440063477</v>
      </c>
      <c r="DB253" s="123">
        <v>33.6060791015625</v>
      </c>
      <c r="DC253" s="123">
        <v>72.799140930175781</v>
      </c>
      <c r="DD253" s="123">
        <v>54</v>
      </c>
      <c r="DE253" s="123">
        <v>170</v>
      </c>
      <c r="DF253" s="123">
        <v>98.693817138671875</v>
      </c>
      <c r="DG253" s="123">
        <v>65.420310974121094</v>
      </c>
      <c r="DH253" s="123">
        <v>43.315242767333984</v>
      </c>
      <c r="DI253" s="128">
        <v>35.496669769287109</v>
      </c>
      <c r="DJ253" s="127">
        <v>204</v>
      </c>
      <c r="DK253" s="123">
        <v>104.33200073242188</v>
      </c>
      <c r="DL253" s="123">
        <v>24.089000701904297</v>
      </c>
      <c r="DM253" s="123">
        <v>23.856000900268555</v>
      </c>
      <c r="DN253" s="123">
        <v>48.243000030517578</v>
      </c>
      <c r="DO253" s="124">
        <v>111.00435638427734</v>
      </c>
      <c r="DP253" s="125">
        <v>15.550000190734863</v>
      </c>
      <c r="DQ253" s="123"/>
      <c r="DR253" s="125">
        <v>68</v>
      </c>
      <c r="DS253" s="128">
        <v>30.5</v>
      </c>
      <c r="DT253" s="127">
        <v>13</v>
      </c>
      <c r="DU253" s="123"/>
      <c r="DV253" s="123">
        <v>8</v>
      </c>
      <c r="DW253" s="123">
        <v>2.7542836666107178</v>
      </c>
      <c r="DX253" s="125">
        <v>11</v>
      </c>
      <c r="DY253" s="128"/>
      <c r="DZ253" s="127">
        <v>44</v>
      </c>
      <c r="EA253" s="123">
        <v>3</v>
      </c>
      <c r="EB253" s="123">
        <v>0</v>
      </c>
      <c r="EC253" s="123">
        <v>1</v>
      </c>
      <c r="ED253" s="123">
        <v>231.30000305175781</v>
      </c>
      <c r="EE253" s="129"/>
      <c r="EF253" s="129"/>
      <c r="EG253" s="129"/>
    </row>
    <row r="254" spans="1:137" x14ac:dyDescent="0.3">
      <c r="A254" s="226">
        <f t="shared" si="12"/>
        <v>46020.173611111677</v>
      </c>
      <c r="B254" s="123">
        <v>219</v>
      </c>
      <c r="C254" s="123">
        <v>48.404998779296875</v>
      </c>
      <c r="D254" s="123">
        <v>96.584999084472656</v>
      </c>
      <c r="E254" s="123">
        <v>37.548000335693359</v>
      </c>
      <c r="F254" s="123">
        <v>0</v>
      </c>
      <c r="G254" s="124">
        <v>16.964000701904297</v>
      </c>
      <c r="H254" s="125">
        <v>361</v>
      </c>
      <c r="I254" s="123">
        <v>321</v>
      </c>
      <c r="J254" s="123">
        <v>61.071998596191406</v>
      </c>
      <c r="K254" s="123">
        <v>62.327266693115234</v>
      </c>
      <c r="L254" s="123">
        <v>100.55000305175781</v>
      </c>
      <c r="M254" s="123">
        <v>12.326999664306641</v>
      </c>
      <c r="N254" s="123">
        <v>17.493999481201172</v>
      </c>
      <c r="O254" s="123">
        <v>18</v>
      </c>
      <c r="P254" s="123">
        <v>0</v>
      </c>
      <c r="Q254" s="123">
        <v>18.185897827148438</v>
      </c>
      <c r="R254" s="123">
        <v>4.9968748092651367</v>
      </c>
      <c r="S254" s="123">
        <v>4.9299392700195313</v>
      </c>
      <c r="T254" s="123">
        <v>9</v>
      </c>
      <c r="U254" s="123">
        <v>9</v>
      </c>
      <c r="V254" s="125">
        <v>841</v>
      </c>
      <c r="W254" s="123">
        <v>25.430995941162109</v>
      </c>
      <c r="X254" s="123">
        <v>24.767999649047852</v>
      </c>
      <c r="Y254" s="123">
        <v>6.0430002212524414</v>
      </c>
      <c r="Z254" s="123">
        <v>0</v>
      </c>
      <c r="AA254" s="123">
        <v>18.660999298095703</v>
      </c>
      <c r="AB254" s="123">
        <v>0</v>
      </c>
      <c r="AC254" s="123">
        <v>49.607452392578125</v>
      </c>
      <c r="AD254" s="123">
        <v>6.1069998741149902</v>
      </c>
      <c r="AE254" s="123">
        <v>0</v>
      </c>
      <c r="AF254" s="123">
        <v>78.24072265625</v>
      </c>
      <c r="AG254" s="123">
        <v>0</v>
      </c>
      <c r="AH254" s="123">
        <v>59.535953521728516</v>
      </c>
      <c r="AI254" s="123">
        <v>9.9870004653930664</v>
      </c>
      <c r="AJ254" s="123">
        <v>15.992795944213867</v>
      </c>
      <c r="AK254" s="123">
        <v>36.784492492675781</v>
      </c>
      <c r="AL254" s="123">
        <v>35.166000366210938</v>
      </c>
      <c r="AM254" s="126">
        <v>54.646999359130859</v>
      </c>
      <c r="AN254" s="125">
        <v>114.1875</v>
      </c>
      <c r="AO254" s="127">
        <v>58</v>
      </c>
      <c r="AP254" s="123">
        <v>58.733104705810547</v>
      </c>
      <c r="AQ254" s="123">
        <v>38.245193481445313</v>
      </c>
      <c r="AR254" s="123">
        <v>88</v>
      </c>
      <c r="AS254" s="123"/>
      <c r="AT254" s="123">
        <v>104</v>
      </c>
      <c r="AU254" s="123"/>
      <c r="AV254" s="123">
        <v>51</v>
      </c>
      <c r="AW254" s="123"/>
      <c r="AX254" s="123">
        <v>29</v>
      </c>
      <c r="AY254" s="123">
        <v>32.186325073242188</v>
      </c>
      <c r="AZ254" s="123">
        <v>4</v>
      </c>
      <c r="BA254" s="123"/>
      <c r="BB254" s="123">
        <v>177</v>
      </c>
      <c r="BC254" s="123">
        <v>177.03462219238281</v>
      </c>
      <c r="BD254" s="123">
        <v>6.6999998092651367</v>
      </c>
      <c r="BE254" s="123">
        <v>6.6930413246154785</v>
      </c>
      <c r="BF254" s="123">
        <v>29</v>
      </c>
      <c r="BG254" s="123">
        <v>11</v>
      </c>
      <c r="BH254" s="123">
        <v>11.111562728881836</v>
      </c>
      <c r="BI254" s="123"/>
      <c r="BJ254" s="108">
        <f t="shared" si="10"/>
        <v>11</v>
      </c>
      <c r="BK254" s="123">
        <v>11</v>
      </c>
      <c r="BL254" s="123">
        <v>0</v>
      </c>
      <c r="BM254" s="126"/>
      <c r="BN254" s="108">
        <f t="shared" si="11"/>
        <v>121</v>
      </c>
      <c r="BO254" s="108">
        <v>73</v>
      </c>
      <c r="BP254" s="108">
        <v>48</v>
      </c>
      <c r="BQ254" s="108">
        <v>262</v>
      </c>
      <c r="BR254" s="123">
        <v>65.029998779296875</v>
      </c>
      <c r="BS254" s="123">
        <v>24.683000564575195</v>
      </c>
      <c r="BT254" s="123">
        <v>40.523998260498047</v>
      </c>
      <c r="BU254" s="123">
        <v>33.779998779296875</v>
      </c>
      <c r="BV254" s="123">
        <v>68.699996948242188</v>
      </c>
      <c r="BW254" s="123">
        <v>5.5999999046325684</v>
      </c>
      <c r="BX254" s="123">
        <v>13.5</v>
      </c>
      <c r="BY254" s="123">
        <v>28</v>
      </c>
      <c r="BZ254" s="123">
        <v>1.4019337482750416E-2</v>
      </c>
      <c r="CA254" s="123">
        <v>0</v>
      </c>
      <c r="CB254" s="123">
        <v>29.041252136230469</v>
      </c>
      <c r="CC254" s="126"/>
      <c r="CD254" s="123">
        <v>336.45132446289063</v>
      </c>
      <c r="CE254" s="123">
        <v>30.586288452148438</v>
      </c>
      <c r="CF254" s="123">
        <v>17.316579818725586</v>
      </c>
      <c r="CG254" s="123">
        <v>35.338191986083984</v>
      </c>
      <c r="CH254" s="123">
        <v>272.8702392578125</v>
      </c>
      <c r="CI254" s="123">
        <v>82.977386474609375</v>
      </c>
      <c r="CJ254" s="123">
        <v>38.645889282226563</v>
      </c>
      <c r="CK254" s="123">
        <v>45.750152587890625</v>
      </c>
      <c r="CL254" s="124">
        <v>25.458993911743164</v>
      </c>
      <c r="CM254" s="125">
        <v>185.67185974121094</v>
      </c>
      <c r="CN254" s="123">
        <v>47.022209167480469</v>
      </c>
      <c r="CO254" s="123">
        <v>55.328109741210938</v>
      </c>
      <c r="CP254" s="123">
        <v>80.806076049804688</v>
      </c>
      <c r="CQ254" s="123">
        <v>0</v>
      </c>
      <c r="CR254" s="123">
        <v>48.751632690429688</v>
      </c>
      <c r="CS254" s="123">
        <v>7.7693848609924316</v>
      </c>
      <c r="CT254" s="123">
        <v>30.348873138427734</v>
      </c>
      <c r="CU254" s="123">
        <v>42.443840026855469</v>
      </c>
      <c r="CV254" s="124">
        <v>60.910144805908203</v>
      </c>
      <c r="CW254" s="125">
        <v>2</v>
      </c>
      <c r="CX254" s="123">
        <v>297</v>
      </c>
      <c r="CY254" s="123">
        <v>108.20294189453125</v>
      </c>
      <c r="CZ254" s="123">
        <v>48.260227203369141</v>
      </c>
      <c r="DA254" s="123">
        <v>20.399650573730469</v>
      </c>
      <c r="DB254" s="123">
        <v>32.677009582519531</v>
      </c>
      <c r="DC254" s="123">
        <v>73.389862060546875</v>
      </c>
      <c r="DD254" s="123">
        <v>51</v>
      </c>
      <c r="DE254" s="123">
        <v>169</v>
      </c>
      <c r="DF254" s="123">
        <v>97.912818908691406</v>
      </c>
      <c r="DG254" s="123">
        <v>65.2069091796875</v>
      </c>
      <c r="DH254" s="123">
        <v>41.221504211425781</v>
      </c>
      <c r="DI254" s="128">
        <v>35.496669769287109</v>
      </c>
      <c r="DJ254" s="127">
        <v>204</v>
      </c>
      <c r="DK254" s="123">
        <v>104.33200073242188</v>
      </c>
      <c r="DL254" s="123">
        <v>26.125</v>
      </c>
      <c r="DM254" s="123">
        <v>24.033000946044922</v>
      </c>
      <c r="DN254" s="123">
        <v>48.243000030517578</v>
      </c>
      <c r="DO254" s="124">
        <v>111.03160095214844</v>
      </c>
      <c r="DP254" s="125">
        <v>15.182999610900879</v>
      </c>
      <c r="DQ254" s="123"/>
      <c r="DR254" s="125">
        <v>67</v>
      </c>
      <c r="DS254" s="128">
        <v>31</v>
      </c>
      <c r="DT254" s="127">
        <v>13</v>
      </c>
      <c r="DU254" s="123"/>
      <c r="DV254" s="123">
        <v>8</v>
      </c>
      <c r="DW254" s="123">
        <v>2.8171505928039551</v>
      </c>
      <c r="DX254" s="125">
        <v>10</v>
      </c>
      <c r="DY254" s="128"/>
      <c r="DZ254" s="127">
        <v>45</v>
      </c>
      <c r="EA254" s="123">
        <v>3</v>
      </c>
      <c r="EB254" s="123">
        <v>0</v>
      </c>
      <c r="EC254" s="123">
        <v>1</v>
      </c>
      <c r="ED254" s="123">
        <v>231.39999389648438</v>
      </c>
      <c r="EE254" s="129"/>
      <c r="EF254" s="129"/>
      <c r="EG254" s="129"/>
    </row>
    <row r="255" spans="1:137" x14ac:dyDescent="0.3">
      <c r="A255" s="226">
        <f t="shared" si="12"/>
        <v>46020.174305556124</v>
      </c>
      <c r="B255" s="123">
        <v>220</v>
      </c>
      <c r="C255" s="123">
        <v>47.840000152587891</v>
      </c>
      <c r="D255" s="123">
        <v>97.602996826171875</v>
      </c>
      <c r="E255" s="123">
        <v>39.470001220703125</v>
      </c>
      <c r="F255" s="123">
        <v>0</v>
      </c>
      <c r="G255" s="124">
        <v>18.434000015258789</v>
      </c>
      <c r="H255" s="125">
        <v>357</v>
      </c>
      <c r="I255" s="123">
        <v>317</v>
      </c>
      <c r="J255" s="123">
        <v>60.166999816894531</v>
      </c>
      <c r="K255" s="123">
        <v>62.691047668457031</v>
      </c>
      <c r="L255" s="123">
        <v>99.489997863769531</v>
      </c>
      <c r="M255" s="123">
        <v>12.439999580383301</v>
      </c>
      <c r="N255" s="123">
        <v>17.367000579833984</v>
      </c>
      <c r="O255" s="123">
        <v>17</v>
      </c>
      <c r="P255" s="123">
        <v>0</v>
      </c>
      <c r="Q255" s="123">
        <v>17.306526184082031</v>
      </c>
      <c r="R255" s="123">
        <v>6</v>
      </c>
      <c r="S255" s="123">
        <v>6.5607728958129883</v>
      </c>
      <c r="T255" s="123">
        <v>9</v>
      </c>
      <c r="U255" s="123">
        <v>9</v>
      </c>
      <c r="V255" s="125">
        <v>842</v>
      </c>
      <c r="W255" s="123">
        <v>24.820680618286133</v>
      </c>
      <c r="X255" s="123">
        <v>24.315000534057617</v>
      </c>
      <c r="Y255" s="123">
        <v>5.9800000190734863</v>
      </c>
      <c r="Z255" s="123">
        <v>0</v>
      </c>
      <c r="AA255" s="123">
        <v>19.113000869750977</v>
      </c>
      <c r="AB255" s="123">
        <v>0</v>
      </c>
      <c r="AC255" s="123">
        <v>51.729648590087891</v>
      </c>
      <c r="AD255" s="123">
        <v>6.1069998741149902</v>
      </c>
      <c r="AE255" s="123">
        <v>0</v>
      </c>
      <c r="AF255" s="123">
        <v>80.337539672851563</v>
      </c>
      <c r="AG255" s="123">
        <v>0</v>
      </c>
      <c r="AH255" s="123">
        <v>58.641239166259766</v>
      </c>
      <c r="AI255" s="123">
        <v>9.9870004653930664</v>
      </c>
      <c r="AJ255" s="123">
        <v>15.300090789794922</v>
      </c>
      <c r="AK255" s="123">
        <v>36.146774291992188</v>
      </c>
      <c r="AL255" s="123">
        <v>35.695999145507813</v>
      </c>
      <c r="AM255" s="126">
        <v>56.492000579833984</v>
      </c>
      <c r="AN255" s="125">
        <v>114.1875</v>
      </c>
      <c r="AO255" s="127">
        <v>58</v>
      </c>
      <c r="AP255" s="123">
        <v>58.967739105224609</v>
      </c>
      <c r="AQ255" s="123">
        <v>38.718242645263672</v>
      </c>
      <c r="AR255" s="123">
        <v>87</v>
      </c>
      <c r="AS255" s="123"/>
      <c r="AT255" s="123">
        <v>104</v>
      </c>
      <c r="AU255" s="123"/>
      <c r="AV255" s="123">
        <v>50</v>
      </c>
      <c r="AW255" s="123"/>
      <c r="AX255" s="123">
        <v>29</v>
      </c>
      <c r="AY255" s="123">
        <v>32.186325073242188</v>
      </c>
      <c r="AZ255" s="123">
        <v>4</v>
      </c>
      <c r="BA255" s="123"/>
      <c r="BB255" s="123">
        <v>177</v>
      </c>
      <c r="BC255" s="123">
        <v>177.03462219238281</v>
      </c>
      <c r="BD255" s="123">
        <v>6.6999998092651367</v>
      </c>
      <c r="BE255" s="123">
        <v>6.7899999618530273</v>
      </c>
      <c r="BF255" s="123">
        <v>29</v>
      </c>
      <c r="BG255" s="123">
        <v>10</v>
      </c>
      <c r="BH255" s="123">
        <v>10.957782745361328</v>
      </c>
      <c r="BI255" s="123"/>
      <c r="BJ255" s="108">
        <f t="shared" si="10"/>
        <v>11</v>
      </c>
      <c r="BK255" s="123">
        <v>11</v>
      </c>
      <c r="BL255" s="123">
        <v>0</v>
      </c>
      <c r="BM255" s="126"/>
      <c r="BN255" s="108">
        <f t="shared" si="11"/>
        <v>121</v>
      </c>
      <c r="BO255" s="108">
        <v>73</v>
      </c>
      <c r="BP255" s="108">
        <v>48</v>
      </c>
      <c r="BQ255" s="108">
        <v>263</v>
      </c>
      <c r="BR255" s="123">
        <v>72.042999267578125</v>
      </c>
      <c r="BS255" s="123">
        <v>23.410999298095703</v>
      </c>
      <c r="BT255" s="123">
        <v>40.869998931884766</v>
      </c>
      <c r="BU255" s="123">
        <v>33.462001800537109</v>
      </c>
      <c r="BV255" s="123">
        <v>68.900001525878906</v>
      </c>
      <c r="BW255" s="123">
        <v>5.5999999046325684</v>
      </c>
      <c r="BX255" s="123">
        <v>13.5</v>
      </c>
      <c r="BY255" s="123">
        <v>28</v>
      </c>
      <c r="BZ255" s="123">
        <v>1.3852177187800407E-2</v>
      </c>
      <c r="CA255" s="123">
        <v>1</v>
      </c>
      <c r="CB255" s="123">
        <v>29.0814208984375</v>
      </c>
      <c r="CC255" s="126"/>
      <c r="CD255" s="123">
        <v>341.33065795898438</v>
      </c>
      <c r="CE255" s="123">
        <v>32.014717102050781</v>
      </c>
      <c r="CF255" s="123">
        <v>16.850410461425781</v>
      </c>
      <c r="CG255" s="123">
        <v>35.338191986083984</v>
      </c>
      <c r="CH255" s="123">
        <v>272.36947631835938</v>
      </c>
      <c r="CI255" s="123">
        <v>80.738319396972656</v>
      </c>
      <c r="CJ255" s="123">
        <v>38.603195190429688</v>
      </c>
      <c r="CK255" s="123">
        <v>46.976089477539063</v>
      </c>
      <c r="CL255" s="124">
        <v>25.190021514892578</v>
      </c>
      <c r="CM255" s="125">
        <v>184.07998657226563</v>
      </c>
      <c r="CN255" s="123">
        <v>47.65911865234375</v>
      </c>
      <c r="CO255" s="123">
        <v>56.287551879882813</v>
      </c>
      <c r="CP255" s="123">
        <v>77.957603454589844</v>
      </c>
      <c r="CQ255" s="123">
        <v>0</v>
      </c>
      <c r="CR255" s="123">
        <v>49.546539306640625</v>
      </c>
      <c r="CS255" s="123">
        <v>8.1727447509765625</v>
      </c>
      <c r="CT255" s="123">
        <v>29.925006866455078</v>
      </c>
      <c r="CU255" s="123">
        <v>38.626605987548828</v>
      </c>
      <c r="CV255" s="124">
        <v>59.253532409667969</v>
      </c>
      <c r="CW255" s="125">
        <v>0</v>
      </c>
      <c r="CX255" s="123">
        <v>295</v>
      </c>
      <c r="CY255" s="123">
        <v>109.65381622314453</v>
      </c>
      <c r="CZ255" s="123">
        <v>48.006855010986328</v>
      </c>
      <c r="DA255" s="123">
        <v>20.527294158935547</v>
      </c>
      <c r="DB255" s="123">
        <v>30.471595764160156</v>
      </c>
      <c r="DC255" s="123">
        <v>74.837921142578125</v>
      </c>
      <c r="DD255" s="123">
        <v>47</v>
      </c>
      <c r="DE255" s="123">
        <v>167</v>
      </c>
      <c r="DF255" s="123">
        <v>97.336776733398438</v>
      </c>
      <c r="DG255" s="123">
        <v>70.361808776855469</v>
      </c>
      <c r="DH255" s="123">
        <v>40.896770477294922</v>
      </c>
      <c r="DI255" s="128">
        <v>37.198032379150391</v>
      </c>
      <c r="DJ255" s="127">
        <v>205</v>
      </c>
      <c r="DK255" s="123">
        <v>104.33200073242188</v>
      </c>
      <c r="DL255" s="123">
        <v>24.993999481201172</v>
      </c>
      <c r="DM255" s="123">
        <v>25.093000411987305</v>
      </c>
      <c r="DN255" s="123">
        <v>48.596000671386719</v>
      </c>
      <c r="DO255" s="124">
        <v>110.73332977294922</v>
      </c>
      <c r="DP255" s="125">
        <v>15.35200023651123</v>
      </c>
      <c r="DQ255" s="123"/>
      <c r="DR255" s="125">
        <v>67</v>
      </c>
      <c r="DS255" s="128">
        <v>31.200000762939453</v>
      </c>
      <c r="DT255" s="127">
        <v>12</v>
      </c>
      <c r="DU255" s="123"/>
      <c r="DV255" s="123">
        <v>8</v>
      </c>
      <c r="DW255" s="123">
        <v>2.8799812793731689</v>
      </c>
      <c r="DX255" s="125">
        <v>11</v>
      </c>
      <c r="DY255" s="128"/>
      <c r="DZ255" s="127">
        <v>44</v>
      </c>
      <c r="EA255" s="123">
        <v>3</v>
      </c>
      <c r="EB255" s="123">
        <v>0</v>
      </c>
      <c r="EC255" s="123">
        <v>1</v>
      </c>
      <c r="ED255" s="123">
        <v>235.60000610351563</v>
      </c>
      <c r="EE255" s="129"/>
      <c r="EF255" s="129"/>
      <c r="EG255" s="129"/>
    </row>
    <row r="256" spans="1:137" x14ac:dyDescent="0.3">
      <c r="A256" s="226">
        <f t="shared" si="12"/>
        <v>46020.17500000057</v>
      </c>
      <c r="B256" s="123">
        <v>223</v>
      </c>
      <c r="C256" s="123">
        <v>51.458999633789063</v>
      </c>
      <c r="D256" s="123">
        <v>96.358001708984375</v>
      </c>
      <c r="E256" s="123">
        <v>38.226001739501953</v>
      </c>
      <c r="F256" s="123">
        <v>0</v>
      </c>
      <c r="G256" s="124">
        <v>18.094999313354492</v>
      </c>
      <c r="H256" s="125">
        <v>356</v>
      </c>
      <c r="I256" s="123">
        <v>316</v>
      </c>
      <c r="J256" s="123">
        <v>61.185001373291016</v>
      </c>
      <c r="K256" s="123">
        <v>63.014102935791016</v>
      </c>
      <c r="L256" s="123">
        <v>101.78700256347656</v>
      </c>
      <c r="M256" s="123">
        <v>12.10099983215332</v>
      </c>
      <c r="N256" s="123">
        <v>16.922000885009766</v>
      </c>
      <c r="O256" s="123">
        <v>16</v>
      </c>
      <c r="P256" s="123">
        <v>0</v>
      </c>
      <c r="Q256" s="123">
        <v>15.69336986541748</v>
      </c>
      <c r="R256" s="123">
        <v>0</v>
      </c>
      <c r="S256" s="123">
        <v>4.3777132034301758</v>
      </c>
      <c r="T256" s="123">
        <v>9</v>
      </c>
      <c r="U256" s="123">
        <v>9</v>
      </c>
      <c r="V256" s="125">
        <v>839</v>
      </c>
      <c r="W256" s="123">
        <v>23.152980804443359</v>
      </c>
      <c r="X256" s="123">
        <v>24.089000701904297</v>
      </c>
      <c r="Y256" s="123">
        <v>5.6609997749328613</v>
      </c>
      <c r="Z256" s="123">
        <v>0</v>
      </c>
      <c r="AA256" s="123">
        <v>20.923000335693359</v>
      </c>
      <c r="AB256" s="123">
        <v>0</v>
      </c>
      <c r="AC256" s="123">
        <v>51.729648590087891</v>
      </c>
      <c r="AD256" s="123">
        <v>6.1069998741149902</v>
      </c>
      <c r="AE256" s="123">
        <v>0</v>
      </c>
      <c r="AF256" s="123">
        <v>81.200981140136719</v>
      </c>
      <c r="AG256" s="123">
        <v>0</v>
      </c>
      <c r="AH256" s="123">
        <v>59.032688140869141</v>
      </c>
      <c r="AI256" s="123">
        <v>11.260000228881836</v>
      </c>
      <c r="AJ256" s="123">
        <v>15.160994529724121</v>
      </c>
      <c r="AK256" s="123">
        <v>34.659770965576172</v>
      </c>
      <c r="AL256" s="123">
        <v>36.578998565673828</v>
      </c>
      <c r="AM256" s="126">
        <v>55.854999542236328</v>
      </c>
      <c r="AN256" s="125">
        <v>114</v>
      </c>
      <c r="AO256" s="127">
        <v>60</v>
      </c>
      <c r="AP256" s="123">
        <v>60.078681945800781</v>
      </c>
      <c r="AQ256" s="123">
        <v>38.480751037597656</v>
      </c>
      <c r="AR256" s="123">
        <v>87</v>
      </c>
      <c r="AS256" s="123"/>
      <c r="AT256" s="123">
        <v>103</v>
      </c>
      <c r="AU256" s="123"/>
      <c r="AV256" s="123">
        <v>59</v>
      </c>
      <c r="AW256" s="123"/>
      <c r="AX256" s="123">
        <v>30</v>
      </c>
      <c r="AY256" s="123">
        <v>32.646793365478516</v>
      </c>
      <c r="AZ256" s="123">
        <v>4</v>
      </c>
      <c r="BA256" s="123"/>
      <c r="BB256" s="123">
        <v>177</v>
      </c>
      <c r="BC256" s="123">
        <v>175.5626220703125</v>
      </c>
      <c r="BD256" s="123">
        <v>6.6999998092651367</v>
      </c>
      <c r="BE256" s="123">
        <v>6.7111372947692871</v>
      </c>
      <c r="BF256" s="123">
        <v>29</v>
      </c>
      <c r="BG256" s="123">
        <v>10</v>
      </c>
      <c r="BH256" s="123">
        <v>10.905703544616699</v>
      </c>
      <c r="BI256" s="123"/>
      <c r="BJ256" s="108">
        <f t="shared" si="10"/>
        <v>11</v>
      </c>
      <c r="BK256" s="123">
        <v>11</v>
      </c>
      <c r="BL256" s="123">
        <v>0</v>
      </c>
      <c r="BM256" s="126"/>
      <c r="BN256" s="108">
        <f t="shared" si="11"/>
        <v>119.20000076293945</v>
      </c>
      <c r="BO256" s="108">
        <v>71</v>
      </c>
      <c r="BP256" s="108">
        <v>48.200000762939453</v>
      </c>
      <c r="BQ256" s="108">
        <v>261</v>
      </c>
      <c r="BR256" s="123">
        <v>66.161003112792969</v>
      </c>
      <c r="BS256" s="123">
        <v>23.920000076293945</v>
      </c>
      <c r="BT256" s="123">
        <v>40.869998931884766</v>
      </c>
      <c r="BU256" s="123">
        <v>34.353000640869141</v>
      </c>
      <c r="BV256" s="123">
        <v>68.400001525878906</v>
      </c>
      <c r="BW256" s="123">
        <v>5.6999998092651367</v>
      </c>
      <c r="BX256" s="123">
        <v>13.5</v>
      </c>
      <c r="BY256" s="123">
        <v>28</v>
      </c>
      <c r="BZ256" s="123">
        <v>1.2845518067479134E-2</v>
      </c>
      <c r="CA256" s="123">
        <v>1</v>
      </c>
      <c r="CB256" s="123">
        <v>29.246957778930664</v>
      </c>
      <c r="CC256" s="126"/>
      <c r="CD256" s="123">
        <v>335.14614868164063</v>
      </c>
      <c r="CE256" s="123">
        <v>32.070014953613281</v>
      </c>
      <c r="CF256" s="123">
        <v>16.789592742919922</v>
      </c>
      <c r="CG256" s="123">
        <v>35.338191986083984</v>
      </c>
      <c r="CH256" s="123">
        <v>270.94448852539063</v>
      </c>
      <c r="CI256" s="123">
        <v>79.816627502441406</v>
      </c>
      <c r="CJ256" s="123">
        <v>34.312095642089844</v>
      </c>
      <c r="CK256" s="123">
        <v>47.757747650146484</v>
      </c>
      <c r="CL256" s="124">
        <v>24.849498748779297</v>
      </c>
      <c r="CM256" s="125">
        <v>184.91215515136719</v>
      </c>
      <c r="CN256" s="123">
        <v>48.895431518554688</v>
      </c>
      <c r="CO256" s="123">
        <v>54.832744598388672</v>
      </c>
      <c r="CP256" s="123">
        <v>77.89031982421875</v>
      </c>
      <c r="CQ256" s="123">
        <v>0</v>
      </c>
      <c r="CR256" s="123">
        <v>48.64947509765625</v>
      </c>
      <c r="CS256" s="123">
        <v>8.7176961898803711</v>
      </c>
      <c r="CT256" s="123">
        <v>29.215532302856445</v>
      </c>
      <c r="CU256" s="123">
        <v>37.631126403808594</v>
      </c>
      <c r="CV256" s="124">
        <v>60.183559417724609</v>
      </c>
      <c r="CW256" s="125">
        <v>7</v>
      </c>
      <c r="CX256" s="123">
        <v>295</v>
      </c>
      <c r="CY256" s="123">
        <v>110.93931579589844</v>
      </c>
      <c r="CZ256" s="123">
        <v>48.750495910644531</v>
      </c>
      <c r="DA256" s="123">
        <v>20.117183685302734</v>
      </c>
      <c r="DB256" s="123">
        <v>32.688179016113281</v>
      </c>
      <c r="DC256" s="123">
        <v>74.79315185546875</v>
      </c>
      <c r="DD256" s="123">
        <v>50</v>
      </c>
      <c r="DE256" s="123">
        <v>169</v>
      </c>
      <c r="DF256" s="123">
        <v>97.197219848632813</v>
      </c>
      <c r="DG256" s="123">
        <v>70.090950012207031</v>
      </c>
      <c r="DH256" s="123">
        <v>41.6353759765625</v>
      </c>
      <c r="DI256" s="128">
        <v>35.262042999267578</v>
      </c>
      <c r="DJ256" s="127">
        <v>205</v>
      </c>
      <c r="DK256" s="123">
        <v>104.33200073242188</v>
      </c>
      <c r="DL256" s="123">
        <v>24.993999481201172</v>
      </c>
      <c r="DM256" s="123">
        <v>25.799999237060547</v>
      </c>
      <c r="DN256" s="123">
        <v>48.596000671386719</v>
      </c>
      <c r="DO256" s="124">
        <v>110.69753265380859</v>
      </c>
      <c r="DP256" s="125">
        <v>15.35200023651123</v>
      </c>
      <c r="DQ256" s="123"/>
      <c r="DR256" s="125">
        <v>67</v>
      </c>
      <c r="DS256" s="128">
        <v>30.399999618530273</v>
      </c>
      <c r="DT256" s="127">
        <v>12</v>
      </c>
      <c r="DU256" s="123"/>
      <c r="DV256" s="123">
        <v>7</v>
      </c>
      <c r="DW256" s="123">
        <v>2.8770763874053955</v>
      </c>
      <c r="DX256" s="125">
        <v>11</v>
      </c>
      <c r="DY256" s="128"/>
      <c r="DZ256" s="127">
        <v>44</v>
      </c>
      <c r="EA256" s="123">
        <v>3</v>
      </c>
      <c r="EB256" s="123">
        <v>0</v>
      </c>
      <c r="EC256" s="123">
        <v>1</v>
      </c>
      <c r="ED256" s="123">
        <v>234</v>
      </c>
      <c r="EE256" s="129"/>
      <c r="EF256" s="129"/>
      <c r="EG256" s="129"/>
    </row>
    <row r="257" spans="1:137" x14ac:dyDescent="0.3">
      <c r="A257" s="226">
        <f t="shared" si="12"/>
        <v>46020.175694445017</v>
      </c>
      <c r="B257" s="123">
        <v>210</v>
      </c>
      <c r="C257" s="123">
        <v>52.25</v>
      </c>
      <c r="D257" s="123">
        <v>96.018997192382813</v>
      </c>
      <c r="E257" s="123">
        <v>37.435001373291016</v>
      </c>
      <c r="F257" s="123">
        <v>0</v>
      </c>
      <c r="G257" s="124">
        <v>17.190000534057617</v>
      </c>
      <c r="H257" s="125">
        <v>360</v>
      </c>
      <c r="I257" s="123">
        <v>316</v>
      </c>
      <c r="J257" s="123">
        <v>61.185001373291016</v>
      </c>
      <c r="K257" s="123">
        <v>62.777225494384766</v>
      </c>
      <c r="L257" s="123">
        <v>102.67099761962891</v>
      </c>
      <c r="M257" s="123">
        <v>11.76200008392334</v>
      </c>
      <c r="N257" s="123">
        <v>17.367000579833984</v>
      </c>
      <c r="O257" s="123">
        <v>16</v>
      </c>
      <c r="P257" s="123">
        <v>0</v>
      </c>
      <c r="Q257" s="123">
        <v>15.69336986541748</v>
      </c>
      <c r="R257" s="123">
        <v>0</v>
      </c>
      <c r="S257" s="123">
        <v>4.5857119560241699</v>
      </c>
      <c r="T257" s="123">
        <v>0</v>
      </c>
      <c r="U257" s="123">
        <v>0</v>
      </c>
      <c r="V257" s="125">
        <v>839</v>
      </c>
      <c r="W257" s="123">
        <v>23.737598419189453</v>
      </c>
      <c r="X257" s="123">
        <v>23.410999298095703</v>
      </c>
      <c r="Y257" s="123">
        <v>6.1069998741149902</v>
      </c>
      <c r="Z257" s="123">
        <v>0</v>
      </c>
      <c r="AA257" s="123">
        <v>21.14900016784668</v>
      </c>
      <c r="AB257" s="123">
        <v>0</v>
      </c>
      <c r="AC257" s="123">
        <v>51.040019989013672</v>
      </c>
      <c r="AD257" s="123">
        <v>5.8520002365112305</v>
      </c>
      <c r="AE257" s="123">
        <v>0</v>
      </c>
      <c r="AF257" s="123">
        <v>80.072868347167969</v>
      </c>
      <c r="AG257" s="123">
        <v>0</v>
      </c>
      <c r="AH257" s="123">
        <v>58.424591064453125</v>
      </c>
      <c r="AI257" s="123">
        <v>11.831999778747559</v>
      </c>
      <c r="AJ257" s="123">
        <v>15.215097427368164</v>
      </c>
      <c r="AK257" s="123">
        <v>36.01385498046875</v>
      </c>
      <c r="AL257" s="123">
        <v>35.519001007080078</v>
      </c>
      <c r="AM257" s="126">
        <v>57.127998352050781</v>
      </c>
      <c r="AN257" s="125">
        <v>118.4375</v>
      </c>
      <c r="AO257" s="127">
        <v>60</v>
      </c>
      <c r="AP257" s="123">
        <v>59.519779205322266</v>
      </c>
      <c r="AQ257" s="123">
        <v>39.219276428222656</v>
      </c>
      <c r="AR257" s="123">
        <v>87</v>
      </c>
      <c r="AS257" s="123"/>
      <c r="AT257" s="123">
        <v>103</v>
      </c>
      <c r="AU257" s="123"/>
      <c r="AV257" s="123">
        <v>59</v>
      </c>
      <c r="AW257" s="123"/>
      <c r="AX257" s="123">
        <v>31</v>
      </c>
      <c r="AY257" s="123">
        <v>32.673759460449219</v>
      </c>
      <c r="AZ257" s="123">
        <v>4</v>
      </c>
      <c r="BA257" s="123"/>
      <c r="BB257" s="123">
        <v>177</v>
      </c>
      <c r="BC257" s="123">
        <v>177.41633605957031</v>
      </c>
      <c r="BD257" s="123">
        <v>6.5999999046325684</v>
      </c>
      <c r="BE257" s="123">
        <v>6.6991848945617676</v>
      </c>
      <c r="BF257" s="123">
        <v>29</v>
      </c>
      <c r="BG257" s="123">
        <v>10</v>
      </c>
      <c r="BH257" s="123">
        <v>10.90595531463623</v>
      </c>
      <c r="BI257" s="123"/>
      <c r="BJ257" s="108">
        <f t="shared" si="10"/>
        <v>11</v>
      </c>
      <c r="BK257" s="123">
        <v>11</v>
      </c>
      <c r="BL257" s="123">
        <v>0</v>
      </c>
      <c r="BM257" s="126"/>
      <c r="BN257" s="108">
        <f t="shared" si="11"/>
        <v>119.29999923706055</v>
      </c>
      <c r="BO257" s="108">
        <v>71</v>
      </c>
      <c r="BP257" s="108">
        <v>48.299999237060547</v>
      </c>
      <c r="BQ257" s="108">
        <v>258</v>
      </c>
      <c r="BR257" s="123">
        <v>65.370002746582031</v>
      </c>
      <c r="BS257" s="123">
        <v>24.937000274658203</v>
      </c>
      <c r="BT257" s="123">
        <v>40.523998260498047</v>
      </c>
      <c r="BU257" s="123">
        <v>33.334999084472656</v>
      </c>
      <c r="BV257" s="123">
        <v>69.599998474121094</v>
      </c>
      <c r="BW257" s="123">
        <v>5.8000001907348633</v>
      </c>
      <c r="BX257" s="123">
        <v>13.5</v>
      </c>
      <c r="BY257" s="123">
        <v>28</v>
      </c>
      <c r="BZ257" s="123">
        <v>1.5060620382428169E-2</v>
      </c>
      <c r="CA257" s="123">
        <v>0</v>
      </c>
      <c r="CB257" s="123">
        <v>29.43571662902832</v>
      </c>
      <c r="CC257" s="126"/>
      <c r="CD257" s="123">
        <v>334.65933227539063</v>
      </c>
      <c r="CE257" s="123">
        <v>30.889888763427734</v>
      </c>
      <c r="CF257" s="123">
        <v>17.085662841796875</v>
      </c>
      <c r="CG257" s="123">
        <v>35.338191986083984</v>
      </c>
      <c r="CH257" s="123">
        <v>270.8250732421875</v>
      </c>
      <c r="CI257" s="123">
        <v>79.866134643554688</v>
      </c>
      <c r="CJ257" s="123">
        <v>34.130416870117188</v>
      </c>
      <c r="CK257" s="123">
        <v>48.525493621826172</v>
      </c>
      <c r="CL257" s="124">
        <v>25.270709991455078</v>
      </c>
      <c r="CM257" s="125">
        <v>183.8070068359375</v>
      </c>
      <c r="CN257" s="123">
        <v>48.752292633056641</v>
      </c>
      <c r="CO257" s="123">
        <v>54.553016662597656</v>
      </c>
      <c r="CP257" s="123">
        <v>78.757225036621094</v>
      </c>
      <c r="CQ257" s="123">
        <v>0</v>
      </c>
      <c r="CR257" s="123">
        <v>47.489147186279297</v>
      </c>
      <c r="CS257" s="123">
        <v>8.7855119705200195</v>
      </c>
      <c r="CT257" s="123">
        <v>30.803440093994141</v>
      </c>
      <c r="CU257" s="123">
        <v>37.169075012207031</v>
      </c>
      <c r="CV257" s="124">
        <v>59.424945831298828</v>
      </c>
      <c r="CW257" s="125">
        <v>0</v>
      </c>
      <c r="CX257" s="123">
        <v>293</v>
      </c>
      <c r="CY257" s="123">
        <v>107.43111419677734</v>
      </c>
      <c r="CZ257" s="123">
        <v>47.555385589599609</v>
      </c>
      <c r="DA257" s="123">
        <v>21.749774932861328</v>
      </c>
      <c r="DB257" s="123">
        <v>29.38475227355957</v>
      </c>
      <c r="DC257" s="123">
        <v>71.747901916503906</v>
      </c>
      <c r="DD257" s="123">
        <v>60</v>
      </c>
      <c r="DE257" s="123">
        <v>169</v>
      </c>
      <c r="DF257" s="123">
        <v>96.774726867675781</v>
      </c>
      <c r="DG257" s="123">
        <v>70.986434936523438</v>
      </c>
      <c r="DH257" s="123">
        <v>40.49700927734375</v>
      </c>
      <c r="DI257" s="128">
        <v>35.574756622314453</v>
      </c>
      <c r="DJ257" s="127">
        <v>212</v>
      </c>
      <c r="DK257" s="123">
        <v>109.16699981689453</v>
      </c>
      <c r="DL257" s="123">
        <v>26.690000534057617</v>
      </c>
      <c r="DM257" s="123">
        <v>26.860000610351563</v>
      </c>
      <c r="DN257" s="123">
        <v>53.191001892089844</v>
      </c>
      <c r="DO257" s="124">
        <v>109.68216705322266</v>
      </c>
      <c r="DP257" s="125">
        <v>15.097999572753906</v>
      </c>
      <c r="DQ257" s="123"/>
      <c r="DR257" s="125">
        <v>67</v>
      </c>
      <c r="DS257" s="128">
        <v>28.700000762939453</v>
      </c>
      <c r="DT257" s="127">
        <v>13</v>
      </c>
      <c r="DU257" s="123"/>
      <c r="DV257" s="123">
        <v>7</v>
      </c>
      <c r="DW257" s="123">
        <v>2.8320229053497314</v>
      </c>
      <c r="DX257" s="125">
        <v>11</v>
      </c>
      <c r="DY257" s="128"/>
      <c r="DZ257" s="127">
        <v>44</v>
      </c>
      <c r="EA257" s="123">
        <v>3</v>
      </c>
      <c r="EB257" s="123">
        <v>0</v>
      </c>
      <c r="EC257" s="123">
        <v>1</v>
      </c>
      <c r="ED257" s="123">
        <v>232.19999694824219</v>
      </c>
      <c r="EE257" s="129"/>
      <c r="EF257" s="129"/>
      <c r="EG257" s="129"/>
    </row>
    <row r="258" spans="1:137" x14ac:dyDescent="0.3">
      <c r="A258" s="226">
        <f t="shared" si="12"/>
        <v>46020.176388889464</v>
      </c>
      <c r="B258" s="123">
        <v>210</v>
      </c>
      <c r="C258" s="123">
        <v>56.548000335693359</v>
      </c>
      <c r="D258" s="123">
        <v>96.584999084472656</v>
      </c>
      <c r="E258" s="123">
        <v>36.756000518798828</v>
      </c>
      <c r="F258" s="123">
        <v>0</v>
      </c>
      <c r="G258" s="124">
        <v>18.094999313354492</v>
      </c>
      <c r="H258" s="125">
        <v>357</v>
      </c>
      <c r="I258" s="123">
        <v>319</v>
      </c>
      <c r="J258" s="123">
        <v>62.769001007080078</v>
      </c>
      <c r="K258" s="123">
        <v>61.606349945068359</v>
      </c>
      <c r="L258" s="123">
        <v>101.78700256347656</v>
      </c>
      <c r="M258" s="123">
        <v>11.98799991607666</v>
      </c>
      <c r="N258" s="123">
        <v>17.302999496459961</v>
      </c>
      <c r="O258" s="123">
        <v>16</v>
      </c>
      <c r="P258" s="123">
        <v>0</v>
      </c>
      <c r="Q258" s="123">
        <v>16.371273040771484</v>
      </c>
      <c r="R258" s="123">
        <v>6</v>
      </c>
      <c r="S258" s="123">
        <v>5.093040943145752</v>
      </c>
      <c r="T258" s="123">
        <v>0</v>
      </c>
      <c r="U258" s="123">
        <v>0</v>
      </c>
      <c r="V258" s="125">
        <v>843</v>
      </c>
      <c r="W258" s="123">
        <v>24.651468276977539</v>
      </c>
      <c r="X258" s="123">
        <v>23.97599983215332</v>
      </c>
      <c r="Y258" s="123">
        <v>5.7890000343322754</v>
      </c>
      <c r="Z258" s="123">
        <v>0</v>
      </c>
      <c r="AA258" s="123">
        <v>19.339000701904297</v>
      </c>
      <c r="AB258" s="123">
        <v>0</v>
      </c>
      <c r="AC258" s="123">
        <v>50.333961486816406</v>
      </c>
      <c r="AD258" s="123">
        <v>6.1069998741149902</v>
      </c>
      <c r="AE258" s="123">
        <v>0</v>
      </c>
      <c r="AF258" s="123">
        <v>80.153961181640625</v>
      </c>
      <c r="AG258" s="123">
        <v>0</v>
      </c>
      <c r="AH258" s="123">
        <v>58.436119079589844</v>
      </c>
      <c r="AI258" s="123">
        <v>11.769000053405762</v>
      </c>
      <c r="AJ258" s="123">
        <v>16.227756500244141</v>
      </c>
      <c r="AK258" s="123">
        <v>36.032352447509766</v>
      </c>
      <c r="AL258" s="123">
        <v>36.226001739501953</v>
      </c>
      <c r="AM258" s="126">
        <v>54.838001251220703</v>
      </c>
      <c r="AN258" s="125">
        <v>114.375</v>
      </c>
      <c r="AO258" s="127">
        <v>58</v>
      </c>
      <c r="AP258" s="123">
        <v>59.005130767822266</v>
      </c>
      <c r="AQ258" s="123">
        <v>36.466281890869141</v>
      </c>
      <c r="AR258" s="123">
        <v>88</v>
      </c>
      <c r="AS258" s="123"/>
      <c r="AT258" s="123">
        <v>102</v>
      </c>
      <c r="AU258" s="123"/>
      <c r="AV258" s="123">
        <v>57</v>
      </c>
      <c r="AW258" s="123"/>
      <c r="AX258" s="123">
        <v>29</v>
      </c>
      <c r="AY258" s="123">
        <v>32.080116271972656</v>
      </c>
      <c r="AZ258" s="123">
        <v>4</v>
      </c>
      <c r="BA258" s="123"/>
      <c r="BB258" s="123">
        <v>177</v>
      </c>
      <c r="BC258" s="123">
        <v>177.41633605957031</v>
      </c>
      <c r="BD258" s="123">
        <v>6.5999999046325684</v>
      </c>
      <c r="BE258" s="123">
        <v>6.6999497413635254</v>
      </c>
      <c r="BF258" s="123">
        <v>29</v>
      </c>
      <c r="BG258" s="123">
        <v>10</v>
      </c>
      <c r="BH258" s="123">
        <v>10.896744728088379</v>
      </c>
      <c r="BI258" s="123"/>
      <c r="BJ258" s="108">
        <f t="shared" si="10"/>
        <v>10</v>
      </c>
      <c r="BK258" s="123">
        <v>10</v>
      </c>
      <c r="BL258" s="123">
        <v>0</v>
      </c>
      <c r="BM258" s="126"/>
      <c r="BN258" s="108">
        <f t="shared" si="11"/>
        <v>121.20000076293945</v>
      </c>
      <c r="BO258" s="108">
        <v>73</v>
      </c>
      <c r="BP258" s="108">
        <v>48.200000762939453</v>
      </c>
      <c r="BQ258" s="108">
        <v>258</v>
      </c>
      <c r="BR258" s="123">
        <v>66.500999450683594</v>
      </c>
      <c r="BS258" s="123">
        <v>25.445999145507813</v>
      </c>
      <c r="BT258" s="123">
        <v>40.523998260498047</v>
      </c>
      <c r="BU258" s="123">
        <v>33.462001800537109</v>
      </c>
      <c r="BV258" s="123">
        <v>68.699996948242188</v>
      </c>
      <c r="BW258" s="123">
        <v>6</v>
      </c>
      <c r="BX258" s="123">
        <v>13.899999618530273</v>
      </c>
      <c r="BY258" s="123">
        <v>28</v>
      </c>
      <c r="BZ258" s="123">
        <v>1.3970153406262398E-2</v>
      </c>
      <c r="CA258" s="123">
        <v>1</v>
      </c>
      <c r="CB258" s="123">
        <v>29.05632209777832</v>
      </c>
      <c r="CC258" s="126"/>
      <c r="CD258" s="123">
        <v>334.23898315429688</v>
      </c>
      <c r="CE258" s="123">
        <v>32.127159118652344</v>
      </c>
      <c r="CF258" s="123">
        <v>17.293968200683594</v>
      </c>
      <c r="CG258" s="123">
        <v>35.338191986083984</v>
      </c>
      <c r="CH258" s="123">
        <v>270.8250732421875</v>
      </c>
      <c r="CI258" s="123">
        <v>76.525634765625</v>
      </c>
      <c r="CJ258" s="123">
        <v>34.902263641357422</v>
      </c>
      <c r="CK258" s="123">
        <v>47.069564819335938</v>
      </c>
      <c r="CL258" s="124">
        <v>27.726570129394531</v>
      </c>
      <c r="CM258" s="125">
        <v>184.35171508789063</v>
      </c>
      <c r="CN258" s="123">
        <v>49.570289611816406</v>
      </c>
      <c r="CO258" s="123">
        <v>53.241420745849609</v>
      </c>
      <c r="CP258" s="123">
        <v>78.54986572265625</v>
      </c>
      <c r="CQ258" s="123">
        <v>0</v>
      </c>
      <c r="CR258" s="123">
        <v>47.757266998291016</v>
      </c>
      <c r="CS258" s="123">
        <v>7.5546712875366211</v>
      </c>
      <c r="CT258" s="123">
        <v>31.75941276550293</v>
      </c>
      <c r="CU258" s="123">
        <v>37.112148284912109</v>
      </c>
      <c r="CV258" s="124">
        <v>60.591041564941406</v>
      </c>
      <c r="CW258" s="125">
        <v>3</v>
      </c>
      <c r="CX258" s="123">
        <v>293</v>
      </c>
      <c r="CY258" s="123">
        <v>108.61983489990234</v>
      </c>
      <c r="CZ258" s="123">
        <v>46.223423004150391</v>
      </c>
      <c r="DA258" s="123">
        <v>21.65489387512207</v>
      </c>
      <c r="DB258" s="123">
        <v>30.976945877075195</v>
      </c>
      <c r="DC258" s="123">
        <v>70.212722778320313</v>
      </c>
      <c r="DD258" s="123">
        <v>48</v>
      </c>
      <c r="DE258" s="123">
        <v>168</v>
      </c>
      <c r="DF258" s="123">
        <v>96.774726867675781</v>
      </c>
      <c r="DG258" s="123">
        <v>68.072669982910156</v>
      </c>
      <c r="DH258" s="123">
        <v>40.256851196289063</v>
      </c>
      <c r="DI258" s="128">
        <v>35.753650665283203</v>
      </c>
      <c r="DJ258" s="127">
        <v>199</v>
      </c>
      <c r="DK258" s="123">
        <v>104.33200073242188</v>
      </c>
      <c r="DL258" s="123">
        <v>24.089000701904297</v>
      </c>
      <c r="DM258" s="123">
        <v>22.972000122070313</v>
      </c>
      <c r="DN258" s="123">
        <v>52.306999206542969</v>
      </c>
      <c r="DO258" s="124">
        <v>109.3048095703125</v>
      </c>
      <c r="DP258" s="125">
        <v>15.409000396728516</v>
      </c>
      <c r="DQ258" s="123"/>
      <c r="DR258" s="125">
        <v>67</v>
      </c>
      <c r="DS258" s="128">
        <v>29.799999237060547</v>
      </c>
      <c r="DT258" s="127">
        <v>13</v>
      </c>
      <c r="DU258" s="123"/>
      <c r="DV258" s="123">
        <v>7</v>
      </c>
      <c r="DW258" s="123">
        <v>2.8077037334442139</v>
      </c>
      <c r="DX258" s="125">
        <v>11</v>
      </c>
      <c r="DY258" s="128"/>
      <c r="DZ258" s="127">
        <v>45</v>
      </c>
      <c r="EA258" s="123">
        <v>3</v>
      </c>
      <c r="EB258" s="123">
        <v>0</v>
      </c>
      <c r="EC258" s="123">
        <v>1</v>
      </c>
      <c r="ED258" s="123">
        <v>231.60000610351563</v>
      </c>
      <c r="EE258" s="129"/>
      <c r="EF258" s="129"/>
      <c r="EG258" s="129"/>
    </row>
    <row r="259" spans="1:137" x14ac:dyDescent="0.3">
      <c r="A259" s="226">
        <f t="shared" si="12"/>
        <v>46020.177083333911</v>
      </c>
      <c r="B259" s="123">
        <v>219</v>
      </c>
      <c r="C259" s="123">
        <v>54.738998413085938</v>
      </c>
      <c r="D259" s="123">
        <v>96.245002746582031</v>
      </c>
      <c r="E259" s="123">
        <v>37.660999298095703</v>
      </c>
      <c r="F259" s="123">
        <v>0</v>
      </c>
      <c r="G259" s="124">
        <v>16.85099983215332</v>
      </c>
      <c r="H259" s="125">
        <v>357</v>
      </c>
      <c r="I259" s="123">
        <v>317</v>
      </c>
      <c r="J259" s="123">
        <v>60.958999633789063</v>
      </c>
      <c r="K259" s="123">
        <v>62.193744659423828</v>
      </c>
      <c r="L259" s="123">
        <v>98.606002807617188</v>
      </c>
      <c r="M259" s="123">
        <v>12.21399974822998</v>
      </c>
      <c r="N259" s="123">
        <v>16.857999801635742</v>
      </c>
      <c r="O259" s="123">
        <v>18</v>
      </c>
      <c r="P259" s="123">
        <v>0</v>
      </c>
      <c r="Q259" s="123">
        <v>18.206941604614258</v>
      </c>
      <c r="R259" s="123">
        <v>0</v>
      </c>
      <c r="S259" s="123">
        <v>2.7640206813812256</v>
      </c>
      <c r="T259" s="123">
        <v>0</v>
      </c>
      <c r="U259" s="123">
        <v>0</v>
      </c>
      <c r="V259" s="125">
        <v>843</v>
      </c>
      <c r="W259" s="123">
        <v>24.151779174804688</v>
      </c>
      <c r="X259" s="123">
        <v>24.201999664306641</v>
      </c>
      <c r="Y259" s="123">
        <v>5.4070000648498535</v>
      </c>
      <c r="Z259" s="123">
        <v>0</v>
      </c>
      <c r="AA259" s="123">
        <v>21.261999130249023</v>
      </c>
      <c r="AB259" s="123">
        <v>0</v>
      </c>
      <c r="AC259" s="123">
        <v>49.983985900878906</v>
      </c>
      <c r="AD259" s="123">
        <v>6.1069998741149902</v>
      </c>
      <c r="AE259" s="123">
        <v>0</v>
      </c>
      <c r="AF259" s="123">
        <v>78.833549499511719</v>
      </c>
      <c r="AG259" s="123">
        <v>0</v>
      </c>
      <c r="AH259" s="123">
        <v>58.058647155761719</v>
      </c>
      <c r="AI259" s="123">
        <v>10.560000419616699</v>
      </c>
      <c r="AJ259" s="123">
        <v>15.880913734436035</v>
      </c>
      <c r="AK259" s="123">
        <v>37.030834197998047</v>
      </c>
      <c r="AL259" s="123">
        <v>37.993000030517578</v>
      </c>
      <c r="AM259" s="126">
        <v>56.173999786376953</v>
      </c>
      <c r="AN259" s="125">
        <v>113.0625</v>
      </c>
      <c r="AO259" s="127">
        <v>57</v>
      </c>
      <c r="AP259" s="123">
        <v>58.572799682617188</v>
      </c>
      <c r="AQ259" s="123">
        <v>36.4639892578125</v>
      </c>
      <c r="AR259" s="123">
        <v>88</v>
      </c>
      <c r="AS259" s="123"/>
      <c r="AT259" s="123">
        <v>103</v>
      </c>
      <c r="AU259" s="123"/>
      <c r="AV259" s="123">
        <v>58</v>
      </c>
      <c r="AW259" s="123"/>
      <c r="AX259" s="123">
        <v>30</v>
      </c>
      <c r="AY259" s="123">
        <v>32.080116271972656</v>
      </c>
      <c r="AZ259" s="123">
        <v>3</v>
      </c>
      <c r="BA259" s="123"/>
      <c r="BB259" s="123">
        <v>176</v>
      </c>
      <c r="BC259" s="123">
        <v>173.73651123046875</v>
      </c>
      <c r="BD259" s="123">
        <v>6.8000001907348633</v>
      </c>
      <c r="BE259" s="123">
        <v>6.813565731048584</v>
      </c>
      <c r="BF259" s="123">
        <v>29</v>
      </c>
      <c r="BG259" s="123">
        <v>10</v>
      </c>
      <c r="BH259" s="123">
        <v>10.877202033996582</v>
      </c>
      <c r="BI259" s="123"/>
      <c r="BJ259" s="108">
        <f t="shared" si="10"/>
        <v>10</v>
      </c>
      <c r="BK259" s="123">
        <v>10</v>
      </c>
      <c r="BL259" s="123">
        <v>0</v>
      </c>
      <c r="BM259" s="126"/>
      <c r="BN259" s="108">
        <f t="shared" si="11"/>
        <v>121.20000076293945</v>
      </c>
      <c r="BO259" s="108">
        <v>73</v>
      </c>
      <c r="BP259" s="108">
        <v>48.200000762939453</v>
      </c>
      <c r="BQ259" s="108">
        <v>267</v>
      </c>
      <c r="BR259" s="123">
        <v>69.214996337890625</v>
      </c>
      <c r="BS259" s="123">
        <v>25.701000213623047</v>
      </c>
      <c r="BT259" s="123">
        <v>40.523998260498047</v>
      </c>
      <c r="BU259" s="123">
        <v>33.971000671386719</v>
      </c>
      <c r="BV259" s="123">
        <v>69</v>
      </c>
      <c r="BW259" s="123">
        <v>6</v>
      </c>
      <c r="BX259" s="123">
        <v>13.699999809265137</v>
      </c>
      <c r="BY259" s="123">
        <v>28</v>
      </c>
      <c r="BZ259" s="123">
        <v>1.3383263722062111E-2</v>
      </c>
      <c r="CA259" s="123">
        <v>1</v>
      </c>
      <c r="CB259" s="123">
        <v>29.097419738769531</v>
      </c>
      <c r="CC259" s="126"/>
      <c r="CD259" s="123">
        <v>333.34042358398438</v>
      </c>
      <c r="CE259" s="123">
        <v>32.837867736816406</v>
      </c>
      <c r="CF259" s="123">
        <v>16.68907356262207</v>
      </c>
      <c r="CG259" s="123">
        <v>35.338191986083984</v>
      </c>
      <c r="CH259" s="123">
        <v>270.46112060546875</v>
      </c>
      <c r="CI259" s="123">
        <v>77.310432434082031</v>
      </c>
      <c r="CJ259" s="123">
        <v>35.502048492431641</v>
      </c>
      <c r="CK259" s="123">
        <v>46.537303924560547</v>
      </c>
      <c r="CL259" s="124">
        <v>26.487089157104492</v>
      </c>
      <c r="CM259" s="125">
        <v>186.58154296875</v>
      </c>
      <c r="CN259" s="123">
        <v>50.515403747558594</v>
      </c>
      <c r="CO259" s="123">
        <v>55.219490051269531</v>
      </c>
      <c r="CP259" s="123">
        <v>79.322784423828125</v>
      </c>
      <c r="CQ259" s="123">
        <v>0</v>
      </c>
      <c r="CR259" s="123">
        <v>46.50677490234375</v>
      </c>
      <c r="CS259" s="123">
        <v>6.9291858673095703</v>
      </c>
      <c r="CT259" s="123">
        <v>35.047897338867188</v>
      </c>
      <c r="CU259" s="123">
        <v>36.696922302246094</v>
      </c>
      <c r="CV259" s="124">
        <v>60.272716522216797</v>
      </c>
      <c r="CW259" s="125">
        <v>7</v>
      </c>
      <c r="CX259" s="123">
        <v>297</v>
      </c>
      <c r="CY259" s="123">
        <v>108.43702697753906</v>
      </c>
      <c r="CZ259" s="123">
        <v>47.784896850585938</v>
      </c>
      <c r="DA259" s="123">
        <v>20.248266220092773</v>
      </c>
      <c r="DB259" s="123">
        <v>29.619754791259766</v>
      </c>
      <c r="DC259" s="123">
        <v>72.344863891601563</v>
      </c>
      <c r="DD259" s="123">
        <v>53</v>
      </c>
      <c r="DE259" s="123">
        <v>170</v>
      </c>
      <c r="DF259" s="123">
        <v>96.875633239746094</v>
      </c>
      <c r="DG259" s="123">
        <v>63.428703308105469</v>
      </c>
      <c r="DH259" s="123">
        <v>40.853729248046875</v>
      </c>
      <c r="DI259" s="128">
        <v>36.5462646484375</v>
      </c>
      <c r="DJ259" s="127">
        <v>204</v>
      </c>
      <c r="DK259" s="123">
        <v>104.33200073242188</v>
      </c>
      <c r="DL259" s="123">
        <v>24.089000701904297</v>
      </c>
      <c r="DM259" s="123">
        <v>23.503000259399414</v>
      </c>
      <c r="DN259" s="123">
        <v>51.953998565673828</v>
      </c>
      <c r="DO259" s="124">
        <v>108.65653228759766</v>
      </c>
      <c r="DP259" s="125">
        <v>15.409000396728516</v>
      </c>
      <c r="DQ259" s="123"/>
      <c r="DR259" s="125">
        <v>67</v>
      </c>
      <c r="DS259" s="128">
        <v>27.799999237060547</v>
      </c>
      <c r="DT259" s="127">
        <v>13</v>
      </c>
      <c r="DU259" s="123"/>
      <c r="DV259" s="123">
        <v>8</v>
      </c>
      <c r="DW259" s="123">
        <v>2.7261786460876465</v>
      </c>
      <c r="DX259" s="125">
        <v>11</v>
      </c>
      <c r="DY259" s="128"/>
      <c r="DZ259" s="127">
        <v>43</v>
      </c>
      <c r="EA259" s="123">
        <v>3</v>
      </c>
      <c r="EB259" s="123">
        <v>0</v>
      </c>
      <c r="EC259" s="123">
        <v>1</v>
      </c>
      <c r="ED259" s="123">
        <v>226.10000610351563</v>
      </c>
      <c r="EE259" s="129"/>
      <c r="EF259" s="129"/>
      <c r="EG259" s="129"/>
    </row>
    <row r="260" spans="1:137" x14ac:dyDescent="0.3">
      <c r="A260" s="226">
        <f t="shared" si="12"/>
        <v>46020.177777778357</v>
      </c>
      <c r="B260" s="123">
        <v>217</v>
      </c>
      <c r="C260" s="123">
        <v>52.702999114990234</v>
      </c>
      <c r="D260" s="123">
        <v>95.454002380371094</v>
      </c>
      <c r="E260" s="123">
        <v>22.392999649047852</v>
      </c>
      <c r="F260" s="123">
        <v>0</v>
      </c>
      <c r="G260" s="124">
        <v>18.320999145507813</v>
      </c>
      <c r="H260" s="125">
        <v>357</v>
      </c>
      <c r="I260" s="123">
        <v>313</v>
      </c>
      <c r="J260" s="123">
        <v>61.750999450683594</v>
      </c>
      <c r="K260" s="123">
        <v>61.575477600097656</v>
      </c>
      <c r="L260" s="123">
        <v>100.90399932861328</v>
      </c>
      <c r="M260" s="123">
        <v>12.553000450134277</v>
      </c>
      <c r="N260" s="123">
        <v>16.857999801635742</v>
      </c>
      <c r="O260" s="123">
        <v>17</v>
      </c>
      <c r="P260" s="123">
        <v>0</v>
      </c>
      <c r="Q260" s="123">
        <v>17.67939567565918</v>
      </c>
      <c r="R260" s="123">
        <v>0</v>
      </c>
      <c r="S260" s="123">
        <v>2.7640206813812256</v>
      </c>
      <c r="T260" s="123">
        <v>0</v>
      </c>
      <c r="U260" s="123">
        <v>0</v>
      </c>
      <c r="V260" s="125">
        <v>844</v>
      </c>
      <c r="W260" s="123">
        <v>24.80705451965332</v>
      </c>
      <c r="X260" s="123">
        <v>23.863000869750977</v>
      </c>
      <c r="Y260" s="123">
        <v>6.9970002174377441</v>
      </c>
      <c r="Z260" s="123">
        <v>0</v>
      </c>
      <c r="AA260" s="123">
        <v>21.940000534057617</v>
      </c>
      <c r="AB260" s="123">
        <v>0</v>
      </c>
      <c r="AC260" s="123">
        <v>50.34210205078125</v>
      </c>
      <c r="AD260" s="123">
        <v>6.3610000610351563</v>
      </c>
      <c r="AE260" s="123">
        <v>0</v>
      </c>
      <c r="AF260" s="123">
        <v>77.609565734863281</v>
      </c>
      <c r="AG260" s="123">
        <v>0</v>
      </c>
      <c r="AH260" s="123">
        <v>57.772449493408203</v>
      </c>
      <c r="AI260" s="123">
        <v>11.640999794006348</v>
      </c>
      <c r="AJ260" s="123">
        <v>15.281588554382324</v>
      </c>
      <c r="AK260" s="123">
        <v>35.296539306640625</v>
      </c>
      <c r="AL260" s="123">
        <v>34.812000274658203</v>
      </c>
      <c r="AM260" s="126">
        <v>54.838001251220703</v>
      </c>
      <c r="AN260" s="125">
        <v>110.125</v>
      </c>
      <c r="AO260" s="127">
        <v>55</v>
      </c>
      <c r="AP260" s="123">
        <v>58.584522247314453</v>
      </c>
      <c r="AQ260" s="123">
        <v>35.579387664794922</v>
      </c>
      <c r="AR260" s="123">
        <v>87</v>
      </c>
      <c r="AS260" s="123"/>
      <c r="AT260" s="123">
        <v>103</v>
      </c>
      <c r="AU260" s="123"/>
      <c r="AV260" s="123">
        <v>50</v>
      </c>
      <c r="AW260" s="123"/>
      <c r="AX260" s="123">
        <v>30</v>
      </c>
      <c r="AY260" s="123">
        <v>32.002670288085938</v>
      </c>
      <c r="AZ260" s="123">
        <v>3</v>
      </c>
      <c r="BA260" s="123"/>
      <c r="BB260" s="123">
        <v>176</v>
      </c>
      <c r="BC260" s="123">
        <v>173.73651123046875</v>
      </c>
      <c r="BD260" s="123">
        <v>6.5999999046325684</v>
      </c>
      <c r="BE260" s="123">
        <v>6.6831469535827637</v>
      </c>
      <c r="BF260" s="123">
        <v>29</v>
      </c>
      <c r="BG260" s="123">
        <v>10</v>
      </c>
      <c r="BH260" s="123">
        <v>10.875936508178711</v>
      </c>
      <c r="BI260" s="123"/>
      <c r="BJ260" s="108">
        <f t="shared" si="10"/>
        <v>10</v>
      </c>
      <c r="BK260" s="123">
        <v>10</v>
      </c>
      <c r="BL260" s="123">
        <v>0</v>
      </c>
      <c r="BM260" s="126"/>
      <c r="BN260" s="108">
        <f t="shared" si="11"/>
        <v>121</v>
      </c>
      <c r="BO260" s="108">
        <v>73</v>
      </c>
      <c r="BP260" s="108">
        <v>48</v>
      </c>
      <c r="BQ260" s="108">
        <v>265</v>
      </c>
      <c r="BR260" s="123">
        <v>66.500999450683594</v>
      </c>
      <c r="BS260" s="123">
        <v>24.429000854492188</v>
      </c>
      <c r="BT260" s="123">
        <v>40.523998260498047</v>
      </c>
      <c r="BU260" s="123">
        <v>33.080001831054688</v>
      </c>
      <c r="BV260" s="123">
        <v>69.400001525878906</v>
      </c>
      <c r="BW260" s="123">
        <v>5.6999998092651367</v>
      </c>
      <c r="BX260" s="123">
        <v>13.699999809265137</v>
      </c>
      <c r="BY260" s="123">
        <v>28</v>
      </c>
      <c r="BZ260" s="123">
        <v>1.3383263722062111E-2</v>
      </c>
      <c r="CA260" s="123">
        <v>1</v>
      </c>
      <c r="CB260" s="123">
        <v>29.329111099243164</v>
      </c>
      <c r="CC260" s="126"/>
      <c r="CD260" s="123">
        <v>333.12075805664063</v>
      </c>
      <c r="CE260" s="123">
        <v>30.596817016601563</v>
      </c>
      <c r="CF260" s="123">
        <v>16.674587249755859</v>
      </c>
      <c r="CG260" s="123">
        <v>35.338191986083984</v>
      </c>
      <c r="CH260" s="123">
        <v>270.46112060546875</v>
      </c>
      <c r="CI260" s="123">
        <v>79.3758544921875</v>
      </c>
      <c r="CJ260" s="123">
        <v>37.192806243896484</v>
      </c>
      <c r="CK260" s="123">
        <v>47.841197967529297</v>
      </c>
      <c r="CL260" s="124">
        <v>24.008390426635742</v>
      </c>
      <c r="CM260" s="125">
        <v>184.81260681152344</v>
      </c>
      <c r="CN260" s="123">
        <v>49.381454467773438</v>
      </c>
      <c r="CO260" s="123">
        <v>55.309459686279297</v>
      </c>
      <c r="CP260" s="123">
        <v>77.391120910644531</v>
      </c>
      <c r="CQ260" s="123">
        <v>0</v>
      </c>
      <c r="CR260" s="123">
        <v>46.642417907714844</v>
      </c>
      <c r="CS260" s="123">
        <v>7.2576651573181152</v>
      </c>
      <c r="CT260" s="123">
        <v>30.586322784423828</v>
      </c>
      <c r="CU260" s="123">
        <v>40.305625915527344</v>
      </c>
      <c r="CV260" s="124">
        <v>59.060867309570313</v>
      </c>
      <c r="CW260" s="125">
        <v>1</v>
      </c>
      <c r="CX260" s="123">
        <v>295</v>
      </c>
      <c r="CY260" s="123">
        <v>107.32795715332031</v>
      </c>
      <c r="CZ260" s="123">
        <v>50.283767700195313</v>
      </c>
      <c r="DA260" s="123">
        <v>21.560451507568359</v>
      </c>
      <c r="DB260" s="123">
        <v>29.487091064453125</v>
      </c>
      <c r="DC260" s="123">
        <v>71.936416625976563</v>
      </c>
      <c r="DD260" s="123">
        <v>53</v>
      </c>
      <c r="DE260" s="123">
        <v>169</v>
      </c>
      <c r="DF260" s="123">
        <v>95.422943115234375</v>
      </c>
      <c r="DG260" s="123">
        <v>62.787685394287109</v>
      </c>
      <c r="DH260" s="123">
        <v>41.991706848144531</v>
      </c>
      <c r="DI260" s="128">
        <v>36.5462646484375</v>
      </c>
      <c r="DJ260" s="127">
        <v>205</v>
      </c>
      <c r="DK260" s="123">
        <v>105.09500122070313</v>
      </c>
      <c r="DL260" s="123">
        <v>26.011999130249023</v>
      </c>
      <c r="DM260" s="123">
        <v>27.743999481201172</v>
      </c>
      <c r="DN260" s="123">
        <v>51.599998474121094</v>
      </c>
      <c r="DO260" s="124">
        <v>109.60545349121094</v>
      </c>
      <c r="DP260" s="125">
        <v>15.23900032043457</v>
      </c>
      <c r="DQ260" s="123"/>
      <c r="DR260" s="125">
        <v>67</v>
      </c>
      <c r="DS260" s="128">
        <v>26.799999237060547</v>
      </c>
      <c r="DT260" s="127">
        <v>12</v>
      </c>
      <c r="DU260" s="123"/>
      <c r="DV260" s="123">
        <v>7</v>
      </c>
      <c r="DW260" s="123">
        <v>2.6418898105621338</v>
      </c>
      <c r="DX260" s="125">
        <v>11</v>
      </c>
      <c r="DY260" s="128"/>
      <c r="DZ260" s="127">
        <v>43</v>
      </c>
      <c r="EA260" s="123">
        <v>3</v>
      </c>
      <c r="EB260" s="123">
        <v>0</v>
      </c>
      <c r="EC260" s="123">
        <v>1</v>
      </c>
      <c r="ED260" s="123">
        <v>228.80000305175781</v>
      </c>
      <c r="EE260" s="129"/>
      <c r="EF260" s="129"/>
      <c r="EG260" s="129"/>
    </row>
    <row r="261" spans="1:137" x14ac:dyDescent="0.3">
      <c r="A261" s="226">
        <f t="shared" si="12"/>
        <v>46020.178472222804</v>
      </c>
      <c r="B261" s="123">
        <v>216</v>
      </c>
      <c r="C261" s="123">
        <v>47.727001190185547</v>
      </c>
      <c r="D261" s="123">
        <v>95.226997375488281</v>
      </c>
      <c r="E261" s="123">
        <v>19.113000869750977</v>
      </c>
      <c r="F261" s="123">
        <v>9.2022790908813477</v>
      </c>
      <c r="G261" s="124">
        <v>17.756000518798828</v>
      </c>
      <c r="H261" s="125">
        <v>361</v>
      </c>
      <c r="I261" s="123">
        <v>320</v>
      </c>
      <c r="J261" s="123">
        <v>61.410999298095703</v>
      </c>
      <c r="K261" s="123">
        <v>61.230735778808594</v>
      </c>
      <c r="L261" s="123">
        <v>102.31700134277344</v>
      </c>
      <c r="M261" s="123">
        <v>12.553000450134277</v>
      </c>
      <c r="N261" s="123">
        <v>16.794000625610352</v>
      </c>
      <c r="O261" s="123">
        <v>17</v>
      </c>
      <c r="P261" s="123">
        <v>0</v>
      </c>
      <c r="Q261" s="123">
        <v>17.67939567565918</v>
      </c>
      <c r="R261" s="123">
        <v>4.9968748092651367</v>
      </c>
      <c r="S261" s="123">
        <v>5.6680216789245605</v>
      </c>
      <c r="T261" s="123">
        <v>0</v>
      </c>
      <c r="U261" s="123">
        <v>0</v>
      </c>
      <c r="V261" s="125">
        <v>846</v>
      </c>
      <c r="W261" s="123">
        <v>28.818487167358398</v>
      </c>
      <c r="X261" s="123">
        <v>24.089000701904297</v>
      </c>
      <c r="Y261" s="123">
        <v>6.7430000305175781</v>
      </c>
      <c r="Z261" s="123">
        <v>0</v>
      </c>
      <c r="AA261" s="123">
        <v>20.017999649047852</v>
      </c>
      <c r="AB261" s="123">
        <v>0</v>
      </c>
      <c r="AC261" s="123">
        <v>49.57342529296875</v>
      </c>
      <c r="AD261" s="123">
        <v>6.1069998741149902</v>
      </c>
      <c r="AE261" s="123">
        <v>0</v>
      </c>
      <c r="AF261" s="123">
        <v>77.77960205078125</v>
      </c>
      <c r="AG261" s="123">
        <v>0</v>
      </c>
      <c r="AH261" s="123">
        <v>61.336536407470703</v>
      </c>
      <c r="AI261" s="123">
        <v>11.769000053405762</v>
      </c>
      <c r="AJ261" s="123">
        <v>15.274365425109863</v>
      </c>
      <c r="AK261" s="123">
        <v>35.495540618896484</v>
      </c>
      <c r="AL261" s="123">
        <v>38.522998809814453</v>
      </c>
      <c r="AM261" s="126">
        <v>54.709999084472656</v>
      </c>
      <c r="AN261" s="125">
        <v>109.0625</v>
      </c>
      <c r="AO261" s="127">
        <v>55</v>
      </c>
      <c r="AP261" s="123">
        <v>58.179080963134766</v>
      </c>
      <c r="AQ261" s="123">
        <v>34.977188110351563</v>
      </c>
      <c r="AR261" s="123">
        <v>88</v>
      </c>
      <c r="AS261" s="123"/>
      <c r="AT261" s="123">
        <v>103</v>
      </c>
      <c r="AU261" s="123"/>
      <c r="AV261" s="123">
        <v>51</v>
      </c>
      <c r="AW261" s="123"/>
      <c r="AX261" s="123">
        <v>30</v>
      </c>
      <c r="AY261" s="123">
        <v>32.062938690185547</v>
      </c>
      <c r="AZ261" s="123">
        <v>5</v>
      </c>
      <c r="BA261" s="123"/>
      <c r="BB261" s="123">
        <v>176</v>
      </c>
      <c r="BC261" s="123">
        <v>173.35575866699219</v>
      </c>
      <c r="BD261" s="123">
        <v>6.6999998092651367</v>
      </c>
      <c r="BE261" s="123">
        <v>6.6567187309265137</v>
      </c>
      <c r="BF261" s="123">
        <v>29</v>
      </c>
      <c r="BG261" s="123">
        <v>10</v>
      </c>
      <c r="BH261" s="123">
        <v>10.931007385253906</v>
      </c>
      <c r="BI261" s="123"/>
      <c r="BJ261" s="108">
        <f t="shared" ref="BJ261:BJ324" si="13">SUM(BK261:BL261)</f>
        <v>10</v>
      </c>
      <c r="BK261" s="123">
        <v>10</v>
      </c>
      <c r="BL261" s="123">
        <v>0</v>
      </c>
      <c r="BM261" s="126"/>
      <c r="BN261" s="108">
        <f t="shared" ref="BN261:BN324" si="14">SUM(BO261:BP261)</f>
        <v>120.40000152587891</v>
      </c>
      <c r="BO261" s="108">
        <v>72</v>
      </c>
      <c r="BP261" s="108">
        <v>48.400001525878906</v>
      </c>
      <c r="BQ261" s="108">
        <v>265</v>
      </c>
      <c r="BR261" s="123">
        <v>66.839996337890625</v>
      </c>
      <c r="BS261" s="123">
        <v>25.191999435424805</v>
      </c>
      <c r="BT261" s="123">
        <v>40.869998931884766</v>
      </c>
      <c r="BU261" s="123">
        <v>33.016998291015625</v>
      </c>
      <c r="BV261" s="123">
        <v>69</v>
      </c>
      <c r="BW261" s="123">
        <v>5.5999999046325684</v>
      </c>
      <c r="BX261" s="123">
        <v>13.800000190734863</v>
      </c>
      <c r="BY261" s="123">
        <v>29</v>
      </c>
      <c r="BZ261" s="123">
        <v>1.3916146010160446E-2</v>
      </c>
      <c r="CA261" s="123">
        <v>1</v>
      </c>
      <c r="CB261" s="123">
        <v>29.329111099243164</v>
      </c>
      <c r="CC261" s="126"/>
      <c r="CD261" s="123">
        <v>330.7178955078125</v>
      </c>
      <c r="CE261" s="123">
        <v>30.053482055664063</v>
      </c>
      <c r="CF261" s="123">
        <v>16.64300537109375</v>
      </c>
      <c r="CG261" s="123">
        <v>35.338191986083984</v>
      </c>
      <c r="CH261" s="123">
        <v>272.59136962890625</v>
      </c>
      <c r="CI261" s="123">
        <v>81.934959411621094</v>
      </c>
      <c r="CJ261" s="123">
        <v>36.780719757080078</v>
      </c>
      <c r="CK261" s="123">
        <v>48.063179016113281</v>
      </c>
      <c r="CL261" s="124">
        <v>23.739109039306641</v>
      </c>
      <c r="CM261" s="125">
        <v>180.13038635253906</v>
      </c>
      <c r="CN261" s="123">
        <v>48.169757843017578</v>
      </c>
      <c r="CO261" s="123">
        <v>53.646236419677734</v>
      </c>
      <c r="CP261" s="123">
        <v>75.810752868652344</v>
      </c>
      <c r="CQ261" s="123">
        <v>0</v>
      </c>
      <c r="CR261" s="123">
        <v>49.859336853027344</v>
      </c>
      <c r="CS261" s="123">
        <v>7.4102115631103516</v>
      </c>
      <c r="CT261" s="123">
        <v>29.560190200805664</v>
      </c>
      <c r="CU261" s="123">
        <v>39.642894744873047</v>
      </c>
      <c r="CV261" s="124">
        <v>57.828716278076172</v>
      </c>
      <c r="CW261" s="125">
        <v>3</v>
      </c>
      <c r="CX261" s="123">
        <v>295</v>
      </c>
      <c r="CY261" s="123">
        <v>106.32323455810547</v>
      </c>
      <c r="CZ261" s="123">
        <v>50.672966003417969</v>
      </c>
      <c r="DA261" s="123">
        <v>21.056886672973633</v>
      </c>
      <c r="DB261" s="123">
        <v>31.341724395751953</v>
      </c>
      <c r="DC261" s="123">
        <v>71.567207336425781</v>
      </c>
      <c r="DD261" s="123">
        <v>38</v>
      </c>
      <c r="DE261" s="123">
        <v>169</v>
      </c>
      <c r="DF261" s="123">
        <v>95.453559875488281</v>
      </c>
      <c r="DG261" s="123">
        <v>64.126800537109375</v>
      </c>
      <c r="DH261" s="123">
        <v>41.313163757324219</v>
      </c>
      <c r="DI261" s="128">
        <v>36.118038177490234</v>
      </c>
      <c r="DJ261" s="127">
        <v>205</v>
      </c>
      <c r="DK261" s="123">
        <v>105.09500122070313</v>
      </c>
      <c r="DL261" s="123">
        <v>24.993999481201172</v>
      </c>
      <c r="DM261" s="123">
        <v>24.38599967956543</v>
      </c>
      <c r="DN261" s="123">
        <v>51.423000335693359</v>
      </c>
      <c r="DO261" s="124">
        <v>109.60545349121094</v>
      </c>
      <c r="DP261" s="125">
        <v>15.409000396728516</v>
      </c>
      <c r="DQ261" s="123"/>
      <c r="DR261" s="125">
        <v>67</v>
      </c>
      <c r="DS261" s="128">
        <v>28.299999237060547</v>
      </c>
      <c r="DT261" s="127">
        <v>13</v>
      </c>
      <c r="DU261" s="123"/>
      <c r="DV261" s="123">
        <v>10</v>
      </c>
      <c r="DW261" s="123">
        <v>2.696690559387207</v>
      </c>
      <c r="DX261" s="125">
        <v>10</v>
      </c>
      <c r="DY261" s="128"/>
      <c r="DZ261" s="127">
        <v>44</v>
      </c>
      <c r="EA261" s="123">
        <v>3</v>
      </c>
      <c r="EB261" s="123">
        <v>0</v>
      </c>
      <c r="EC261" s="123">
        <v>1</v>
      </c>
      <c r="ED261" s="123">
        <v>225.19999694824219</v>
      </c>
      <c r="EE261" s="129"/>
      <c r="EF261" s="129"/>
      <c r="EG261" s="129"/>
    </row>
    <row r="262" spans="1:137" x14ac:dyDescent="0.3">
      <c r="A262" s="226">
        <f t="shared" si="12"/>
        <v>46020.179166667251</v>
      </c>
      <c r="B262" s="123">
        <v>216</v>
      </c>
      <c r="C262" s="123">
        <v>50.327999114990234</v>
      </c>
      <c r="D262" s="123">
        <v>95.792999267578125</v>
      </c>
      <c r="E262" s="123">
        <v>17.982000350952148</v>
      </c>
      <c r="F262" s="123">
        <v>5.2473587989807129</v>
      </c>
      <c r="G262" s="124">
        <v>17.416000366210938</v>
      </c>
      <c r="H262" s="125">
        <v>358</v>
      </c>
      <c r="I262" s="123">
        <v>318</v>
      </c>
      <c r="J262" s="123">
        <v>60.619998931884766</v>
      </c>
      <c r="K262" s="123">
        <v>61.752120971679688</v>
      </c>
      <c r="L262" s="123">
        <v>98.782997131347656</v>
      </c>
      <c r="M262" s="123">
        <v>12.21399974822998</v>
      </c>
      <c r="N262" s="123">
        <v>17.812000274658203</v>
      </c>
      <c r="O262" s="123">
        <v>18</v>
      </c>
      <c r="P262" s="123">
        <v>0</v>
      </c>
      <c r="Q262" s="123">
        <v>18.608440399169922</v>
      </c>
      <c r="R262" s="123">
        <v>6</v>
      </c>
      <c r="S262" s="123">
        <v>5.7956099510192871</v>
      </c>
      <c r="T262" s="123">
        <v>0</v>
      </c>
      <c r="U262" s="123">
        <v>0</v>
      </c>
      <c r="V262" s="125">
        <v>843</v>
      </c>
      <c r="W262" s="123">
        <v>24.66883659362793</v>
      </c>
      <c r="X262" s="123">
        <v>23.97599983215332</v>
      </c>
      <c r="Y262" s="123">
        <v>6.0430002212524414</v>
      </c>
      <c r="Z262" s="123">
        <v>0</v>
      </c>
      <c r="AA262" s="123">
        <v>19.677999496459961</v>
      </c>
      <c r="AB262" s="123">
        <v>0</v>
      </c>
      <c r="AC262" s="123">
        <v>49.954391479492188</v>
      </c>
      <c r="AD262" s="123">
        <v>5.8520002365112305</v>
      </c>
      <c r="AE262" s="123">
        <v>0</v>
      </c>
      <c r="AF262" s="123">
        <v>80.378929138183594</v>
      </c>
      <c r="AG262" s="123">
        <v>0</v>
      </c>
      <c r="AH262" s="123">
        <v>59.686107635498047</v>
      </c>
      <c r="AI262" s="123">
        <v>11.322999954223633</v>
      </c>
      <c r="AJ262" s="123">
        <v>15.012725830078125</v>
      </c>
      <c r="AK262" s="123">
        <v>35.246562957763672</v>
      </c>
      <c r="AL262" s="123">
        <v>36.402999877929688</v>
      </c>
      <c r="AM262" s="126">
        <v>54.646999359130859</v>
      </c>
      <c r="AN262" s="125">
        <v>110.375</v>
      </c>
      <c r="AO262" s="127">
        <v>56</v>
      </c>
      <c r="AP262" s="123">
        <v>57.864410400390625</v>
      </c>
      <c r="AQ262" s="123">
        <v>33.634735107421875</v>
      </c>
      <c r="AR262" s="123">
        <v>89</v>
      </c>
      <c r="AS262" s="123"/>
      <c r="AT262" s="123">
        <v>103</v>
      </c>
      <c r="AU262" s="123"/>
      <c r="AV262" s="123">
        <v>51</v>
      </c>
      <c r="AW262" s="123"/>
      <c r="AX262" s="123">
        <v>29</v>
      </c>
      <c r="AY262" s="123">
        <v>32.564746856689453</v>
      </c>
      <c r="AZ262" s="123">
        <v>5</v>
      </c>
      <c r="BA262" s="123"/>
      <c r="BB262" s="123">
        <v>177</v>
      </c>
      <c r="BC262" s="123">
        <v>173.35575866699219</v>
      </c>
      <c r="BD262" s="123">
        <v>6.6999998092651367</v>
      </c>
      <c r="BE262" s="123">
        <v>6.6682720184326172</v>
      </c>
      <c r="BF262" s="123">
        <v>29</v>
      </c>
      <c r="BG262" s="123">
        <v>10</v>
      </c>
      <c r="BH262" s="123">
        <v>10.850284576416016</v>
      </c>
      <c r="BI262" s="123"/>
      <c r="BJ262" s="108">
        <f t="shared" si="13"/>
        <v>11</v>
      </c>
      <c r="BK262" s="123">
        <v>11</v>
      </c>
      <c r="BL262" s="123">
        <v>0</v>
      </c>
      <c r="BM262" s="126"/>
      <c r="BN262" s="108">
        <f t="shared" si="14"/>
        <v>120.20000076293945</v>
      </c>
      <c r="BO262" s="108">
        <v>72</v>
      </c>
      <c r="BP262" s="108">
        <v>48.200000762939453</v>
      </c>
      <c r="BQ262" s="108">
        <v>264</v>
      </c>
      <c r="BR262" s="123">
        <v>66.38800048828125</v>
      </c>
      <c r="BS262" s="123">
        <v>25.445999145507813</v>
      </c>
      <c r="BT262" s="123">
        <v>40.869998931884766</v>
      </c>
      <c r="BU262" s="123">
        <v>33.779998779296875</v>
      </c>
      <c r="BV262" s="123">
        <v>69.199996948242188</v>
      </c>
      <c r="BW262" s="123">
        <v>5.6999998092651367</v>
      </c>
      <c r="BX262" s="123">
        <v>13.600000381469727</v>
      </c>
      <c r="BY262" s="123">
        <v>27</v>
      </c>
      <c r="BZ262" s="123">
        <v>1.6133585944771767E-2</v>
      </c>
      <c r="CA262" s="123">
        <v>1</v>
      </c>
      <c r="CB262" s="123">
        <v>29.504837036132813</v>
      </c>
      <c r="CC262" s="126"/>
      <c r="CD262" s="123">
        <v>332.21759033203125</v>
      </c>
      <c r="CE262" s="123">
        <v>30.247146606445313</v>
      </c>
      <c r="CF262" s="123">
        <v>16.639795303344727</v>
      </c>
      <c r="CG262" s="123">
        <v>35.338191986083984</v>
      </c>
      <c r="CH262" s="123">
        <v>272.1904296875</v>
      </c>
      <c r="CI262" s="123">
        <v>79.710662841796875</v>
      </c>
      <c r="CJ262" s="123">
        <v>37.747734069824219</v>
      </c>
      <c r="CK262" s="123">
        <v>46.130226135253906</v>
      </c>
      <c r="CL262" s="124">
        <v>25.605672836303711</v>
      </c>
      <c r="CM262" s="125">
        <v>179.58103942871094</v>
      </c>
      <c r="CN262" s="123">
        <v>50.289016723632813</v>
      </c>
      <c r="CO262" s="123">
        <v>53.94720458984375</v>
      </c>
      <c r="CP262" s="123">
        <v>72.775245666503906</v>
      </c>
      <c r="CQ262" s="123">
        <v>0</v>
      </c>
      <c r="CR262" s="123">
        <v>46.809272766113281</v>
      </c>
      <c r="CS262" s="123">
        <v>7.6057472229003906</v>
      </c>
      <c r="CT262" s="123">
        <v>31.779945373535156</v>
      </c>
      <c r="CU262" s="123">
        <v>42.227348327636719</v>
      </c>
      <c r="CV262" s="124">
        <v>56.736377716064453</v>
      </c>
      <c r="CW262" s="125">
        <v>6</v>
      </c>
      <c r="CX262" s="123">
        <v>298</v>
      </c>
      <c r="CY262" s="123">
        <v>106.52420806884766</v>
      </c>
      <c r="CZ262" s="123">
        <v>49.957572937011719</v>
      </c>
      <c r="DA262" s="123">
        <v>19.735870361328125</v>
      </c>
      <c r="DB262" s="123">
        <v>31.423980712890625</v>
      </c>
      <c r="DC262" s="123">
        <v>71.250679016113281</v>
      </c>
      <c r="DD262" s="123">
        <v>33</v>
      </c>
      <c r="DE262" s="123">
        <v>167</v>
      </c>
      <c r="DF262" s="123">
        <v>95.048095703125</v>
      </c>
      <c r="DG262" s="123">
        <v>66.188621520996094</v>
      </c>
      <c r="DH262" s="123">
        <v>40.093456268310547</v>
      </c>
      <c r="DI262" s="128">
        <v>36.704757690429688</v>
      </c>
      <c r="DJ262" s="127">
        <v>208</v>
      </c>
      <c r="DK262" s="123">
        <v>107.13099670410156</v>
      </c>
      <c r="DL262" s="123">
        <v>24.993999481201172</v>
      </c>
      <c r="DM262" s="123">
        <v>26.860000610351563</v>
      </c>
      <c r="DN262" s="123">
        <v>51.423000335693359</v>
      </c>
      <c r="DO262" s="124">
        <v>111.45655059814453</v>
      </c>
      <c r="DP262" s="125">
        <v>15.635000228881836</v>
      </c>
      <c r="DQ262" s="123"/>
      <c r="DR262" s="125">
        <v>67</v>
      </c>
      <c r="DS262" s="128">
        <v>28.600000381469727</v>
      </c>
      <c r="DT262" s="127">
        <v>13</v>
      </c>
      <c r="DU262" s="123"/>
      <c r="DV262" s="123">
        <v>9</v>
      </c>
      <c r="DW262" s="123">
        <v>2.732978343963623</v>
      </c>
      <c r="DX262" s="125">
        <v>12</v>
      </c>
      <c r="DY262" s="128"/>
      <c r="DZ262" s="127">
        <v>44</v>
      </c>
      <c r="EA262" s="123">
        <v>3</v>
      </c>
      <c r="EB262" s="123">
        <v>0</v>
      </c>
      <c r="EC262" s="123">
        <v>1</v>
      </c>
      <c r="ED262" s="123">
        <v>228.5</v>
      </c>
      <c r="EE262" s="129"/>
      <c r="EF262" s="129"/>
      <c r="EG262" s="129"/>
    </row>
    <row r="263" spans="1:137" x14ac:dyDescent="0.3">
      <c r="A263" s="226">
        <f t="shared" si="12"/>
        <v>46020.179861111697</v>
      </c>
      <c r="B263" s="123">
        <v>218</v>
      </c>
      <c r="C263" s="123">
        <v>47.952999114990234</v>
      </c>
      <c r="D263" s="123">
        <v>96.697998046875</v>
      </c>
      <c r="E263" s="123">
        <v>18.547000885009766</v>
      </c>
      <c r="F263" s="123">
        <v>0</v>
      </c>
      <c r="G263" s="124">
        <v>18.208000183105469</v>
      </c>
      <c r="H263" s="125">
        <v>358</v>
      </c>
      <c r="I263" s="123">
        <v>318</v>
      </c>
      <c r="J263" s="123">
        <v>60.054000854492188</v>
      </c>
      <c r="K263" s="123">
        <v>61.915531158447266</v>
      </c>
      <c r="L263" s="123">
        <v>101.43399810791016</v>
      </c>
      <c r="M263" s="123">
        <v>11.875</v>
      </c>
      <c r="N263" s="123">
        <v>17.493999481201172</v>
      </c>
      <c r="O263" s="123">
        <v>19</v>
      </c>
      <c r="P263" s="123">
        <v>0</v>
      </c>
      <c r="Q263" s="123">
        <v>19.453830718994141</v>
      </c>
      <c r="R263" s="123">
        <v>6</v>
      </c>
      <c r="S263" s="123">
        <v>6.2436022758483887</v>
      </c>
      <c r="T263" s="123">
        <v>0</v>
      </c>
      <c r="U263" s="123">
        <v>0</v>
      </c>
      <c r="V263" s="125">
        <v>845</v>
      </c>
      <c r="W263" s="123">
        <v>26.153749465942383</v>
      </c>
      <c r="X263" s="123">
        <v>23.636999130249023</v>
      </c>
      <c r="Y263" s="123">
        <v>6.9340000152587891</v>
      </c>
      <c r="Z263" s="123">
        <v>0</v>
      </c>
      <c r="AA263" s="123">
        <v>19.791999816894531</v>
      </c>
      <c r="AB263" s="123">
        <v>0</v>
      </c>
      <c r="AC263" s="123">
        <v>52.238590240478516</v>
      </c>
      <c r="AD263" s="123">
        <v>6.3610000610351563</v>
      </c>
      <c r="AE263" s="123">
        <v>0</v>
      </c>
      <c r="AF263" s="123">
        <v>79.436920166015625</v>
      </c>
      <c r="AG263" s="123">
        <v>0</v>
      </c>
      <c r="AH263" s="123">
        <v>60.417686462402344</v>
      </c>
      <c r="AI263" s="123">
        <v>11.831999778747559</v>
      </c>
      <c r="AJ263" s="123">
        <v>15.012725830078125</v>
      </c>
      <c r="AK263" s="123">
        <v>35.9993896484375</v>
      </c>
      <c r="AL263" s="123">
        <v>37.639999389648438</v>
      </c>
      <c r="AM263" s="126">
        <v>54.456001281738281</v>
      </c>
      <c r="AN263" s="125">
        <v>107.625</v>
      </c>
      <c r="AO263" s="127">
        <v>56</v>
      </c>
      <c r="AP263" s="123">
        <v>57.26751708984375</v>
      </c>
      <c r="AQ263" s="123">
        <v>34.482879638671875</v>
      </c>
      <c r="AR263" s="123">
        <v>90</v>
      </c>
      <c r="AS263" s="123"/>
      <c r="AT263" s="123">
        <v>102</v>
      </c>
      <c r="AU263" s="123"/>
      <c r="AV263" s="123">
        <v>51</v>
      </c>
      <c r="AW263" s="123"/>
      <c r="AX263" s="123">
        <v>29</v>
      </c>
      <c r="AY263" s="123">
        <v>31.807880401611328</v>
      </c>
      <c r="AZ263" s="123">
        <v>5</v>
      </c>
      <c r="BA263" s="123"/>
      <c r="BB263" s="123">
        <v>177</v>
      </c>
      <c r="BC263" s="123">
        <v>176.59635925292969</v>
      </c>
      <c r="BD263" s="123">
        <v>6.5999999046325684</v>
      </c>
      <c r="BE263" s="123">
        <v>6.6658883094787598</v>
      </c>
      <c r="BF263" s="123">
        <v>29</v>
      </c>
      <c r="BG263" s="123">
        <v>10</v>
      </c>
      <c r="BH263" s="123">
        <v>10.828082084655762</v>
      </c>
      <c r="BI263" s="123"/>
      <c r="BJ263" s="108">
        <f t="shared" si="13"/>
        <v>11</v>
      </c>
      <c r="BK263" s="123">
        <v>11</v>
      </c>
      <c r="BL263" s="123">
        <v>0</v>
      </c>
      <c r="BM263" s="126"/>
      <c r="BN263" s="108">
        <f t="shared" si="14"/>
        <v>120.20000076293945</v>
      </c>
      <c r="BO263" s="108">
        <v>72</v>
      </c>
      <c r="BP263" s="108">
        <v>48.200000762939453</v>
      </c>
      <c r="BQ263" s="108">
        <v>261</v>
      </c>
      <c r="BR263" s="123">
        <v>66.500999450683594</v>
      </c>
      <c r="BS263" s="123">
        <v>25.445999145507813</v>
      </c>
      <c r="BT263" s="123">
        <v>40.869998931884766</v>
      </c>
      <c r="BU263" s="123">
        <v>33.270999908447266</v>
      </c>
      <c r="BV263" s="123">
        <v>69.699996948242188</v>
      </c>
      <c r="BW263" s="123">
        <v>5.8000001907348633</v>
      </c>
      <c r="BX263" s="123">
        <v>13.5</v>
      </c>
      <c r="BY263" s="123">
        <v>27</v>
      </c>
      <c r="BZ263" s="123">
        <v>1.4538297429680824E-2</v>
      </c>
      <c r="CA263" s="123">
        <v>1</v>
      </c>
      <c r="CB263" s="123">
        <v>29.51872444152832</v>
      </c>
      <c r="CC263" s="126"/>
      <c r="CD263" s="123">
        <v>328.69940185546875</v>
      </c>
      <c r="CE263" s="123">
        <v>29.119747161865234</v>
      </c>
      <c r="CF263" s="123">
        <v>16.767051696777344</v>
      </c>
      <c r="CG263" s="123">
        <v>35.338191986083984</v>
      </c>
      <c r="CH263" s="123">
        <v>271.94952392578125</v>
      </c>
      <c r="CI263" s="123">
        <v>78.636581420898438</v>
      </c>
      <c r="CJ263" s="123">
        <v>35.742691040039063</v>
      </c>
      <c r="CK263" s="123">
        <v>46.090972900390625</v>
      </c>
      <c r="CL263" s="124">
        <v>25.756618499755859</v>
      </c>
      <c r="CM263" s="125">
        <v>181.19532775878906</v>
      </c>
      <c r="CN263" s="123">
        <v>52.194126129150391</v>
      </c>
      <c r="CO263" s="123">
        <v>55.943328857421875</v>
      </c>
      <c r="CP263" s="123">
        <v>71.046295166015625</v>
      </c>
      <c r="CQ263" s="123">
        <v>0</v>
      </c>
      <c r="CR263" s="123">
        <v>46.363239288330078</v>
      </c>
      <c r="CS263" s="123">
        <v>7.7192130088806152</v>
      </c>
      <c r="CT263" s="123">
        <v>31.064865112304688</v>
      </c>
      <c r="CU263" s="123">
        <v>39.449275970458984</v>
      </c>
      <c r="CV263" s="124">
        <v>59.981670379638672</v>
      </c>
      <c r="CW263" s="125">
        <v>2</v>
      </c>
      <c r="CX263" s="123">
        <v>299</v>
      </c>
      <c r="CY263" s="123">
        <v>106.60031890869141</v>
      </c>
      <c r="CZ263" s="123">
        <v>48.309299468994141</v>
      </c>
      <c r="DA263" s="123">
        <v>19.861543655395508</v>
      </c>
      <c r="DB263" s="123">
        <v>32.145580291748047</v>
      </c>
      <c r="DC263" s="123">
        <v>72.389976501464844</v>
      </c>
      <c r="DD263" s="123">
        <v>48</v>
      </c>
      <c r="DE263" s="123">
        <v>167</v>
      </c>
      <c r="DF263" s="123">
        <v>95.637275695800781</v>
      </c>
      <c r="DG263" s="123">
        <v>61.868862152099609</v>
      </c>
      <c r="DH263" s="123">
        <v>41.513500213623047</v>
      </c>
      <c r="DI263" s="128">
        <v>35.985076904296875</v>
      </c>
      <c r="DJ263" s="127">
        <v>211</v>
      </c>
      <c r="DK263" s="123">
        <v>107.89399719238281</v>
      </c>
      <c r="DL263" s="123">
        <v>25.333000183105469</v>
      </c>
      <c r="DM263" s="123">
        <v>26.329999923706055</v>
      </c>
      <c r="DN263" s="123">
        <v>51.247001647949219</v>
      </c>
      <c r="DO263" s="124">
        <v>112.15875244140625</v>
      </c>
      <c r="DP263" s="125">
        <v>15.579000473022461</v>
      </c>
      <c r="DQ263" s="123"/>
      <c r="DR263" s="125">
        <v>67</v>
      </c>
      <c r="DS263" s="128">
        <v>30.200000762939453</v>
      </c>
      <c r="DT263" s="127">
        <v>13</v>
      </c>
      <c r="DU263" s="123"/>
      <c r="DV263" s="123">
        <v>10</v>
      </c>
      <c r="DW263" s="123">
        <v>2.6897845268249512</v>
      </c>
      <c r="DX263" s="125">
        <v>12</v>
      </c>
      <c r="DY263" s="128"/>
      <c r="DZ263" s="127">
        <v>44</v>
      </c>
      <c r="EA263" s="123">
        <v>3</v>
      </c>
      <c r="EB263" s="123">
        <v>0</v>
      </c>
      <c r="EC263" s="123">
        <v>1</v>
      </c>
      <c r="ED263" s="123">
        <v>223.89999389648438</v>
      </c>
      <c r="EE263" s="129"/>
      <c r="EF263" s="129"/>
      <c r="EG263" s="129"/>
    </row>
    <row r="264" spans="1:137" x14ac:dyDescent="0.3">
      <c r="A264" s="226">
        <f t="shared" si="12"/>
        <v>46020.180555556144</v>
      </c>
      <c r="B264" s="123">
        <v>216</v>
      </c>
      <c r="C264" s="123">
        <v>49.762001037597656</v>
      </c>
      <c r="D264" s="123">
        <v>96.584999084472656</v>
      </c>
      <c r="E264" s="123">
        <v>19.22599983215332</v>
      </c>
      <c r="F264" s="123">
        <v>8.5542526245117188</v>
      </c>
      <c r="G264" s="124">
        <v>18.660999298095703</v>
      </c>
      <c r="H264" s="125">
        <v>362</v>
      </c>
      <c r="I264" s="123">
        <v>317</v>
      </c>
      <c r="J264" s="123">
        <v>60.958999633789063</v>
      </c>
      <c r="K264" s="123">
        <v>61.556472778320313</v>
      </c>
      <c r="L264" s="123">
        <v>101.08000183105469</v>
      </c>
      <c r="M264" s="123">
        <v>11.76200008392334</v>
      </c>
      <c r="N264" s="123">
        <v>17.940000534057617</v>
      </c>
      <c r="O264" s="123">
        <v>18</v>
      </c>
      <c r="P264" s="123">
        <v>0</v>
      </c>
      <c r="Q264" s="123">
        <v>17.71690559387207</v>
      </c>
      <c r="R264" s="123">
        <v>0</v>
      </c>
      <c r="S264" s="123">
        <v>3.2369735240936279</v>
      </c>
      <c r="T264" s="123">
        <v>0</v>
      </c>
      <c r="U264" s="123">
        <v>0</v>
      </c>
      <c r="V264" s="125">
        <v>842</v>
      </c>
      <c r="W264" s="123">
        <v>26.734367370605469</v>
      </c>
      <c r="X264" s="123">
        <v>23.863000869750977</v>
      </c>
      <c r="Y264" s="123">
        <v>6.1700000762939453</v>
      </c>
      <c r="Z264" s="123">
        <v>0</v>
      </c>
      <c r="AA264" s="123">
        <v>20.017999649047852</v>
      </c>
      <c r="AB264" s="123">
        <v>0</v>
      </c>
      <c r="AC264" s="123">
        <v>51.473926544189453</v>
      </c>
      <c r="AD264" s="123">
        <v>5.8520002365112305</v>
      </c>
      <c r="AE264" s="123">
        <v>0</v>
      </c>
      <c r="AF264" s="123">
        <v>79.250953674316406</v>
      </c>
      <c r="AG264" s="123">
        <v>0</v>
      </c>
      <c r="AH264" s="123">
        <v>62.062721252441406</v>
      </c>
      <c r="AI264" s="123">
        <v>10.75100040435791</v>
      </c>
      <c r="AJ264" s="123">
        <v>15.608427047729492</v>
      </c>
      <c r="AK264" s="123">
        <v>35.557224273681641</v>
      </c>
      <c r="AL264" s="123">
        <v>37.285999298095703</v>
      </c>
      <c r="AM264" s="126">
        <v>54.838001251220703</v>
      </c>
      <c r="AN264" s="125">
        <v>108</v>
      </c>
      <c r="AO264" s="127">
        <v>55</v>
      </c>
      <c r="AP264" s="123">
        <v>58.075531005859375</v>
      </c>
      <c r="AQ264" s="123">
        <v>34.572673797607422</v>
      </c>
      <c r="AR264" s="123">
        <v>91</v>
      </c>
      <c r="AS264" s="123"/>
      <c r="AT264" s="123">
        <v>102</v>
      </c>
      <c r="AU264" s="123"/>
      <c r="AV264" s="123">
        <v>57</v>
      </c>
      <c r="AW264" s="123"/>
      <c r="AX264" s="123">
        <v>29</v>
      </c>
      <c r="AY264" s="123">
        <v>32.390872955322266</v>
      </c>
      <c r="AZ264" s="123">
        <v>4</v>
      </c>
      <c r="BA264" s="123"/>
      <c r="BB264" s="123">
        <v>178</v>
      </c>
      <c r="BC264" s="123">
        <v>177.80984497070313</v>
      </c>
      <c r="BD264" s="123">
        <v>6.5999999046325684</v>
      </c>
      <c r="BE264" s="123">
        <v>6.6508917808532715</v>
      </c>
      <c r="BF264" s="123">
        <v>29</v>
      </c>
      <c r="BG264" s="123">
        <v>11</v>
      </c>
      <c r="BH264" s="123">
        <v>11.395233154296875</v>
      </c>
      <c r="BI264" s="123"/>
      <c r="BJ264" s="108">
        <f t="shared" si="13"/>
        <v>10</v>
      </c>
      <c r="BK264" s="123">
        <v>10</v>
      </c>
      <c r="BL264" s="123">
        <v>0</v>
      </c>
      <c r="BM264" s="126"/>
      <c r="BN264" s="108">
        <f t="shared" si="14"/>
        <v>120</v>
      </c>
      <c r="BO264" s="108">
        <v>72</v>
      </c>
      <c r="BP264" s="108">
        <v>48</v>
      </c>
      <c r="BQ264" s="108">
        <v>268</v>
      </c>
      <c r="BR264" s="123">
        <v>68.650001525878906</v>
      </c>
      <c r="BS264" s="123">
        <v>24.683000564575195</v>
      </c>
      <c r="BT264" s="123">
        <v>42.255001068115234</v>
      </c>
      <c r="BU264" s="123">
        <v>32.889999389648438</v>
      </c>
      <c r="BV264" s="123">
        <v>69.400001525878906</v>
      </c>
      <c r="BW264" s="123">
        <v>5.8000001907348633</v>
      </c>
      <c r="BX264" s="123">
        <v>13.5</v>
      </c>
      <c r="BY264" s="123">
        <v>28</v>
      </c>
      <c r="BZ264" s="123">
        <v>1.5312275849282742E-2</v>
      </c>
      <c r="CA264" s="123">
        <v>1</v>
      </c>
      <c r="CB264" s="123">
        <v>29.319034576416016</v>
      </c>
      <c r="CC264" s="126"/>
      <c r="CD264" s="123">
        <v>331.21240234375</v>
      </c>
      <c r="CE264" s="123">
        <v>30.595989227294922</v>
      </c>
      <c r="CF264" s="123">
        <v>16.950021743774414</v>
      </c>
      <c r="CG264" s="123">
        <v>35.338191986083984</v>
      </c>
      <c r="CH264" s="123">
        <v>272.44564819335938</v>
      </c>
      <c r="CI264" s="123">
        <v>81.237762451171875</v>
      </c>
      <c r="CJ264" s="123">
        <v>34.292610168457031</v>
      </c>
      <c r="CK264" s="123">
        <v>48.328464508056641</v>
      </c>
      <c r="CL264" s="124">
        <v>25.867677688598633</v>
      </c>
      <c r="CM264" s="125">
        <v>180.16336059570313</v>
      </c>
      <c r="CN264" s="123">
        <v>48.384666442871094</v>
      </c>
      <c r="CO264" s="123">
        <v>52.561790466308594</v>
      </c>
      <c r="CP264" s="123">
        <v>73.635971069335938</v>
      </c>
      <c r="CQ264" s="123">
        <v>0</v>
      </c>
      <c r="CR264" s="123">
        <v>49.787300109863281</v>
      </c>
      <c r="CS264" s="123">
        <v>7.343350887298584</v>
      </c>
      <c r="CT264" s="123">
        <v>31.834770202636719</v>
      </c>
      <c r="CU264" s="123">
        <v>39.575759887695313</v>
      </c>
      <c r="CV264" s="124">
        <v>59.20751953125</v>
      </c>
      <c r="CW264" s="125">
        <v>0</v>
      </c>
      <c r="CX264" s="123">
        <v>284</v>
      </c>
      <c r="CY264" s="123">
        <v>105.88722229003906</v>
      </c>
      <c r="CZ264" s="123">
        <v>46.240684509277344</v>
      </c>
      <c r="DA264" s="123">
        <v>19.880271911621094</v>
      </c>
      <c r="DB264" s="123">
        <v>30.713127136230469</v>
      </c>
      <c r="DC264" s="123">
        <v>73.137336730957031</v>
      </c>
      <c r="DD264" s="123">
        <v>42</v>
      </c>
      <c r="DE264" s="123">
        <v>167</v>
      </c>
      <c r="DF264" s="123">
        <v>95.03533935546875</v>
      </c>
      <c r="DG264" s="123">
        <v>62.676815032958984</v>
      </c>
      <c r="DH264" s="123">
        <v>41.406219482421875</v>
      </c>
      <c r="DI264" s="128">
        <v>35.985076904296875</v>
      </c>
      <c r="DJ264" s="127">
        <v>210</v>
      </c>
      <c r="DK264" s="123">
        <v>109.42099761962891</v>
      </c>
      <c r="DL264" s="123">
        <v>24.315000534057617</v>
      </c>
      <c r="DM264" s="123">
        <v>26.329999923706055</v>
      </c>
      <c r="DN264" s="123">
        <v>50.893001556396484</v>
      </c>
      <c r="DO264" s="124">
        <v>113.37662506103516</v>
      </c>
      <c r="DP264" s="125">
        <v>14.899999618530273</v>
      </c>
      <c r="DQ264" s="123"/>
      <c r="DR264" s="125">
        <v>67</v>
      </c>
      <c r="DS264" s="128">
        <v>30.399999618530273</v>
      </c>
      <c r="DT264" s="127">
        <v>13</v>
      </c>
      <c r="DU264" s="123"/>
      <c r="DV264" s="123">
        <v>9</v>
      </c>
      <c r="DW264" s="123">
        <v>2.6541955471038818</v>
      </c>
      <c r="DX264" s="125">
        <v>12</v>
      </c>
      <c r="DY264" s="128"/>
      <c r="DZ264" s="127">
        <v>45</v>
      </c>
      <c r="EA264" s="123">
        <v>3</v>
      </c>
      <c r="EB264" s="123">
        <v>0</v>
      </c>
      <c r="EC264" s="123">
        <v>1</v>
      </c>
      <c r="ED264" s="123">
        <v>226.69999694824219</v>
      </c>
      <c r="EE264" s="129"/>
      <c r="EF264" s="129"/>
      <c r="EG264" s="129"/>
    </row>
    <row r="265" spans="1:137" x14ac:dyDescent="0.3">
      <c r="A265" s="226">
        <f t="shared" si="12"/>
        <v>46020.181250000591</v>
      </c>
      <c r="B265" s="123">
        <v>216</v>
      </c>
      <c r="C265" s="123">
        <v>54.060001373291016</v>
      </c>
      <c r="D265" s="123">
        <v>95.567001342773438</v>
      </c>
      <c r="E265" s="123">
        <v>17.982000350952148</v>
      </c>
      <c r="F265" s="123">
        <v>4.2429041862487793</v>
      </c>
      <c r="G265" s="124">
        <v>17.530000686645508</v>
      </c>
      <c r="H265" s="125">
        <v>357</v>
      </c>
      <c r="I265" s="123">
        <v>314</v>
      </c>
      <c r="J265" s="123">
        <v>60.054000854492188</v>
      </c>
      <c r="K265" s="123">
        <v>61.776451110839844</v>
      </c>
      <c r="L265" s="123">
        <v>100.19699859619141</v>
      </c>
      <c r="M265" s="123">
        <v>11.76200008392334</v>
      </c>
      <c r="N265" s="123">
        <v>17.176000595092773</v>
      </c>
      <c r="O265" s="123">
        <v>16</v>
      </c>
      <c r="P265" s="123">
        <v>0</v>
      </c>
      <c r="Q265" s="123">
        <v>16.065271377563477</v>
      </c>
      <c r="R265" s="123">
        <v>0</v>
      </c>
      <c r="S265" s="123">
        <v>3.2369735240936279</v>
      </c>
      <c r="T265" s="123">
        <v>0</v>
      </c>
      <c r="U265" s="123">
        <v>0</v>
      </c>
      <c r="V265" s="125">
        <v>842</v>
      </c>
      <c r="W265" s="123">
        <v>25.333747863769531</v>
      </c>
      <c r="X265" s="123">
        <v>23.52400016784668</v>
      </c>
      <c r="Y265" s="123">
        <v>7.4429998397827148</v>
      </c>
      <c r="Z265" s="123">
        <v>0</v>
      </c>
      <c r="AA265" s="123">
        <v>17.756000518798828</v>
      </c>
      <c r="AB265" s="123">
        <v>0</v>
      </c>
      <c r="AC265" s="123">
        <v>50.67364501953125</v>
      </c>
      <c r="AD265" s="123">
        <v>6.1069998741149902</v>
      </c>
      <c r="AE265" s="123">
        <v>0</v>
      </c>
      <c r="AF265" s="123">
        <v>79.93017578125</v>
      </c>
      <c r="AG265" s="123">
        <v>0</v>
      </c>
      <c r="AH265" s="123">
        <v>61.080478668212891</v>
      </c>
      <c r="AI265" s="123">
        <v>11.831999778747559</v>
      </c>
      <c r="AJ265" s="123">
        <v>15.936816215515137</v>
      </c>
      <c r="AK265" s="123">
        <v>35.240818023681641</v>
      </c>
      <c r="AL265" s="123">
        <v>36.226001739501953</v>
      </c>
      <c r="AM265" s="126">
        <v>54.519001007080078</v>
      </c>
      <c r="AN265" s="125">
        <v>107.75</v>
      </c>
      <c r="AO265" s="127">
        <v>56</v>
      </c>
      <c r="AP265" s="123">
        <v>58.891105651855469</v>
      </c>
      <c r="AQ265" s="123">
        <v>33.221061706542969</v>
      </c>
      <c r="AR265" s="123">
        <v>91</v>
      </c>
      <c r="AS265" s="123"/>
      <c r="AT265" s="123">
        <v>102</v>
      </c>
      <c r="AU265" s="123"/>
      <c r="AV265" s="123">
        <v>61</v>
      </c>
      <c r="AW265" s="123"/>
      <c r="AX265" s="123">
        <v>32</v>
      </c>
      <c r="AY265" s="123">
        <v>35.446865081787109</v>
      </c>
      <c r="AZ265" s="123">
        <v>4</v>
      </c>
      <c r="BA265" s="123"/>
      <c r="BB265" s="123">
        <v>178</v>
      </c>
      <c r="BC265" s="123">
        <v>178.0667724609375</v>
      </c>
      <c r="BD265" s="123">
        <v>6.5999999046325684</v>
      </c>
      <c r="BE265" s="123">
        <v>6.6491780281066895</v>
      </c>
      <c r="BF265" s="123">
        <v>29</v>
      </c>
      <c r="BG265" s="123">
        <v>11</v>
      </c>
      <c r="BH265" s="123">
        <v>11.213464736938477</v>
      </c>
      <c r="BI265" s="123"/>
      <c r="BJ265" s="108">
        <f t="shared" si="13"/>
        <v>11</v>
      </c>
      <c r="BK265" s="123">
        <v>11</v>
      </c>
      <c r="BL265" s="123">
        <v>0</v>
      </c>
      <c r="BM265" s="126"/>
      <c r="BN265" s="108">
        <f t="shared" si="14"/>
        <v>120</v>
      </c>
      <c r="BO265" s="108">
        <v>72</v>
      </c>
      <c r="BP265" s="108">
        <v>48</v>
      </c>
      <c r="BQ265" s="108">
        <v>267</v>
      </c>
      <c r="BR265" s="123">
        <v>67.066001892089844</v>
      </c>
      <c r="BS265" s="123">
        <v>24.429000854492188</v>
      </c>
      <c r="BT265" s="123">
        <v>41.562999725341797</v>
      </c>
      <c r="BU265" s="123">
        <v>33.716999053955078</v>
      </c>
      <c r="BV265" s="123">
        <v>69.300003051757813</v>
      </c>
      <c r="BW265" s="123">
        <v>5.8000001907348633</v>
      </c>
      <c r="BX265" s="123">
        <v>13.5</v>
      </c>
      <c r="BY265" s="123">
        <v>29</v>
      </c>
      <c r="BZ265" s="123">
        <v>1.406792551279068E-2</v>
      </c>
      <c r="CA265" s="123">
        <v>1</v>
      </c>
      <c r="CB265" s="123">
        <v>29.283010482788086</v>
      </c>
      <c r="CC265" s="126"/>
      <c r="CD265" s="123">
        <v>329.94412231445313</v>
      </c>
      <c r="CE265" s="123">
        <v>30.825241088867188</v>
      </c>
      <c r="CF265" s="123">
        <v>17.101688385009766</v>
      </c>
      <c r="CG265" s="123">
        <v>35.338191986083984</v>
      </c>
      <c r="CH265" s="123">
        <v>271.86065673828125</v>
      </c>
      <c r="CI265" s="123">
        <v>79.465621948242188</v>
      </c>
      <c r="CJ265" s="123">
        <v>34.110626220703125</v>
      </c>
      <c r="CK265" s="123">
        <v>46.204521179199219</v>
      </c>
      <c r="CL265" s="124">
        <v>24.052122116088867</v>
      </c>
      <c r="CM265" s="125">
        <v>179.46463012695313</v>
      </c>
      <c r="CN265" s="123">
        <v>47.98175048828125</v>
      </c>
      <c r="CO265" s="123">
        <v>52.515621185302734</v>
      </c>
      <c r="CP265" s="123">
        <v>75.938941955566406</v>
      </c>
      <c r="CQ265" s="123">
        <v>0</v>
      </c>
      <c r="CR265" s="123">
        <v>48.457187652587891</v>
      </c>
      <c r="CS265" s="123">
        <v>7.2689681053161621</v>
      </c>
      <c r="CT265" s="123">
        <v>27.287458419799805</v>
      </c>
      <c r="CU265" s="123">
        <v>40.204536437988281</v>
      </c>
      <c r="CV265" s="124">
        <v>59.504104614257813</v>
      </c>
      <c r="CW265" s="125">
        <v>9</v>
      </c>
      <c r="CX265" s="123">
        <v>293</v>
      </c>
      <c r="CY265" s="123">
        <v>106.39030456542969</v>
      </c>
      <c r="CZ265" s="123">
        <v>46.692768096923828</v>
      </c>
      <c r="DA265" s="123">
        <v>19.927894592285156</v>
      </c>
      <c r="DB265" s="123">
        <v>29.545063018798828</v>
      </c>
      <c r="DC265" s="123">
        <v>72.745994567871094</v>
      </c>
      <c r="DD265" s="123">
        <v>44</v>
      </c>
      <c r="DE265" s="123">
        <v>168</v>
      </c>
      <c r="DF265" s="123">
        <v>95.572471618652344</v>
      </c>
      <c r="DG265" s="123">
        <v>62.236064910888672</v>
      </c>
      <c r="DH265" s="123">
        <v>40.498088836669922</v>
      </c>
      <c r="DI265" s="128">
        <v>37.386928558349609</v>
      </c>
      <c r="DJ265" s="127">
        <v>208</v>
      </c>
      <c r="DK265" s="123">
        <v>108.14900207519531</v>
      </c>
      <c r="DL265" s="123">
        <v>25.445999145507813</v>
      </c>
      <c r="DM265" s="123">
        <v>27.743999481201172</v>
      </c>
      <c r="DN265" s="123">
        <v>50.009998321533203</v>
      </c>
      <c r="DO265" s="124">
        <v>113.09959411621094</v>
      </c>
      <c r="DP265" s="125">
        <v>14.843999862670898</v>
      </c>
      <c r="DQ265" s="123"/>
      <c r="DR265" s="125">
        <v>67</v>
      </c>
      <c r="DS265" s="128">
        <v>27.799999237060547</v>
      </c>
      <c r="DT265" s="127">
        <v>13</v>
      </c>
      <c r="DU265" s="123"/>
      <c r="DV265" s="123">
        <v>9</v>
      </c>
      <c r="DW265" s="123">
        <v>2.6786108016967773</v>
      </c>
      <c r="DX265" s="125">
        <v>11</v>
      </c>
      <c r="DY265" s="128"/>
      <c r="DZ265" s="127">
        <v>45</v>
      </c>
      <c r="EA265" s="123">
        <v>3</v>
      </c>
      <c r="EB265" s="123">
        <v>0</v>
      </c>
      <c r="EC265" s="123">
        <v>2</v>
      </c>
      <c r="ED265" s="123">
        <v>229.19999694824219</v>
      </c>
      <c r="EE265" s="129"/>
      <c r="EF265" s="129"/>
      <c r="EG265" s="129"/>
    </row>
    <row r="266" spans="1:137" x14ac:dyDescent="0.3">
      <c r="A266" s="226">
        <f t="shared" si="12"/>
        <v>46020.181944445038</v>
      </c>
      <c r="B266" s="123">
        <v>217</v>
      </c>
      <c r="C266" s="123">
        <v>50.893001556396484</v>
      </c>
      <c r="D266" s="123">
        <v>96.697998046875</v>
      </c>
      <c r="E266" s="123">
        <v>18.660999298095703</v>
      </c>
      <c r="F266" s="123">
        <v>0</v>
      </c>
      <c r="G266" s="124">
        <v>17.530000686645508</v>
      </c>
      <c r="H266" s="125">
        <v>356</v>
      </c>
      <c r="I266" s="123">
        <v>313</v>
      </c>
      <c r="J266" s="123">
        <v>58.923000335693359</v>
      </c>
      <c r="K266" s="123">
        <v>62.198345184326172</v>
      </c>
      <c r="L266" s="123">
        <v>102.84700012207031</v>
      </c>
      <c r="M266" s="123">
        <v>11.875</v>
      </c>
      <c r="N266" s="123">
        <v>16.031000137329102</v>
      </c>
      <c r="O266" s="123">
        <v>18</v>
      </c>
      <c r="P266" s="123">
        <v>0</v>
      </c>
      <c r="Q266" s="123">
        <v>18.815284729003906</v>
      </c>
      <c r="R266" s="123">
        <v>7.9968748092651367</v>
      </c>
      <c r="S266" s="123">
        <v>5.0015792846679688</v>
      </c>
      <c r="T266" s="123">
        <v>1</v>
      </c>
      <c r="U266" s="123">
        <v>1</v>
      </c>
      <c r="V266" s="125">
        <v>847</v>
      </c>
      <c r="W266" s="123">
        <v>29.348342895507813</v>
      </c>
      <c r="X266" s="123">
        <v>23.298000335693359</v>
      </c>
      <c r="Y266" s="123">
        <v>7.060999870300293</v>
      </c>
      <c r="Z266" s="123">
        <v>0</v>
      </c>
      <c r="AA266" s="123">
        <v>19.905000686645508</v>
      </c>
      <c r="AB266" s="123">
        <v>0</v>
      </c>
      <c r="AC266" s="123">
        <v>50.886646270751953</v>
      </c>
      <c r="AD266" s="123">
        <v>6.3610000610351563</v>
      </c>
      <c r="AE266" s="123">
        <v>0</v>
      </c>
      <c r="AF266" s="123">
        <v>79.818359375</v>
      </c>
      <c r="AG266" s="123">
        <v>0</v>
      </c>
      <c r="AH266" s="123">
        <v>60.341358184814453</v>
      </c>
      <c r="AI266" s="123">
        <v>12.404999732971191</v>
      </c>
      <c r="AJ266" s="123">
        <v>14.806391716003418</v>
      </c>
      <c r="AK266" s="123">
        <v>35.955165863037109</v>
      </c>
      <c r="AL266" s="123">
        <v>36.226001739501953</v>
      </c>
      <c r="AM266" s="126">
        <v>55.409999847412109</v>
      </c>
      <c r="AN266" s="125">
        <v>108.75</v>
      </c>
      <c r="AO266" s="127">
        <v>56</v>
      </c>
      <c r="AP266" s="123">
        <v>58.905490875244141</v>
      </c>
      <c r="AQ266" s="123">
        <v>33.222381591796875</v>
      </c>
      <c r="AR266" s="123">
        <v>91</v>
      </c>
      <c r="AS266" s="123"/>
      <c r="AT266" s="123">
        <v>102</v>
      </c>
      <c r="AU266" s="123"/>
      <c r="AV266" s="123">
        <v>61</v>
      </c>
      <c r="AW266" s="123"/>
      <c r="AX266" s="123">
        <v>30</v>
      </c>
      <c r="AY266" s="123">
        <v>32.173233032226563</v>
      </c>
      <c r="AZ266" s="123">
        <v>4</v>
      </c>
      <c r="BA266" s="123"/>
      <c r="BB266" s="123">
        <v>177</v>
      </c>
      <c r="BC266" s="123">
        <v>179.41252136230469</v>
      </c>
      <c r="BD266" s="123">
        <v>6.5999999046325684</v>
      </c>
      <c r="BE266" s="123">
        <v>6.641880989074707</v>
      </c>
      <c r="BF266" s="123">
        <v>30</v>
      </c>
      <c r="BG266" s="123">
        <v>10</v>
      </c>
      <c r="BH266" s="123">
        <v>11.308006286621094</v>
      </c>
      <c r="BI266" s="123"/>
      <c r="BJ266" s="108">
        <f t="shared" si="13"/>
        <v>11</v>
      </c>
      <c r="BK266" s="123">
        <v>11</v>
      </c>
      <c r="BL266" s="123">
        <v>0</v>
      </c>
      <c r="BM266" s="126"/>
      <c r="BN266" s="108">
        <f t="shared" si="14"/>
        <v>120.20000076293945</v>
      </c>
      <c r="BO266" s="108">
        <v>72</v>
      </c>
      <c r="BP266" s="108">
        <v>48.200000762939453</v>
      </c>
      <c r="BQ266" s="108">
        <v>264</v>
      </c>
      <c r="BR266" s="123">
        <v>67.632003784179688</v>
      </c>
      <c r="BS266" s="123">
        <v>25.445999145507813</v>
      </c>
      <c r="BT266" s="123">
        <v>40.869998931884766</v>
      </c>
      <c r="BU266" s="123">
        <v>33.208000183105469</v>
      </c>
      <c r="BV266" s="123">
        <v>69.699996948242188</v>
      </c>
      <c r="BW266" s="123">
        <v>5.9000000953674316</v>
      </c>
      <c r="BX266" s="123">
        <v>13.5</v>
      </c>
      <c r="BY266" s="123">
        <v>29</v>
      </c>
      <c r="BZ266" s="123">
        <v>1.4206964522600174E-2</v>
      </c>
      <c r="CA266" s="123">
        <v>1</v>
      </c>
      <c r="CB266" s="123">
        <v>29.326539993286133</v>
      </c>
      <c r="CC266" s="126"/>
      <c r="CD266" s="123">
        <v>336.61627197265625</v>
      </c>
      <c r="CE266" s="123">
        <v>30.86345100402832</v>
      </c>
      <c r="CF266" s="123">
        <v>16.755985260009766</v>
      </c>
      <c r="CG266" s="123">
        <v>35.338191986083984</v>
      </c>
      <c r="CH266" s="123">
        <v>271.99832153320313</v>
      </c>
      <c r="CI266" s="123">
        <v>79.890556335449219</v>
      </c>
      <c r="CJ266" s="123">
        <v>35.894123077392578</v>
      </c>
      <c r="CK266" s="123">
        <v>46.544921875</v>
      </c>
      <c r="CL266" s="124">
        <v>25.76323127746582</v>
      </c>
      <c r="CM266" s="125">
        <v>178.17378234863281</v>
      </c>
      <c r="CN266" s="123">
        <v>47.013286590576172</v>
      </c>
      <c r="CO266" s="123">
        <v>54.540756225585938</v>
      </c>
      <c r="CP266" s="123">
        <v>72.492958068847656</v>
      </c>
      <c r="CQ266" s="123">
        <v>0</v>
      </c>
      <c r="CR266" s="123">
        <v>48.670936584472656</v>
      </c>
      <c r="CS266" s="123">
        <v>7.0306529998779297</v>
      </c>
      <c r="CT266" s="123">
        <v>27.311580657958984</v>
      </c>
      <c r="CU266" s="123">
        <v>39.754245758056641</v>
      </c>
      <c r="CV266" s="124">
        <v>59.239059448242188</v>
      </c>
      <c r="CW266" s="125">
        <v>0</v>
      </c>
      <c r="CX266" s="123">
        <v>293</v>
      </c>
      <c r="CY266" s="123">
        <v>106.39030456542969</v>
      </c>
      <c r="CZ266" s="123">
        <v>48.674392700195313</v>
      </c>
      <c r="DA266" s="123">
        <v>21.180929183959961</v>
      </c>
      <c r="DB266" s="123">
        <v>32.329414367675781</v>
      </c>
      <c r="DC266" s="123">
        <v>71.369194030761719</v>
      </c>
      <c r="DD266" s="123">
        <v>41</v>
      </c>
      <c r="DE266" s="123">
        <v>169</v>
      </c>
      <c r="DF266" s="123">
        <v>94.973640441894531</v>
      </c>
      <c r="DG266" s="123">
        <v>61.34625244140625</v>
      </c>
      <c r="DH266" s="123">
        <v>41.251777648925781</v>
      </c>
      <c r="DI266" s="128">
        <v>36.228271484375</v>
      </c>
      <c r="DJ266" s="127">
        <v>210</v>
      </c>
      <c r="DK266" s="123">
        <v>101.53299713134766</v>
      </c>
      <c r="DL266" s="123">
        <v>24.429000854492188</v>
      </c>
      <c r="DM266" s="123">
        <v>26.329999923706055</v>
      </c>
      <c r="DN266" s="123">
        <v>48.418998718261719</v>
      </c>
      <c r="DO266" s="124">
        <v>115.23802947998047</v>
      </c>
      <c r="DP266" s="125">
        <v>14.843999862670898</v>
      </c>
      <c r="DQ266" s="123"/>
      <c r="DR266" s="125">
        <v>67</v>
      </c>
      <c r="DS266" s="128">
        <v>26.799999237060547</v>
      </c>
      <c r="DT266" s="127">
        <v>13</v>
      </c>
      <c r="DU266" s="123"/>
      <c r="DV266" s="123">
        <v>7</v>
      </c>
      <c r="DW266" s="123">
        <v>2.6444461345672607</v>
      </c>
      <c r="DX266" s="125">
        <v>11</v>
      </c>
      <c r="DY266" s="128"/>
      <c r="DZ266" s="127">
        <v>46</v>
      </c>
      <c r="EA266" s="123">
        <v>3</v>
      </c>
      <c r="EB266" s="123">
        <v>0</v>
      </c>
      <c r="EC266" s="123">
        <v>1</v>
      </c>
      <c r="ED266" s="123">
        <v>225.10000610351563</v>
      </c>
      <c r="EE266" s="129"/>
      <c r="EF266" s="129"/>
      <c r="EG266" s="129"/>
    </row>
    <row r="267" spans="1:137" x14ac:dyDescent="0.3">
      <c r="A267" s="226">
        <f t="shared" si="12"/>
        <v>46020.182638889484</v>
      </c>
      <c r="B267" s="123">
        <v>223</v>
      </c>
      <c r="C267" s="123">
        <v>48.291999816894531</v>
      </c>
      <c r="D267" s="123">
        <v>96.245002746582031</v>
      </c>
      <c r="E267" s="123">
        <v>20.243999481201172</v>
      </c>
      <c r="F267" s="123">
        <v>3.0246336460113525</v>
      </c>
      <c r="G267" s="124">
        <v>17.868999481201172</v>
      </c>
      <c r="H267" s="125">
        <v>356</v>
      </c>
      <c r="I267" s="123">
        <v>318</v>
      </c>
      <c r="J267" s="123">
        <v>59.602001190185547</v>
      </c>
      <c r="K267" s="123">
        <v>61.101158142089844</v>
      </c>
      <c r="L267" s="123">
        <v>101.43399810791016</v>
      </c>
      <c r="M267" s="123">
        <v>11.98799991607666</v>
      </c>
      <c r="N267" s="123">
        <v>17.113000869750977</v>
      </c>
      <c r="O267" s="123">
        <v>18</v>
      </c>
      <c r="P267" s="123">
        <v>0</v>
      </c>
      <c r="Q267" s="123">
        <v>18.264995574951172</v>
      </c>
      <c r="R267" s="123">
        <v>0</v>
      </c>
      <c r="S267" s="123">
        <v>5.9585995674133301</v>
      </c>
      <c r="T267" s="123">
        <v>1</v>
      </c>
      <c r="U267" s="123">
        <v>1</v>
      </c>
      <c r="V267" s="125">
        <v>848</v>
      </c>
      <c r="W267" s="123">
        <v>30.078861236572266</v>
      </c>
      <c r="X267" s="123">
        <v>24.315000534057617</v>
      </c>
      <c r="Y267" s="123">
        <v>7.2519998550415039</v>
      </c>
      <c r="Z267" s="123">
        <v>0</v>
      </c>
      <c r="AA267" s="123">
        <v>20.131000518798828</v>
      </c>
      <c r="AB267" s="123">
        <v>0</v>
      </c>
      <c r="AC267" s="123">
        <v>50.906635284423828</v>
      </c>
      <c r="AD267" s="123">
        <v>6.3610000610351563</v>
      </c>
      <c r="AE267" s="123">
        <v>0</v>
      </c>
      <c r="AF267" s="123">
        <v>79.746849060058594</v>
      </c>
      <c r="AG267" s="123">
        <v>0</v>
      </c>
      <c r="AH267" s="123">
        <v>60.449558258056641</v>
      </c>
      <c r="AI267" s="123">
        <v>11.38700008392334</v>
      </c>
      <c r="AJ267" s="123">
        <v>16.210470199584961</v>
      </c>
      <c r="AK267" s="123">
        <v>35.628257751464844</v>
      </c>
      <c r="AL267" s="123">
        <v>35.166000366210938</v>
      </c>
      <c r="AM267" s="126">
        <v>54.709999084472656</v>
      </c>
      <c r="AN267" s="125">
        <v>108.625</v>
      </c>
      <c r="AO267" s="127">
        <v>55</v>
      </c>
      <c r="AP267" s="123">
        <v>58.515743255615234</v>
      </c>
      <c r="AQ267" s="123">
        <v>32.220138549804688</v>
      </c>
      <c r="AR267" s="123">
        <v>92</v>
      </c>
      <c r="AS267" s="123"/>
      <c r="AT267" s="123">
        <v>101</v>
      </c>
      <c r="AU267" s="123"/>
      <c r="AV267" s="123">
        <v>61</v>
      </c>
      <c r="AW267" s="123"/>
      <c r="AX267" s="123">
        <v>29</v>
      </c>
      <c r="AY267" s="123">
        <v>32.173233032226563</v>
      </c>
      <c r="AZ267" s="123">
        <v>4</v>
      </c>
      <c r="BA267" s="123"/>
      <c r="BB267" s="123">
        <v>177</v>
      </c>
      <c r="BC267" s="123">
        <v>176.65055847167969</v>
      </c>
      <c r="BD267" s="123">
        <v>6.5</v>
      </c>
      <c r="BE267" s="123">
        <v>6.6202516555786133</v>
      </c>
      <c r="BF267" s="123">
        <v>29</v>
      </c>
      <c r="BG267" s="123">
        <v>11</v>
      </c>
      <c r="BH267" s="123">
        <v>11.384026527404785</v>
      </c>
      <c r="BI267" s="123"/>
      <c r="BJ267" s="108">
        <f t="shared" si="13"/>
        <v>11</v>
      </c>
      <c r="BK267" s="123">
        <v>11</v>
      </c>
      <c r="BL267" s="123">
        <v>0</v>
      </c>
      <c r="BM267" s="126"/>
      <c r="BN267" s="108">
        <f t="shared" si="14"/>
        <v>121.20000076293945</v>
      </c>
      <c r="BO267" s="108">
        <v>73</v>
      </c>
      <c r="BP267" s="108">
        <v>48.200000762939453</v>
      </c>
      <c r="BQ267" s="108">
        <v>262</v>
      </c>
      <c r="BR267" s="123">
        <v>68.536003112792969</v>
      </c>
      <c r="BS267" s="123">
        <v>25.701000213623047</v>
      </c>
      <c r="BT267" s="123">
        <v>40.869998931884766</v>
      </c>
      <c r="BU267" s="123">
        <v>33.208000183105469</v>
      </c>
      <c r="BV267" s="123">
        <v>68.800003051757813</v>
      </c>
      <c r="BW267" s="123">
        <v>5.9000000953674316</v>
      </c>
      <c r="BX267" s="123">
        <v>13.5</v>
      </c>
      <c r="BY267" s="123">
        <v>29</v>
      </c>
      <c r="BZ267" s="123">
        <v>1.3607473112642765E-2</v>
      </c>
      <c r="CA267" s="123">
        <v>1</v>
      </c>
      <c r="CB267" s="123">
        <v>29.29981803894043</v>
      </c>
      <c r="CC267" s="126"/>
      <c r="CD267" s="123">
        <v>336.33108520507813</v>
      </c>
      <c r="CE267" s="123">
        <v>29.617073059082031</v>
      </c>
      <c r="CF267" s="123">
        <v>18.071619033813477</v>
      </c>
      <c r="CG267" s="123">
        <v>35.338191986083984</v>
      </c>
      <c r="CH267" s="123">
        <v>273.0736083984375</v>
      </c>
      <c r="CI267" s="123">
        <v>82.60675048828125</v>
      </c>
      <c r="CJ267" s="123">
        <v>37.253982543945313</v>
      </c>
      <c r="CK267" s="123">
        <v>48.313724517822266</v>
      </c>
      <c r="CL267" s="124">
        <v>23.892570495605469</v>
      </c>
      <c r="CM267" s="125">
        <v>178.23350524902344</v>
      </c>
      <c r="CN267" s="123">
        <v>50.024444580078125</v>
      </c>
      <c r="CO267" s="123">
        <v>54.102909088134766</v>
      </c>
      <c r="CP267" s="123">
        <v>73.484382629394531</v>
      </c>
      <c r="CQ267" s="123">
        <v>0</v>
      </c>
      <c r="CR267" s="123">
        <v>49.098667144775391</v>
      </c>
      <c r="CS267" s="123">
        <v>7.6012554168701172</v>
      </c>
      <c r="CT267" s="123">
        <v>27.760635375976563</v>
      </c>
      <c r="CU267" s="123">
        <v>40.788066864013672</v>
      </c>
      <c r="CV267" s="124">
        <v>60.269222259521484</v>
      </c>
      <c r="CW267" s="125">
        <v>4</v>
      </c>
      <c r="CX267" s="123">
        <v>298</v>
      </c>
      <c r="CY267" s="123">
        <v>110.79427337646484</v>
      </c>
      <c r="CZ267" s="123">
        <v>49.720298767089844</v>
      </c>
      <c r="DA267" s="123">
        <v>18.920238494873047</v>
      </c>
      <c r="DB267" s="123">
        <v>31.998640060424805</v>
      </c>
      <c r="DC267" s="123">
        <v>71.4462890625</v>
      </c>
      <c r="DD267" s="123">
        <v>41</v>
      </c>
      <c r="DE267" s="123">
        <v>169</v>
      </c>
      <c r="DF267" s="123">
        <v>95.077461242675781</v>
      </c>
      <c r="DG267" s="123">
        <v>66.4659423828125</v>
      </c>
      <c r="DH267" s="123">
        <v>40.584938049316406</v>
      </c>
      <c r="DI267" s="128">
        <v>36.228271484375</v>
      </c>
      <c r="DJ267" s="127">
        <v>210</v>
      </c>
      <c r="DK267" s="123">
        <v>103.822998046875</v>
      </c>
      <c r="DL267" s="123">
        <v>23.75</v>
      </c>
      <c r="DM267" s="123">
        <v>27.920000076293945</v>
      </c>
      <c r="DN267" s="123">
        <v>49.479999542236328</v>
      </c>
      <c r="DO267" s="124">
        <v>113.15998077392578</v>
      </c>
      <c r="DP267" s="125">
        <v>14.899999618530273</v>
      </c>
      <c r="DQ267" s="123"/>
      <c r="DR267" s="125">
        <v>67</v>
      </c>
      <c r="DS267" s="128">
        <v>26.899999618530273</v>
      </c>
      <c r="DT267" s="127">
        <v>13</v>
      </c>
      <c r="DU267" s="123"/>
      <c r="DV267" s="123">
        <v>7</v>
      </c>
      <c r="DW267" s="123">
        <v>2.7928102016448975</v>
      </c>
      <c r="DX267" s="125">
        <v>12</v>
      </c>
      <c r="DY267" s="128"/>
      <c r="DZ267" s="127">
        <v>44</v>
      </c>
      <c r="EA267" s="123">
        <v>3</v>
      </c>
      <c r="EB267" s="123">
        <v>0</v>
      </c>
      <c r="EC267" s="123">
        <v>1</v>
      </c>
      <c r="ED267" s="123">
        <v>229.39999389648438</v>
      </c>
      <c r="EE267" s="129"/>
      <c r="EF267" s="129"/>
      <c r="EG267" s="129"/>
    </row>
    <row r="268" spans="1:137" x14ac:dyDescent="0.3">
      <c r="A268" s="226">
        <f t="shared" si="12"/>
        <v>46020.183333333931</v>
      </c>
      <c r="B268" s="123">
        <v>217</v>
      </c>
      <c r="C268" s="123">
        <v>48.179000854492188</v>
      </c>
      <c r="D268" s="123">
        <v>95.792999267578125</v>
      </c>
      <c r="E268" s="123">
        <v>18.660999298095703</v>
      </c>
      <c r="F268" s="123">
        <v>5.291038990020752</v>
      </c>
      <c r="G268" s="124">
        <v>17.868999481201172</v>
      </c>
      <c r="H268" s="125">
        <v>355</v>
      </c>
      <c r="I268" s="123">
        <v>318</v>
      </c>
      <c r="J268" s="123">
        <v>61.523998260498047</v>
      </c>
      <c r="K268" s="123">
        <v>61.101158142089844</v>
      </c>
      <c r="L268" s="123">
        <v>98.430000305175781</v>
      </c>
      <c r="M268" s="123">
        <v>11.98799991607666</v>
      </c>
      <c r="N268" s="123">
        <v>17.812000274658203</v>
      </c>
      <c r="O268" s="123">
        <v>16</v>
      </c>
      <c r="P268" s="123">
        <v>0</v>
      </c>
      <c r="Q268" s="123">
        <v>15.488638877868652</v>
      </c>
      <c r="R268" s="123">
        <v>4.9968748092651367</v>
      </c>
      <c r="S268" s="123">
        <v>5.1801671981811523</v>
      </c>
      <c r="T268" s="123">
        <v>9</v>
      </c>
      <c r="U268" s="123">
        <v>9</v>
      </c>
      <c r="V268" s="125">
        <v>839</v>
      </c>
      <c r="W268" s="123">
        <v>26.319187164306641</v>
      </c>
      <c r="X268" s="123">
        <v>22.844999313354492</v>
      </c>
      <c r="Y268" s="123">
        <v>7.6339998245239258</v>
      </c>
      <c r="Z268" s="123">
        <v>0</v>
      </c>
      <c r="AA268" s="123">
        <v>17.530000686645508</v>
      </c>
      <c r="AB268" s="123">
        <v>0</v>
      </c>
      <c r="AC268" s="123">
        <v>51.112922668457031</v>
      </c>
      <c r="AD268" s="123">
        <v>6.1069998741149902</v>
      </c>
      <c r="AE268" s="123">
        <v>0</v>
      </c>
      <c r="AF268" s="123">
        <v>79.575660705566406</v>
      </c>
      <c r="AG268" s="123">
        <v>0</v>
      </c>
      <c r="AH268" s="123">
        <v>59.255401611328125</v>
      </c>
      <c r="AI268" s="123">
        <v>10.687000274658203</v>
      </c>
      <c r="AJ268" s="123">
        <v>16.377363204956055</v>
      </c>
      <c r="AK268" s="123">
        <v>35.939052581787109</v>
      </c>
      <c r="AL268" s="123">
        <v>36.402999877929688</v>
      </c>
      <c r="AM268" s="126">
        <v>54.646999359130859</v>
      </c>
      <c r="AN268" s="125">
        <v>109.375</v>
      </c>
      <c r="AO268" s="127">
        <v>55</v>
      </c>
      <c r="AP268" s="123">
        <v>58.359512329101563</v>
      </c>
      <c r="AQ268" s="123">
        <v>33.236392974853516</v>
      </c>
      <c r="AR268" s="123">
        <v>91</v>
      </c>
      <c r="AS268" s="123"/>
      <c r="AT268" s="123">
        <v>101</v>
      </c>
      <c r="AU268" s="123"/>
      <c r="AV268" s="123">
        <v>52</v>
      </c>
      <c r="AW268" s="123"/>
      <c r="AX268" s="123">
        <v>29</v>
      </c>
      <c r="AY268" s="123">
        <v>32.148105621337891</v>
      </c>
      <c r="AZ268" s="123">
        <v>5</v>
      </c>
      <c r="BA268" s="123"/>
      <c r="BB268" s="123">
        <v>178</v>
      </c>
      <c r="BC268" s="123">
        <v>176.65055847167969</v>
      </c>
      <c r="BD268" s="123">
        <v>6.5</v>
      </c>
      <c r="BE268" s="123">
        <v>6.6202516555786133</v>
      </c>
      <c r="BF268" s="123">
        <v>30</v>
      </c>
      <c r="BG268" s="123">
        <v>11</v>
      </c>
      <c r="BH268" s="123">
        <v>11.350862503051758</v>
      </c>
      <c r="BI268" s="123"/>
      <c r="BJ268" s="108">
        <f t="shared" si="13"/>
        <v>11</v>
      </c>
      <c r="BK268" s="123">
        <v>11</v>
      </c>
      <c r="BL268" s="123">
        <v>0</v>
      </c>
      <c r="BM268" s="126"/>
      <c r="BN268" s="108">
        <f t="shared" si="14"/>
        <v>120.29999923706055</v>
      </c>
      <c r="BO268" s="108">
        <v>73</v>
      </c>
      <c r="BP268" s="108">
        <v>47.299999237060547</v>
      </c>
      <c r="BQ268" s="108">
        <v>262</v>
      </c>
      <c r="BR268" s="123">
        <v>63.673000335693359</v>
      </c>
      <c r="BS268" s="123">
        <v>24.173999786376953</v>
      </c>
      <c r="BT268" s="123">
        <v>40.523998260498047</v>
      </c>
      <c r="BU268" s="123">
        <v>33.716999053955078</v>
      </c>
      <c r="BV268" s="123">
        <v>69.800003051757813</v>
      </c>
      <c r="BW268" s="123">
        <v>5.8000001907348633</v>
      </c>
      <c r="BX268" s="123">
        <v>13.5</v>
      </c>
      <c r="BY268" s="123">
        <v>29</v>
      </c>
      <c r="BZ268" s="123">
        <v>1.3607473112642765E-2</v>
      </c>
      <c r="CA268" s="123">
        <v>1</v>
      </c>
      <c r="CB268" s="123">
        <v>29.389755249023438</v>
      </c>
      <c r="CC268" s="126"/>
      <c r="CD268" s="123">
        <v>335.9161376953125</v>
      </c>
      <c r="CE268" s="123">
        <v>30.765449523925781</v>
      </c>
      <c r="CF268" s="123">
        <v>17.392614364624023</v>
      </c>
      <c r="CG268" s="123">
        <v>35.338191986083984</v>
      </c>
      <c r="CH268" s="123">
        <v>271.56500244140625</v>
      </c>
      <c r="CI268" s="123">
        <v>79.508613586425781</v>
      </c>
      <c r="CJ268" s="123">
        <v>34.489990234375</v>
      </c>
      <c r="CK268" s="123">
        <v>48.953033447265625</v>
      </c>
      <c r="CL268" s="124">
        <v>23.760635375976563</v>
      </c>
      <c r="CM268" s="125">
        <v>186.08302307128906</v>
      </c>
      <c r="CN268" s="123">
        <v>55.404056549072266</v>
      </c>
      <c r="CO268" s="123">
        <v>53.120887756347656</v>
      </c>
      <c r="CP268" s="123">
        <v>75.68310546875</v>
      </c>
      <c r="CQ268" s="123">
        <v>0</v>
      </c>
      <c r="CR268" s="123">
        <v>48.4791259765625</v>
      </c>
      <c r="CS268" s="123">
        <v>7.2888083457946777</v>
      </c>
      <c r="CT268" s="123">
        <v>27.1961669921875</v>
      </c>
      <c r="CU268" s="123">
        <v>38.129104614257813</v>
      </c>
      <c r="CV268" s="124">
        <v>59.368743896484375</v>
      </c>
      <c r="CW268" s="125">
        <v>6</v>
      </c>
      <c r="CX268" s="123">
        <v>294</v>
      </c>
      <c r="CY268" s="123">
        <v>110.79427337646484</v>
      </c>
      <c r="CZ268" s="123">
        <v>47.5360107421875</v>
      </c>
      <c r="DA268" s="123">
        <v>20.453838348388672</v>
      </c>
      <c r="DB268" s="123">
        <v>30.009506225585938</v>
      </c>
      <c r="DC268" s="123">
        <v>73.942306518554688</v>
      </c>
      <c r="DD268" s="123">
        <v>54</v>
      </c>
      <c r="DE268" s="123">
        <v>170</v>
      </c>
      <c r="DF268" s="123">
        <v>97.173675537109375</v>
      </c>
      <c r="DG268" s="123">
        <v>65.357490539550781</v>
      </c>
      <c r="DH268" s="123">
        <v>40.553966522216797</v>
      </c>
      <c r="DI268" s="128">
        <v>36.024242401123047</v>
      </c>
      <c r="DJ268" s="127">
        <v>214</v>
      </c>
      <c r="DK268" s="123">
        <v>107.63999938964844</v>
      </c>
      <c r="DL268" s="123">
        <v>24.881000518798828</v>
      </c>
      <c r="DM268" s="123">
        <v>30.218000411987305</v>
      </c>
      <c r="DN268" s="123">
        <v>47.181999206542969</v>
      </c>
      <c r="DO268" s="124">
        <v>113.15707397460938</v>
      </c>
      <c r="DP268" s="125">
        <v>15.267999649047852</v>
      </c>
      <c r="DQ268" s="123"/>
      <c r="DR268" s="125">
        <v>67</v>
      </c>
      <c r="DS268" s="128">
        <v>28.899999618530273</v>
      </c>
      <c r="DT268" s="127">
        <v>12</v>
      </c>
      <c r="DU268" s="123"/>
      <c r="DV268" s="123">
        <v>8</v>
      </c>
      <c r="DW268" s="123">
        <v>2.630643367767334</v>
      </c>
      <c r="DX268" s="125">
        <v>12</v>
      </c>
      <c r="DY268" s="128"/>
      <c r="DZ268" s="127">
        <v>46</v>
      </c>
      <c r="EA268" s="123">
        <v>3</v>
      </c>
      <c r="EB268" s="123">
        <v>0</v>
      </c>
      <c r="EC268" s="123">
        <v>2</v>
      </c>
      <c r="ED268" s="123">
        <v>229.60000610351563</v>
      </c>
      <c r="EE268" s="129"/>
      <c r="EF268" s="129"/>
      <c r="EG268" s="129"/>
    </row>
    <row r="269" spans="1:137" x14ac:dyDescent="0.3">
      <c r="A269" s="226">
        <f t="shared" si="12"/>
        <v>46020.184027778378</v>
      </c>
      <c r="B269" s="123">
        <v>216</v>
      </c>
      <c r="C269" s="123">
        <v>47.5</v>
      </c>
      <c r="D269" s="123">
        <v>97.829002380371094</v>
      </c>
      <c r="E269" s="123">
        <v>17.076999664306641</v>
      </c>
      <c r="F269" s="123">
        <v>0</v>
      </c>
      <c r="G269" s="124">
        <v>16.625</v>
      </c>
      <c r="H269" s="125">
        <v>355</v>
      </c>
      <c r="I269" s="123">
        <v>315</v>
      </c>
      <c r="J269" s="123">
        <v>60.733001708984375</v>
      </c>
      <c r="K269" s="123">
        <v>61.423870086669922</v>
      </c>
      <c r="L269" s="123">
        <v>98.075996398925781</v>
      </c>
      <c r="M269" s="123">
        <v>11.64900016784668</v>
      </c>
      <c r="N269" s="123">
        <v>17.176000595092773</v>
      </c>
      <c r="O269" s="123">
        <v>15</v>
      </c>
      <c r="P269" s="123">
        <v>0</v>
      </c>
      <c r="Q269" s="123">
        <v>15.696649551391602</v>
      </c>
      <c r="R269" s="123">
        <v>4.9968748092651367</v>
      </c>
      <c r="S269" s="123">
        <v>3.4280598163604736</v>
      </c>
      <c r="T269" s="123">
        <v>9</v>
      </c>
      <c r="U269" s="123">
        <v>9</v>
      </c>
      <c r="V269" s="125">
        <v>841</v>
      </c>
      <c r="W269" s="123">
        <v>23.891880035400391</v>
      </c>
      <c r="X269" s="123">
        <v>23.75</v>
      </c>
      <c r="Y269" s="123">
        <v>8.3970003128051758</v>
      </c>
      <c r="Z269" s="123">
        <v>0</v>
      </c>
      <c r="AA269" s="123">
        <v>17.416000366210938</v>
      </c>
      <c r="AB269" s="123">
        <v>0</v>
      </c>
      <c r="AC269" s="123">
        <v>50.785903930664063</v>
      </c>
      <c r="AD269" s="123">
        <v>5.8520002365112305</v>
      </c>
      <c r="AE269" s="123">
        <v>0</v>
      </c>
      <c r="AF269" s="123">
        <v>80.119453430175781</v>
      </c>
      <c r="AG269" s="123">
        <v>0</v>
      </c>
      <c r="AH269" s="123">
        <v>61.818557739257813</v>
      </c>
      <c r="AI269" s="123">
        <v>11.322999954223633</v>
      </c>
      <c r="AJ269" s="123">
        <v>14.831001281738281</v>
      </c>
      <c r="AK269" s="123">
        <v>36.034622192382813</v>
      </c>
      <c r="AL269" s="123">
        <v>36.402999877929688</v>
      </c>
      <c r="AM269" s="126">
        <v>55.409999847412109</v>
      </c>
      <c r="AN269" s="125">
        <v>108.125</v>
      </c>
      <c r="AO269" s="127">
        <v>55</v>
      </c>
      <c r="AP269" s="123">
        <v>58.004955291748047</v>
      </c>
      <c r="AQ269" s="123">
        <v>32.961318969726563</v>
      </c>
      <c r="AR269" s="123">
        <v>90</v>
      </c>
      <c r="AS269" s="123"/>
      <c r="AT269" s="123">
        <v>102</v>
      </c>
      <c r="AU269" s="123"/>
      <c r="AV269" s="123">
        <v>52</v>
      </c>
      <c r="AW269" s="123"/>
      <c r="AX269" s="123">
        <v>29</v>
      </c>
      <c r="AY269" s="123">
        <v>31.789779663085938</v>
      </c>
      <c r="AZ269" s="123">
        <v>4</v>
      </c>
      <c r="BA269" s="123"/>
      <c r="BB269" s="123">
        <v>177</v>
      </c>
      <c r="BC269" s="123">
        <v>175.24726867675781</v>
      </c>
      <c r="BD269" s="123">
        <v>6.5999999046325684</v>
      </c>
      <c r="BE269" s="123">
        <v>6.6349320411682129</v>
      </c>
      <c r="BF269" s="123">
        <v>30</v>
      </c>
      <c r="BG269" s="123">
        <v>11</v>
      </c>
      <c r="BH269" s="123">
        <v>11.480955123901367</v>
      </c>
      <c r="BI269" s="123"/>
      <c r="BJ269" s="108">
        <f t="shared" si="13"/>
        <v>11</v>
      </c>
      <c r="BK269" s="123">
        <v>11</v>
      </c>
      <c r="BL269" s="123">
        <v>0</v>
      </c>
      <c r="BM269" s="126"/>
      <c r="BN269" s="108">
        <f t="shared" si="14"/>
        <v>121</v>
      </c>
      <c r="BO269" s="108">
        <v>73</v>
      </c>
      <c r="BP269" s="108">
        <v>48</v>
      </c>
      <c r="BQ269" s="108">
        <v>259</v>
      </c>
      <c r="BR269" s="123">
        <v>62.769001007080078</v>
      </c>
      <c r="BS269" s="123">
        <v>25.445999145507813</v>
      </c>
      <c r="BT269" s="123">
        <v>40.523998260498047</v>
      </c>
      <c r="BU269" s="123">
        <v>33.844001770019531</v>
      </c>
      <c r="BV269" s="123">
        <v>68.699996948242188</v>
      </c>
      <c r="BW269" s="123">
        <v>5.9000000953674316</v>
      </c>
      <c r="BX269" s="123">
        <v>13.5</v>
      </c>
      <c r="BY269" s="123">
        <v>29</v>
      </c>
      <c r="BZ269" s="123">
        <v>1.2343579903244972E-2</v>
      </c>
      <c r="CA269" s="123">
        <v>1</v>
      </c>
      <c r="CB269" s="123">
        <v>29.490200042724609</v>
      </c>
      <c r="CC269" s="126"/>
      <c r="CD269" s="123">
        <v>330.38885498046875</v>
      </c>
      <c r="CE269" s="123">
        <v>30.454130172729492</v>
      </c>
      <c r="CF269" s="123">
        <v>17.603500366210938</v>
      </c>
      <c r="CG269" s="123">
        <v>35.338191986083984</v>
      </c>
      <c r="CH269" s="123">
        <v>269.23788452148438</v>
      </c>
      <c r="CI269" s="123">
        <v>79.941123962402344</v>
      </c>
      <c r="CJ269" s="123">
        <v>34.933639526367188</v>
      </c>
      <c r="CK269" s="123">
        <v>48.702747344970703</v>
      </c>
      <c r="CL269" s="124">
        <v>26.516714096069336</v>
      </c>
      <c r="CM269" s="125">
        <v>195.85710144042969</v>
      </c>
      <c r="CN269" s="123">
        <v>64.279327392578125</v>
      </c>
      <c r="CO269" s="123">
        <v>53.465656280517578</v>
      </c>
      <c r="CP269" s="123">
        <v>76.281494140625</v>
      </c>
      <c r="CQ269" s="123">
        <v>0</v>
      </c>
      <c r="CR269" s="123">
        <v>48.519279479980469</v>
      </c>
      <c r="CS269" s="123">
        <v>8.9913444519042969</v>
      </c>
      <c r="CT269" s="123">
        <v>27.457595825195313</v>
      </c>
      <c r="CU269" s="123">
        <v>37.872039794921875</v>
      </c>
      <c r="CV269" s="124">
        <v>59.451732635498047</v>
      </c>
      <c r="CW269" s="125">
        <v>7</v>
      </c>
      <c r="CX269" s="123">
        <v>297</v>
      </c>
      <c r="CY269" s="123">
        <v>108.79954528808594</v>
      </c>
      <c r="CZ269" s="123">
        <v>48.532230377197266</v>
      </c>
      <c r="DA269" s="123">
        <v>20.044672012329102</v>
      </c>
      <c r="DB269" s="123">
        <v>30.332626342773438</v>
      </c>
      <c r="DC269" s="123">
        <v>71.745132446289063</v>
      </c>
      <c r="DD269" s="123">
        <v>40</v>
      </c>
      <c r="DE269" s="123">
        <v>167</v>
      </c>
      <c r="DF269" s="123">
        <v>97.325836181640625</v>
      </c>
      <c r="DG269" s="123">
        <v>63.118247985839844</v>
      </c>
      <c r="DH269" s="123">
        <v>41.931076049804688</v>
      </c>
      <c r="DI269" s="128">
        <v>36.31793212890625</v>
      </c>
      <c r="DJ269" s="127">
        <v>212</v>
      </c>
      <c r="DK269" s="123">
        <v>111.45700073242188</v>
      </c>
      <c r="DL269" s="123">
        <v>26.464000701904297</v>
      </c>
      <c r="DM269" s="123">
        <v>29.156999588012695</v>
      </c>
      <c r="DN269" s="123">
        <v>47.181999206542969</v>
      </c>
      <c r="DO269" s="124">
        <v>112.42067718505859</v>
      </c>
      <c r="DP269" s="125">
        <v>14.758999824523926</v>
      </c>
      <c r="DQ269" s="123"/>
      <c r="DR269" s="125">
        <v>67</v>
      </c>
      <c r="DS269" s="128">
        <v>26.899999618530273</v>
      </c>
      <c r="DT269" s="127">
        <v>13</v>
      </c>
      <c r="DU269" s="123"/>
      <c r="DV269" s="123">
        <v>7</v>
      </c>
      <c r="DW269" s="123">
        <v>2.5872535705566406</v>
      </c>
      <c r="DX269" s="125">
        <v>10</v>
      </c>
      <c r="DY269" s="128"/>
      <c r="DZ269" s="127">
        <v>46</v>
      </c>
      <c r="EA269" s="123">
        <v>3</v>
      </c>
      <c r="EB269" s="123">
        <v>0</v>
      </c>
      <c r="EC269" s="123">
        <v>1</v>
      </c>
      <c r="ED269" s="123">
        <v>229.5</v>
      </c>
      <c r="EE269" s="129"/>
      <c r="EF269" s="129"/>
      <c r="EG269" s="129"/>
    </row>
    <row r="270" spans="1:137" x14ac:dyDescent="0.3">
      <c r="A270" s="226">
        <f t="shared" si="12"/>
        <v>46020.184722222824</v>
      </c>
      <c r="B270" s="123">
        <v>219</v>
      </c>
      <c r="C270" s="123">
        <v>47.273998260498047</v>
      </c>
      <c r="D270" s="123">
        <v>97.488998413085938</v>
      </c>
      <c r="E270" s="123">
        <v>18.320999145507813</v>
      </c>
      <c r="F270" s="123">
        <v>7.2507867813110352</v>
      </c>
      <c r="G270" s="124">
        <v>17.530000686645508</v>
      </c>
      <c r="H270" s="125">
        <v>359</v>
      </c>
      <c r="I270" s="123">
        <v>312</v>
      </c>
      <c r="J270" s="123">
        <v>61.410999298095703</v>
      </c>
      <c r="K270" s="123">
        <v>60.568584442138672</v>
      </c>
      <c r="L270" s="123">
        <v>98.606002807617188</v>
      </c>
      <c r="M270" s="123">
        <v>11.76200008392334</v>
      </c>
      <c r="N270" s="123">
        <v>17.621000289916992</v>
      </c>
      <c r="O270" s="123">
        <v>18</v>
      </c>
      <c r="P270" s="123">
        <v>0</v>
      </c>
      <c r="Q270" s="123">
        <v>18.037872314453125</v>
      </c>
      <c r="R270" s="123">
        <v>0</v>
      </c>
      <c r="S270" s="123">
        <v>5.4374518394470215</v>
      </c>
      <c r="T270" s="123">
        <v>9</v>
      </c>
      <c r="U270" s="123">
        <v>9</v>
      </c>
      <c r="V270" s="125">
        <v>840</v>
      </c>
      <c r="W270" s="123">
        <v>24.166831970214844</v>
      </c>
      <c r="X270" s="123">
        <v>23.52400016784668</v>
      </c>
      <c r="Y270" s="123">
        <v>6.2979998588562012</v>
      </c>
      <c r="Z270" s="123">
        <v>0</v>
      </c>
      <c r="AA270" s="123">
        <v>18.660999298095703</v>
      </c>
      <c r="AB270" s="123">
        <v>0</v>
      </c>
      <c r="AC270" s="123">
        <v>50.606395721435547</v>
      </c>
      <c r="AD270" s="123">
        <v>5.8520002365112305</v>
      </c>
      <c r="AE270" s="123">
        <v>0</v>
      </c>
      <c r="AF270" s="123">
        <v>79.130058288574219</v>
      </c>
      <c r="AG270" s="123">
        <v>0</v>
      </c>
      <c r="AH270" s="123">
        <v>57.616416931152344</v>
      </c>
      <c r="AI270" s="123">
        <v>11.704999923706055</v>
      </c>
      <c r="AJ270" s="123">
        <v>15.077003479003906</v>
      </c>
      <c r="AK270" s="123">
        <v>36.134651184082031</v>
      </c>
      <c r="AL270" s="123">
        <v>37.993000030517578</v>
      </c>
      <c r="AM270" s="126">
        <v>54.9010009765625</v>
      </c>
      <c r="AN270" s="125">
        <v>107</v>
      </c>
      <c r="AO270" s="127">
        <v>54</v>
      </c>
      <c r="AP270" s="123">
        <v>58.17694091796875</v>
      </c>
      <c r="AQ270" s="123">
        <v>32.867839813232422</v>
      </c>
      <c r="AR270" s="123">
        <v>90</v>
      </c>
      <c r="AS270" s="123"/>
      <c r="AT270" s="123">
        <v>102</v>
      </c>
      <c r="AU270" s="123"/>
      <c r="AV270" s="123">
        <v>54</v>
      </c>
      <c r="AW270" s="123"/>
      <c r="AX270" s="123">
        <v>30</v>
      </c>
      <c r="AY270" s="123">
        <v>32.990264892578125</v>
      </c>
      <c r="AZ270" s="123">
        <v>4</v>
      </c>
      <c r="BA270" s="123"/>
      <c r="BB270" s="123">
        <v>175</v>
      </c>
      <c r="BC270" s="123">
        <v>176.04647827148438</v>
      </c>
      <c r="BD270" s="123">
        <v>6.5999999046325684</v>
      </c>
      <c r="BE270" s="123">
        <v>6.6292519569396973</v>
      </c>
      <c r="BF270" s="123">
        <v>30</v>
      </c>
      <c r="BG270" s="123">
        <v>11</v>
      </c>
      <c r="BH270" s="123">
        <v>11.605544090270996</v>
      </c>
      <c r="BI270" s="123"/>
      <c r="BJ270" s="108">
        <f t="shared" si="13"/>
        <v>10</v>
      </c>
      <c r="BK270" s="123">
        <v>10</v>
      </c>
      <c r="BL270" s="123">
        <v>0</v>
      </c>
      <c r="BM270" s="126"/>
      <c r="BN270" s="108">
        <f t="shared" si="14"/>
        <v>120.20000076293945</v>
      </c>
      <c r="BO270" s="108">
        <v>72</v>
      </c>
      <c r="BP270" s="108">
        <v>48.200000762939453</v>
      </c>
      <c r="BQ270" s="108">
        <v>266</v>
      </c>
      <c r="BR270" s="123">
        <v>68.650001525878906</v>
      </c>
      <c r="BS270" s="123">
        <v>25.701000213623047</v>
      </c>
      <c r="BT270" s="123">
        <v>41.562999725341797</v>
      </c>
      <c r="BU270" s="123">
        <v>34.988998413085938</v>
      </c>
      <c r="BV270" s="123">
        <v>69</v>
      </c>
      <c r="BW270" s="123">
        <v>5.8000001907348633</v>
      </c>
      <c r="BX270" s="123">
        <v>13.600000381469727</v>
      </c>
      <c r="BY270" s="123">
        <v>29</v>
      </c>
      <c r="BZ270" s="123">
        <v>1.442409586161375E-2</v>
      </c>
      <c r="CA270" s="123">
        <v>1</v>
      </c>
      <c r="CB270" s="123">
        <v>29.938430786132813</v>
      </c>
      <c r="CC270" s="126"/>
      <c r="CD270" s="123">
        <v>335.7825927734375</v>
      </c>
      <c r="CE270" s="123">
        <v>30.060344696044922</v>
      </c>
      <c r="CF270" s="123">
        <v>17.832195281982422</v>
      </c>
      <c r="CG270" s="123">
        <v>35.338191986083984</v>
      </c>
      <c r="CH270" s="123">
        <v>269.52560424804688</v>
      </c>
      <c r="CI270" s="123">
        <v>80.386604309082031</v>
      </c>
      <c r="CJ270" s="123">
        <v>34.578937530517578</v>
      </c>
      <c r="CK270" s="123">
        <v>48.920722961425781</v>
      </c>
      <c r="CL270" s="124">
        <v>24.485454559326172</v>
      </c>
      <c r="CM270" s="125">
        <v>198.65475463867188</v>
      </c>
      <c r="CN270" s="123">
        <v>63.624652862548828</v>
      </c>
      <c r="CO270" s="123">
        <v>53.505867004394531</v>
      </c>
      <c r="CP270" s="123">
        <v>78.748329162597656</v>
      </c>
      <c r="CQ270" s="123">
        <v>0</v>
      </c>
      <c r="CR270" s="123">
        <v>48.079574584960938</v>
      </c>
      <c r="CS270" s="123">
        <v>8.0559892654418945</v>
      </c>
      <c r="CT270" s="123">
        <v>28.96183967590332</v>
      </c>
      <c r="CU270" s="123">
        <v>38.527278900146484</v>
      </c>
      <c r="CV270" s="124">
        <v>56.640213012695313</v>
      </c>
      <c r="CW270" s="125">
        <v>2</v>
      </c>
      <c r="CX270" s="123">
        <v>292</v>
      </c>
      <c r="CY270" s="123">
        <v>107.66546630859375</v>
      </c>
      <c r="CZ270" s="123">
        <v>48.784278869628906</v>
      </c>
      <c r="DA270" s="123">
        <v>19.084114074707031</v>
      </c>
      <c r="DB270" s="123">
        <v>30.768239974975586</v>
      </c>
      <c r="DC270" s="123">
        <v>71.910331726074219</v>
      </c>
      <c r="DD270" s="123">
        <v>48</v>
      </c>
      <c r="DE270" s="123">
        <v>169</v>
      </c>
      <c r="DF270" s="123">
        <v>97.478187561035156</v>
      </c>
      <c r="DG270" s="123">
        <v>62.760013580322266</v>
      </c>
      <c r="DH270" s="123">
        <v>42.122806549072266</v>
      </c>
      <c r="DI270" s="128">
        <v>37.924007415771484</v>
      </c>
      <c r="DJ270" s="127">
        <v>212</v>
      </c>
      <c r="DK270" s="123">
        <v>110.18499755859375</v>
      </c>
      <c r="DL270" s="123">
        <v>24.881000518798828</v>
      </c>
      <c r="DM270" s="123">
        <v>29.156999588012695</v>
      </c>
      <c r="DN270" s="123">
        <v>51.777000427246094</v>
      </c>
      <c r="DO270" s="124">
        <v>111.59923553466797</v>
      </c>
      <c r="DP270" s="125">
        <v>15.12600040435791</v>
      </c>
      <c r="DQ270" s="123"/>
      <c r="DR270" s="125">
        <v>67</v>
      </c>
      <c r="DS270" s="128">
        <v>28.600000381469727</v>
      </c>
      <c r="DT270" s="127">
        <v>13</v>
      </c>
      <c r="DU270" s="123"/>
      <c r="DV270" s="123">
        <v>8</v>
      </c>
      <c r="DW270" s="123">
        <v>2.5973865985870361</v>
      </c>
      <c r="DX270" s="125">
        <v>11</v>
      </c>
      <c r="DY270" s="128"/>
      <c r="DZ270" s="127">
        <v>46</v>
      </c>
      <c r="EA270" s="123">
        <v>3</v>
      </c>
      <c r="EB270" s="123">
        <v>0</v>
      </c>
      <c r="EC270" s="123">
        <v>1</v>
      </c>
      <c r="ED270" s="123">
        <v>229.80000305175781</v>
      </c>
      <c r="EE270" s="129"/>
      <c r="EF270" s="129"/>
      <c r="EG270" s="129"/>
    </row>
    <row r="271" spans="1:137" x14ac:dyDescent="0.3">
      <c r="A271" s="226">
        <f t="shared" si="12"/>
        <v>46020.185416667271</v>
      </c>
      <c r="B271" s="123">
        <v>220</v>
      </c>
      <c r="C271" s="123">
        <v>49.762001037597656</v>
      </c>
      <c r="D271" s="123">
        <v>97.037002563476563</v>
      </c>
      <c r="E271" s="123">
        <v>21.826999664306641</v>
      </c>
      <c r="F271" s="123">
        <v>0</v>
      </c>
      <c r="G271" s="124">
        <v>17.868999481201172</v>
      </c>
      <c r="H271" s="125">
        <v>356</v>
      </c>
      <c r="I271" s="123">
        <v>315</v>
      </c>
      <c r="J271" s="123">
        <v>58.471000671386719</v>
      </c>
      <c r="K271" s="123">
        <v>60.976600646972656</v>
      </c>
      <c r="L271" s="123">
        <v>100.55000305175781</v>
      </c>
      <c r="M271" s="123">
        <v>11.309000015258789</v>
      </c>
      <c r="N271" s="123">
        <v>18.638999938964844</v>
      </c>
      <c r="O271" s="123">
        <v>16</v>
      </c>
      <c r="P271" s="123">
        <v>0</v>
      </c>
      <c r="Q271" s="123">
        <v>16.657896041870117</v>
      </c>
      <c r="R271" s="123">
        <v>4.9968748092651367</v>
      </c>
      <c r="S271" s="123">
        <v>5.3690934181213379</v>
      </c>
      <c r="T271" s="123">
        <v>9</v>
      </c>
      <c r="U271" s="123">
        <v>9</v>
      </c>
      <c r="V271" s="125">
        <v>837</v>
      </c>
      <c r="W271" s="123">
        <v>26.770042419433594</v>
      </c>
      <c r="X271" s="123">
        <v>24.881000518798828</v>
      </c>
      <c r="Y271" s="123">
        <v>6.1069998741149902</v>
      </c>
      <c r="Z271" s="123">
        <v>0</v>
      </c>
      <c r="AA271" s="123">
        <v>18.094999313354492</v>
      </c>
      <c r="AB271" s="123">
        <v>0</v>
      </c>
      <c r="AC271" s="123">
        <v>51.257987976074219</v>
      </c>
      <c r="AD271" s="123">
        <v>5.8520002365112305</v>
      </c>
      <c r="AE271" s="123">
        <v>0</v>
      </c>
      <c r="AF271" s="123">
        <v>79.585624694824219</v>
      </c>
      <c r="AG271" s="123">
        <v>0</v>
      </c>
      <c r="AH271" s="123">
        <v>58.079647064208984</v>
      </c>
      <c r="AI271" s="123">
        <v>12.531999588012695</v>
      </c>
      <c r="AJ271" s="123">
        <v>15.331747055053711</v>
      </c>
      <c r="AK271" s="123">
        <v>36.460247039794922</v>
      </c>
      <c r="AL271" s="123">
        <v>36.578998565673828</v>
      </c>
      <c r="AM271" s="126">
        <v>54.646999359130859</v>
      </c>
      <c r="AN271" s="125">
        <v>112.6875</v>
      </c>
      <c r="AO271" s="127">
        <v>59</v>
      </c>
      <c r="AP271" s="123">
        <v>58.265060424804688</v>
      </c>
      <c r="AQ271" s="123">
        <v>37.122684478759766</v>
      </c>
      <c r="AR271" s="123">
        <v>89</v>
      </c>
      <c r="AS271" s="123"/>
      <c r="AT271" s="123">
        <v>102</v>
      </c>
      <c r="AU271" s="123"/>
      <c r="AV271" s="123">
        <v>54</v>
      </c>
      <c r="AW271" s="123"/>
      <c r="AX271" s="123">
        <v>30</v>
      </c>
      <c r="AY271" s="123">
        <v>32.990264892578125</v>
      </c>
      <c r="AZ271" s="123">
        <v>4</v>
      </c>
      <c r="BA271" s="123"/>
      <c r="BB271" s="123">
        <v>176</v>
      </c>
      <c r="BC271" s="123">
        <v>176.43118286132813</v>
      </c>
      <c r="BD271" s="123">
        <v>6.5</v>
      </c>
      <c r="BE271" s="123">
        <v>6.583648681640625</v>
      </c>
      <c r="BF271" s="123">
        <v>31</v>
      </c>
      <c r="BG271" s="123">
        <v>11</v>
      </c>
      <c r="BH271" s="123">
        <v>11.578091621398926</v>
      </c>
      <c r="BI271" s="123"/>
      <c r="BJ271" s="108">
        <f t="shared" si="13"/>
        <v>10</v>
      </c>
      <c r="BK271" s="123">
        <v>10</v>
      </c>
      <c r="BL271" s="123">
        <v>0</v>
      </c>
      <c r="BM271" s="126"/>
      <c r="BN271" s="108">
        <f t="shared" si="14"/>
        <v>120.20000076293945</v>
      </c>
      <c r="BO271" s="108">
        <v>72</v>
      </c>
      <c r="BP271" s="108">
        <v>48.200000762939453</v>
      </c>
      <c r="BQ271" s="108">
        <v>263</v>
      </c>
      <c r="BR271" s="123">
        <v>62.994998931884766</v>
      </c>
      <c r="BS271" s="123">
        <v>25.191999435424805</v>
      </c>
      <c r="BT271" s="123">
        <v>40.523998260498047</v>
      </c>
      <c r="BU271" s="123">
        <v>35.180000305175781</v>
      </c>
      <c r="BV271" s="123">
        <v>69.5</v>
      </c>
      <c r="BW271" s="123">
        <v>5.8000001907348633</v>
      </c>
      <c r="BX271" s="123">
        <v>13.600000381469727</v>
      </c>
      <c r="BY271" s="123">
        <v>29</v>
      </c>
      <c r="BZ271" s="123">
        <v>1.3339009135961533E-2</v>
      </c>
      <c r="CA271" s="123">
        <v>1</v>
      </c>
      <c r="CB271" s="123">
        <v>29.695951461791992</v>
      </c>
      <c r="CC271" s="126"/>
      <c r="CD271" s="123">
        <v>328.34176635742188</v>
      </c>
      <c r="CE271" s="123">
        <v>30.334426879882813</v>
      </c>
      <c r="CF271" s="123">
        <v>17.449909210205078</v>
      </c>
      <c r="CG271" s="123">
        <v>35.338191986083984</v>
      </c>
      <c r="CH271" s="123">
        <v>269.05258178710938</v>
      </c>
      <c r="CI271" s="123">
        <v>76.351043701171875</v>
      </c>
      <c r="CJ271" s="123">
        <v>33.782966613769531</v>
      </c>
      <c r="CK271" s="123">
        <v>46.996715545654297</v>
      </c>
      <c r="CL271" s="124">
        <v>25.616947174072266</v>
      </c>
      <c r="CM271" s="125">
        <v>194.45109558105469</v>
      </c>
      <c r="CN271" s="123">
        <v>64.394622802734375</v>
      </c>
      <c r="CO271" s="123">
        <v>51.795070648193359</v>
      </c>
      <c r="CP271" s="123">
        <v>77.464088439941406</v>
      </c>
      <c r="CQ271" s="123">
        <v>0</v>
      </c>
      <c r="CR271" s="123">
        <v>48.326435089111328</v>
      </c>
      <c r="CS271" s="123">
        <v>7.3200826644897461</v>
      </c>
      <c r="CT271" s="123">
        <v>30.340034484863281</v>
      </c>
      <c r="CU271" s="123">
        <v>37.015003204345703</v>
      </c>
      <c r="CV271" s="124">
        <v>56.663166046142578</v>
      </c>
      <c r="CW271" s="125">
        <v>2</v>
      </c>
      <c r="CX271" s="123">
        <v>292</v>
      </c>
      <c r="CY271" s="123">
        <v>108.59934997558594</v>
      </c>
      <c r="CZ271" s="123">
        <v>45.502578735351563</v>
      </c>
      <c r="DA271" s="123">
        <v>19.213678359985352</v>
      </c>
      <c r="DB271" s="123">
        <v>29.27247428894043</v>
      </c>
      <c r="DC271" s="123">
        <v>68.137222290039063</v>
      </c>
      <c r="DD271" s="123">
        <v>55</v>
      </c>
      <c r="DE271" s="123">
        <v>170</v>
      </c>
      <c r="DF271" s="123">
        <v>97.171806335449219</v>
      </c>
      <c r="DG271" s="123">
        <v>64.627304077148438</v>
      </c>
      <c r="DH271" s="123">
        <v>41.247428894042969</v>
      </c>
      <c r="DI271" s="128">
        <v>36.906505584716797</v>
      </c>
      <c r="DJ271" s="127">
        <v>213</v>
      </c>
      <c r="DK271" s="123">
        <v>106.11299896240234</v>
      </c>
      <c r="DL271" s="123">
        <v>22.958000183105469</v>
      </c>
      <c r="DM271" s="123">
        <v>28.981000900268555</v>
      </c>
      <c r="DN271" s="123">
        <v>46.828998565673828</v>
      </c>
      <c r="DO271" s="124">
        <v>115.34529876708984</v>
      </c>
      <c r="DP271" s="125">
        <v>15.12600040435791</v>
      </c>
      <c r="DQ271" s="123"/>
      <c r="DR271" s="125">
        <v>67</v>
      </c>
      <c r="DS271" s="128">
        <v>27.299999237060547</v>
      </c>
      <c r="DT271" s="127">
        <v>12</v>
      </c>
      <c r="DU271" s="123"/>
      <c r="DV271" s="123">
        <v>0</v>
      </c>
      <c r="DW271" s="123">
        <v>2.4389369487762451</v>
      </c>
      <c r="DX271" s="125">
        <v>11</v>
      </c>
      <c r="DY271" s="128"/>
      <c r="DZ271" s="127">
        <v>46</v>
      </c>
      <c r="EA271" s="123">
        <v>3</v>
      </c>
      <c r="EB271" s="123">
        <v>0</v>
      </c>
      <c r="EC271" s="123">
        <v>1</v>
      </c>
      <c r="ED271" s="123">
        <v>230.19999694824219</v>
      </c>
      <c r="EE271" s="129"/>
      <c r="EF271" s="129"/>
      <c r="EG271" s="129"/>
    </row>
    <row r="272" spans="1:137" x14ac:dyDescent="0.3">
      <c r="A272" s="226">
        <f t="shared" si="12"/>
        <v>46020.186111111718</v>
      </c>
      <c r="B272" s="123">
        <v>220</v>
      </c>
      <c r="C272" s="123">
        <v>50.779998779296875</v>
      </c>
      <c r="D272" s="123">
        <v>97.375999450683594</v>
      </c>
      <c r="E272" s="123">
        <v>37.321998596191406</v>
      </c>
      <c r="F272" s="123">
        <v>0</v>
      </c>
      <c r="G272" s="124">
        <v>17.302999496459961</v>
      </c>
      <c r="H272" s="125">
        <v>356</v>
      </c>
      <c r="I272" s="123">
        <v>319</v>
      </c>
      <c r="J272" s="123">
        <v>61.863998413085938</v>
      </c>
      <c r="K272" s="123">
        <v>63.609798431396484</v>
      </c>
      <c r="L272" s="123">
        <v>102.49400329589844</v>
      </c>
      <c r="M272" s="123">
        <v>11.76200008392334</v>
      </c>
      <c r="N272" s="123">
        <v>17.048999786376953</v>
      </c>
      <c r="O272" s="123">
        <v>16</v>
      </c>
      <c r="P272" s="123">
        <v>0</v>
      </c>
      <c r="Q272" s="123">
        <v>15.783556938171387</v>
      </c>
      <c r="R272" s="123">
        <v>10.003125190734863</v>
      </c>
      <c r="S272" s="123">
        <v>5.3586792945861816</v>
      </c>
      <c r="T272" s="123">
        <v>9</v>
      </c>
      <c r="U272" s="123">
        <v>9</v>
      </c>
      <c r="V272" s="125">
        <v>837</v>
      </c>
      <c r="W272" s="123">
        <v>26.214614868164063</v>
      </c>
      <c r="X272" s="123">
        <v>24.315000534057617</v>
      </c>
      <c r="Y272" s="123">
        <v>7.4429998397827148</v>
      </c>
      <c r="Z272" s="123">
        <v>0</v>
      </c>
      <c r="AA272" s="123">
        <v>17.642999649047852</v>
      </c>
      <c r="AB272" s="123">
        <v>0</v>
      </c>
      <c r="AC272" s="123">
        <v>50.661041259765625</v>
      </c>
      <c r="AD272" s="123">
        <v>6.1069998741149902</v>
      </c>
      <c r="AE272" s="123">
        <v>0</v>
      </c>
      <c r="AF272" s="123">
        <v>78.978691101074219</v>
      </c>
      <c r="AG272" s="123">
        <v>0</v>
      </c>
      <c r="AH272" s="123">
        <v>60.303821563720703</v>
      </c>
      <c r="AI272" s="123">
        <v>13.295999526977539</v>
      </c>
      <c r="AJ272" s="123">
        <v>16.186721801757813</v>
      </c>
      <c r="AK272" s="123">
        <v>35.868686676025391</v>
      </c>
      <c r="AL272" s="123">
        <v>35.341999053955078</v>
      </c>
      <c r="AM272" s="126">
        <v>55.027999877929688</v>
      </c>
      <c r="AN272" s="125">
        <v>109.8125</v>
      </c>
      <c r="AO272" s="127">
        <v>57</v>
      </c>
      <c r="AP272" s="123">
        <v>58.541023254394531</v>
      </c>
      <c r="AQ272" s="123">
        <v>35.153224945068359</v>
      </c>
      <c r="AR272" s="123">
        <v>90</v>
      </c>
      <c r="AS272" s="123"/>
      <c r="AT272" s="123">
        <v>100</v>
      </c>
      <c r="AU272" s="123"/>
      <c r="AV272" s="123">
        <v>54</v>
      </c>
      <c r="AW272" s="123"/>
      <c r="AX272" s="123">
        <v>30</v>
      </c>
      <c r="AY272" s="123">
        <v>33.251602172851563</v>
      </c>
      <c r="AZ272" s="123">
        <v>0</v>
      </c>
      <c r="BA272" s="123"/>
      <c r="BB272" s="123">
        <v>176</v>
      </c>
      <c r="BC272" s="123">
        <v>178.78849792480469</v>
      </c>
      <c r="BD272" s="123">
        <v>6.5999999046325684</v>
      </c>
      <c r="BE272" s="123">
        <v>6.635073184967041</v>
      </c>
      <c r="BF272" s="123">
        <v>30</v>
      </c>
      <c r="BG272" s="123">
        <v>11</v>
      </c>
      <c r="BH272" s="123">
        <v>11.391467094421387</v>
      </c>
      <c r="BI272" s="123"/>
      <c r="BJ272" s="108">
        <f t="shared" si="13"/>
        <v>11</v>
      </c>
      <c r="BK272" s="123">
        <v>11</v>
      </c>
      <c r="BL272" s="123">
        <v>0</v>
      </c>
      <c r="BM272" s="126"/>
      <c r="BN272" s="108">
        <f t="shared" si="14"/>
        <v>121</v>
      </c>
      <c r="BO272" s="108">
        <v>73</v>
      </c>
      <c r="BP272" s="108">
        <v>48</v>
      </c>
      <c r="BQ272" s="108">
        <v>261</v>
      </c>
      <c r="BR272" s="123">
        <v>64.351997375488281</v>
      </c>
      <c r="BS272" s="123">
        <v>24.937000274658203</v>
      </c>
      <c r="BT272" s="123">
        <v>40.869998931884766</v>
      </c>
      <c r="BU272" s="123">
        <v>33.716999053955078</v>
      </c>
      <c r="BV272" s="123">
        <v>69.300003051757813</v>
      </c>
      <c r="BW272" s="123">
        <v>5.6999998092651367</v>
      </c>
      <c r="BX272" s="123">
        <v>13.5</v>
      </c>
      <c r="BY272" s="123">
        <v>28</v>
      </c>
      <c r="BZ272" s="123">
        <v>1.5699969604611397E-2</v>
      </c>
      <c r="CA272" s="123">
        <v>1</v>
      </c>
      <c r="CB272" s="123">
        <v>29.327959060668945</v>
      </c>
      <c r="CC272" s="126"/>
      <c r="CD272" s="123">
        <v>330.81280517578125</v>
      </c>
      <c r="CE272" s="123">
        <v>29.476581573486328</v>
      </c>
      <c r="CF272" s="123">
        <v>17.606292724609375</v>
      </c>
      <c r="CG272" s="123">
        <v>35.338191986083984</v>
      </c>
      <c r="CH272" s="123">
        <v>268.86404418945313</v>
      </c>
      <c r="CI272" s="123">
        <v>75.627143859863281</v>
      </c>
      <c r="CJ272" s="123">
        <v>34.2379150390625</v>
      </c>
      <c r="CK272" s="123">
        <v>46.636966705322266</v>
      </c>
      <c r="CL272" s="124">
        <v>24.758121490478516</v>
      </c>
      <c r="CM272" s="125">
        <v>182.091796875</v>
      </c>
      <c r="CN272" s="123">
        <v>60.460979461669922</v>
      </c>
      <c r="CO272" s="123">
        <v>52.3033447265625</v>
      </c>
      <c r="CP272" s="123">
        <v>65.925590515136719</v>
      </c>
      <c r="CQ272" s="123">
        <v>0</v>
      </c>
      <c r="CR272" s="123">
        <v>48.478710174560547</v>
      </c>
      <c r="CS272" s="123">
        <v>7.3237094879150391</v>
      </c>
      <c r="CT272" s="123">
        <v>31.514352798461914</v>
      </c>
      <c r="CU272" s="123">
        <v>38.130241394042969</v>
      </c>
      <c r="CV272" s="124">
        <v>57.955722808837891</v>
      </c>
      <c r="CW272" s="125">
        <v>4</v>
      </c>
      <c r="CX272" s="123">
        <v>286</v>
      </c>
      <c r="CY272" s="123">
        <v>109.54940032958984</v>
      </c>
      <c r="CZ272" s="123">
        <v>46.508502960205078</v>
      </c>
      <c r="DA272" s="123">
        <v>19.836957931518555</v>
      </c>
      <c r="DB272" s="123">
        <v>27.957815170288086</v>
      </c>
      <c r="DC272" s="123">
        <v>67.958877563476563</v>
      </c>
      <c r="DD272" s="123">
        <v>53</v>
      </c>
      <c r="DE272" s="123">
        <v>168</v>
      </c>
      <c r="DF272" s="123">
        <v>99.153633117675781</v>
      </c>
      <c r="DG272" s="123">
        <v>62.674472808837891</v>
      </c>
      <c r="DH272" s="123">
        <v>41.697383880615234</v>
      </c>
      <c r="DI272" s="128">
        <v>37.580116271972656</v>
      </c>
      <c r="DJ272" s="127">
        <v>210</v>
      </c>
      <c r="DK272" s="123">
        <v>104.07700347900391</v>
      </c>
      <c r="DL272" s="123">
        <v>22.732000350952148</v>
      </c>
      <c r="DM272" s="123">
        <v>28.981000900268555</v>
      </c>
      <c r="DN272" s="123">
        <v>49.479999542236328</v>
      </c>
      <c r="DO272" s="124">
        <v>115.05618286132813</v>
      </c>
      <c r="DP272" s="125">
        <v>15.097999572753906</v>
      </c>
      <c r="DQ272" s="123"/>
      <c r="DR272" s="125">
        <v>67</v>
      </c>
      <c r="DS272" s="128">
        <v>29.299999237060547</v>
      </c>
      <c r="DT272" s="127">
        <v>12</v>
      </c>
      <c r="DU272" s="123"/>
      <c r="DV272" s="123">
        <v>7</v>
      </c>
      <c r="DW272" s="123">
        <v>2.5476605892181396</v>
      </c>
      <c r="DX272" s="125">
        <v>11</v>
      </c>
      <c r="DY272" s="128"/>
      <c r="DZ272" s="127">
        <v>46</v>
      </c>
      <c r="EA272" s="123">
        <v>3</v>
      </c>
      <c r="EB272" s="123">
        <v>0</v>
      </c>
      <c r="EC272" s="123">
        <v>1</v>
      </c>
      <c r="ED272" s="123">
        <v>230.69999694824219</v>
      </c>
      <c r="EE272" s="129"/>
      <c r="EF272" s="129"/>
      <c r="EG272" s="129"/>
    </row>
    <row r="273" spans="1:137" x14ac:dyDescent="0.3">
      <c r="A273" s="226">
        <f t="shared" si="12"/>
        <v>46020.186805556164</v>
      </c>
      <c r="B273" s="123">
        <v>220</v>
      </c>
      <c r="C273" s="123">
        <v>49.535999298095703</v>
      </c>
      <c r="D273" s="123">
        <v>97.150001525878906</v>
      </c>
      <c r="E273" s="123">
        <v>39.470001220703125</v>
      </c>
      <c r="F273" s="123">
        <v>0</v>
      </c>
      <c r="G273" s="124">
        <v>16.738000869750977</v>
      </c>
      <c r="H273" s="125">
        <v>359</v>
      </c>
      <c r="I273" s="123">
        <v>323</v>
      </c>
      <c r="J273" s="123">
        <v>62.090000152587891</v>
      </c>
      <c r="K273" s="123">
        <v>60.910099029541016</v>
      </c>
      <c r="L273" s="123">
        <v>96.662002563476563</v>
      </c>
      <c r="M273" s="123">
        <v>11.64900016784668</v>
      </c>
      <c r="N273" s="123">
        <v>16.985000610351563</v>
      </c>
      <c r="O273" s="123">
        <v>17</v>
      </c>
      <c r="P273" s="123">
        <v>0</v>
      </c>
      <c r="Q273" s="123">
        <v>17.963705062866211</v>
      </c>
      <c r="R273" s="123">
        <v>7.9968748092651367</v>
      </c>
      <c r="S273" s="123">
        <v>9.2506990432739258</v>
      </c>
      <c r="T273" s="123">
        <v>9</v>
      </c>
      <c r="U273" s="123">
        <v>9</v>
      </c>
      <c r="V273" s="125">
        <v>845</v>
      </c>
      <c r="W273" s="123">
        <v>26.091205596923828</v>
      </c>
      <c r="X273" s="123">
        <v>24.315000534057617</v>
      </c>
      <c r="Y273" s="123">
        <v>7.6339998245239258</v>
      </c>
      <c r="Z273" s="123">
        <v>0</v>
      </c>
      <c r="AA273" s="123">
        <v>18.208000183105469</v>
      </c>
      <c r="AB273" s="123">
        <v>0</v>
      </c>
      <c r="AC273" s="123">
        <v>52.239345550537109</v>
      </c>
      <c r="AD273" s="123">
        <v>6.3610000610351563</v>
      </c>
      <c r="AE273" s="123">
        <v>0</v>
      </c>
      <c r="AF273" s="123">
        <v>80.858779907226563</v>
      </c>
      <c r="AG273" s="123">
        <v>0</v>
      </c>
      <c r="AH273" s="123">
        <v>59.045818328857422</v>
      </c>
      <c r="AI273" s="123">
        <v>15.586000442504883</v>
      </c>
      <c r="AJ273" s="123">
        <v>16.746633529663086</v>
      </c>
      <c r="AK273" s="123">
        <v>36.341693878173828</v>
      </c>
      <c r="AL273" s="123">
        <v>35.166000366210938</v>
      </c>
      <c r="AM273" s="126">
        <v>54.709999084472656</v>
      </c>
      <c r="AN273" s="125">
        <v>112.5625</v>
      </c>
      <c r="AO273" s="127">
        <v>57</v>
      </c>
      <c r="AP273" s="123">
        <v>58.493217468261719</v>
      </c>
      <c r="AQ273" s="123">
        <v>36.084438323974609</v>
      </c>
      <c r="AR273" s="123">
        <v>91</v>
      </c>
      <c r="AS273" s="123"/>
      <c r="AT273" s="123">
        <v>100</v>
      </c>
      <c r="AU273" s="123"/>
      <c r="AV273" s="123">
        <v>58</v>
      </c>
      <c r="AW273" s="123"/>
      <c r="AX273" s="123">
        <v>30</v>
      </c>
      <c r="AY273" s="123">
        <v>31.978963851928711</v>
      </c>
      <c r="AZ273" s="123">
        <v>4</v>
      </c>
      <c r="BA273" s="123"/>
      <c r="BB273" s="123">
        <v>176</v>
      </c>
      <c r="BC273" s="123">
        <v>180.02520751953125</v>
      </c>
      <c r="BD273" s="123">
        <v>6.5999999046325684</v>
      </c>
      <c r="BE273" s="123">
        <v>6.714231014251709</v>
      </c>
      <c r="BF273" s="123">
        <v>30</v>
      </c>
      <c r="BG273" s="123">
        <v>11</v>
      </c>
      <c r="BH273" s="123">
        <v>11.351167678833008</v>
      </c>
      <c r="BI273" s="123"/>
      <c r="BJ273" s="108">
        <f t="shared" si="13"/>
        <v>11</v>
      </c>
      <c r="BK273" s="123">
        <v>11</v>
      </c>
      <c r="BL273" s="123">
        <v>0</v>
      </c>
      <c r="BM273" s="126"/>
      <c r="BN273" s="108">
        <f t="shared" si="14"/>
        <v>121.20000076293945</v>
      </c>
      <c r="BO273" s="108">
        <v>73</v>
      </c>
      <c r="BP273" s="108">
        <v>48.200000762939453</v>
      </c>
      <c r="BQ273" s="108">
        <v>265</v>
      </c>
      <c r="BR273" s="123">
        <v>65.708999633789063</v>
      </c>
      <c r="BS273" s="123">
        <v>24.429000854492188</v>
      </c>
      <c r="BT273" s="123">
        <v>40.523998260498047</v>
      </c>
      <c r="BU273" s="123">
        <v>33.334999084472656</v>
      </c>
      <c r="BV273" s="123">
        <v>69.5</v>
      </c>
      <c r="BW273" s="123">
        <v>5.9000000953674316</v>
      </c>
      <c r="BX273" s="123">
        <v>13.600000381469727</v>
      </c>
      <c r="BY273" s="123">
        <v>28</v>
      </c>
      <c r="BZ273" s="123">
        <v>19.98284912109375</v>
      </c>
      <c r="CA273" s="123">
        <v>19</v>
      </c>
      <c r="CB273" s="123">
        <v>29.306911468505859</v>
      </c>
      <c r="CC273" s="126"/>
      <c r="CD273" s="123">
        <v>325.96859741210938</v>
      </c>
      <c r="CE273" s="123">
        <v>29.529516220092773</v>
      </c>
      <c r="CF273" s="123">
        <v>17.957696914672852</v>
      </c>
      <c r="CG273" s="123">
        <v>35.338191986083984</v>
      </c>
      <c r="CH273" s="123">
        <v>269.59295654296875</v>
      </c>
      <c r="CI273" s="123">
        <v>76.546638488769531</v>
      </c>
      <c r="CJ273" s="123">
        <v>33.374610900878906</v>
      </c>
      <c r="CK273" s="123">
        <v>46.460727691650391</v>
      </c>
      <c r="CL273" s="124">
        <v>24.225641250610352</v>
      </c>
      <c r="CM273" s="125">
        <v>181.46064758300781</v>
      </c>
      <c r="CN273" s="123">
        <v>61.066764831542969</v>
      </c>
      <c r="CO273" s="123">
        <v>52.292301177978516</v>
      </c>
      <c r="CP273" s="123">
        <v>62.517189025878906</v>
      </c>
      <c r="CQ273" s="123">
        <v>0</v>
      </c>
      <c r="CR273" s="123">
        <v>49.278419494628906</v>
      </c>
      <c r="CS273" s="123">
        <v>7.5964231491088867</v>
      </c>
      <c r="CT273" s="123">
        <v>30.479385375976563</v>
      </c>
      <c r="CU273" s="123">
        <v>38.336223602294922</v>
      </c>
      <c r="CV273" s="124">
        <v>58.273658752441406</v>
      </c>
      <c r="CW273" s="125">
        <v>0</v>
      </c>
      <c r="CX273" s="123">
        <v>286</v>
      </c>
      <c r="CY273" s="123">
        <v>110.12175750732422</v>
      </c>
      <c r="CZ273" s="123">
        <v>49.558486938476563</v>
      </c>
      <c r="DA273" s="123">
        <v>20.243143081665039</v>
      </c>
      <c r="DB273" s="123">
        <v>27.957815170288086</v>
      </c>
      <c r="DC273" s="123">
        <v>69.646247863769531</v>
      </c>
      <c r="DD273" s="123">
        <v>48</v>
      </c>
      <c r="DE273" s="123">
        <v>168</v>
      </c>
      <c r="DF273" s="123">
        <v>97.877037048339844</v>
      </c>
      <c r="DG273" s="123">
        <v>61.609481811523438</v>
      </c>
      <c r="DH273" s="123">
        <v>40.330513000488281</v>
      </c>
      <c r="DI273" s="128">
        <v>36.451000213623047</v>
      </c>
      <c r="DJ273" s="127">
        <v>206</v>
      </c>
      <c r="DK273" s="123">
        <v>103.56800079345703</v>
      </c>
      <c r="DL273" s="123">
        <v>21.375</v>
      </c>
      <c r="DM273" s="123">
        <v>29.156999588012695</v>
      </c>
      <c r="DN273" s="123">
        <v>48.418998718261719</v>
      </c>
      <c r="DO273" s="124">
        <v>113.21900939941406</v>
      </c>
      <c r="DP273" s="125">
        <v>15.069999694824219</v>
      </c>
      <c r="DQ273" s="123"/>
      <c r="DR273" s="125">
        <v>67</v>
      </c>
      <c r="DS273" s="128">
        <v>27.299999237060547</v>
      </c>
      <c r="DT273" s="127">
        <v>12</v>
      </c>
      <c r="DU273" s="123"/>
      <c r="DV273" s="123">
        <v>8</v>
      </c>
      <c r="DW273" s="123">
        <v>2.6373398303985596</v>
      </c>
      <c r="DX273" s="125">
        <v>10</v>
      </c>
      <c r="DY273" s="128"/>
      <c r="DZ273" s="127">
        <v>45</v>
      </c>
      <c r="EA273" s="123">
        <v>3</v>
      </c>
      <c r="EB273" s="123">
        <v>0</v>
      </c>
      <c r="EC273" s="123">
        <v>1</v>
      </c>
      <c r="ED273" s="123">
        <v>227.10000610351563</v>
      </c>
      <c r="EE273" s="129"/>
      <c r="EF273" s="129"/>
      <c r="EG273" s="129"/>
    </row>
    <row r="274" spans="1:137" x14ac:dyDescent="0.3">
      <c r="A274" s="226">
        <f t="shared" si="12"/>
        <v>46020.187500000611</v>
      </c>
      <c r="B274" s="123">
        <v>219</v>
      </c>
      <c r="C274" s="123">
        <v>50.666999816894531</v>
      </c>
      <c r="D274" s="123">
        <v>96.245002746582031</v>
      </c>
      <c r="E274" s="123">
        <v>17.868999481201172</v>
      </c>
      <c r="F274" s="123">
        <v>9.3697032928466797</v>
      </c>
      <c r="G274" s="124">
        <v>17.756000518798828</v>
      </c>
      <c r="H274" s="125">
        <v>353</v>
      </c>
      <c r="I274" s="123">
        <v>321</v>
      </c>
      <c r="J274" s="123">
        <v>61.750999450683594</v>
      </c>
      <c r="K274" s="123">
        <v>61.314716339111328</v>
      </c>
      <c r="L274" s="123">
        <v>96.662002563476563</v>
      </c>
      <c r="M274" s="123">
        <v>11.421999931335449</v>
      </c>
      <c r="N274" s="123">
        <v>17.875999450683594</v>
      </c>
      <c r="O274" s="123">
        <v>17</v>
      </c>
      <c r="P274" s="123">
        <v>0</v>
      </c>
      <c r="Q274" s="123">
        <v>17.848255157470703</v>
      </c>
      <c r="R274" s="123">
        <v>7.0031251907348633</v>
      </c>
      <c r="S274" s="123">
        <v>6.3902859687805176</v>
      </c>
      <c r="T274" s="123">
        <v>9</v>
      </c>
      <c r="U274" s="123">
        <v>9</v>
      </c>
      <c r="V274" s="125">
        <v>854</v>
      </c>
      <c r="W274" s="123">
        <v>27.199024200439453</v>
      </c>
      <c r="X274" s="123">
        <v>23.97599983215332</v>
      </c>
      <c r="Y274" s="123">
        <v>5.4070000648498535</v>
      </c>
      <c r="Z274" s="123">
        <v>0</v>
      </c>
      <c r="AA274" s="123">
        <v>18.547000885009766</v>
      </c>
      <c r="AB274" s="123">
        <v>0</v>
      </c>
      <c r="AC274" s="123">
        <v>51.964714050292969</v>
      </c>
      <c r="AD274" s="123">
        <v>5.5980000495910645</v>
      </c>
      <c r="AE274" s="123">
        <v>0</v>
      </c>
      <c r="AF274" s="123">
        <v>81.930580139160156</v>
      </c>
      <c r="AG274" s="123">
        <v>0</v>
      </c>
      <c r="AH274" s="123">
        <v>60.245174407958984</v>
      </c>
      <c r="AI274" s="123">
        <v>12.21399974822998</v>
      </c>
      <c r="AJ274" s="123">
        <v>15.602952003479004</v>
      </c>
      <c r="AK274" s="123">
        <v>35.99273681640625</v>
      </c>
      <c r="AL274" s="123">
        <v>36.402999877929688</v>
      </c>
      <c r="AM274" s="126">
        <v>56.046001434326172</v>
      </c>
      <c r="AN274" s="125">
        <v>112.75</v>
      </c>
      <c r="AO274" s="127">
        <v>58</v>
      </c>
      <c r="AP274" s="123">
        <v>60.374042510986328</v>
      </c>
      <c r="AQ274" s="123">
        <v>34.219566345214844</v>
      </c>
      <c r="AR274" s="123">
        <v>92</v>
      </c>
      <c r="AS274" s="123"/>
      <c r="AT274" s="123">
        <v>101</v>
      </c>
      <c r="AU274" s="123"/>
      <c r="AV274" s="123">
        <v>59</v>
      </c>
      <c r="AW274" s="123"/>
      <c r="AX274" s="123">
        <v>29</v>
      </c>
      <c r="AY274" s="123">
        <v>32.065525054931641</v>
      </c>
      <c r="AZ274" s="123">
        <v>4</v>
      </c>
      <c r="BA274" s="123"/>
      <c r="BB274" s="123">
        <v>175</v>
      </c>
      <c r="BC274" s="123">
        <v>173.36201477050781</v>
      </c>
      <c r="BD274" s="123">
        <v>6.6999998092651367</v>
      </c>
      <c r="BE274" s="123">
        <v>6.710381031036377</v>
      </c>
      <c r="BF274" s="123">
        <v>30</v>
      </c>
      <c r="BG274" s="123">
        <v>11</v>
      </c>
      <c r="BH274" s="123">
        <v>11.32762336730957</v>
      </c>
      <c r="BI274" s="123"/>
      <c r="BJ274" s="108">
        <f t="shared" si="13"/>
        <v>11</v>
      </c>
      <c r="BK274" s="123">
        <v>11</v>
      </c>
      <c r="BL274" s="123">
        <v>0</v>
      </c>
      <c r="BM274" s="126"/>
      <c r="BN274" s="108">
        <f t="shared" si="14"/>
        <v>122</v>
      </c>
      <c r="BO274" s="108">
        <v>73</v>
      </c>
      <c r="BP274" s="108">
        <v>49</v>
      </c>
      <c r="BQ274" s="108">
        <v>268</v>
      </c>
      <c r="BR274" s="123">
        <v>65.93499755859375</v>
      </c>
      <c r="BS274" s="123">
        <v>23.410999298095703</v>
      </c>
      <c r="BT274" s="123">
        <v>40.523998260498047</v>
      </c>
      <c r="BU274" s="123">
        <v>33.907001495361328</v>
      </c>
      <c r="BV274" s="123">
        <v>69.300003051757813</v>
      </c>
      <c r="BW274" s="123">
        <v>5.9000000953674316</v>
      </c>
      <c r="BX274" s="123">
        <v>13.699999809265137</v>
      </c>
      <c r="BY274" s="123">
        <v>29</v>
      </c>
      <c r="BZ274" s="123">
        <v>19.947759628295898</v>
      </c>
      <c r="CA274" s="123">
        <v>19</v>
      </c>
      <c r="CB274" s="123">
        <v>29.24810791015625</v>
      </c>
      <c r="CC274" s="126"/>
      <c r="CD274" s="123">
        <v>335.89096069335938</v>
      </c>
      <c r="CE274" s="123">
        <v>28.96125602722168</v>
      </c>
      <c r="CF274" s="123">
        <v>17.219076156616211</v>
      </c>
      <c r="CG274" s="123">
        <v>35.338191986083984</v>
      </c>
      <c r="CH274" s="123">
        <v>270.5511474609375</v>
      </c>
      <c r="CI274" s="123">
        <v>74.571800231933594</v>
      </c>
      <c r="CJ274" s="123">
        <v>30.551151275634766</v>
      </c>
      <c r="CK274" s="123">
        <v>46.347095489501953</v>
      </c>
      <c r="CL274" s="124">
        <v>24.225641250610352</v>
      </c>
      <c r="CM274" s="125">
        <v>176.78324890136719</v>
      </c>
      <c r="CN274" s="123">
        <v>63.914749145507813</v>
      </c>
      <c r="CO274" s="123">
        <v>52.557788848876953</v>
      </c>
      <c r="CP274" s="123">
        <v>58.685821533203125</v>
      </c>
      <c r="CQ274" s="123">
        <v>0</v>
      </c>
      <c r="CR274" s="123">
        <v>47.631725311279297</v>
      </c>
      <c r="CS274" s="123">
        <v>7.6026034355163574</v>
      </c>
      <c r="CT274" s="123">
        <v>29.133563995361328</v>
      </c>
      <c r="CU274" s="123">
        <v>38.708122253417969</v>
      </c>
      <c r="CV274" s="124">
        <v>58.453220367431641</v>
      </c>
      <c r="CW274" s="125">
        <v>4</v>
      </c>
      <c r="CX274" s="123">
        <v>289</v>
      </c>
      <c r="CY274" s="123">
        <v>107.20145416259766</v>
      </c>
      <c r="CZ274" s="123">
        <v>47.230743408203125</v>
      </c>
      <c r="DA274" s="123">
        <v>20.515787124633789</v>
      </c>
      <c r="DB274" s="123">
        <v>34.192684173583984</v>
      </c>
      <c r="DC274" s="123">
        <v>68.519424438476563</v>
      </c>
      <c r="DD274" s="123">
        <v>39</v>
      </c>
      <c r="DE274" s="123">
        <v>169</v>
      </c>
      <c r="DF274" s="123">
        <v>97.877037048339844</v>
      </c>
      <c r="DG274" s="123">
        <v>62.942611694335938</v>
      </c>
      <c r="DH274" s="123">
        <v>40.138828277587891</v>
      </c>
      <c r="DI274" s="128">
        <v>36.451000213623047</v>
      </c>
      <c r="DJ274" s="127">
        <v>209</v>
      </c>
      <c r="DK274" s="123">
        <v>107.13099670410156</v>
      </c>
      <c r="DL274" s="123">
        <v>21.714000701904297</v>
      </c>
      <c r="DM274" s="123">
        <v>29.333999633789063</v>
      </c>
      <c r="DN274" s="123">
        <v>48.418998718261719</v>
      </c>
      <c r="DO274" s="124">
        <v>112.25028228759766</v>
      </c>
      <c r="DP274" s="125">
        <v>15.211000442504883</v>
      </c>
      <c r="DQ274" s="123"/>
      <c r="DR274" s="125">
        <v>67</v>
      </c>
      <c r="DS274" s="128">
        <v>27.299999237060547</v>
      </c>
      <c r="DT274" s="127">
        <v>12</v>
      </c>
      <c r="DU274" s="123"/>
      <c r="DV274" s="123">
        <v>7</v>
      </c>
      <c r="DW274" s="123">
        <v>2.4783804416656494</v>
      </c>
      <c r="DX274" s="125">
        <v>11</v>
      </c>
      <c r="DY274" s="128"/>
      <c r="DZ274" s="127">
        <v>44</v>
      </c>
      <c r="EA274" s="123">
        <v>3</v>
      </c>
      <c r="EB274" s="123">
        <v>0</v>
      </c>
      <c r="EC274" s="123">
        <v>1</v>
      </c>
      <c r="ED274" s="123">
        <v>227</v>
      </c>
      <c r="EE274" s="129"/>
      <c r="EF274" s="129"/>
      <c r="EG274" s="129"/>
    </row>
    <row r="275" spans="1:137" x14ac:dyDescent="0.3">
      <c r="A275" s="226">
        <f t="shared" si="12"/>
        <v>46020.188194445058</v>
      </c>
      <c r="B275" s="123">
        <v>219</v>
      </c>
      <c r="C275" s="123">
        <v>47.048000335693359</v>
      </c>
      <c r="D275" s="123">
        <v>97.71600341796875</v>
      </c>
      <c r="E275" s="123">
        <v>21.375</v>
      </c>
      <c r="F275" s="123">
        <v>0</v>
      </c>
      <c r="G275" s="124">
        <v>17.756000518798828</v>
      </c>
      <c r="H275" s="125">
        <v>364</v>
      </c>
      <c r="I275" s="123">
        <v>319</v>
      </c>
      <c r="J275" s="123">
        <v>60.279998779296875</v>
      </c>
      <c r="K275" s="123">
        <v>64.412208557128906</v>
      </c>
      <c r="L275" s="123">
        <v>101.43399810791016</v>
      </c>
      <c r="M275" s="123">
        <v>11.76200008392334</v>
      </c>
      <c r="N275" s="123">
        <v>17.684999465942383</v>
      </c>
      <c r="O275" s="123">
        <v>19</v>
      </c>
      <c r="P275" s="123">
        <v>0</v>
      </c>
      <c r="Q275" s="123">
        <v>19.123073577880859</v>
      </c>
      <c r="R275" s="123">
        <v>4.9968748092651367</v>
      </c>
      <c r="S275" s="123">
        <v>6.2609601020812988</v>
      </c>
      <c r="T275" s="123">
        <v>9</v>
      </c>
      <c r="U275" s="123">
        <v>9</v>
      </c>
      <c r="V275" s="125">
        <v>845</v>
      </c>
      <c r="W275" s="123">
        <v>27.3741455078125</v>
      </c>
      <c r="X275" s="123">
        <v>25.333000183105469</v>
      </c>
      <c r="Y275" s="123">
        <v>4.5159997940063477</v>
      </c>
      <c r="Z275" s="123">
        <v>0</v>
      </c>
      <c r="AA275" s="123">
        <v>18.094999313354492</v>
      </c>
      <c r="AB275" s="123">
        <v>0</v>
      </c>
      <c r="AC275" s="123">
        <v>50.371368408203125</v>
      </c>
      <c r="AD275" s="123">
        <v>6.1069998741149902</v>
      </c>
      <c r="AE275" s="123">
        <v>0</v>
      </c>
      <c r="AF275" s="123">
        <v>79.196388244628906</v>
      </c>
      <c r="AG275" s="123">
        <v>0</v>
      </c>
      <c r="AH275" s="123">
        <v>60.965915679931641</v>
      </c>
      <c r="AI275" s="123">
        <v>12.404999732971191</v>
      </c>
      <c r="AJ275" s="123">
        <v>14.298785209655762</v>
      </c>
      <c r="AK275" s="123">
        <v>36.753627777099609</v>
      </c>
      <c r="AL275" s="123">
        <v>34.636001586914063</v>
      </c>
      <c r="AM275" s="126">
        <v>54.9010009765625</v>
      </c>
      <c r="AN275" s="125">
        <v>115.375</v>
      </c>
      <c r="AO275" s="127">
        <v>58</v>
      </c>
      <c r="AP275" s="123">
        <v>60.585968017578125</v>
      </c>
      <c r="AQ275" s="123">
        <v>36.497943878173828</v>
      </c>
      <c r="AR275" s="123">
        <v>92</v>
      </c>
      <c r="AS275" s="123"/>
      <c r="AT275" s="123">
        <v>102</v>
      </c>
      <c r="AU275" s="123"/>
      <c r="AV275" s="123">
        <v>58</v>
      </c>
      <c r="AW275" s="123"/>
      <c r="AX275" s="123">
        <v>30</v>
      </c>
      <c r="AY275" s="123">
        <v>33.230632781982422</v>
      </c>
      <c r="AZ275" s="123">
        <v>5</v>
      </c>
      <c r="BA275" s="123"/>
      <c r="BB275" s="123">
        <v>177</v>
      </c>
      <c r="BC275" s="123">
        <v>173.36201477050781</v>
      </c>
      <c r="BD275" s="123">
        <v>6.6999998092651367</v>
      </c>
      <c r="BE275" s="123">
        <v>6.7276973724365234</v>
      </c>
      <c r="BF275" s="123">
        <v>30</v>
      </c>
      <c r="BG275" s="123">
        <v>11</v>
      </c>
      <c r="BH275" s="123">
        <v>11.225754737854004</v>
      </c>
      <c r="BI275" s="123"/>
      <c r="BJ275" s="108">
        <f t="shared" si="13"/>
        <v>11</v>
      </c>
      <c r="BK275" s="123">
        <v>11</v>
      </c>
      <c r="BL275" s="123">
        <v>0</v>
      </c>
      <c r="BM275" s="126"/>
      <c r="BN275" s="108">
        <f t="shared" si="14"/>
        <v>120.20000076293945</v>
      </c>
      <c r="BO275" s="108">
        <v>72</v>
      </c>
      <c r="BP275" s="108">
        <v>48.200000762939453</v>
      </c>
      <c r="BQ275" s="108">
        <v>260</v>
      </c>
      <c r="BR275" s="123">
        <v>61.750999450683594</v>
      </c>
      <c r="BS275" s="123">
        <v>24.173999786376953</v>
      </c>
      <c r="BT275" s="123">
        <v>40.523998260498047</v>
      </c>
      <c r="BU275" s="123">
        <v>34.226001739501953</v>
      </c>
      <c r="BV275" s="123">
        <v>69.099998474121094</v>
      </c>
      <c r="BW275" s="123">
        <v>5.6999998092651367</v>
      </c>
      <c r="BX275" s="123">
        <v>13.600000381469727</v>
      </c>
      <c r="BY275" s="123">
        <v>29</v>
      </c>
      <c r="BZ275" s="123">
        <v>19.956995010375977</v>
      </c>
      <c r="CA275" s="123">
        <v>19</v>
      </c>
      <c r="CB275" s="123">
        <v>29.70872688293457</v>
      </c>
      <c r="CC275" s="126"/>
      <c r="CD275" s="123">
        <v>327.57876586914063</v>
      </c>
      <c r="CE275" s="123">
        <v>30.29248046875</v>
      </c>
      <c r="CF275" s="123">
        <v>16.827360153198242</v>
      </c>
      <c r="CG275" s="123">
        <v>35.338191986083984</v>
      </c>
      <c r="CH275" s="123">
        <v>271.539794921875</v>
      </c>
      <c r="CI275" s="123">
        <v>73.486160278320313</v>
      </c>
      <c r="CJ275" s="123">
        <v>30.443052291870117</v>
      </c>
      <c r="CK275" s="123">
        <v>47.031837463378906</v>
      </c>
      <c r="CL275" s="124">
        <v>23.920110702514648</v>
      </c>
      <c r="CM275" s="125">
        <v>179.96897888183594</v>
      </c>
      <c r="CN275" s="123">
        <v>66.265533447265625</v>
      </c>
      <c r="CO275" s="123">
        <v>52.659519195556641</v>
      </c>
      <c r="CP275" s="123">
        <v>59.069442749023438</v>
      </c>
      <c r="CQ275" s="123">
        <v>0</v>
      </c>
      <c r="CR275" s="123">
        <v>46.904186248779297</v>
      </c>
      <c r="CS275" s="123">
        <v>7.7591681480407715</v>
      </c>
      <c r="CT275" s="123">
        <v>29.839458465576172</v>
      </c>
      <c r="CU275" s="123">
        <v>42.139183044433594</v>
      </c>
      <c r="CV275" s="124">
        <v>57.112445831298828</v>
      </c>
      <c r="CW275" s="125">
        <v>7</v>
      </c>
      <c r="CX275" s="123">
        <v>290</v>
      </c>
      <c r="CY275" s="123">
        <v>107.67664337158203</v>
      </c>
      <c r="CZ275" s="123">
        <v>46.544704437255859</v>
      </c>
      <c r="DA275" s="123">
        <v>20.279582977294922</v>
      </c>
      <c r="DB275" s="123">
        <v>30.526762008666992</v>
      </c>
      <c r="DC275" s="123">
        <v>68.395034790039063</v>
      </c>
      <c r="DD275" s="123">
        <v>44</v>
      </c>
      <c r="DE275" s="123">
        <v>169</v>
      </c>
      <c r="DF275" s="123">
        <v>98.519050598144531</v>
      </c>
      <c r="DG275" s="123">
        <v>64.089614868164063</v>
      </c>
      <c r="DH275" s="123">
        <v>39.137722015380859</v>
      </c>
      <c r="DI275" s="128">
        <v>37.807136535644531</v>
      </c>
      <c r="DJ275" s="127">
        <v>208</v>
      </c>
      <c r="DK275" s="123">
        <v>109.16699981689453</v>
      </c>
      <c r="DL275" s="123">
        <v>26.916999816894531</v>
      </c>
      <c r="DM275" s="123">
        <v>30.218000411987305</v>
      </c>
      <c r="DN275" s="123">
        <v>47.888999938964844</v>
      </c>
      <c r="DO275" s="124">
        <v>112.92970275878906</v>
      </c>
      <c r="DP275" s="125">
        <v>15.324000358581543</v>
      </c>
      <c r="DQ275" s="123"/>
      <c r="DR275" s="125">
        <v>67</v>
      </c>
      <c r="DS275" s="128">
        <v>27.799999237060547</v>
      </c>
      <c r="DT275" s="127">
        <v>12</v>
      </c>
      <c r="DU275" s="123"/>
      <c r="DV275" s="123">
        <v>9</v>
      </c>
      <c r="DW275" s="123">
        <v>2.5245461463928223</v>
      </c>
      <c r="DX275" s="125">
        <v>12</v>
      </c>
      <c r="DY275" s="128"/>
      <c r="DZ275" s="127">
        <v>44</v>
      </c>
      <c r="EA275" s="123">
        <v>3</v>
      </c>
      <c r="EB275" s="123">
        <v>0</v>
      </c>
      <c r="EC275" s="123">
        <v>1</v>
      </c>
      <c r="ED275" s="123">
        <v>226.30000305175781</v>
      </c>
      <c r="EE275" s="129"/>
      <c r="EF275" s="129"/>
      <c r="EG275" s="129"/>
    </row>
    <row r="276" spans="1:137" x14ac:dyDescent="0.3">
      <c r="A276" s="226">
        <f t="shared" si="12"/>
        <v>46020.188888889505</v>
      </c>
      <c r="B276" s="123">
        <v>219</v>
      </c>
      <c r="C276" s="123">
        <v>47.5</v>
      </c>
      <c r="D276" s="123">
        <v>98.167999267578125</v>
      </c>
      <c r="E276" s="123">
        <v>36.756000518798828</v>
      </c>
      <c r="F276" s="123">
        <v>0</v>
      </c>
      <c r="G276" s="124">
        <v>17.530000686645508</v>
      </c>
      <c r="H276" s="125">
        <v>354</v>
      </c>
      <c r="I276" s="123">
        <v>318</v>
      </c>
      <c r="J276" s="123">
        <v>59.035999298095703</v>
      </c>
      <c r="K276" s="123">
        <v>62.406486511230469</v>
      </c>
      <c r="L276" s="123">
        <v>97.369003295898438</v>
      </c>
      <c r="M276" s="123">
        <v>11.875</v>
      </c>
      <c r="N276" s="123">
        <v>17.621000289916992</v>
      </c>
      <c r="O276" s="123">
        <v>17</v>
      </c>
      <c r="P276" s="123">
        <v>0</v>
      </c>
      <c r="Q276" s="123">
        <v>17.538145065307617</v>
      </c>
      <c r="R276" s="123">
        <v>7.0031251907348633</v>
      </c>
      <c r="S276" s="123">
        <v>6.2609601020812988</v>
      </c>
      <c r="T276" s="123">
        <v>9</v>
      </c>
      <c r="U276" s="123">
        <v>9</v>
      </c>
      <c r="V276" s="125">
        <v>845</v>
      </c>
      <c r="W276" s="123">
        <v>24.520286560058594</v>
      </c>
      <c r="X276" s="123">
        <v>25.673000335693359</v>
      </c>
      <c r="Y276" s="123">
        <v>6.0430002212524414</v>
      </c>
      <c r="Z276" s="123">
        <v>0</v>
      </c>
      <c r="AA276" s="123">
        <v>20.583000183105469</v>
      </c>
      <c r="AB276" s="123">
        <v>0</v>
      </c>
      <c r="AC276" s="123">
        <v>50.371368408203125</v>
      </c>
      <c r="AD276" s="123">
        <v>6.1069998741149902</v>
      </c>
      <c r="AE276" s="123">
        <v>0</v>
      </c>
      <c r="AF276" s="123">
        <v>79.030120849609375</v>
      </c>
      <c r="AG276" s="123">
        <v>0</v>
      </c>
      <c r="AH276" s="123">
        <v>61.764427185058594</v>
      </c>
      <c r="AI276" s="123">
        <v>11.895999908447266</v>
      </c>
      <c r="AJ276" s="123">
        <v>15.617494583129883</v>
      </c>
      <c r="AK276" s="123">
        <v>35.212543487548828</v>
      </c>
      <c r="AL276" s="123">
        <v>34.988998413085938</v>
      </c>
      <c r="AM276" s="126">
        <v>54.13800048828125</v>
      </c>
      <c r="AN276" s="125">
        <v>113</v>
      </c>
      <c r="AO276" s="127">
        <v>56</v>
      </c>
      <c r="AP276" s="123">
        <v>58.366085052490234</v>
      </c>
      <c r="AQ276" s="123">
        <v>34.607074737548828</v>
      </c>
      <c r="AR276" s="123">
        <v>91</v>
      </c>
      <c r="AS276" s="123"/>
      <c r="AT276" s="123">
        <v>100</v>
      </c>
      <c r="AU276" s="123"/>
      <c r="AV276" s="123">
        <v>49</v>
      </c>
      <c r="AW276" s="123"/>
      <c r="AX276" s="123">
        <v>31</v>
      </c>
      <c r="AY276" s="123">
        <v>33.371387481689453</v>
      </c>
      <c r="AZ276" s="123">
        <v>4</v>
      </c>
      <c r="BA276" s="123"/>
      <c r="BB276" s="123">
        <v>176</v>
      </c>
      <c r="BC276" s="123">
        <v>175.37814331054688</v>
      </c>
      <c r="BD276" s="123">
        <v>6.5999999046325684</v>
      </c>
      <c r="BE276" s="123">
        <v>6.630129337310791</v>
      </c>
      <c r="BF276" s="123">
        <v>30</v>
      </c>
      <c r="BG276" s="123">
        <v>10</v>
      </c>
      <c r="BH276" s="123">
        <v>10.839568138122559</v>
      </c>
      <c r="BI276" s="123"/>
      <c r="BJ276" s="108">
        <f t="shared" si="13"/>
        <v>11</v>
      </c>
      <c r="BK276" s="123">
        <v>11</v>
      </c>
      <c r="BL276" s="123">
        <v>0</v>
      </c>
      <c r="BM276" s="126"/>
      <c r="BN276" s="108">
        <f t="shared" si="14"/>
        <v>121</v>
      </c>
      <c r="BO276" s="108">
        <v>72</v>
      </c>
      <c r="BP276" s="108">
        <v>49</v>
      </c>
      <c r="BQ276" s="108">
        <v>265</v>
      </c>
      <c r="BR276" s="123">
        <v>65.370002746582031</v>
      </c>
      <c r="BS276" s="123">
        <v>25.191999435424805</v>
      </c>
      <c r="BT276" s="123">
        <v>40.869998931884766</v>
      </c>
      <c r="BU276" s="123">
        <v>33.270999908447266</v>
      </c>
      <c r="BV276" s="123">
        <v>68.400001525878906</v>
      </c>
      <c r="BW276" s="123">
        <v>5.6999998092651367</v>
      </c>
      <c r="BX276" s="123">
        <v>13.600000381469727</v>
      </c>
      <c r="BY276" s="123">
        <v>29</v>
      </c>
      <c r="BZ276" s="123">
        <v>19.944082260131836</v>
      </c>
      <c r="CA276" s="123">
        <v>20</v>
      </c>
      <c r="CB276" s="123">
        <v>29.498672485351563</v>
      </c>
      <c r="CC276" s="126"/>
      <c r="CD276" s="123">
        <v>330.627685546875</v>
      </c>
      <c r="CE276" s="123">
        <v>29.105545043945313</v>
      </c>
      <c r="CF276" s="123">
        <v>16.607433319091797</v>
      </c>
      <c r="CG276" s="123">
        <v>35.338191986083984</v>
      </c>
      <c r="CH276" s="123">
        <v>271.05426025390625</v>
      </c>
      <c r="CI276" s="123">
        <v>69.872039794921875</v>
      </c>
      <c r="CJ276" s="123">
        <v>29.850652694702148</v>
      </c>
      <c r="CK276" s="123">
        <v>44.466815948486328</v>
      </c>
      <c r="CL276" s="124">
        <v>22.367012023925781</v>
      </c>
      <c r="CM276" s="125">
        <v>180.38951110839844</v>
      </c>
      <c r="CN276" s="123">
        <v>65.440444946289063</v>
      </c>
      <c r="CO276" s="123">
        <v>52.843311309814453</v>
      </c>
      <c r="CP276" s="123">
        <v>58.637802124023438</v>
      </c>
      <c r="CQ276" s="123">
        <v>0</v>
      </c>
      <c r="CR276" s="123">
        <v>46.624839782714844</v>
      </c>
      <c r="CS276" s="123">
        <v>8.0382547378540039</v>
      </c>
      <c r="CT276" s="123">
        <v>28.183492660522461</v>
      </c>
      <c r="CU276" s="123">
        <v>43.305801391601563</v>
      </c>
      <c r="CV276" s="124">
        <v>58.97454833984375</v>
      </c>
      <c r="CW276" s="125">
        <v>1</v>
      </c>
      <c r="CX276" s="123">
        <v>290</v>
      </c>
      <c r="CY276" s="123">
        <v>105.58982849121094</v>
      </c>
      <c r="CZ276" s="123">
        <v>47.272895812988281</v>
      </c>
      <c r="DA276" s="123">
        <v>19.837753295898438</v>
      </c>
      <c r="DB276" s="123">
        <v>32.639385223388672</v>
      </c>
      <c r="DC276" s="123">
        <v>70.156997680664063</v>
      </c>
      <c r="DD276" s="123">
        <v>48</v>
      </c>
      <c r="DE276" s="123">
        <v>168</v>
      </c>
      <c r="DF276" s="123">
        <v>97.148521423339844</v>
      </c>
      <c r="DG276" s="123">
        <v>63.353893280029297</v>
      </c>
      <c r="DH276" s="123">
        <v>39.137722015380859</v>
      </c>
      <c r="DI276" s="128">
        <v>38.334976196289063</v>
      </c>
      <c r="DJ276" s="127">
        <v>207</v>
      </c>
      <c r="DK276" s="123">
        <v>104.84100341796875</v>
      </c>
      <c r="DL276" s="123">
        <v>26.238000869750977</v>
      </c>
      <c r="DM276" s="123">
        <v>28.097000122070313</v>
      </c>
      <c r="DN276" s="123">
        <v>48.596000671386719</v>
      </c>
      <c r="DO276" s="124">
        <v>112.96799468994141</v>
      </c>
      <c r="DP276" s="125">
        <v>15.23900032043457</v>
      </c>
      <c r="DQ276" s="123"/>
      <c r="DR276" s="125">
        <v>67</v>
      </c>
      <c r="DS276" s="128">
        <v>28.200000762939453</v>
      </c>
      <c r="DT276" s="127">
        <v>12</v>
      </c>
      <c r="DU276" s="123"/>
      <c r="DV276" s="123">
        <v>8</v>
      </c>
      <c r="DW276" s="123">
        <v>2.5423765182495117</v>
      </c>
      <c r="DX276" s="125">
        <v>10</v>
      </c>
      <c r="DY276" s="128"/>
      <c r="DZ276" s="127">
        <v>45</v>
      </c>
      <c r="EA276" s="123">
        <v>3</v>
      </c>
      <c r="EB276" s="123">
        <v>0</v>
      </c>
      <c r="EC276" s="123">
        <v>2</v>
      </c>
      <c r="ED276" s="123">
        <v>227.19999694824219</v>
      </c>
      <c r="EE276" s="129"/>
      <c r="EF276" s="129"/>
      <c r="EG276" s="129"/>
    </row>
    <row r="277" spans="1:137" x14ac:dyDescent="0.3">
      <c r="A277" s="226">
        <f t="shared" si="12"/>
        <v>46020.189583333951</v>
      </c>
      <c r="B277" s="123">
        <v>219</v>
      </c>
      <c r="C277" s="123">
        <v>48.518001556396484</v>
      </c>
      <c r="D277" s="123">
        <v>98.055000305175781</v>
      </c>
      <c r="E277" s="123">
        <v>36.981998443603516</v>
      </c>
      <c r="F277" s="123">
        <v>0</v>
      </c>
      <c r="G277" s="124">
        <v>17.190000534057617</v>
      </c>
      <c r="H277" s="125">
        <v>354</v>
      </c>
      <c r="I277" s="123">
        <v>314</v>
      </c>
      <c r="J277" s="123">
        <v>58.810001373291016</v>
      </c>
      <c r="K277" s="123">
        <v>61.321388244628906</v>
      </c>
      <c r="L277" s="123">
        <v>100.37300109863281</v>
      </c>
      <c r="M277" s="123">
        <v>12.326999664306641</v>
      </c>
      <c r="N277" s="123">
        <v>17.048999786376953</v>
      </c>
      <c r="O277" s="123">
        <v>17</v>
      </c>
      <c r="P277" s="123">
        <v>0</v>
      </c>
      <c r="Q277" s="123">
        <v>17.880975723266602</v>
      </c>
      <c r="R277" s="123">
        <v>0</v>
      </c>
      <c r="S277" s="123">
        <v>5.2478561401367188</v>
      </c>
      <c r="T277" s="123">
        <v>9</v>
      </c>
      <c r="U277" s="123">
        <v>9</v>
      </c>
      <c r="V277" s="125">
        <v>843</v>
      </c>
      <c r="W277" s="123">
        <v>25.731355667114258</v>
      </c>
      <c r="X277" s="123">
        <v>25.219999313354492</v>
      </c>
      <c r="Y277" s="123">
        <v>5.2160000801086426</v>
      </c>
      <c r="Z277" s="123">
        <v>0</v>
      </c>
      <c r="AA277" s="123">
        <v>21.14900016784668</v>
      </c>
      <c r="AB277" s="123">
        <v>0</v>
      </c>
      <c r="AC277" s="123">
        <v>51.611904144287109</v>
      </c>
      <c r="AD277" s="123">
        <v>6.1069998741149902</v>
      </c>
      <c r="AE277" s="123">
        <v>0</v>
      </c>
      <c r="AF277" s="123">
        <v>79.787406921386719</v>
      </c>
      <c r="AG277" s="123">
        <v>0</v>
      </c>
      <c r="AH277" s="123">
        <v>60.233493804931641</v>
      </c>
      <c r="AI277" s="123">
        <v>12.277999877929688</v>
      </c>
      <c r="AJ277" s="123">
        <v>14.714814186096191</v>
      </c>
      <c r="AK277" s="123">
        <v>35.212543487548828</v>
      </c>
      <c r="AL277" s="123">
        <v>35.341999053955078</v>
      </c>
      <c r="AM277" s="126">
        <v>54.456001281738281</v>
      </c>
      <c r="AN277" s="125">
        <v>111.5625</v>
      </c>
      <c r="AO277" s="127">
        <v>56</v>
      </c>
      <c r="AP277" s="123">
        <v>58.24359130859375</v>
      </c>
      <c r="AQ277" s="123">
        <v>35.665340423583984</v>
      </c>
      <c r="AR277" s="123">
        <v>89</v>
      </c>
      <c r="AS277" s="123"/>
      <c r="AT277" s="123">
        <v>101</v>
      </c>
      <c r="AU277" s="123"/>
      <c r="AV277" s="123">
        <v>49</v>
      </c>
      <c r="AW277" s="123"/>
      <c r="AX277" s="123">
        <v>30</v>
      </c>
      <c r="AY277" s="123">
        <v>32.919078826904297</v>
      </c>
      <c r="AZ277" s="123">
        <v>4</v>
      </c>
      <c r="BA277" s="123"/>
      <c r="BB277" s="123">
        <v>174</v>
      </c>
      <c r="BC277" s="123">
        <v>177.12872314453125</v>
      </c>
      <c r="BD277" s="123">
        <v>6.5999999046325684</v>
      </c>
      <c r="BE277" s="123">
        <v>6.6804046630859375</v>
      </c>
      <c r="BF277" s="123">
        <v>31</v>
      </c>
      <c r="BG277" s="123">
        <v>10</v>
      </c>
      <c r="BH277" s="123">
        <v>10.839568138122559</v>
      </c>
      <c r="BI277" s="123"/>
      <c r="BJ277" s="108">
        <f t="shared" si="13"/>
        <v>10</v>
      </c>
      <c r="BK277" s="123">
        <v>10</v>
      </c>
      <c r="BL277" s="123">
        <v>0</v>
      </c>
      <c r="BM277" s="126"/>
      <c r="BN277" s="108">
        <f t="shared" si="14"/>
        <v>119.29999923706055</v>
      </c>
      <c r="BO277" s="108">
        <v>71</v>
      </c>
      <c r="BP277" s="108">
        <v>48.299999237060547</v>
      </c>
      <c r="BQ277" s="108">
        <v>262</v>
      </c>
      <c r="BR277" s="123">
        <v>62.316001892089844</v>
      </c>
      <c r="BS277" s="123">
        <v>24.173999786376953</v>
      </c>
      <c r="BT277" s="123">
        <v>40.869998931884766</v>
      </c>
      <c r="BU277" s="123">
        <v>33.270999908447266</v>
      </c>
      <c r="BV277" s="123">
        <v>69.599998474121094</v>
      </c>
      <c r="BW277" s="123">
        <v>5.5999999046325684</v>
      </c>
      <c r="BX277" s="123">
        <v>13.600000381469727</v>
      </c>
      <c r="BY277" s="123">
        <v>28</v>
      </c>
      <c r="BZ277" s="123">
        <v>19.954006195068359</v>
      </c>
      <c r="CA277" s="123">
        <v>20</v>
      </c>
      <c r="CB277" s="123">
        <v>29.101207733154297</v>
      </c>
      <c r="CC277" s="126"/>
      <c r="CD277" s="123">
        <v>327.57412719726563</v>
      </c>
      <c r="CE277" s="123">
        <v>29.296712875366211</v>
      </c>
      <c r="CF277" s="123">
        <v>17.63444709777832</v>
      </c>
      <c r="CG277" s="123">
        <v>35.338191986083984</v>
      </c>
      <c r="CH277" s="123">
        <v>270.15966796875</v>
      </c>
      <c r="CI277" s="123">
        <v>72.718589782714844</v>
      </c>
      <c r="CJ277" s="123">
        <v>29.854120254516602</v>
      </c>
      <c r="CK277" s="123">
        <v>44.383365631103516</v>
      </c>
      <c r="CL277" s="124">
        <v>23.193756103515625</v>
      </c>
      <c r="CM277" s="125">
        <v>180.37467956542969</v>
      </c>
      <c r="CN277" s="123">
        <v>63.244716644287109</v>
      </c>
      <c r="CO277" s="123">
        <v>52.152042388916016</v>
      </c>
      <c r="CP277" s="123">
        <v>59.658988952636719</v>
      </c>
      <c r="CQ277" s="123">
        <v>0</v>
      </c>
      <c r="CR277" s="123">
        <v>47.823402404785156</v>
      </c>
      <c r="CS277" s="123">
        <v>7.6846294403076172</v>
      </c>
      <c r="CT277" s="123">
        <v>29.068986892700195</v>
      </c>
      <c r="CU277" s="123">
        <v>43.725849151611328</v>
      </c>
      <c r="CV277" s="124">
        <v>57.492324829101563</v>
      </c>
      <c r="CW277" s="125">
        <v>8</v>
      </c>
      <c r="CX277" s="123">
        <v>291</v>
      </c>
      <c r="CY277" s="123">
        <v>106.99170684814453</v>
      </c>
      <c r="CZ277" s="123">
        <v>47.272895812988281</v>
      </c>
      <c r="DA277" s="123">
        <v>19.192472457885742</v>
      </c>
      <c r="DB277" s="123">
        <v>30.911630630493164</v>
      </c>
      <c r="DC277" s="123">
        <v>69.228874206542969</v>
      </c>
      <c r="DD277" s="123">
        <v>39</v>
      </c>
      <c r="DE277" s="123">
        <v>166</v>
      </c>
      <c r="DF277" s="123">
        <v>98.194976806640625</v>
      </c>
      <c r="DG277" s="123">
        <v>62.833831787109375</v>
      </c>
      <c r="DH277" s="123">
        <v>39.509635925292969</v>
      </c>
      <c r="DI277" s="128">
        <v>36.977108001708984</v>
      </c>
      <c r="DJ277" s="127">
        <v>210</v>
      </c>
      <c r="DK277" s="123">
        <v>110.43900299072266</v>
      </c>
      <c r="DL277" s="123">
        <v>26.576999664306641</v>
      </c>
      <c r="DM277" s="123">
        <v>27.743999481201172</v>
      </c>
      <c r="DN277" s="123">
        <v>52.130001068115234</v>
      </c>
      <c r="DO277" s="124">
        <v>112.5511474609375</v>
      </c>
      <c r="DP277" s="125">
        <v>14.984999656677246</v>
      </c>
      <c r="DQ277" s="123"/>
      <c r="DR277" s="125">
        <v>67</v>
      </c>
      <c r="DS277" s="128">
        <v>27.600000381469727</v>
      </c>
      <c r="DT277" s="127">
        <v>12</v>
      </c>
      <c r="DU277" s="123"/>
      <c r="DV277" s="123">
        <v>9</v>
      </c>
      <c r="DW277" s="123">
        <v>2.5353548526763916</v>
      </c>
      <c r="DX277" s="125">
        <v>10</v>
      </c>
      <c r="DY277" s="128"/>
      <c r="DZ277" s="127">
        <v>44</v>
      </c>
      <c r="EA277" s="123">
        <v>3</v>
      </c>
      <c r="EB277" s="123">
        <v>0</v>
      </c>
      <c r="EC277" s="123">
        <v>1</v>
      </c>
      <c r="ED277" s="123">
        <v>226.19999694824219</v>
      </c>
      <c r="EE277" s="129"/>
      <c r="EF277" s="129"/>
      <c r="EG277" s="129"/>
    </row>
    <row r="278" spans="1:137" x14ac:dyDescent="0.3">
      <c r="A278" s="226">
        <f t="shared" si="12"/>
        <v>46020.190277778398</v>
      </c>
      <c r="B278" s="123">
        <v>218</v>
      </c>
      <c r="C278" s="123">
        <v>50.102001190185547</v>
      </c>
      <c r="D278" s="123">
        <v>98.055000305175781</v>
      </c>
      <c r="E278" s="123">
        <v>36.756000518798828</v>
      </c>
      <c r="F278" s="123">
        <v>0</v>
      </c>
      <c r="G278" s="124">
        <v>17.076999664306641</v>
      </c>
      <c r="H278" s="125">
        <v>356</v>
      </c>
      <c r="I278" s="123">
        <v>313</v>
      </c>
      <c r="J278" s="123">
        <v>61.863998413085938</v>
      </c>
      <c r="K278" s="123">
        <v>61.177032470703125</v>
      </c>
      <c r="L278" s="123">
        <v>98.075996398925781</v>
      </c>
      <c r="M278" s="123">
        <v>11.875</v>
      </c>
      <c r="N278" s="123">
        <v>17.940000534057617</v>
      </c>
      <c r="O278" s="123">
        <v>17</v>
      </c>
      <c r="P278" s="123">
        <v>0</v>
      </c>
      <c r="Q278" s="123">
        <v>17.347387313842773</v>
      </c>
      <c r="R278" s="123">
        <v>0</v>
      </c>
      <c r="S278" s="123">
        <v>4.5723915100097656</v>
      </c>
      <c r="T278" s="123">
        <v>9</v>
      </c>
      <c r="U278" s="123">
        <v>9</v>
      </c>
      <c r="V278" s="125">
        <v>842</v>
      </c>
      <c r="W278" s="123">
        <v>26.223350524902344</v>
      </c>
      <c r="X278" s="123">
        <v>24.993999481201172</v>
      </c>
      <c r="Y278" s="123">
        <v>4.8340001106262207</v>
      </c>
      <c r="Z278" s="123">
        <v>0</v>
      </c>
      <c r="AA278" s="123">
        <v>20.469999313354492</v>
      </c>
      <c r="AB278" s="123">
        <v>0</v>
      </c>
      <c r="AC278" s="123">
        <v>52.816032409667969</v>
      </c>
      <c r="AD278" s="123">
        <v>6.3610000610351563</v>
      </c>
      <c r="AE278" s="123">
        <v>0</v>
      </c>
      <c r="AF278" s="123">
        <v>81.458908081054688</v>
      </c>
      <c r="AG278" s="123">
        <v>0</v>
      </c>
      <c r="AH278" s="123">
        <v>61.22509765625</v>
      </c>
      <c r="AI278" s="123">
        <v>11.513999938964844</v>
      </c>
      <c r="AJ278" s="123">
        <v>16.158275604248047</v>
      </c>
      <c r="AK278" s="123">
        <v>34.668727874755859</v>
      </c>
      <c r="AL278" s="123">
        <v>33.398998260498047</v>
      </c>
      <c r="AM278" s="126">
        <v>53.692001342773438</v>
      </c>
      <c r="AN278" s="125">
        <v>111.5625</v>
      </c>
      <c r="AO278" s="127">
        <v>57</v>
      </c>
      <c r="AP278" s="123">
        <v>59.081272125244141</v>
      </c>
      <c r="AQ278" s="123">
        <v>36.593563079833984</v>
      </c>
      <c r="AR278" s="123">
        <v>91</v>
      </c>
      <c r="AS278" s="123"/>
      <c r="AT278" s="123">
        <v>101</v>
      </c>
      <c r="AU278" s="123"/>
      <c r="AV278" s="123">
        <v>51</v>
      </c>
      <c r="AW278" s="123"/>
      <c r="AX278" s="123">
        <v>30</v>
      </c>
      <c r="AY278" s="123">
        <v>32.904918670654297</v>
      </c>
      <c r="AZ278" s="123">
        <v>4</v>
      </c>
      <c r="BA278" s="123"/>
      <c r="BB278" s="123">
        <v>174</v>
      </c>
      <c r="BC278" s="123">
        <v>176.97244262695313</v>
      </c>
      <c r="BD278" s="123">
        <v>6.5999999046325684</v>
      </c>
      <c r="BE278" s="123">
        <v>6.6603431701660156</v>
      </c>
      <c r="BF278" s="123">
        <v>30</v>
      </c>
      <c r="BG278" s="123">
        <v>10</v>
      </c>
      <c r="BH278" s="123">
        <v>10.912697792053223</v>
      </c>
      <c r="BI278" s="123"/>
      <c r="BJ278" s="108">
        <f t="shared" si="13"/>
        <v>10</v>
      </c>
      <c r="BK278" s="123">
        <v>10</v>
      </c>
      <c r="BL278" s="123">
        <v>0</v>
      </c>
      <c r="BM278" s="126"/>
      <c r="BN278" s="108">
        <f t="shared" si="14"/>
        <v>120</v>
      </c>
      <c r="BO278" s="108">
        <v>72</v>
      </c>
      <c r="BP278" s="108">
        <v>48</v>
      </c>
      <c r="BQ278" s="108">
        <v>262</v>
      </c>
      <c r="BR278" s="123">
        <v>65.257003784179688</v>
      </c>
      <c r="BS278" s="123">
        <v>25.445999145507813</v>
      </c>
      <c r="BT278" s="123">
        <v>40.523998260498047</v>
      </c>
      <c r="BU278" s="123">
        <v>33.652999877929688</v>
      </c>
      <c r="BV278" s="123">
        <v>68.900001525878906</v>
      </c>
      <c r="BW278" s="123">
        <v>5.5999999046325684</v>
      </c>
      <c r="BX278" s="123">
        <v>13.600000381469727</v>
      </c>
      <c r="BY278" s="123">
        <v>27</v>
      </c>
      <c r="BZ278" s="123">
        <v>19.92877197265625</v>
      </c>
      <c r="CA278" s="123">
        <v>19</v>
      </c>
      <c r="CB278" s="123">
        <v>29.055130004882813</v>
      </c>
      <c r="CC278" s="126"/>
      <c r="CD278" s="123">
        <v>328.50949096679688</v>
      </c>
      <c r="CE278" s="123">
        <v>28.213579177856445</v>
      </c>
      <c r="CF278" s="123">
        <v>16.778804779052734</v>
      </c>
      <c r="CG278" s="123">
        <v>35.338191986083984</v>
      </c>
      <c r="CH278" s="123">
        <v>268.83416748046875</v>
      </c>
      <c r="CI278" s="123">
        <v>72.587074279785156</v>
      </c>
      <c r="CJ278" s="123">
        <v>30.031564712524414</v>
      </c>
      <c r="CK278" s="123">
        <v>45.846733093261719</v>
      </c>
      <c r="CL278" s="124">
        <v>23.338417053222656</v>
      </c>
      <c r="CM278" s="125">
        <v>176.07745361328125</v>
      </c>
      <c r="CN278" s="123">
        <v>62.442447662353516</v>
      </c>
      <c r="CO278" s="123">
        <v>51.948471069335938</v>
      </c>
      <c r="CP278" s="123">
        <v>58.821479797363281</v>
      </c>
      <c r="CQ278" s="123">
        <v>0</v>
      </c>
      <c r="CR278" s="123">
        <v>47.891033172607422</v>
      </c>
      <c r="CS278" s="123">
        <v>7.0463666915893555</v>
      </c>
      <c r="CT278" s="123">
        <v>30.134963989257813</v>
      </c>
      <c r="CU278" s="123">
        <v>43.510383605957031</v>
      </c>
      <c r="CV278" s="124">
        <v>58.181808471679688</v>
      </c>
      <c r="CW278" s="125">
        <v>1</v>
      </c>
      <c r="CX278" s="123">
        <v>292</v>
      </c>
      <c r="CY278" s="123">
        <v>108.31648254394531</v>
      </c>
      <c r="CZ278" s="123">
        <v>48.411655426025391</v>
      </c>
      <c r="DA278" s="123">
        <v>19.367467880249023</v>
      </c>
      <c r="DB278" s="123">
        <v>30.822238922119141</v>
      </c>
      <c r="DC278" s="123">
        <v>69.062568664550781</v>
      </c>
      <c r="DD278" s="123">
        <v>41</v>
      </c>
      <c r="DE278" s="123">
        <v>168</v>
      </c>
      <c r="DF278" s="123">
        <v>100.43487548828125</v>
      </c>
      <c r="DG278" s="123">
        <v>62.998195648193359</v>
      </c>
      <c r="DH278" s="123">
        <v>39.901206970214844</v>
      </c>
      <c r="DI278" s="128">
        <v>35.532600402832031</v>
      </c>
      <c r="DJ278" s="127">
        <v>215</v>
      </c>
      <c r="DK278" s="123">
        <v>112.22000122070313</v>
      </c>
      <c r="DL278" s="123">
        <v>22.732000350952148</v>
      </c>
      <c r="DM278" s="123">
        <v>27.389999389648438</v>
      </c>
      <c r="DN278" s="123">
        <v>52.306999206542969</v>
      </c>
      <c r="DO278" s="124">
        <v>112.39605712890625</v>
      </c>
      <c r="DP278" s="125">
        <v>15.12600040435791</v>
      </c>
      <c r="DQ278" s="123"/>
      <c r="DR278" s="125">
        <v>67</v>
      </c>
      <c r="DS278" s="128">
        <v>27.799999237060547</v>
      </c>
      <c r="DT278" s="127">
        <v>13</v>
      </c>
      <c r="DU278" s="123"/>
      <c r="DV278" s="123">
        <v>7</v>
      </c>
      <c r="DW278" s="123">
        <v>2.3186626434326172</v>
      </c>
      <c r="DX278" s="125">
        <v>10</v>
      </c>
      <c r="DY278" s="128"/>
      <c r="DZ278" s="127">
        <v>44</v>
      </c>
      <c r="EA278" s="123">
        <v>3</v>
      </c>
      <c r="EB278" s="123">
        <v>0</v>
      </c>
      <c r="EC278" s="123">
        <v>1</v>
      </c>
      <c r="ED278" s="123">
        <v>225.80000305175781</v>
      </c>
      <c r="EE278" s="129"/>
      <c r="EF278" s="129"/>
      <c r="EG278" s="129"/>
    </row>
    <row r="279" spans="1:137" x14ac:dyDescent="0.3">
      <c r="A279" s="226">
        <f t="shared" si="12"/>
        <v>46020.190972222845</v>
      </c>
      <c r="B279" s="123">
        <v>219</v>
      </c>
      <c r="C279" s="123">
        <v>52.929000854492188</v>
      </c>
      <c r="D279" s="123">
        <v>98.280998229980469</v>
      </c>
      <c r="E279" s="123">
        <v>16.625</v>
      </c>
      <c r="F279" s="123">
        <v>10.719241142272949</v>
      </c>
      <c r="G279" s="124">
        <v>17.530000686645508</v>
      </c>
      <c r="H279" s="125">
        <v>356</v>
      </c>
      <c r="I279" s="123">
        <v>316</v>
      </c>
      <c r="J279" s="123">
        <v>62.316001892089844</v>
      </c>
      <c r="K279" s="123">
        <v>61.087936401367188</v>
      </c>
      <c r="L279" s="123">
        <v>96.486000061035156</v>
      </c>
      <c r="M279" s="123">
        <v>12.326999664306641</v>
      </c>
      <c r="N279" s="123">
        <v>17.113000869750977</v>
      </c>
      <c r="O279" s="123">
        <v>17</v>
      </c>
      <c r="P279" s="123">
        <v>0</v>
      </c>
      <c r="Q279" s="123">
        <v>17.347387313842773</v>
      </c>
      <c r="R279" s="123">
        <v>4.9968748092651367</v>
      </c>
      <c r="S279" s="123">
        <v>3.8562626838684082</v>
      </c>
      <c r="T279" s="123">
        <v>9</v>
      </c>
      <c r="U279" s="123">
        <v>9</v>
      </c>
      <c r="V279" s="125">
        <v>848</v>
      </c>
      <c r="W279" s="123">
        <v>26.842618942260742</v>
      </c>
      <c r="X279" s="123">
        <v>25.559000015258789</v>
      </c>
      <c r="Y279" s="123">
        <v>5.2160000801086426</v>
      </c>
      <c r="Z279" s="123">
        <v>0</v>
      </c>
      <c r="AA279" s="123">
        <v>20.809000015258789</v>
      </c>
      <c r="AB279" s="123">
        <v>0</v>
      </c>
      <c r="AC279" s="123">
        <v>52.301712036132813</v>
      </c>
      <c r="AD279" s="123">
        <v>6.1069998741149902</v>
      </c>
      <c r="AE279" s="123">
        <v>0</v>
      </c>
      <c r="AF279" s="123">
        <v>80.791587829589844</v>
      </c>
      <c r="AG279" s="123">
        <v>0</v>
      </c>
      <c r="AH279" s="123">
        <v>61.427349090576172</v>
      </c>
      <c r="AI279" s="123">
        <v>10.878000259399414</v>
      </c>
      <c r="AJ279" s="123">
        <v>14.591643333435059</v>
      </c>
      <c r="AK279" s="123">
        <v>36.035625457763672</v>
      </c>
      <c r="AL279" s="123">
        <v>35.695999145507813</v>
      </c>
      <c r="AM279" s="126">
        <v>55.983001708984375</v>
      </c>
      <c r="AN279" s="125">
        <v>113.0625</v>
      </c>
      <c r="AO279" s="127">
        <v>55</v>
      </c>
      <c r="AP279" s="123">
        <v>59.531200408935547</v>
      </c>
      <c r="AQ279" s="123">
        <v>34.264816284179688</v>
      </c>
      <c r="AR279" s="123">
        <v>90</v>
      </c>
      <c r="AS279" s="123"/>
      <c r="AT279" s="123">
        <v>101</v>
      </c>
      <c r="AU279" s="123"/>
      <c r="AV279" s="123">
        <v>51</v>
      </c>
      <c r="AW279" s="123"/>
      <c r="AX279" s="123">
        <v>29</v>
      </c>
      <c r="AY279" s="123">
        <v>32.098861694335938</v>
      </c>
      <c r="AZ279" s="123">
        <v>4</v>
      </c>
      <c r="BA279" s="123"/>
      <c r="BB279" s="123">
        <v>177</v>
      </c>
      <c r="BC279" s="123">
        <v>177.57949829101563</v>
      </c>
      <c r="BD279" s="123">
        <v>6.5999999046325684</v>
      </c>
      <c r="BE279" s="123">
        <v>6.6625313758850098</v>
      </c>
      <c r="BF279" s="123">
        <v>30</v>
      </c>
      <c r="BG279" s="123">
        <v>10</v>
      </c>
      <c r="BH279" s="123">
        <v>10.882564544677734</v>
      </c>
      <c r="BI279" s="123"/>
      <c r="BJ279" s="108">
        <f t="shared" si="13"/>
        <v>10</v>
      </c>
      <c r="BK279" s="123">
        <v>10</v>
      </c>
      <c r="BL279" s="123">
        <v>0</v>
      </c>
      <c r="BM279" s="126"/>
      <c r="BN279" s="108">
        <f t="shared" si="14"/>
        <v>120</v>
      </c>
      <c r="BO279" s="108">
        <v>72</v>
      </c>
      <c r="BP279" s="108">
        <v>48</v>
      </c>
      <c r="BQ279" s="108">
        <v>264</v>
      </c>
      <c r="BR279" s="123">
        <v>67.066001892089844</v>
      </c>
      <c r="BS279" s="123">
        <v>25.445999145507813</v>
      </c>
      <c r="BT279" s="123">
        <v>40.523998260498047</v>
      </c>
      <c r="BU279" s="123">
        <v>33.208000183105469</v>
      </c>
      <c r="BV279" s="123">
        <v>69</v>
      </c>
      <c r="BW279" s="123">
        <v>5.6999998092651367</v>
      </c>
      <c r="BX279" s="123">
        <v>13.600000381469727</v>
      </c>
      <c r="BY279" s="123">
        <v>28</v>
      </c>
      <c r="BZ279" s="123">
        <v>19.959323883056641</v>
      </c>
      <c r="CA279" s="123">
        <v>20</v>
      </c>
      <c r="CB279" s="123">
        <v>29.108987808227539</v>
      </c>
      <c r="CC279" s="126"/>
      <c r="CD279" s="123">
        <v>329.41232299804688</v>
      </c>
      <c r="CE279" s="123">
        <v>28.481552124023438</v>
      </c>
      <c r="CF279" s="123">
        <v>16.124324798583984</v>
      </c>
      <c r="CG279" s="123">
        <v>35.338191986083984</v>
      </c>
      <c r="CH279" s="123">
        <v>269.67779541015625</v>
      </c>
      <c r="CI279" s="123">
        <v>71.095420837402344</v>
      </c>
      <c r="CJ279" s="123">
        <v>29.816474914550781</v>
      </c>
      <c r="CK279" s="123">
        <v>46.666839599609375</v>
      </c>
      <c r="CL279" s="124">
        <v>23.372587203979492</v>
      </c>
      <c r="CM279" s="125">
        <v>179.10224914550781</v>
      </c>
      <c r="CN279" s="123">
        <v>63.296344757080078</v>
      </c>
      <c r="CO279" s="123">
        <v>52.546806335449219</v>
      </c>
      <c r="CP279" s="123">
        <v>61.687046051025391</v>
      </c>
      <c r="CQ279" s="123">
        <v>0</v>
      </c>
      <c r="CR279" s="123">
        <v>47.510242462158203</v>
      </c>
      <c r="CS279" s="123">
        <v>7.7481474876403809</v>
      </c>
      <c r="CT279" s="123">
        <v>29.123130798339844</v>
      </c>
      <c r="CU279" s="123">
        <v>44.854496002197266</v>
      </c>
      <c r="CV279" s="124">
        <v>58.786109924316406</v>
      </c>
      <c r="CW279" s="125">
        <v>6</v>
      </c>
      <c r="CX279" s="123">
        <v>291</v>
      </c>
      <c r="CY279" s="123">
        <v>107.58326721191406</v>
      </c>
      <c r="CZ279" s="123">
        <v>46.449264526367188</v>
      </c>
      <c r="DA279" s="123">
        <v>19.645814895629883</v>
      </c>
      <c r="DB279" s="123">
        <v>29.843427658081055</v>
      </c>
      <c r="DC279" s="123">
        <v>69.659446716308594</v>
      </c>
      <c r="DD279" s="123">
        <v>44</v>
      </c>
      <c r="DE279" s="123">
        <v>168</v>
      </c>
      <c r="DF279" s="123">
        <v>98.12640380859375</v>
      </c>
      <c r="DG279" s="123">
        <v>60.902236938476563</v>
      </c>
      <c r="DH279" s="123">
        <v>39.634506225585938</v>
      </c>
      <c r="DI279" s="128">
        <v>35.783512115478516</v>
      </c>
      <c r="DJ279" s="127">
        <v>213</v>
      </c>
      <c r="DK279" s="123">
        <v>109.16699981689453</v>
      </c>
      <c r="DL279" s="123">
        <v>23.298000335693359</v>
      </c>
      <c r="DM279" s="123">
        <v>29.51099967956543</v>
      </c>
      <c r="DN279" s="123">
        <v>50.362998962402344</v>
      </c>
      <c r="DO279" s="124">
        <v>112.84870147705078</v>
      </c>
      <c r="DP279" s="125">
        <v>15.012999534606934</v>
      </c>
      <c r="DQ279" s="123"/>
      <c r="DR279" s="125">
        <v>67</v>
      </c>
      <c r="DS279" s="128">
        <v>27</v>
      </c>
      <c r="DT279" s="127">
        <v>12</v>
      </c>
      <c r="DU279" s="123"/>
      <c r="DV279" s="123">
        <v>8</v>
      </c>
      <c r="DW279" s="123">
        <v>2.474315881729126</v>
      </c>
      <c r="DX279" s="125">
        <v>10</v>
      </c>
      <c r="DY279" s="128"/>
      <c r="DZ279" s="127">
        <v>45</v>
      </c>
      <c r="EA279" s="123">
        <v>3</v>
      </c>
      <c r="EB279" s="123">
        <v>0</v>
      </c>
      <c r="EC279" s="123">
        <v>1</v>
      </c>
      <c r="ED279" s="123">
        <v>224.60000610351563</v>
      </c>
      <c r="EE279" s="129"/>
      <c r="EF279" s="129"/>
      <c r="EG279" s="129"/>
    </row>
    <row r="280" spans="1:137" x14ac:dyDescent="0.3">
      <c r="A280" s="226">
        <f t="shared" si="12"/>
        <v>46020.191666667291</v>
      </c>
      <c r="B280" s="123">
        <v>228</v>
      </c>
      <c r="C280" s="123">
        <v>52.363998413085938</v>
      </c>
      <c r="D280" s="123">
        <v>100.09100341796875</v>
      </c>
      <c r="E280" s="123">
        <v>15.380999565124512</v>
      </c>
      <c r="F280" s="123">
        <v>4.3424248695373535</v>
      </c>
      <c r="G280" s="124">
        <v>17.868999481201172</v>
      </c>
      <c r="H280" s="125">
        <v>358</v>
      </c>
      <c r="I280" s="123">
        <v>312</v>
      </c>
      <c r="J280" s="123">
        <v>60.619998931884766</v>
      </c>
      <c r="K280" s="123">
        <v>61.905979156494141</v>
      </c>
      <c r="L280" s="123">
        <v>97.193000793457031</v>
      </c>
      <c r="M280" s="123">
        <v>11.421999931335449</v>
      </c>
      <c r="N280" s="123">
        <v>16.413000106811523</v>
      </c>
      <c r="O280" s="123">
        <v>16</v>
      </c>
      <c r="P280" s="123">
        <v>0</v>
      </c>
      <c r="Q280" s="123">
        <v>16.949472427368164</v>
      </c>
      <c r="R280" s="123">
        <v>4.9968748092651367</v>
      </c>
      <c r="S280" s="123">
        <v>4.8369541168212891</v>
      </c>
      <c r="T280" s="123">
        <v>9</v>
      </c>
      <c r="U280" s="123">
        <v>9</v>
      </c>
      <c r="V280" s="125">
        <v>838</v>
      </c>
      <c r="W280" s="123">
        <v>26.683135986328125</v>
      </c>
      <c r="X280" s="123">
        <v>24.315000534057617</v>
      </c>
      <c r="Y280" s="123">
        <v>6.1069998741149902</v>
      </c>
      <c r="Z280" s="123">
        <v>0</v>
      </c>
      <c r="AA280" s="123">
        <v>19.905000686645508</v>
      </c>
      <c r="AB280" s="123">
        <v>0</v>
      </c>
      <c r="AC280" s="123">
        <v>51.536266326904297</v>
      </c>
      <c r="AD280" s="123">
        <v>6.3610000610351563</v>
      </c>
      <c r="AE280" s="123">
        <v>0</v>
      </c>
      <c r="AF280" s="123">
        <v>81.554763793945313</v>
      </c>
      <c r="AG280" s="123">
        <v>0</v>
      </c>
      <c r="AH280" s="123">
        <v>61.234031677246094</v>
      </c>
      <c r="AI280" s="123">
        <v>11.960000038146973</v>
      </c>
      <c r="AJ280" s="123">
        <v>14.029031753540039</v>
      </c>
      <c r="AK280" s="123">
        <v>36.216815948486328</v>
      </c>
      <c r="AL280" s="123">
        <v>36.048999786376953</v>
      </c>
      <c r="AM280" s="126">
        <v>53.819999694824219</v>
      </c>
      <c r="AN280" s="125">
        <v>113.0625</v>
      </c>
      <c r="AO280" s="127">
        <v>56</v>
      </c>
      <c r="AP280" s="123">
        <v>59.24578857421875</v>
      </c>
      <c r="AQ280" s="123">
        <v>34.672576904296875</v>
      </c>
      <c r="AR280" s="123">
        <v>91</v>
      </c>
      <c r="AS280" s="123"/>
      <c r="AT280" s="123">
        <v>100</v>
      </c>
      <c r="AU280" s="123"/>
      <c r="AV280" s="123">
        <v>51</v>
      </c>
      <c r="AW280" s="123"/>
      <c r="AX280" s="123">
        <v>29</v>
      </c>
      <c r="AY280" s="123">
        <v>33.437026977539063</v>
      </c>
      <c r="AZ280" s="123">
        <v>4</v>
      </c>
      <c r="BA280" s="123"/>
      <c r="BB280" s="123">
        <v>176</v>
      </c>
      <c r="BC280" s="123">
        <v>175.76742553710938</v>
      </c>
      <c r="BD280" s="123">
        <v>6.5</v>
      </c>
      <c r="BE280" s="123">
        <v>6.6339855194091797</v>
      </c>
      <c r="BF280" s="123">
        <v>30</v>
      </c>
      <c r="BG280" s="123">
        <v>10</v>
      </c>
      <c r="BH280" s="123">
        <v>10.828351974487305</v>
      </c>
      <c r="BI280" s="123"/>
      <c r="BJ280" s="108">
        <f t="shared" si="13"/>
        <v>10</v>
      </c>
      <c r="BK280" s="123">
        <v>10</v>
      </c>
      <c r="BL280" s="123">
        <v>0</v>
      </c>
      <c r="BM280" s="126"/>
      <c r="BN280" s="108">
        <f t="shared" si="14"/>
        <v>120.29999923706055</v>
      </c>
      <c r="BO280" s="108">
        <v>72</v>
      </c>
      <c r="BP280" s="108">
        <v>48.299999237060547</v>
      </c>
      <c r="BQ280" s="108">
        <v>263</v>
      </c>
      <c r="BR280" s="123">
        <v>66.613998413085938</v>
      </c>
      <c r="BS280" s="123">
        <v>25.445999145507813</v>
      </c>
      <c r="BT280" s="123">
        <v>40.176998138427734</v>
      </c>
      <c r="BU280" s="123">
        <v>32.952999114990234</v>
      </c>
      <c r="BV280" s="123">
        <v>69.099998474121094</v>
      </c>
      <c r="BW280" s="123">
        <v>5.9000000953674316</v>
      </c>
      <c r="BX280" s="123">
        <v>13.600000381469727</v>
      </c>
      <c r="BY280" s="123">
        <v>29</v>
      </c>
      <c r="BZ280" s="123">
        <v>19.922178268432617</v>
      </c>
      <c r="CA280" s="123">
        <v>20</v>
      </c>
      <c r="CB280" s="123">
        <v>29.063024520874023</v>
      </c>
      <c r="CC280" s="126"/>
      <c r="CD280" s="123">
        <v>332.66970825195313</v>
      </c>
      <c r="CE280" s="123">
        <v>29.536022186279297</v>
      </c>
      <c r="CF280" s="123">
        <v>16.390739440917969</v>
      </c>
      <c r="CG280" s="123">
        <v>35.338191986083984</v>
      </c>
      <c r="CH280" s="123">
        <v>271.09378051757813</v>
      </c>
      <c r="CI280" s="123">
        <v>72.614448547363281</v>
      </c>
      <c r="CJ280" s="123">
        <v>30.809633255004883</v>
      </c>
      <c r="CK280" s="123">
        <v>46.457794189453125</v>
      </c>
      <c r="CL280" s="124">
        <v>24.456382751464844</v>
      </c>
      <c r="CM280" s="125">
        <v>175.93461608886719</v>
      </c>
      <c r="CN280" s="123">
        <v>61.3468017578125</v>
      </c>
      <c r="CO280" s="123">
        <v>52.134838104248047</v>
      </c>
      <c r="CP280" s="123">
        <v>58.674427032470703</v>
      </c>
      <c r="CQ280" s="123">
        <v>0</v>
      </c>
      <c r="CR280" s="123">
        <v>47.673553466796875</v>
      </c>
      <c r="CS280" s="123">
        <v>7.6848211288452148</v>
      </c>
      <c r="CT280" s="123">
        <v>28.795881271362305</v>
      </c>
      <c r="CU280" s="123">
        <v>45.642421722412109</v>
      </c>
      <c r="CV280" s="124">
        <v>58.45556640625</v>
      </c>
      <c r="CW280" s="125">
        <v>7</v>
      </c>
      <c r="CX280" s="123">
        <v>294</v>
      </c>
      <c r="CY280" s="123">
        <v>108.35260009765625</v>
      </c>
      <c r="CZ280" s="123">
        <v>47.755683898925781</v>
      </c>
      <c r="DA280" s="123">
        <v>20.020162582397461</v>
      </c>
      <c r="DB280" s="123">
        <v>29.64642333984375</v>
      </c>
      <c r="DC280" s="123">
        <v>68.632438659667969</v>
      </c>
      <c r="DD280" s="123">
        <v>43</v>
      </c>
      <c r="DE280" s="123">
        <v>169</v>
      </c>
      <c r="DF280" s="123">
        <v>97.058135986328125</v>
      </c>
      <c r="DG280" s="123">
        <v>61.529876708984375</v>
      </c>
      <c r="DH280" s="123">
        <v>40.602508544921875</v>
      </c>
      <c r="DI280" s="128">
        <v>36.468048095703125</v>
      </c>
      <c r="DJ280" s="127">
        <v>211</v>
      </c>
      <c r="DK280" s="123">
        <v>108.65799713134766</v>
      </c>
      <c r="DL280" s="123">
        <v>23.298000335693359</v>
      </c>
      <c r="DM280" s="123">
        <v>29.333999633789063</v>
      </c>
      <c r="DN280" s="123">
        <v>51.423000335693359</v>
      </c>
      <c r="DO280" s="124">
        <v>111.87261962890625</v>
      </c>
      <c r="DP280" s="125">
        <v>14.814999580383301</v>
      </c>
      <c r="DQ280" s="123"/>
      <c r="DR280" s="125">
        <v>67</v>
      </c>
      <c r="DS280" s="128">
        <v>27.700000762939453</v>
      </c>
      <c r="DT280" s="127">
        <v>13</v>
      </c>
      <c r="DU280" s="123"/>
      <c r="DV280" s="123">
        <v>7</v>
      </c>
      <c r="DW280" s="123">
        <v>2.3734142780303955</v>
      </c>
      <c r="DX280" s="125">
        <v>9</v>
      </c>
      <c r="DY280" s="128"/>
      <c r="DZ280" s="127">
        <v>47</v>
      </c>
      <c r="EA280" s="123">
        <v>3</v>
      </c>
      <c r="EB280" s="123">
        <v>0</v>
      </c>
      <c r="EC280" s="123">
        <v>1</v>
      </c>
      <c r="ED280" s="123">
        <v>224.5</v>
      </c>
      <c r="EE280" s="129"/>
      <c r="EF280" s="129"/>
      <c r="EG280" s="129"/>
    </row>
    <row r="281" spans="1:137" x14ac:dyDescent="0.3">
      <c r="A281" s="226">
        <f t="shared" ref="A281:A344" si="15">A280 + TIME(,1,)</f>
        <v>46020.192361111738</v>
      </c>
      <c r="B281" s="123">
        <v>229</v>
      </c>
      <c r="C281" s="123">
        <v>49.196998596191406</v>
      </c>
      <c r="D281" s="123">
        <v>99.412002563476563</v>
      </c>
      <c r="E281" s="123">
        <v>19.451999664306641</v>
      </c>
      <c r="F281" s="123">
        <v>0</v>
      </c>
      <c r="G281" s="124">
        <v>17.868999481201172</v>
      </c>
      <c r="H281" s="125">
        <v>360</v>
      </c>
      <c r="I281" s="123">
        <v>318</v>
      </c>
      <c r="J281" s="123">
        <v>62.090000152587891</v>
      </c>
      <c r="K281" s="123">
        <v>60.975055694580078</v>
      </c>
      <c r="L281" s="123">
        <v>99.313003540039063</v>
      </c>
      <c r="M281" s="123">
        <v>11.196000099182129</v>
      </c>
      <c r="N281" s="123">
        <v>17.113000869750977</v>
      </c>
      <c r="O281" s="123">
        <v>16</v>
      </c>
      <c r="P281" s="123">
        <v>0</v>
      </c>
      <c r="Q281" s="123">
        <v>17.531450271606445</v>
      </c>
      <c r="R281" s="123">
        <v>4.9968748092651367</v>
      </c>
      <c r="S281" s="123">
        <v>3.7338840961456299</v>
      </c>
      <c r="T281" s="123">
        <v>0</v>
      </c>
      <c r="U281" s="123">
        <v>0</v>
      </c>
      <c r="V281" s="125">
        <v>843</v>
      </c>
      <c r="W281" s="123">
        <v>25.925737380981445</v>
      </c>
      <c r="X281" s="123">
        <v>24.315000534057617</v>
      </c>
      <c r="Y281" s="123">
        <v>6.0430002212524414</v>
      </c>
      <c r="Z281" s="123">
        <v>0</v>
      </c>
      <c r="AA281" s="123">
        <v>18.547000885009766</v>
      </c>
      <c r="AB281" s="123">
        <v>0</v>
      </c>
      <c r="AC281" s="123">
        <v>51.736770629882813</v>
      </c>
      <c r="AD281" s="123">
        <v>5.8520002365112305</v>
      </c>
      <c r="AE281" s="123">
        <v>0</v>
      </c>
      <c r="AF281" s="123">
        <v>79.674629211425781</v>
      </c>
      <c r="AG281" s="123">
        <v>0</v>
      </c>
      <c r="AH281" s="123">
        <v>60.972480773925781</v>
      </c>
      <c r="AI281" s="123">
        <v>11.640999794006348</v>
      </c>
      <c r="AJ281" s="123">
        <v>14.787455558776855</v>
      </c>
      <c r="AK281" s="123">
        <v>36.779529571533203</v>
      </c>
      <c r="AL281" s="123">
        <v>36.578998565673828</v>
      </c>
      <c r="AM281" s="126">
        <v>54.264999389648438</v>
      </c>
      <c r="AN281" s="125">
        <v>112.5</v>
      </c>
      <c r="AO281" s="127">
        <v>56</v>
      </c>
      <c r="AP281" s="123">
        <v>58.879062652587891</v>
      </c>
      <c r="AQ281" s="123">
        <v>33.456985473632813</v>
      </c>
      <c r="AR281" s="123">
        <v>91</v>
      </c>
      <c r="AS281" s="123"/>
      <c r="AT281" s="123">
        <v>100</v>
      </c>
      <c r="AU281" s="123"/>
      <c r="AV281" s="123">
        <v>58</v>
      </c>
      <c r="AW281" s="123"/>
      <c r="AX281" s="123">
        <v>30</v>
      </c>
      <c r="AY281" s="123">
        <v>32.563232421875</v>
      </c>
      <c r="AZ281" s="123">
        <v>5</v>
      </c>
      <c r="BA281" s="123"/>
      <c r="BB281" s="123">
        <v>178</v>
      </c>
      <c r="BC281" s="123">
        <v>178.42301940917969</v>
      </c>
      <c r="BD281" s="123">
        <v>6.5</v>
      </c>
      <c r="BE281" s="123">
        <v>6.6124892234802246</v>
      </c>
      <c r="BF281" s="123">
        <v>30</v>
      </c>
      <c r="BG281" s="123">
        <v>10</v>
      </c>
      <c r="BH281" s="123">
        <v>11.145830154418945</v>
      </c>
      <c r="BI281" s="123"/>
      <c r="BJ281" s="108">
        <f t="shared" si="13"/>
        <v>10</v>
      </c>
      <c r="BK281" s="123">
        <v>10</v>
      </c>
      <c r="BL281" s="123">
        <v>0</v>
      </c>
      <c r="BM281" s="126"/>
      <c r="BN281" s="108">
        <f t="shared" si="14"/>
        <v>122</v>
      </c>
      <c r="BO281" s="108">
        <v>73</v>
      </c>
      <c r="BP281" s="108">
        <v>49</v>
      </c>
      <c r="BQ281" s="108">
        <v>262</v>
      </c>
      <c r="BR281" s="123">
        <v>68.875999450683594</v>
      </c>
      <c r="BS281" s="123">
        <v>24.937000274658203</v>
      </c>
      <c r="BT281" s="123">
        <v>40.176998138427734</v>
      </c>
      <c r="BU281" s="123">
        <v>33.016998291015625</v>
      </c>
      <c r="BV281" s="123">
        <v>70.099998474121094</v>
      </c>
      <c r="BW281" s="123">
        <v>5.9000000953674316</v>
      </c>
      <c r="BX281" s="123">
        <v>13.600000381469727</v>
      </c>
      <c r="BY281" s="123">
        <v>28</v>
      </c>
      <c r="BZ281" s="123">
        <v>19.909910202026367</v>
      </c>
      <c r="CA281" s="123">
        <v>19</v>
      </c>
      <c r="CB281" s="123">
        <v>29.166843414306641</v>
      </c>
      <c r="CC281" s="126"/>
      <c r="CD281" s="123">
        <v>330.59869384765625</v>
      </c>
      <c r="CE281" s="123">
        <v>28.79737663269043</v>
      </c>
      <c r="CF281" s="123">
        <v>16.11945915222168</v>
      </c>
      <c r="CG281" s="123">
        <v>35.338191986083984</v>
      </c>
      <c r="CH281" s="123">
        <v>273.0411376953125</v>
      </c>
      <c r="CI281" s="123">
        <v>73.570449829101563</v>
      </c>
      <c r="CJ281" s="123">
        <v>30.516239166259766</v>
      </c>
      <c r="CK281" s="123">
        <v>47.14678955078125</v>
      </c>
      <c r="CL281" s="124">
        <v>24.172922134399414</v>
      </c>
      <c r="CM281" s="125">
        <v>174.14451599121094</v>
      </c>
      <c r="CN281" s="123">
        <v>62.309043884277344</v>
      </c>
      <c r="CO281" s="123">
        <v>51.270301818847656</v>
      </c>
      <c r="CP281" s="123">
        <v>57.430984497070313</v>
      </c>
      <c r="CQ281" s="123">
        <v>0</v>
      </c>
      <c r="CR281" s="123">
        <v>49.079635620117188</v>
      </c>
      <c r="CS281" s="123">
        <v>8.1017904281616211</v>
      </c>
      <c r="CT281" s="123">
        <v>30.903038024902344</v>
      </c>
      <c r="CU281" s="123">
        <v>44.648345947265625</v>
      </c>
      <c r="CV281" s="124">
        <v>57.761726379394531</v>
      </c>
      <c r="CW281" s="125">
        <v>0</v>
      </c>
      <c r="CX281" s="123">
        <v>295</v>
      </c>
      <c r="CY281" s="123">
        <v>105.62795257568359</v>
      </c>
      <c r="CZ281" s="123">
        <v>50.094135284423828</v>
      </c>
      <c r="DA281" s="123">
        <v>18.871974945068359</v>
      </c>
      <c r="DB281" s="123">
        <v>30.292753219604492</v>
      </c>
      <c r="DC281" s="123">
        <v>71.484649658203125</v>
      </c>
      <c r="DD281" s="123">
        <v>39</v>
      </c>
      <c r="DE281" s="123">
        <v>167</v>
      </c>
      <c r="DF281" s="123">
        <v>96.547317504882813</v>
      </c>
      <c r="DG281" s="123">
        <v>60.922462463378906</v>
      </c>
      <c r="DH281" s="123">
        <v>41.825061798095703</v>
      </c>
      <c r="DI281" s="128">
        <v>38.040927886962891</v>
      </c>
      <c r="DJ281" s="127">
        <v>209</v>
      </c>
      <c r="DK281" s="123">
        <v>109.42099761962891</v>
      </c>
      <c r="DL281" s="123">
        <v>22.052999496459961</v>
      </c>
      <c r="DM281" s="123">
        <v>27.03700065612793</v>
      </c>
      <c r="DN281" s="123">
        <v>53.721000671386719</v>
      </c>
      <c r="DO281" s="124">
        <v>113.66485595703125</v>
      </c>
      <c r="DP281" s="125">
        <v>15.097999572753906</v>
      </c>
      <c r="DQ281" s="123"/>
      <c r="DR281" s="125">
        <v>67</v>
      </c>
      <c r="DS281" s="128">
        <v>27.799999237060547</v>
      </c>
      <c r="DT281" s="127">
        <v>13</v>
      </c>
      <c r="DU281" s="123"/>
      <c r="DV281" s="123">
        <v>7</v>
      </c>
      <c r="DW281" s="123">
        <v>2.3912343978881836</v>
      </c>
      <c r="DX281" s="125">
        <v>10</v>
      </c>
      <c r="DY281" s="128"/>
      <c r="DZ281" s="127">
        <v>46</v>
      </c>
      <c r="EA281" s="123">
        <v>3</v>
      </c>
      <c r="EB281" s="123">
        <v>0</v>
      </c>
      <c r="EC281" s="123">
        <v>1</v>
      </c>
      <c r="ED281" s="123">
        <v>225.39999389648438</v>
      </c>
      <c r="EE281" s="129"/>
      <c r="EF281" s="129"/>
      <c r="EG281" s="129"/>
    </row>
    <row r="282" spans="1:137" x14ac:dyDescent="0.3">
      <c r="A282" s="226">
        <f t="shared" si="15"/>
        <v>46020.193055556185</v>
      </c>
      <c r="B282" s="123">
        <v>229</v>
      </c>
      <c r="C282" s="123">
        <v>49.310001373291016</v>
      </c>
      <c r="D282" s="123">
        <v>98.959999084472656</v>
      </c>
      <c r="E282" s="123">
        <v>17.416000366210938</v>
      </c>
      <c r="F282" s="123">
        <v>6.6376004219055176</v>
      </c>
      <c r="G282" s="124">
        <v>17.530000686645508</v>
      </c>
      <c r="H282" s="125">
        <v>359</v>
      </c>
      <c r="I282" s="123">
        <v>323</v>
      </c>
      <c r="J282" s="123">
        <v>61.63800048828125</v>
      </c>
      <c r="K282" s="123">
        <v>61.648052215576172</v>
      </c>
      <c r="L282" s="123">
        <v>98.075996398925781</v>
      </c>
      <c r="M282" s="123">
        <v>11.64900016784668</v>
      </c>
      <c r="N282" s="123">
        <v>18.576000213623047</v>
      </c>
      <c r="O282" s="123">
        <v>16</v>
      </c>
      <c r="P282" s="123">
        <v>0</v>
      </c>
      <c r="Q282" s="123">
        <v>16.66438102722168</v>
      </c>
      <c r="R282" s="123">
        <v>4.9968748092651367</v>
      </c>
      <c r="S282" s="123">
        <v>3.5574541091918945</v>
      </c>
      <c r="T282" s="123">
        <v>0</v>
      </c>
      <c r="U282" s="123">
        <v>0</v>
      </c>
      <c r="V282" s="125">
        <v>850</v>
      </c>
      <c r="W282" s="123">
        <v>25.732669830322266</v>
      </c>
      <c r="X282" s="123">
        <v>25.107000350952148</v>
      </c>
      <c r="Y282" s="123">
        <v>5.5980000495910645</v>
      </c>
      <c r="Z282" s="123">
        <v>0</v>
      </c>
      <c r="AA282" s="123">
        <v>18.094999313354492</v>
      </c>
      <c r="AB282" s="123">
        <v>0</v>
      </c>
      <c r="AC282" s="123">
        <v>52.531993865966797</v>
      </c>
      <c r="AD282" s="123">
        <v>6.1069998741149902</v>
      </c>
      <c r="AE282" s="123">
        <v>0</v>
      </c>
      <c r="AF282" s="123">
        <v>81.198455810546875</v>
      </c>
      <c r="AG282" s="123">
        <v>0</v>
      </c>
      <c r="AH282" s="123">
        <v>62.475185394287109</v>
      </c>
      <c r="AI282" s="123">
        <v>13.104999542236328</v>
      </c>
      <c r="AJ282" s="123">
        <v>14.936151504516602</v>
      </c>
      <c r="AK282" s="123">
        <v>35.286724090576172</v>
      </c>
      <c r="AL282" s="123">
        <v>35.341999053955078</v>
      </c>
      <c r="AM282" s="126">
        <v>55.155998229980469</v>
      </c>
      <c r="AN282" s="125">
        <v>109.25</v>
      </c>
      <c r="AO282" s="127">
        <v>56</v>
      </c>
      <c r="AP282" s="123">
        <v>59.7991943359375</v>
      </c>
      <c r="AQ282" s="123">
        <v>33.662151336669922</v>
      </c>
      <c r="AR282" s="123">
        <v>92</v>
      </c>
      <c r="AS282" s="123"/>
      <c r="AT282" s="123">
        <v>100</v>
      </c>
      <c r="AU282" s="123"/>
      <c r="AV282" s="123">
        <v>59</v>
      </c>
      <c r="AW282" s="123"/>
      <c r="AX282" s="123">
        <v>29</v>
      </c>
      <c r="AY282" s="123">
        <v>33.918979644775391</v>
      </c>
      <c r="AZ282" s="123">
        <v>4</v>
      </c>
      <c r="BA282" s="123"/>
      <c r="BB282" s="123">
        <v>177</v>
      </c>
      <c r="BC282" s="123">
        <v>174.44160461425781</v>
      </c>
      <c r="BD282" s="123">
        <v>6.5999999046325684</v>
      </c>
      <c r="BE282" s="123">
        <v>6.6110391616821289</v>
      </c>
      <c r="BF282" s="123">
        <v>30</v>
      </c>
      <c r="BG282" s="123">
        <v>10</v>
      </c>
      <c r="BH282" s="123">
        <v>10.931520462036133</v>
      </c>
      <c r="BI282" s="123"/>
      <c r="BJ282" s="108">
        <f t="shared" si="13"/>
        <v>10</v>
      </c>
      <c r="BK282" s="123">
        <v>10</v>
      </c>
      <c r="BL282" s="123">
        <v>0</v>
      </c>
      <c r="BM282" s="126"/>
      <c r="BN282" s="108">
        <f t="shared" si="14"/>
        <v>120</v>
      </c>
      <c r="BO282" s="108">
        <v>72</v>
      </c>
      <c r="BP282" s="108">
        <v>48</v>
      </c>
      <c r="BQ282" s="108">
        <v>260</v>
      </c>
      <c r="BR282" s="123">
        <v>66.726997375488281</v>
      </c>
      <c r="BS282" s="123">
        <v>23.920000076293945</v>
      </c>
      <c r="BT282" s="123">
        <v>40.523998260498047</v>
      </c>
      <c r="BU282" s="123">
        <v>34.034999847412109</v>
      </c>
      <c r="BV282" s="123">
        <v>68.900001525878906</v>
      </c>
      <c r="BW282" s="123">
        <v>6</v>
      </c>
      <c r="BX282" s="123">
        <v>13.699999809265137</v>
      </c>
      <c r="BY282" s="123">
        <v>28</v>
      </c>
      <c r="BZ282" s="123">
        <v>19.955978393554688</v>
      </c>
      <c r="CA282" s="123">
        <v>19</v>
      </c>
      <c r="CB282" s="123">
        <v>29.131385803222656</v>
      </c>
      <c r="CC282" s="126"/>
      <c r="CD282" s="123">
        <v>328.93704223632813</v>
      </c>
      <c r="CE282" s="123">
        <v>28.179468154907227</v>
      </c>
      <c r="CF282" s="123">
        <v>16.137889862060547</v>
      </c>
      <c r="CG282" s="123">
        <v>35.338191986083984</v>
      </c>
      <c r="CH282" s="123">
        <v>273.25390625</v>
      </c>
      <c r="CI282" s="123">
        <v>73.235694885253906</v>
      </c>
      <c r="CJ282" s="123">
        <v>29.867446899414063</v>
      </c>
      <c r="CK282" s="123">
        <v>46.375858306884766</v>
      </c>
      <c r="CL282" s="124">
        <v>23.566123962402344</v>
      </c>
      <c r="CM282" s="125">
        <v>176.48982238769531</v>
      </c>
      <c r="CN282" s="123">
        <v>61.462844848632813</v>
      </c>
      <c r="CO282" s="123">
        <v>51.815177917480469</v>
      </c>
      <c r="CP282" s="123">
        <v>59.638072967529297</v>
      </c>
      <c r="CQ282" s="123">
        <v>0</v>
      </c>
      <c r="CR282" s="123">
        <v>49.700080871582031</v>
      </c>
      <c r="CS282" s="123">
        <v>7.562075138092041</v>
      </c>
      <c r="CT282" s="123">
        <v>30.820884704589844</v>
      </c>
      <c r="CU282" s="123">
        <v>46.391040802001953</v>
      </c>
      <c r="CV282" s="124">
        <v>60.841773986816406</v>
      </c>
      <c r="CW282" s="125">
        <v>1</v>
      </c>
      <c r="CX282" s="123">
        <v>290</v>
      </c>
      <c r="CY282" s="123">
        <v>104.98561859130859</v>
      </c>
      <c r="CZ282" s="123">
        <v>48.552459716796875</v>
      </c>
      <c r="DA282" s="123">
        <v>18.871974945068359</v>
      </c>
      <c r="DB282" s="123">
        <v>28.593656539916992</v>
      </c>
      <c r="DC282" s="123">
        <v>68.419952392578125</v>
      </c>
      <c r="DD282" s="123">
        <v>41</v>
      </c>
      <c r="DE282" s="123">
        <v>169</v>
      </c>
      <c r="DF282" s="123">
        <v>97.056259155273438</v>
      </c>
      <c r="DG282" s="123">
        <v>62.412525177001953</v>
      </c>
      <c r="DH282" s="123">
        <v>40.214710235595703</v>
      </c>
      <c r="DI282" s="128">
        <v>35.115634918212891</v>
      </c>
      <c r="DJ282" s="127">
        <v>209</v>
      </c>
      <c r="DK282" s="123">
        <v>106.36799621582031</v>
      </c>
      <c r="DL282" s="123">
        <v>24.201999664306641</v>
      </c>
      <c r="DM282" s="123">
        <v>28.097000122070313</v>
      </c>
      <c r="DN282" s="123">
        <v>52.130001068115234</v>
      </c>
      <c r="DO282" s="124">
        <v>111.67458343505859</v>
      </c>
      <c r="DP282" s="125">
        <v>15.579000473022461</v>
      </c>
      <c r="DQ282" s="123"/>
      <c r="DR282" s="125">
        <v>67</v>
      </c>
      <c r="DS282" s="128">
        <v>27.700000762939453</v>
      </c>
      <c r="DT282" s="127">
        <v>13</v>
      </c>
      <c r="DU282" s="123"/>
      <c r="DV282" s="123">
        <v>13</v>
      </c>
      <c r="DW282" s="123">
        <v>2.4185080528259277</v>
      </c>
      <c r="DX282" s="125">
        <v>10</v>
      </c>
      <c r="DY282" s="128"/>
      <c r="DZ282" s="127">
        <v>45</v>
      </c>
      <c r="EA282" s="123">
        <v>3</v>
      </c>
      <c r="EB282" s="123">
        <v>0</v>
      </c>
      <c r="EC282" s="123">
        <v>1</v>
      </c>
      <c r="ED282" s="123">
        <v>225.60000610351563</v>
      </c>
      <c r="EE282" s="129"/>
      <c r="EF282" s="129"/>
      <c r="EG282" s="129"/>
    </row>
    <row r="283" spans="1:137" x14ac:dyDescent="0.3">
      <c r="A283" s="226">
        <f t="shared" si="15"/>
        <v>46020.193750000632</v>
      </c>
      <c r="B283" s="123">
        <v>226</v>
      </c>
      <c r="C283" s="123">
        <v>47.048000335693359</v>
      </c>
      <c r="D283" s="123">
        <v>97.71600341796875</v>
      </c>
      <c r="E283" s="123">
        <v>17.190000534057617</v>
      </c>
      <c r="F283" s="123">
        <v>4.9909982681274414</v>
      </c>
      <c r="G283" s="124">
        <v>16.059000015258789</v>
      </c>
      <c r="H283" s="125">
        <v>363</v>
      </c>
      <c r="I283" s="123">
        <v>323</v>
      </c>
      <c r="J283" s="123">
        <v>60.054000854492188</v>
      </c>
      <c r="K283" s="123">
        <v>63.075759887695313</v>
      </c>
      <c r="L283" s="123">
        <v>100.01999664306641</v>
      </c>
      <c r="M283" s="123">
        <v>11.534999847412109</v>
      </c>
      <c r="N283" s="123">
        <v>17.176000595092773</v>
      </c>
      <c r="O283" s="123">
        <v>18</v>
      </c>
      <c r="P283" s="123">
        <v>0</v>
      </c>
      <c r="Q283" s="123">
        <v>18.900224685668945</v>
      </c>
      <c r="R283" s="123">
        <v>7.9968748092651367</v>
      </c>
      <c r="S283" s="123">
        <v>3.5574541091918945</v>
      </c>
      <c r="T283" s="123">
        <v>0</v>
      </c>
      <c r="U283" s="123">
        <v>0</v>
      </c>
      <c r="V283" s="125">
        <v>856</v>
      </c>
      <c r="W283" s="123">
        <v>25.464939117431641</v>
      </c>
      <c r="X283" s="123">
        <v>24.655000686645508</v>
      </c>
      <c r="Y283" s="123">
        <v>7.379000186920166</v>
      </c>
      <c r="Z283" s="123">
        <v>0</v>
      </c>
      <c r="AA283" s="123">
        <v>17.302999496459961</v>
      </c>
      <c r="AB283" s="123">
        <v>0</v>
      </c>
      <c r="AC283" s="123">
        <v>52.014392852783203</v>
      </c>
      <c r="AD283" s="123">
        <v>6.3610000610351563</v>
      </c>
      <c r="AE283" s="123">
        <v>0</v>
      </c>
      <c r="AF283" s="123">
        <v>79.291969299316406</v>
      </c>
      <c r="AG283" s="123">
        <v>0</v>
      </c>
      <c r="AH283" s="123">
        <v>63.192279815673828</v>
      </c>
      <c r="AI283" s="123">
        <v>15.267999649047852</v>
      </c>
      <c r="AJ283" s="123">
        <v>14.124275207519531</v>
      </c>
      <c r="AK283" s="123">
        <v>35.286724090576172</v>
      </c>
      <c r="AL283" s="123">
        <v>34.104999542236328</v>
      </c>
      <c r="AM283" s="126">
        <v>56.428001403808594</v>
      </c>
      <c r="AN283" s="125">
        <v>112.3125</v>
      </c>
      <c r="AO283" s="127">
        <v>56</v>
      </c>
      <c r="AP283" s="123">
        <v>59.429222106933594</v>
      </c>
      <c r="AQ283" s="123">
        <v>34.011177062988281</v>
      </c>
      <c r="AR283" s="123">
        <v>92</v>
      </c>
      <c r="AS283" s="123"/>
      <c r="AT283" s="123">
        <v>100</v>
      </c>
      <c r="AU283" s="123"/>
      <c r="AV283" s="123">
        <v>59</v>
      </c>
      <c r="AW283" s="123"/>
      <c r="AX283" s="123">
        <v>30</v>
      </c>
      <c r="AY283" s="123">
        <v>32.825695037841797</v>
      </c>
      <c r="AZ283" s="123">
        <v>4</v>
      </c>
      <c r="BA283" s="123"/>
      <c r="BB283" s="123">
        <v>177</v>
      </c>
      <c r="BC283" s="123">
        <v>179.77540588378906</v>
      </c>
      <c r="BD283" s="123">
        <v>6.5999999046325684</v>
      </c>
      <c r="BE283" s="123">
        <v>6.6048035621643066</v>
      </c>
      <c r="BF283" s="123">
        <v>30</v>
      </c>
      <c r="BG283" s="123">
        <v>10</v>
      </c>
      <c r="BH283" s="123">
        <v>10.931520462036133</v>
      </c>
      <c r="BI283" s="123"/>
      <c r="BJ283" s="108">
        <f t="shared" si="13"/>
        <v>10</v>
      </c>
      <c r="BK283" s="123">
        <v>10</v>
      </c>
      <c r="BL283" s="123">
        <v>0</v>
      </c>
      <c r="BM283" s="126"/>
      <c r="BN283" s="108">
        <f t="shared" si="14"/>
        <v>120</v>
      </c>
      <c r="BO283" s="108">
        <v>72</v>
      </c>
      <c r="BP283" s="108">
        <v>48</v>
      </c>
      <c r="BQ283" s="108">
        <v>261</v>
      </c>
      <c r="BR283" s="123">
        <v>71.13800048828125</v>
      </c>
      <c r="BS283" s="123">
        <v>23.920000076293945</v>
      </c>
      <c r="BT283" s="123">
        <v>40.176998138427734</v>
      </c>
      <c r="BU283" s="123">
        <v>33.208000183105469</v>
      </c>
      <c r="BV283" s="123">
        <v>70.199996948242188</v>
      </c>
      <c r="BW283" s="123">
        <v>5.8000001907348633</v>
      </c>
      <c r="BX283" s="123">
        <v>13.600000381469727</v>
      </c>
      <c r="BY283" s="123">
        <v>28</v>
      </c>
      <c r="BZ283" s="123">
        <v>19.945590972900391</v>
      </c>
      <c r="CA283" s="123">
        <v>20</v>
      </c>
      <c r="CB283" s="123">
        <v>29.098306655883789</v>
      </c>
      <c r="CC283" s="126"/>
      <c r="CD283" s="123">
        <v>327.88619995117188</v>
      </c>
      <c r="CE283" s="123">
        <v>28.901378631591797</v>
      </c>
      <c r="CF283" s="123">
        <v>16.166704177856445</v>
      </c>
      <c r="CG283" s="123">
        <v>35.338191986083984</v>
      </c>
      <c r="CH283" s="123">
        <v>272.71884155273438</v>
      </c>
      <c r="CI283" s="123">
        <v>72.80755615234375</v>
      </c>
      <c r="CJ283" s="123">
        <v>29.697189331054688</v>
      </c>
      <c r="CK283" s="123">
        <v>47.884941101074219</v>
      </c>
      <c r="CL283" s="124">
        <v>24.323657989501953</v>
      </c>
      <c r="CM283" s="125">
        <v>178.91580200195313</v>
      </c>
      <c r="CN283" s="123">
        <v>61.1602783203125</v>
      </c>
      <c r="CO283" s="123">
        <v>52.150348663330078</v>
      </c>
      <c r="CP283" s="123">
        <v>61.074764251708984</v>
      </c>
      <c r="CQ283" s="123">
        <v>0</v>
      </c>
      <c r="CR283" s="123">
        <v>50.421787261962891</v>
      </c>
      <c r="CS283" s="123">
        <v>7.8029651641845703</v>
      </c>
      <c r="CT283" s="123">
        <v>26.895061492919922</v>
      </c>
      <c r="CU283" s="123">
        <v>46.377048492431641</v>
      </c>
      <c r="CV283" s="124">
        <v>60.704994201660156</v>
      </c>
      <c r="CW283" s="125">
        <v>6</v>
      </c>
      <c r="CX283" s="123">
        <v>290</v>
      </c>
      <c r="CY283" s="123">
        <v>109.40787506103516</v>
      </c>
      <c r="CZ283" s="123">
        <v>48.538722991943359</v>
      </c>
      <c r="DA283" s="123">
        <v>20.066276550292969</v>
      </c>
      <c r="DB283" s="123">
        <v>32.063011169433594</v>
      </c>
      <c r="DC283" s="123">
        <v>68.419952392578125</v>
      </c>
      <c r="DD283" s="123">
        <v>41</v>
      </c>
      <c r="DE283" s="123">
        <v>169</v>
      </c>
      <c r="DF283" s="123">
        <v>97.255111694335938</v>
      </c>
      <c r="DG283" s="123">
        <v>61.604381561279297</v>
      </c>
      <c r="DH283" s="123">
        <v>39.833168029785156</v>
      </c>
      <c r="DI283" s="128">
        <v>35.560756683349609</v>
      </c>
      <c r="DJ283" s="127">
        <v>215</v>
      </c>
      <c r="DK283" s="123">
        <v>114.51100158691406</v>
      </c>
      <c r="DL283" s="123">
        <v>26.804000854492188</v>
      </c>
      <c r="DM283" s="123">
        <v>31.808000564575195</v>
      </c>
      <c r="DN283" s="123">
        <v>53.367000579833984</v>
      </c>
      <c r="DO283" s="124">
        <v>111.16059875488281</v>
      </c>
      <c r="DP283" s="125">
        <v>15.324000358581543</v>
      </c>
      <c r="DQ283" s="123"/>
      <c r="DR283" s="125">
        <v>67</v>
      </c>
      <c r="DS283" s="128">
        <v>28</v>
      </c>
      <c r="DT283" s="127">
        <v>13</v>
      </c>
      <c r="DU283" s="123"/>
      <c r="DV283" s="123">
        <v>5</v>
      </c>
      <c r="DW283" s="123">
        <v>2.3327460289001465</v>
      </c>
      <c r="DX283" s="125">
        <v>10</v>
      </c>
      <c r="DY283" s="128"/>
      <c r="DZ283" s="127">
        <v>48</v>
      </c>
      <c r="EA283" s="123">
        <v>3</v>
      </c>
      <c r="EB283" s="123">
        <v>0</v>
      </c>
      <c r="EC283" s="123">
        <v>1</v>
      </c>
      <c r="ED283" s="123">
        <v>226</v>
      </c>
      <c r="EE283" s="129"/>
      <c r="EF283" s="129"/>
      <c r="EG283" s="129"/>
    </row>
    <row r="284" spans="1:137" x14ac:dyDescent="0.3">
      <c r="A284" s="226">
        <f t="shared" si="15"/>
        <v>46020.194444445078</v>
      </c>
      <c r="B284" s="123">
        <v>219</v>
      </c>
      <c r="C284" s="123">
        <v>46.256000518798828</v>
      </c>
      <c r="D284" s="123">
        <v>97.26300048828125</v>
      </c>
      <c r="E284" s="123">
        <v>18.886999130249023</v>
      </c>
      <c r="F284" s="123">
        <v>0</v>
      </c>
      <c r="G284" s="124">
        <v>17.190000534057617</v>
      </c>
      <c r="H284" s="125">
        <v>358</v>
      </c>
      <c r="I284" s="123">
        <v>314</v>
      </c>
      <c r="J284" s="123">
        <v>60.166999816894531</v>
      </c>
      <c r="K284" s="123">
        <v>62.951801300048828</v>
      </c>
      <c r="L284" s="123">
        <v>98.430000305175781</v>
      </c>
      <c r="M284" s="123">
        <v>12.439999580383301</v>
      </c>
      <c r="N284" s="123">
        <v>17.749000549316406</v>
      </c>
      <c r="O284" s="123">
        <v>17</v>
      </c>
      <c r="P284" s="123">
        <v>0</v>
      </c>
      <c r="Q284" s="123">
        <v>17.204196929931641</v>
      </c>
      <c r="R284" s="123">
        <v>6</v>
      </c>
      <c r="S284" s="123">
        <v>6.0895280838012695</v>
      </c>
      <c r="T284" s="123">
        <v>0</v>
      </c>
      <c r="U284" s="123">
        <v>0</v>
      </c>
      <c r="V284" s="125">
        <v>853</v>
      </c>
      <c r="W284" s="123">
        <v>25.421808242797852</v>
      </c>
      <c r="X284" s="123">
        <v>24.089000701904297</v>
      </c>
      <c r="Y284" s="123">
        <v>7.8880000114440918</v>
      </c>
      <c r="Z284" s="123">
        <v>0</v>
      </c>
      <c r="AA284" s="123">
        <v>18.320999145507813</v>
      </c>
      <c r="AB284" s="123">
        <v>0</v>
      </c>
      <c r="AC284" s="123">
        <v>51.450244903564453</v>
      </c>
      <c r="AD284" s="123">
        <v>6.1069998741149902</v>
      </c>
      <c r="AE284" s="123">
        <v>0</v>
      </c>
      <c r="AF284" s="123">
        <v>79.291969299316406</v>
      </c>
      <c r="AG284" s="123">
        <v>0</v>
      </c>
      <c r="AH284" s="123">
        <v>62.243972778320313</v>
      </c>
      <c r="AI284" s="123">
        <v>11.513999938964844</v>
      </c>
      <c r="AJ284" s="123">
        <v>13.616472244262695</v>
      </c>
      <c r="AK284" s="123">
        <v>36.258853912353516</v>
      </c>
      <c r="AL284" s="123">
        <v>37.639999389648438</v>
      </c>
      <c r="AM284" s="126">
        <v>56.23699951171875</v>
      </c>
      <c r="AN284" s="125">
        <v>112.875</v>
      </c>
      <c r="AO284" s="127">
        <v>56</v>
      </c>
      <c r="AP284" s="123">
        <v>59.181755065917969</v>
      </c>
      <c r="AQ284" s="123">
        <v>34.588920593261719</v>
      </c>
      <c r="AR284" s="123">
        <v>92</v>
      </c>
      <c r="AS284" s="123"/>
      <c r="AT284" s="123">
        <v>99</v>
      </c>
      <c r="AU284" s="123"/>
      <c r="AV284" s="123">
        <v>59</v>
      </c>
      <c r="AW284" s="123"/>
      <c r="AX284" s="123">
        <v>30</v>
      </c>
      <c r="AY284" s="123">
        <v>32.796520233154297</v>
      </c>
      <c r="AZ284" s="123">
        <v>0</v>
      </c>
      <c r="BA284" s="123"/>
      <c r="BB284" s="123">
        <v>175</v>
      </c>
      <c r="BC284" s="123">
        <v>174.33212280273438</v>
      </c>
      <c r="BD284" s="123">
        <v>6.5999999046325684</v>
      </c>
      <c r="BE284" s="123">
        <v>6.6103229522705078</v>
      </c>
      <c r="BF284" s="123">
        <v>31</v>
      </c>
      <c r="BG284" s="123">
        <v>10</v>
      </c>
      <c r="BH284" s="123">
        <v>11.139094352722168</v>
      </c>
      <c r="BI284" s="123"/>
      <c r="BJ284" s="108">
        <f t="shared" si="13"/>
        <v>10</v>
      </c>
      <c r="BK284" s="123">
        <v>10</v>
      </c>
      <c r="BL284" s="123">
        <v>0</v>
      </c>
      <c r="BM284" s="126"/>
      <c r="BN284" s="108">
        <f t="shared" si="14"/>
        <v>121</v>
      </c>
      <c r="BO284" s="108">
        <v>72</v>
      </c>
      <c r="BP284" s="108">
        <v>49</v>
      </c>
      <c r="BQ284" s="108">
        <v>258</v>
      </c>
      <c r="BR284" s="123">
        <v>67.745002746582031</v>
      </c>
      <c r="BS284" s="123">
        <v>25.445999145507813</v>
      </c>
      <c r="BT284" s="123">
        <v>40.523998260498047</v>
      </c>
      <c r="BU284" s="123">
        <v>33.080001831054688</v>
      </c>
      <c r="BV284" s="123">
        <v>68.900001525878906</v>
      </c>
      <c r="BW284" s="123">
        <v>5.8000001907348633</v>
      </c>
      <c r="BX284" s="123">
        <v>13.600000381469727</v>
      </c>
      <c r="BY284" s="123">
        <v>29</v>
      </c>
      <c r="BZ284" s="123">
        <v>19.933517456054688</v>
      </c>
      <c r="CA284" s="123">
        <v>20</v>
      </c>
      <c r="CB284" s="123">
        <v>29.364288330078125</v>
      </c>
      <c r="CC284" s="126"/>
      <c r="CD284" s="123">
        <v>332.49234008789063</v>
      </c>
      <c r="CE284" s="123">
        <v>30.058141708374023</v>
      </c>
      <c r="CF284" s="123">
        <v>16.135044097900391</v>
      </c>
      <c r="CG284" s="123">
        <v>35.338191986083984</v>
      </c>
      <c r="CH284" s="123">
        <v>273.17471313476563</v>
      </c>
      <c r="CI284" s="123">
        <v>78.0263671875</v>
      </c>
      <c r="CJ284" s="123">
        <v>32.052745819091797</v>
      </c>
      <c r="CK284" s="123">
        <v>48.602901458740234</v>
      </c>
      <c r="CL284" s="124">
        <v>24.156309127807617</v>
      </c>
      <c r="CM284" s="125">
        <v>179.17735290527344</v>
      </c>
      <c r="CN284" s="123">
        <v>66.24237060546875</v>
      </c>
      <c r="CO284" s="123">
        <v>51.284416198730469</v>
      </c>
      <c r="CP284" s="123">
        <v>57.557907104492188</v>
      </c>
      <c r="CQ284" s="123">
        <v>0</v>
      </c>
      <c r="CR284" s="123">
        <v>50.428279876708984</v>
      </c>
      <c r="CS284" s="123">
        <v>7.9971303939819336</v>
      </c>
      <c r="CT284" s="123">
        <v>29.283596038818359</v>
      </c>
      <c r="CU284" s="123">
        <v>44.629806518554688</v>
      </c>
      <c r="CV284" s="124">
        <v>59.06707763671875</v>
      </c>
      <c r="CW284" s="125">
        <v>0</v>
      </c>
      <c r="CX284" s="123">
        <v>294</v>
      </c>
      <c r="CY284" s="123">
        <v>106.85609436035156</v>
      </c>
      <c r="CZ284" s="123">
        <v>47.114406585693359</v>
      </c>
      <c r="DA284" s="123">
        <v>20.60560417175293</v>
      </c>
      <c r="DB284" s="123">
        <v>29.292238235473633</v>
      </c>
      <c r="DC284" s="123">
        <v>71.102836608886719</v>
      </c>
      <c r="DD284" s="123">
        <v>51</v>
      </c>
      <c r="DE284" s="123">
        <v>170</v>
      </c>
      <c r="DF284" s="123">
        <v>96.480072021484375</v>
      </c>
      <c r="DG284" s="123">
        <v>61.414463043212891</v>
      </c>
      <c r="DH284" s="123">
        <v>40.708938598632813</v>
      </c>
      <c r="DI284" s="128">
        <v>39.239513397216797</v>
      </c>
      <c r="DJ284" s="127">
        <v>206</v>
      </c>
      <c r="DK284" s="123">
        <v>107.63999938964844</v>
      </c>
      <c r="DL284" s="123">
        <v>23.184000015258789</v>
      </c>
      <c r="DM284" s="123">
        <v>26.683000564575195</v>
      </c>
      <c r="DN284" s="123">
        <v>52.659999847412109</v>
      </c>
      <c r="DO284" s="124">
        <v>108.60617828369141</v>
      </c>
      <c r="DP284" s="125">
        <v>15.494000434875488</v>
      </c>
      <c r="DQ284" s="123"/>
      <c r="DR284" s="125">
        <v>67</v>
      </c>
      <c r="DS284" s="128">
        <v>26.5</v>
      </c>
      <c r="DT284" s="127">
        <v>12</v>
      </c>
      <c r="DU284" s="123"/>
      <c r="DV284" s="123">
        <v>15</v>
      </c>
      <c r="DW284" s="123">
        <v>2.3317911624908447</v>
      </c>
      <c r="DX284" s="125">
        <v>10</v>
      </c>
      <c r="DY284" s="128"/>
      <c r="DZ284" s="127">
        <v>46</v>
      </c>
      <c r="EA284" s="123">
        <v>3</v>
      </c>
      <c r="EB284" s="123">
        <v>0</v>
      </c>
      <c r="EC284" s="123">
        <v>1</v>
      </c>
      <c r="ED284" s="123">
        <v>227.39999389648438</v>
      </c>
      <c r="EE284" s="129"/>
      <c r="EF284" s="129"/>
      <c r="EG284" s="129"/>
    </row>
    <row r="285" spans="1:137" x14ac:dyDescent="0.3">
      <c r="A285" s="226">
        <f t="shared" si="15"/>
        <v>46020.195138889525</v>
      </c>
      <c r="B285" s="123">
        <v>229</v>
      </c>
      <c r="C285" s="123">
        <v>48.066001892089844</v>
      </c>
      <c r="D285" s="123">
        <v>97.829002380371094</v>
      </c>
      <c r="E285" s="123">
        <v>17.756000518798828</v>
      </c>
      <c r="F285" s="123">
        <v>0</v>
      </c>
      <c r="G285" s="124">
        <v>17.076999664306641</v>
      </c>
      <c r="H285" s="125">
        <v>358</v>
      </c>
      <c r="I285" s="123">
        <v>319</v>
      </c>
      <c r="J285" s="123">
        <v>61.071998596191406</v>
      </c>
      <c r="K285" s="123">
        <v>61.915969848632813</v>
      </c>
      <c r="L285" s="123">
        <v>101.78700256347656</v>
      </c>
      <c r="M285" s="123">
        <v>11.309000015258789</v>
      </c>
      <c r="N285" s="123">
        <v>18.066999435424805</v>
      </c>
      <c r="O285" s="123">
        <v>18</v>
      </c>
      <c r="P285" s="123">
        <v>0</v>
      </c>
      <c r="Q285" s="123">
        <v>17.204196929931641</v>
      </c>
      <c r="R285" s="123">
        <v>7.9968748092651367</v>
      </c>
      <c r="S285" s="123">
        <v>8.7140731811523438</v>
      </c>
      <c r="T285" s="123">
        <v>0</v>
      </c>
      <c r="U285" s="123">
        <v>0</v>
      </c>
      <c r="V285" s="125">
        <v>853</v>
      </c>
      <c r="W285" s="123">
        <v>23.949359893798828</v>
      </c>
      <c r="X285" s="123">
        <v>24.201999664306641</v>
      </c>
      <c r="Y285" s="123">
        <v>7.6339998245239258</v>
      </c>
      <c r="Z285" s="123">
        <v>0</v>
      </c>
      <c r="AA285" s="123">
        <v>18.547000885009766</v>
      </c>
      <c r="AB285" s="123">
        <v>0</v>
      </c>
      <c r="AC285" s="123">
        <v>52.034351348876953</v>
      </c>
      <c r="AD285" s="123">
        <v>5.8520002365112305</v>
      </c>
      <c r="AE285" s="123">
        <v>0</v>
      </c>
      <c r="AF285" s="123">
        <v>78.89630126953125</v>
      </c>
      <c r="AG285" s="123">
        <v>0</v>
      </c>
      <c r="AH285" s="123">
        <v>63.657794952392578</v>
      </c>
      <c r="AI285" s="123">
        <v>11.38700008392334</v>
      </c>
      <c r="AJ285" s="123">
        <v>17.343488693237305</v>
      </c>
      <c r="AK285" s="123">
        <v>34.692466735839844</v>
      </c>
      <c r="AL285" s="123">
        <v>36.756000518798828</v>
      </c>
      <c r="AM285" s="126">
        <v>57.191001892089844</v>
      </c>
      <c r="AN285" s="125">
        <v>113.8125</v>
      </c>
      <c r="AO285" s="127">
        <v>57</v>
      </c>
      <c r="AP285" s="123">
        <v>59.256195068359375</v>
      </c>
      <c r="AQ285" s="123">
        <v>36.745746612548828</v>
      </c>
      <c r="AR285" s="123">
        <v>93</v>
      </c>
      <c r="AS285" s="123"/>
      <c r="AT285" s="123">
        <v>99</v>
      </c>
      <c r="AU285" s="123"/>
      <c r="AV285" s="123">
        <v>52</v>
      </c>
      <c r="AW285" s="123"/>
      <c r="AX285" s="123">
        <v>30</v>
      </c>
      <c r="AY285" s="123">
        <v>32.091827392578125</v>
      </c>
      <c r="AZ285" s="123">
        <v>4</v>
      </c>
      <c r="BA285" s="123"/>
      <c r="BB285" s="123">
        <v>175</v>
      </c>
      <c r="BC285" s="123">
        <v>175.47996520996094</v>
      </c>
      <c r="BD285" s="123">
        <v>6.5999999046325684</v>
      </c>
      <c r="BE285" s="123">
        <v>6.6180453300476074</v>
      </c>
      <c r="BF285" s="123">
        <v>31</v>
      </c>
      <c r="BG285" s="123">
        <v>10</v>
      </c>
      <c r="BH285" s="123">
        <v>10.867575645446777</v>
      </c>
      <c r="BI285" s="123"/>
      <c r="BJ285" s="108">
        <f t="shared" si="13"/>
        <v>10</v>
      </c>
      <c r="BK285" s="123">
        <v>10</v>
      </c>
      <c r="BL285" s="123">
        <v>0</v>
      </c>
      <c r="BM285" s="126"/>
      <c r="BN285" s="108">
        <f t="shared" si="14"/>
        <v>121</v>
      </c>
      <c r="BO285" s="108">
        <v>72</v>
      </c>
      <c r="BP285" s="108">
        <v>49</v>
      </c>
      <c r="BQ285" s="108">
        <v>270</v>
      </c>
      <c r="BR285" s="123">
        <v>71.7030029296875</v>
      </c>
      <c r="BS285" s="123">
        <v>25.445999145507813</v>
      </c>
      <c r="BT285" s="123">
        <v>40.176998138427734</v>
      </c>
      <c r="BU285" s="123">
        <v>33.208000183105469</v>
      </c>
      <c r="BV285" s="123">
        <v>68.199996948242188</v>
      </c>
      <c r="BW285" s="123">
        <v>5.8000001907348633</v>
      </c>
      <c r="BX285" s="123">
        <v>13.600000381469727</v>
      </c>
      <c r="BY285" s="123">
        <v>28</v>
      </c>
      <c r="BZ285" s="123">
        <v>19.924768447875977</v>
      </c>
      <c r="CA285" s="123">
        <v>19</v>
      </c>
      <c r="CB285" s="123">
        <v>29.15190315246582</v>
      </c>
      <c r="CC285" s="126"/>
      <c r="CD285" s="123">
        <v>331.68075561523438</v>
      </c>
      <c r="CE285" s="123">
        <v>29.276599884033203</v>
      </c>
      <c r="CF285" s="123">
        <v>16.091743469238281</v>
      </c>
      <c r="CG285" s="123">
        <v>35.338191986083984</v>
      </c>
      <c r="CH285" s="123">
        <v>273.15789794921875</v>
      </c>
      <c r="CI285" s="123">
        <v>77.718215942382813</v>
      </c>
      <c r="CJ285" s="123">
        <v>31.807884216308594</v>
      </c>
      <c r="CK285" s="123">
        <v>50.239421844482422</v>
      </c>
      <c r="CL285" s="124">
        <v>24.456378936767578</v>
      </c>
      <c r="CM285" s="125">
        <v>176.05587768554688</v>
      </c>
      <c r="CN285" s="123">
        <v>66.461883544921875</v>
      </c>
      <c r="CO285" s="123">
        <v>51.008487701416016</v>
      </c>
      <c r="CP285" s="123">
        <v>54.546581268310547</v>
      </c>
      <c r="CQ285" s="123">
        <v>0</v>
      </c>
      <c r="CR285" s="123">
        <v>50.760032653808594</v>
      </c>
      <c r="CS285" s="123">
        <v>8.0060758590698242</v>
      </c>
      <c r="CT285" s="123">
        <v>30.467336654663086</v>
      </c>
      <c r="CU285" s="123">
        <v>43.606441497802734</v>
      </c>
      <c r="CV285" s="124">
        <v>61.638141632080078</v>
      </c>
      <c r="CW285" s="125">
        <v>3</v>
      </c>
      <c r="CX285" s="123">
        <v>294</v>
      </c>
      <c r="CY285" s="123">
        <v>108.15561676025391</v>
      </c>
      <c r="CZ285" s="123">
        <v>48.858165740966797</v>
      </c>
      <c r="DA285" s="123">
        <v>20.028318405151367</v>
      </c>
      <c r="DB285" s="123">
        <v>30.56342887878418</v>
      </c>
      <c r="DC285" s="123">
        <v>67.490821838378906</v>
      </c>
      <c r="DD285" s="123">
        <v>45</v>
      </c>
      <c r="DE285" s="123">
        <v>169</v>
      </c>
      <c r="DF285" s="123">
        <v>96.371063232421875</v>
      </c>
      <c r="DG285" s="123">
        <v>61.414463043212891</v>
      </c>
      <c r="DH285" s="123">
        <v>39.803802490234375</v>
      </c>
      <c r="DI285" s="128">
        <v>37.949832916259766</v>
      </c>
      <c r="DJ285" s="127">
        <v>213</v>
      </c>
      <c r="DK285" s="123">
        <v>112.72899627685547</v>
      </c>
      <c r="DL285" s="123">
        <v>24.089000701904297</v>
      </c>
      <c r="DM285" s="123">
        <v>29.51099967956543</v>
      </c>
      <c r="DN285" s="123">
        <v>52.659999847412109</v>
      </c>
      <c r="DO285" s="124">
        <v>113.04608154296875</v>
      </c>
      <c r="DP285" s="125">
        <v>15.012999534606934</v>
      </c>
      <c r="DQ285" s="123"/>
      <c r="DR285" s="125">
        <v>67</v>
      </c>
      <c r="DS285" s="128">
        <v>28.100000381469727</v>
      </c>
      <c r="DT285" s="127">
        <v>13</v>
      </c>
      <c r="DU285" s="123"/>
      <c r="DV285" s="123">
        <v>7</v>
      </c>
      <c r="DW285" s="123">
        <v>2.3583757877349854</v>
      </c>
      <c r="DX285" s="125">
        <v>10</v>
      </c>
      <c r="DY285" s="128"/>
      <c r="DZ285" s="127">
        <v>47</v>
      </c>
      <c r="EA285" s="123">
        <v>3</v>
      </c>
      <c r="EB285" s="123">
        <v>0</v>
      </c>
      <c r="EC285" s="123">
        <v>1</v>
      </c>
      <c r="ED285" s="123">
        <v>227.19999694824219</v>
      </c>
      <c r="EE285" s="129"/>
      <c r="EF285" s="129"/>
      <c r="EG285" s="129"/>
    </row>
    <row r="286" spans="1:137" x14ac:dyDescent="0.3">
      <c r="A286" s="226">
        <f t="shared" si="15"/>
        <v>46020.195833333972</v>
      </c>
      <c r="B286" s="123">
        <v>229</v>
      </c>
      <c r="C286" s="123">
        <v>50.893001556396484</v>
      </c>
      <c r="D286" s="123">
        <v>97.71600341796875</v>
      </c>
      <c r="E286" s="123">
        <v>19.451999664306641</v>
      </c>
      <c r="F286" s="123">
        <v>8.5977935791015625</v>
      </c>
      <c r="G286" s="124">
        <v>18.094999313354492</v>
      </c>
      <c r="H286" s="125">
        <v>359</v>
      </c>
      <c r="I286" s="123">
        <v>323</v>
      </c>
      <c r="J286" s="123">
        <v>60.506999969482422</v>
      </c>
      <c r="K286" s="123">
        <v>62.424266815185547</v>
      </c>
      <c r="L286" s="123">
        <v>100.72699737548828</v>
      </c>
      <c r="M286" s="123">
        <v>11.196000099182129</v>
      </c>
      <c r="N286" s="123">
        <v>18.257999420166016</v>
      </c>
      <c r="O286" s="123">
        <v>19</v>
      </c>
      <c r="P286" s="123">
        <v>0</v>
      </c>
      <c r="Q286" s="123">
        <v>18.842617034912109</v>
      </c>
      <c r="R286" s="123">
        <v>7.0031251907348633</v>
      </c>
      <c r="S286" s="123">
        <v>6.4497585296630859</v>
      </c>
      <c r="T286" s="123">
        <v>0</v>
      </c>
      <c r="U286" s="123">
        <v>0</v>
      </c>
      <c r="V286" s="125">
        <v>848</v>
      </c>
      <c r="W286" s="123">
        <v>24.626934051513672</v>
      </c>
      <c r="X286" s="123">
        <v>24.315000534057617</v>
      </c>
      <c r="Y286" s="123">
        <v>7.4429998397827148</v>
      </c>
      <c r="Z286" s="123">
        <v>0</v>
      </c>
      <c r="AA286" s="123">
        <v>20.695999145507813</v>
      </c>
      <c r="AB286" s="123">
        <v>0</v>
      </c>
      <c r="AC286" s="123">
        <v>51.212135314941406</v>
      </c>
      <c r="AD286" s="123">
        <v>6.3610000610351563</v>
      </c>
      <c r="AE286" s="123">
        <v>0</v>
      </c>
      <c r="AF286" s="123">
        <v>80.649055480957031</v>
      </c>
      <c r="AG286" s="123">
        <v>0</v>
      </c>
      <c r="AH286" s="123">
        <v>63.502040863037109</v>
      </c>
      <c r="AI286" s="123">
        <v>13.168000221252441</v>
      </c>
      <c r="AJ286" s="123">
        <v>17.261127471923828</v>
      </c>
      <c r="AK286" s="123">
        <v>35.348915100097656</v>
      </c>
      <c r="AL286" s="123">
        <v>33.751998901367188</v>
      </c>
      <c r="AM286" s="126">
        <v>52.292999267578125</v>
      </c>
      <c r="AN286" s="125">
        <v>111.625</v>
      </c>
      <c r="AO286" s="127">
        <v>56</v>
      </c>
      <c r="AP286" s="123">
        <v>57.925045013427734</v>
      </c>
      <c r="AQ286" s="123">
        <v>34.890262603759766</v>
      </c>
      <c r="AR286" s="123">
        <v>92</v>
      </c>
      <c r="AS286" s="123"/>
      <c r="AT286" s="123">
        <v>99</v>
      </c>
      <c r="AU286" s="123"/>
      <c r="AV286" s="123">
        <v>52</v>
      </c>
      <c r="AW286" s="123"/>
      <c r="AX286" s="123">
        <v>30</v>
      </c>
      <c r="AY286" s="123">
        <v>32.077674865722656</v>
      </c>
      <c r="AZ286" s="123">
        <v>3</v>
      </c>
      <c r="BA286" s="123"/>
      <c r="BB286" s="123">
        <v>177</v>
      </c>
      <c r="BC286" s="123">
        <v>174.8931884765625</v>
      </c>
      <c r="BD286" s="123">
        <v>6.5</v>
      </c>
      <c r="BE286" s="123">
        <v>6.5974745750427246</v>
      </c>
      <c r="BF286" s="123">
        <v>30</v>
      </c>
      <c r="BG286" s="123">
        <v>10</v>
      </c>
      <c r="BH286" s="123">
        <v>10.82254695892334</v>
      </c>
      <c r="BI286" s="123"/>
      <c r="BJ286" s="108">
        <f t="shared" si="13"/>
        <v>10</v>
      </c>
      <c r="BK286" s="123">
        <v>10</v>
      </c>
      <c r="BL286" s="123">
        <v>0</v>
      </c>
      <c r="BM286" s="126"/>
      <c r="BN286" s="108">
        <f t="shared" si="14"/>
        <v>121</v>
      </c>
      <c r="BO286" s="108">
        <v>72</v>
      </c>
      <c r="BP286" s="108">
        <v>49</v>
      </c>
      <c r="BQ286" s="108">
        <v>262</v>
      </c>
      <c r="BR286" s="123">
        <v>70.571998596191406</v>
      </c>
      <c r="BS286" s="123">
        <v>24.429000854492188</v>
      </c>
      <c r="BT286" s="123">
        <v>40.176998138427734</v>
      </c>
      <c r="BU286" s="123">
        <v>32.826000213623047</v>
      </c>
      <c r="BV286" s="123">
        <v>68.199996948242188</v>
      </c>
      <c r="BW286" s="123">
        <v>6</v>
      </c>
      <c r="BX286" s="123">
        <v>13.600000381469727</v>
      </c>
      <c r="BY286" s="123">
        <v>27</v>
      </c>
      <c r="BZ286" s="123">
        <v>19.937149047851563</v>
      </c>
      <c r="CA286" s="123">
        <v>20</v>
      </c>
      <c r="CB286" s="123">
        <v>29.15190315246582</v>
      </c>
      <c r="CC286" s="126"/>
      <c r="CD286" s="123">
        <v>332.91195678710938</v>
      </c>
      <c r="CE286" s="123">
        <v>29.897500991821289</v>
      </c>
      <c r="CF286" s="123">
        <v>16.532424926757813</v>
      </c>
      <c r="CG286" s="123">
        <v>35.338191986083984</v>
      </c>
      <c r="CH286" s="123">
        <v>272.680419921875</v>
      </c>
      <c r="CI286" s="123">
        <v>79.060653686523438</v>
      </c>
      <c r="CJ286" s="123">
        <v>31.215860366821289</v>
      </c>
      <c r="CK286" s="123">
        <v>48.935031890869141</v>
      </c>
      <c r="CL286" s="124">
        <v>25.504283905029297</v>
      </c>
      <c r="CM286" s="125">
        <v>175.40583801269531</v>
      </c>
      <c r="CN286" s="123">
        <v>64.960968017578125</v>
      </c>
      <c r="CO286" s="123">
        <v>49.921112060546875</v>
      </c>
      <c r="CP286" s="123">
        <v>56.212482452392578</v>
      </c>
      <c r="CQ286" s="123">
        <v>0</v>
      </c>
      <c r="CR286" s="123">
        <v>48.912662506103516</v>
      </c>
      <c r="CS286" s="123">
        <v>7.2832403182983398</v>
      </c>
      <c r="CT286" s="123">
        <v>30.959846496582031</v>
      </c>
      <c r="CU286" s="123">
        <v>46.636371612548828</v>
      </c>
      <c r="CV286" s="124">
        <v>61.128742218017578</v>
      </c>
      <c r="CW286" s="125">
        <v>5</v>
      </c>
      <c r="CX286" s="123">
        <v>295</v>
      </c>
      <c r="CY286" s="123">
        <v>111.55104064941406</v>
      </c>
      <c r="CZ286" s="123">
        <v>49.919212341308594</v>
      </c>
      <c r="DA286" s="123">
        <v>19.622419357299805</v>
      </c>
      <c r="DB286" s="123">
        <v>30.56342887878418</v>
      </c>
      <c r="DC286" s="123">
        <v>67.490821838378906</v>
      </c>
      <c r="DD286" s="123">
        <v>41</v>
      </c>
      <c r="DE286" s="123">
        <v>169</v>
      </c>
      <c r="DF286" s="123">
        <v>97.629241943359375</v>
      </c>
      <c r="DG286" s="123">
        <v>64.141517639160156</v>
      </c>
      <c r="DH286" s="123">
        <v>39.988262176513672</v>
      </c>
      <c r="DI286" s="128">
        <v>37.024440765380859</v>
      </c>
      <c r="DJ286" s="127">
        <v>216</v>
      </c>
      <c r="DK286" s="123">
        <v>114.76499938964844</v>
      </c>
      <c r="DL286" s="123">
        <v>23.184000015258789</v>
      </c>
      <c r="DM286" s="123">
        <v>29.86400032043457</v>
      </c>
      <c r="DN286" s="123">
        <v>53.721000671386719</v>
      </c>
      <c r="DO286" s="124">
        <v>112.58981323242188</v>
      </c>
      <c r="DP286" s="125">
        <v>15.409000396728516</v>
      </c>
      <c r="DQ286" s="123"/>
      <c r="DR286" s="125">
        <v>67</v>
      </c>
      <c r="DS286" s="128">
        <v>28.799999237060547</v>
      </c>
      <c r="DT286" s="127">
        <v>12</v>
      </c>
      <c r="DU286" s="123"/>
      <c r="DV286" s="123">
        <v>7</v>
      </c>
      <c r="DW286" s="123">
        <v>2.3677780628204346</v>
      </c>
      <c r="DX286" s="125">
        <v>10</v>
      </c>
      <c r="DY286" s="128"/>
      <c r="DZ286" s="127">
        <v>45</v>
      </c>
      <c r="EA286" s="123">
        <v>3</v>
      </c>
      <c r="EB286" s="123">
        <v>0</v>
      </c>
      <c r="EC286" s="123">
        <v>1</v>
      </c>
      <c r="ED286" s="123">
        <v>229.19999694824219</v>
      </c>
      <c r="EE286" s="129"/>
      <c r="EF286" s="129"/>
      <c r="EG286" s="129"/>
    </row>
    <row r="287" spans="1:137" x14ac:dyDescent="0.3">
      <c r="A287" s="226">
        <f t="shared" si="15"/>
        <v>46020.196527778418</v>
      </c>
      <c r="B287" s="123">
        <v>228</v>
      </c>
      <c r="C287" s="123">
        <v>51.798000335693359</v>
      </c>
      <c r="D287" s="123">
        <v>97.488998413085938</v>
      </c>
      <c r="E287" s="123">
        <v>18.660999298095703</v>
      </c>
      <c r="F287" s="123">
        <v>0</v>
      </c>
      <c r="G287" s="124">
        <v>18.094999313354492</v>
      </c>
      <c r="H287" s="125">
        <v>361</v>
      </c>
      <c r="I287" s="123">
        <v>325</v>
      </c>
      <c r="J287" s="123">
        <v>60.506999969482422</v>
      </c>
      <c r="K287" s="123">
        <v>66.361244201660156</v>
      </c>
      <c r="L287" s="123">
        <v>104.08399963378906</v>
      </c>
      <c r="M287" s="123">
        <v>11.534999847412109</v>
      </c>
      <c r="N287" s="123">
        <v>17.940000534057617</v>
      </c>
      <c r="O287" s="123">
        <v>18</v>
      </c>
      <c r="P287" s="123">
        <v>0</v>
      </c>
      <c r="Q287" s="123">
        <v>18.827470779418945</v>
      </c>
      <c r="R287" s="123">
        <v>6</v>
      </c>
      <c r="S287" s="123">
        <v>7.4422335624694824</v>
      </c>
      <c r="T287" s="123">
        <v>0</v>
      </c>
      <c r="U287" s="123">
        <v>0</v>
      </c>
      <c r="V287" s="125">
        <v>848</v>
      </c>
      <c r="W287" s="123">
        <v>25.645719528198242</v>
      </c>
      <c r="X287" s="123">
        <v>24.881000518798828</v>
      </c>
      <c r="Y287" s="123">
        <v>7.4429998397827148</v>
      </c>
      <c r="Z287" s="123">
        <v>0</v>
      </c>
      <c r="AA287" s="123">
        <v>19.113000869750977</v>
      </c>
      <c r="AB287" s="123">
        <v>0</v>
      </c>
      <c r="AC287" s="123">
        <v>51.368389129638672</v>
      </c>
      <c r="AD287" s="123">
        <v>6.1069998741149902</v>
      </c>
      <c r="AE287" s="123">
        <v>0</v>
      </c>
      <c r="AF287" s="123">
        <v>80.568260192871094</v>
      </c>
      <c r="AG287" s="123">
        <v>0</v>
      </c>
      <c r="AH287" s="123">
        <v>63.713165283203125</v>
      </c>
      <c r="AI287" s="123">
        <v>15.012999534606934</v>
      </c>
      <c r="AJ287" s="123">
        <v>15.282876014709473</v>
      </c>
      <c r="AK287" s="123">
        <v>35.300453186035156</v>
      </c>
      <c r="AL287" s="123">
        <v>36.402999877929688</v>
      </c>
      <c r="AM287" s="126">
        <v>54.074001312255859</v>
      </c>
      <c r="AN287" s="125">
        <v>112.625</v>
      </c>
      <c r="AO287" s="127">
        <v>56</v>
      </c>
      <c r="AP287" s="123">
        <v>58.692092895507813</v>
      </c>
      <c r="AQ287" s="123">
        <v>34.304973602294922</v>
      </c>
      <c r="AR287" s="123">
        <v>97</v>
      </c>
      <c r="AS287" s="123"/>
      <c r="AT287" s="123">
        <v>96</v>
      </c>
      <c r="AU287" s="123"/>
      <c r="AV287" s="123">
        <v>69</v>
      </c>
      <c r="AW287" s="123"/>
      <c r="AX287" s="123">
        <v>29</v>
      </c>
      <c r="AY287" s="123">
        <v>32.077674865722656</v>
      </c>
      <c r="AZ287" s="123">
        <v>3</v>
      </c>
      <c r="BA287" s="123"/>
      <c r="BB287" s="123">
        <v>178</v>
      </c>
      <c r="BC287" s="123">
        <v>180.15031433105469</v>
      </c>
      <c r="BD287" s="123">
        <v>6.5999999046325684</v>
      </c>
      <c r="BE287" s="123">
        <v>6.6002774238586426</v>
      </c>
      <c r="BF287" s="123">
        <v>30</v>
      </c>
      <c r="BG287" s="123">
        <v>10</v>
      </c>
      <c r="BH287" s="123">
        <v>10.771701812744141</v>
      </c>
      <c r="BI287" s="123"/>
      <c r="BJ287" s="108">
        <f t="shared" si="13"/>
        <v>10</v>
      </c>
      <c r="BK287" s="123">
        <v>10</v>
      </c>
      <c r="BL287" s="123">
        <v>0</v>
      </c>
      <c r="BM287" s="126"/>
      <c r="BN287" s="108">
        <f t="shared" si="14"/>
        <v>120.20000076293945</v>
      </c>
      <c r="BO287" s="108">
        <v>72</v>
      </c>
      <c r="BP287" s="108">
        <v>48.200000762939453</v>
      </c>
      <c r="BQ287" s="108">
        <v>267</v>
      </c>
      <c r="BR287" s="123">
        <v>72.946998596191406</v>
      </c>
      <c r="BS287" s="123">
        <v>24.429000854492188</v>
      </c>
      <c r="BT287" s="123">
        <v>40.869998931884766</v>
      </c>
      <c r="BU287" s="123">
        <v>32.889999389648438</v>
      </c>
      <c r="BV287" s="123">
        <v>68.900001525878906</v>
      </c>
      <c r="BW287" s="123">
        <v>6</v>
      </c>
      <c r="BX287" s="123">
        <v>13.600000381469727</v>
      </c>
      <c r="BY287" s="123">
        <v>29</v>
      </c>
      <c r="BZ287" s="123">
        <v>19.937149047851563</v>
      </c>
      <c r="CA287" s="123">
        <v>19</v>
      </c>
      <c r="CB287" s="123">
        <v>29.281240463256836</v>
      </c>
      <c r="CC287" s="126"/>
      <c r="CD287" s="123">
        <v>328.04800415039063</v>
      </c>
      <c r="CE287" s="123">
        <v>27.822309494018555</v>
      </c>
      <c r="CF287" s="123">
        <v>16.176118850708008</v>
      </c>
      <c r="CG287" s="123">
        <v>35.338191986083984</v>
      </c>
      <c r="CH287" s="123">
        <v>273.154541015625</v>
      </c>
      <c r="CI287" s="123">
        <v>79.432769775390625</v>
      </c>
      <c r="CJ287" s="123">
        <v>32.639598846435547</v>
      </c>
      <c r="CK287" s="123">
        <v>48.842247009277344</v>
      </c>
      <c r="CL287" s="124">
        <v>25.664966583251953</v>
      </c>
      <c r="CM287" s="125">
        <v>180.83428955078125</v>
      </c>
      <c r="CN287" s="123">
        <v>65.415473937988281</v>
      </c>
      <c r="CO287" s="123">
        <v>50.345321655273438</v>
      </c>
      <c r="CP287" s="123">
        <v>59.785640716552734</v>
      </c>
      <c r="CQ287" s="123">
        <v>0</v>
      </c>
      <c r="CR287" s="123">
        <v>49.964046478271484</v>
      </c>
      <c r="CS287" s="123">
        <v>7.3572707176208496</v>
      </c>
      <c r="CT287" s="123">
        <v>28.870107650756836</v>
      </c>
      <c r="CU287" s="123">
        <v>48.267993927001953</v>
      </c>
      <c r="CV287" s="124">
        <v>62.1187744140625</v>
      </c>
      <c r="CW287" s="125">
        <v>12</v>
      </c>
      <c r="CX287" s="123">
        <v>294</v>
      </c>
      <c r="CY287" s="123">
        <v>108.54193878173828</v>
      </c>
      <c r="CZ287" s="123">
        <v>46.737380981445313</v>
      </c>
      <c r="DA287" s="123">
        <v>19.622419357299805</v>
      </c>
      <c r="DB287" s="123">
        <v>29.392833709716797</v>
      </c>
      <c r="DC287" s="123">
        <v>70.24029541015625</v>
      </c>
      <c r="DD287" s="123">
        <v>47</v>
      </c>
      <c r="DE287" s="123">
        <v>169</v>
      </c>
      <c r="DF287" s="123">
        <v>96.9012451171875</v>
      </c>
      <c r="DG287" s="123">
        <v>64.446319580078125</v>
      </c>
      <c r="DH287" s="123">
        <v>39.819217681884766</v>
      </c>
      <c r="DI287" s="128">
        <v>37.446971893310547</v>
      </c>
      <c r="DJ287" s="127">
        <v>210</v>
      </c>
      <c r="DK287" s="123">
        <v>108.14900207519531</v>
      </c>
      <c r="DL287" s="123">
        <v>23.184000015258789</v>
      </c>
      <c r="DM287" s="123">
        <v>28.981000900268555</v>
      </c>
      <c r="DN287" s="123">
        <v>50.540000915527344</v>
      </c>
      <c r="DO287" s="124">
        <v>112.25325775146484</v>
      </c>
      <c r="DP287" s="125">
        <v>15.041000366210938</v>
      </c>
      <c r="DQ287" s="123"/>
      <c r="DR287" s="125">
        <v>67</v>
      </c>
      <c r="DS287" s="128">
        <v>29.5</v>
      </c>
      <c r="DT287" s="127">
        <v>12</v>
      </c>
      <c r="DU287" s="123"/>
      <c r="DV287" s="123">
        <v>10</v>
      </c>
      <c r="DW287" s="123">
        <v>2.3897607326507568</v>
      </c>
      <c r="DX287" s="125">
        <v>10</v>
      </c>
      <c r="DY287" s="128"/>
      <c r="DZ287" s="127">
        <v>45</v>
      </c>
      <c r="EA287" s="123">
        <v>3</v>
      </c>
      <c r="EB287" s="123">
        <v>0</v>
      </c>
      <c r="EC287" s="123">
        <v>1</v>
      </c>
      <c r="ED287" s="123">
        <v>230.60000610351563</v>
      </c>
      <c r="EE287" s="129"/>
      <c r="EF287" s="129"/>
      <c r="EG287" s="129"/>
    </row>
    <row r="288" spans="1:137" x14ac:dyDescent="0.3">
      <c r="A288" s="226">
        <f t="shared" si="15"/>
        <v>46020.197222222865</v>
      </c>
      <c r="B288" s="123">
        <v>225</v>
      </c>
      <c r="C288" s="123">
        <v>49.762001037597656</v>
      </c>
      <c r="D288" s="123">
        <v>96.924003601074219</v>
      </c>
      <c r="E288" s="123">
        <v>17.642999649047852</v>
      </c>
      <c r="F288" s="123">
        <v>3.8700094223022461</v>
      </c>
      <c r="G288" s="124">
        <v>17.530000686645508</v>
      </c>
      <c r="H288" s="125">
        <v>366</v>
      </c>
      <c r="I288" s="123">
        <v>324</v>
      </c>
      <c r="J288" s="123">
        <v>63.221000671386719</v>
      </c>
      <c r="K288" s="123">
        <v>61.753482818603516</v>
      </c>
      <c r="L288" s="123">
        <v>105.14499664306641</v>
      </c>
      <c r="M288" s="123">
        <v>11.98799991607666</v>
      </c>
      <c r="N288" s="123">
        <v>18.066999435424805</v>
      </c>
      <c r="O288" s="123">
        <v>17</v>
      </c>
      <c r="P288" s="123">
        <v>0</v>
      </c>
      <c r="Q288" s="123">
        <v>17.564163208007813</v>
      </c>
      <c r="R288" s="123">
        <v>6</v>
      </c>
      <c r="S288" s="123">
        <v>7.2156686782836914</v>
      </c>
      <c r="T288" s="123">
        <v>0</v>
      </c>
      <c r="U288" s="123">
        <v>0</v>
      </c>
      <c r="V288" s="125">
        <v>850</v>
      </c>
      <c r="W288" s="123">
        <v>28.994199752807617</v>
      </c>
      <c r="X288" s="123">
        <v>24.541999816894531</v>
      </c>
      <c r="Y288" s="123">
        <v>8.4610004425048828</v>
      </c>
      <c r="Z288" s="123">
        <v>0</v>
      </c>
      <c r="AA288" s="123">
        <v>19</v>
      </c>
      <c r="AB288" s="123">
        <v>0</v>
      </c>
      <c r="AC288" s="123">
        <v>50.694835662841797</v>
      </c>
      <c r="AD288" s="123">
        <v>6.1069998741149902</v>
      </c>
      <c r="AE288" s="123">
        <v>0</v>
      </c>
      <c r="AF288" s="123">
        <v>80.339691162109375</v>
      </c>
      <c r="AG288" s="123">
        <v>0</v>
      </c>
      <c r="AH288" s="123">
        <v>61.135616302490234</v>
      </c>
      <c r="AI288" s="123">
        <v>12.02299976348877</v>
      </c>
      <c r="AJ288" s="123">
        <v>14.930556297302246</v>
      </c>
      <c r="AK288" s="123">
        <v>35.150852203369141</v>
      </c>
      <c r="AL288" s="123">
        <v>35.873001098632813</v>
      </c>
      <c r="AM288" s="126">
        <v>53.946998596191406</v>
      </c>
      <c r="AN288" s="125">
        <v>113.625</v>
      </c>
      <c r="AO288" s="127">
        <v>56</v>
      </c>
      <c r="AP288" s="123">
        <v>58.905391693115234</v>
      </c>
      <c r="AQ288" s="123">
        <v>36.177906036376953</v>
      </c>
      <c r="AR288" s="123">
        <v>98</v>
      </c>
      <c r="AS288" s="123"/>
      <c r="AT288" s="123">
        <v>95</v>
      </c>
      <c r="AU288" s="123"/>
      <c r="AV288" s="123">
        <v>101</v>
      </c>
      <c r="AW288" s="123"/>
      <c r="AX288" s="123">
        <v>29</v>
      </c>
      <c r="AY288" s="123">
        <v>32.329299926757813</v>
      </c>
      <c r="AZ288" s="123">
        <v>0</v>
      </c>
      <c r="BA288" s="123"/>
      <c r="BB288" s="123">
        <v>177</v>
      </c>
      <c r="BC288" s="123">
        <v>179.83169555664063</v>
      </c>
      <c r="BD288" s="123">
        <v>6.5999999046325684</v>
      </c>
      <c r="BE288" s="123">
        <v>6.6058940887451172</v>
      </c>
      <c r="BF288" s="123">
        <v>30</v>
      </c>
      <c r="BG288" s="123">
        <v>10</v>
      </c>
      <c r="BH288" s="123">
        <v>10.759169578552246</v>
      </c>
      <c r="BI288" s="123"/>
      <c r="BJ288" s="108">
        <f t="shared" si="13"/>
        <v>10</v>
      </c>
      <c r="BK288" s="123">
        <v>10</v>
      </c>
      <c r="BL288" s="123">
        <v>0</v>
      </c>
      <c r="BM288" s="126"/>
      <c r="BN288" s="108">
        <f t="shared" si="14"/>
        <v>120.20000076293945</v>
      </c>
      <c r="BO288" s="108">
        <v>72</v>
      </c>
      <c r="BP288" s="108">
        <v>48.200000762939453</v>
      </c>
      <c r="BQ288" s="108">
        <v>271</v>
      </c>
      <c r="BR288" s="123">
        <v>68.76300048828125</v>
      </c>
      <c r="BS288" s="123">
        <v>24.429000854492188</v>
      </c>
      <c r="BT288" s="123">
        <v>40.869998931884766</v>
      </c>
      <c r="BU288" s="123">
        <v>33.270999908447266</v>
      </c>
      <c r="BV288" s="123">
        <v>68.800003051757813</v>
      </c>
      <c r="BW288" s="123">
        <v>5.9000000953674316</v>
      </c>
      <c r="BX288" s="123">
        <v>13.600000381469727</v>
      </c>
      <c r="BY288" s="123">
        <v>29</v>
      </c>
      <c r="BZ288" s="123">
        <v>19.94459342956543</v>
      </c>
      <c r="CA288" s="123">
        <v>20</v>
      </c>
      <c r="CB288" s="123">
        <v>29.382577896118164</v>
      </c>
      <c r="CC288" s="126"/>
      <c r="CD288" s="123">
        <v>337.13253784179688</v>
      </c>
      <c r="CE288" s="123">
        <v>29.039468765258789</v>
      </c>
      <c r="CF288" s="123">
        <v>16.516536712646484</v>
      </c>
      <c r="CG288" s="123">
        <v>35.338191986083984</v>
      </c>
      <c r="CH288" s="123">
        <v>274.0009765625</v>
      </c>
      <c r="CI288" s="123">
        <v>76.648712158203125</v>
      </c>
      <c r="CJ288" s="123">
        <v>33.167453765869141</v>
      </c>
      <c r="CK288" s="123">
        <v>49.648551940917969</v>
      </c>
      <c r="CL288" s="124">
        <v>25.469808578491211</v>
      </c>
      <c r="CM288" s="125">
        <v>176.88621520996094</v>
      </c>
      <c r="CN288" s="123">
        <v>65.344100952148438</v>
      </c>
      <c r="CO288" s="123">
        <v>49.921550750732422</v>
      </c>
      <c r="CP288" s="123">
        <v>58.291255950927734</v>
      </c>
      <c r="CQ288" s="123">
        <v>0</v>
      </c>
      <c r="CR288" s="123">
        <v>51.11981201171875</v>
      </c>
      <c r="CS288" s="123">
        <v>7.721592903137207</v>
      </c>
      <c r="CT288" s="123">
        <v>28.710529327392578</v>
      </c>
      <c r="CU288" s="123">
        <v>47.854579925537109</v>
      </c>
      <c r="CV288" s="124">
        <v>59.768795013427734</v>
      </c>
      <c r="CW288" s="125">
        <v>0</v>
      </c>
      <c r="CX288" s="123">
        <v>294</v>
      </c>
      <c r="CY288" s="123">
        <v>109.86392974853516</v>
      </c>
      <c r="CZ288" s="123">
        <v>46.441169738769531</v>
      </c>
      <c r="DA288" s="123">
        <v>19.604272842407227</v>
      </c>
      <c r="DB288" s="123">
        <v>29.725257873535156</v>
      </c>
      <c r="DC288" s="123">
        <v>71.434120178222656</v>
      </c>
      <c r="DD288" s="123">
        <v>43</v>
      </c>
      <c r="DE288" s="123">
        <v>168</v>
      </c>
      <c r="DF288" s="123">
        <v>97.680732727050781</v>
      </c>
      <c r="DG288" s="123">
        <v>65.454490661621094</v>
      </c>
      <c r="DH288" s="123">
        <v>40.342891693115234</v>
      </c>
      <c r="DI288" s="128">
        <v>36.914134979248047</v>
      </c>
      <c r="DJ288" s="127">
        <v>211</v>
      </c>
      <c r="DK288" s="123">
        <v>108.14900207519531</v>
      </c>
      <c r="DL288" s="123">
        <v>22.280000686645508</v>
      </c>
      <c r="DM288" s="123">
        <v>30.74799919128418</v>
      </c>
      <c r="DN288" s="123">
        <v>49.479999542236328</v>
      </c>
      <c r="DO288" s="124">
        <v>109.91322326660156</v>
      </c>
      <c r="DP288" s="125">
        <v>15.041000366210938</v>
      </c>
      <c r="DQ288" s="123"/>
      <c r="DR288" s="125">
        <v>67</v>
      </c>
      <c r="DS288" s="128">
        <v>29.100000381469727</v>
      </c>
      <c r="DT288" s="127">
        <v>12</v>
      </c>
      <c r="DU288" s="123"/>
      <c r="DV288" s="123">
        <v>8</v>
      </c>
      <c r="DW288" s="123">
        <v>2.444807767868042</v>
      </c>
      <c r="DX288" s="125">
        <v>9</v>
      </c>
      <c r="DY288" s="128"/>
      <c r="DZ288" s="127">
        <v>46</v>
      </c>
      <c r="EA288" s="123">
        <v>3</v>
      </c>
      <c r="EB288" s="123">
        <v>0</v>
      </c>
      <c r="EC288" s="123">
        <v>1</v>
      </c>
      <c r="ED288" s="123">
        <v>228.5</v>
      </c>
      <c r="EE288" s="129"/>
      <c r="EF288" s="129"/>
      <c r="EG288" s="129"/>
    </row>
    <row r="289" spans="1:137" x14ac:dyDescent="0.3">
      <c r="A289" s="226">
        <f t="shared" si="15"/>
        <v>46020.197916667312</v>
      </c>
      <c r="B289" s="123">
        <v>225</v>
      </c>
      <c r="C289" s="123">
        <v>51.458999633789063</v>
      </c>
      <c r="D289" s="123">
        <v>98.280998229980469</v>
      </c>
      <c r="E289" s="123">
        <v>17.416000366210938</v>
      </c>
      <c r="F289" s="123">
        <v>3.6108584403991699</v>
      </c>
      <c r="G289" s="124">
        <v>15.946000099182129</v>
      </c>
      <c r="H289" s="125">
        <v>360</v>
      </c>
      <c r="I289" s="123">
        <v>321</v>
      </c>
      <c r="J289" s="123">
        <v>62.090000152587891</v>
      </c>
      <c r="K289" s="123">
        <v>63.730998992919922</v>
      </c>
      <c r="L289" s="123">
        <v>100.01999664306641</v>
      </c>
      <c r="M289" s="123">
        <v>11.76200008392334</v>
      </c>
      <c r="N289" s="123">
        <v>18.638999938964844</v>
      </c>
      <c r="O289" s="123">
        <v>17</v>
      </c>
      <c r="P289" s="123">
        <v>0</v>
      </c>
      <c r="Q289" s="123">
        <v>17.571332931518555</v>
      </c>
      <c r="R289" s="123">
        <v>6</v>
      </c>
      <c r="S289" s="123">
        <v>6.3031711578369141</v>
      </c>
      <c r="T289" s="123">
        <v>6</v>
      </c>
      <c r="U289" s="123">
        <v>6</v>
      </c>
      <c r="V289" s="125">
        <v>850</v>
      </c>
      <c r="W289" s="123">
        <v>28.166038513183594</v>
      </c>
      <c r="X289" s="123">
        <v>24.315000534057617</v>
      </c>
      <c r="Y289" s="123">
        <v>9.3509998321533203</v>
      </c>
      <c r="Z289" s="123">
        <v>0</v>
      </c>
      <c r="AA289" s="123">
        <v>20.923000335693359</v>
      </c>
      <c r="AB289" s="123">
        <v>0</v>
      </c>
      <c r="AC289" s="123">
        <v>50.567134857177734</v>
      </c>
      <c r="AD289" s="123">
        <v>5.5980000495910645</v>
      </c>
      <c r="AE289" s="123">
        <v>0</v>
      </c>
      <c r="AF289" s="123">
        <v>79.521812438964844</v>
      </c>
      <c r="AG289" s="123">
        <v>0</v>
      </c>
      <c r="AH289" s="123">
        <v>61.028892517089844</v>
      </c>
      <c r="AI289" s="123">
        <v>12.149999618530273</v>
      </c>
      <c r="AJ289" s="123">
        <v>15.581109046936035</v>
      </c>
      <c r="AK289" s="123">
        <v>34.942676544189453</v>
      </c>
      <c r="AL289" s="123">
        <v>35.695999145507813</v>
      </c>
      <c r="AM289" s="126">
        <v>53.311000823974609</v>
      </c>
      <c r="AN289" s="125">
        <v>110.5</v>
      </c>
      <c r="AO289" s="127">
        <v>56</v>
      </c>
      <c r="AP289" s="123">
        <v>58.14007568359375</v>
      </c>
      <c r="AQ289" s="123">
        <v>35.335689544677734</v>
      </c>
      <c r="AR289" s="123">
        <v>98</v>
      </c>
      <c r="AS289" s="123"/>
      <c r="AT289" s="123">
        <v>94</v>
      </c>
      <c r="AU289" s="123"/>
      <c r="AV289" s="123">
        <v>103</v>
      </c>
      <c r="AW289" s="123"/>
      <c r="AX289" s="123">
        <v>29</v>
      </c>
      <c r="AY289" s="123">
        <v>32.483348846435547</v>
      </c>
      <c r="AZ289" s="123">
        <v>3</v>
      </c>
      <c r="BA289" s="123"/>
      <c r="BB289" s="123">
        <v>177</v>
      </c>
      <c r="BC289" s="123">
        <v>177.96153259277344</v>
      </c>
      <c r="BD289" s="123">
        <v>6.5</v>
      </c>
      <c r="BE289" s="123">
        <v>6.6037259101867676</v>
      </c>
      <c r="BF289" s="123">
        <v>30</v>
      </c>
      <c r="BG289" s="123">
        <v>10</v>
      </c>
      <c r="BH289" s="123">
        <v>10.755209922790527</v>
      </c>
      <c r="BI289" s="123"/>
      <c r="BJ289" s="108">
        <f t="shared" si="13"/>
        <v>11</v>
      </c>
      <c r="BK289" s="123">
        <v>11</v>
      </c>
      <c r="BL289" s="123">
        <v>0</v>
      </c>
      <c r="BM289" s="126"/>
      <c r="BN289" s="108">
        <f t="shared" si="14"/>
        <v>121</v>
      </c>
      <c r="BO289" s="108">
        <v>72</v>
      </c>
      <c r="BP289" s="108">
        <v>49</v>
      </c>
      <c r="BQ289" s="108">
        <v>266</v>
      </c>
      <c r="BR289" s="123">
        <v>70.007003784179688</v>
      </c>
      <c r="BS289" s="123">
        <v>24.683000564575195</v>
      </c>
      <c r="BT289" s="123">
        <v>41.562999725341797</v>
      </c>
      <c r="BU289" s="123">
        <v>33.080001831054688</v>
      </c>
      <c r="BV289" s="123">
        <v>68.900001525878906</v>
      </c>
      <c r="BW289" s="123">
        <v>6.0999999046325684</v>
      </c>
      <c r="BX289" s="123">
        <v>13.600000381469727</v>
      </c>
      <c r="BY289" s="123">
        <v>29</v>
      </c>
      <c r="BZ289" s="123">
        <v>19.915544509887695</v>
      </c>
      <c r="CA289" s="123">
        <v>20</v>
      </c>
      <c r="CB289" s="123">
        <v>29.249679565429688</v>
      </c>
      <c r="CC289" s="126"/>
      <c r="CD289" s="123">
        <v>345.98764038085938</v>
      </c>
      <c r="CE289" s="123">
        <v>29.466526031494141</v>
      </c>
      <c r="CF289" s="123">
        <v>16.266040802001953</v>
      </c>
      <c r="CG289" s="123">
        <v>35.338191986083984</v>
      </c>
      <c r="CH289" s="123">
        <v>278.15304565429688</v>
      </c>
      <c r="CI289" s="123">
        <v>78.825660705566406</v>
      </c>
      <c r="CJ289" s="123">
        <v>33.461265563964844</v>
      </c>
      <c r="CK289" s="123">
        <v>50.123390197753906</v>
      </c>
      <c r="CL289" s="124">
        <v>24.681493759155273</v>
      </c>
      <c r="CM289" s="125">
        <v>181.60581970214844</v>
      </c>
      <c r="CN289" s="123">
        <v>66.225395202636719</v>
      </c>
      <c r="CO289" s="123">
        <v>52.842132568359375</v>
      </c>
      <c r="CP289" s="123">
        <v>59.366466522216797</v>
      </c>
      <c r="CQ289" s="123">
        <v>0</v>
      </c>
      <c r="CR289" s="123">
        <v>49.613117218017578</v>
      </c>
      <c r="CS289" s="123">
        <v>8.1475391387939453</v>
      </c>
      <c r="CT289" s="123">
        <v>30.62591552734375</v>
      </c>
      <c r="CU289" s="123">
        <v>46.830753326416016</v>
      </c>
      <c r="CV289" s="124">
        <v>59.666793823242188</v>
      </c>
      <c r="CW289" s="125">
        <v>7</v>
      </c>
      <c r="CX289" s="123">
        <v>304</v>
      </c>
      <c r="CY289" s="123">
        <v>108.59602355957031</v>
      </c>
      <c r="CZ289" s="123">
        <v>50.012577056884766</v>
      </c>
      <c r="DA289" s="123">
        <v>19.362905502319336</v>
      </c>
      <c r="DB289" s="123">
        <v>33.273200988769531</v>
      </c>
      <c r="DC289" s="123">
        <v>72.240097045898438</v>
      </c>
      <c r="DD289" s="123">
        <v>43</v>
      </c>
      <c r="DE289" s="123">
        <v>169</v>
      </c>
      <c r="DF289" s="123">
        <v>98.087677001953125</v>
      </c>
      <c r="DG289" s="123">
        <v>63.274616241455078</v>
      </c>
      <c r="DH289" s="123">
        <v>39.259891510009766</v>
      </c>
      <c r="DI289" s="128">
        <v>35.419834136962891</v>
      </c>
      <c r="DJ289" s="127">
        <v>207</v>
      </c>
      <c r="DK289" s="123">
        <v>105.09500122070313</v>
      </c>
      <c r="DL289" s="123">
        <v>24.315000534057617</v>
      </c>
      <c r="DM289" s="123">
        <v>28.451000213623047</v>
      </c>
      <c r="DN289" s="123">
        <v>49.479999542236328</v>
      </c>
      <c r="DO289" s="124">
        <v>111.23907470703125</v>
      </c>
      <c r="DP289" s="125">
        <v>16.285999298095703</v>
      </c>
      <c r="DQ289" s="123"/>
      <c r="DR289" s="125">
        <v>67</v>
      </c>
      <c r="DS289" s="128">
        <v>29.799999237060547</v>
      </c>
      <c r="DT289" s="127">
        <v>12</v>
      </c>
      <c r="DU289" s="123"/>
      <c r="DV289" s="123">
        <v>7</v>
      </c>
      <c r="DW289" s="123">
        <v>2.444807767868042</v>
      </c>
      <c r="DX289" s="125">
        <v>10</v>
      </c>
      <c r="DY289" s="128"/>
      <c r="DZ289" s="127">
        <v>45</v>
      </c>
      <c r="EA289" s="123">
        <v>3</v>
      </c>
      <c r="EB289" s="123">
        <v>0</v>
      </c>
      <c r="EC289" s="123">
        <v>1</v>
      </c>
      <c r="ED289" s="123">
        <v>225.80000305175781</v>
      </c>
      <c r="EE289" s="129"/>
      <c r="EF289" s="129"/>
      <c r="EG289" s="129"/>
    </row>
    <row r="290" spans="1:137" x14ac:dyDescent="0.3">
      <c r="A290" s="226">
        <f t="shared" si="15"/>
        <v>46020.198611111759</v>
      </c>
      <c r="B290" s="123">
        <v>232</v>
      </c>
      <c r="C290" s="123">
        <v>49.988998413085938</v>
      </c>
      <c r="D290" s="123">
        <v>98.847000122070313</v>
      </c>
      <c r="E290" s="123">
        <v>17.868999481201172</v>
      </c>
      <c r="F290" s="123">
        <v>0</v>
      </c>
      <c r="G290" s="124">
        <v>17.642999649047852</v>
      </c>
      <c r="H290" s="125">
        <v>359</v>
      </c>
      <c r="I290" s="123">
        <v>319</v>
      </c>
      <c r="J290" s="123">
        <v>60.506999969482422</v>
      </c>
      <c r="K290" s="123">
        <v>63.469654083251953</v>
      </c>
      <c r="L290" s="123">
        <v>100.72699737548828</v>
      </c>
      <c r="M290" s="123">
        <v>11.421999931335449</v>
      </c>
      <c r="N290" s="123">
        <v>17.302999496459961</v>
      </c>
      <c r="O290" s="123">
        <v>16</v>
      </c>
      <c r="P290" s="123">
        <v>0</v>
      </c>
      <c r="Q290" s="123">
        <v>18.219755172729492</v>
      </c>
      <c r="R290" s="123">
        <v>4.9968748092651367</v>
      </c>
      <c r="S290" s="123">
        <v>5.3265581130981445</v>
      </c>
      <c r="T290" s="123">
        <v>9</v>
      </c>
      <c r="U290" s="123">
        <v>9</v>
      </c>
      <c r="V290" s="125">
        <v>848</v>
      </c>
      <c r="W290" s="123">
        <v>28.183662414550781</v>
      </c>
      <c r="X290" s="123">
        <v>25.89900016784668</v>
      </c>
      <c r="Y290" s="123">
        <v>8.3970003128051758</v>
      </c>
      <c r="Z290" s="123">
        <v>0</v>
      </c>
      <c r="AA290" s="123">
        <v>20.469999313354492</v>
      </c>
      <c r="AB290" s="123">
        <v>0</v>
      </c>
      <c r="AC290" s="123">
        <v>51.193973541259766</v>
      </c>
      <c r="AD290" s="123">
        <v>6.1069998741149902</v>
      </c>
      <c r="AE290" s="123">
        <v>0</v>
      </c>
      <c r="AF290" s="123">
        <v>79.235481262207031</v>
      </c>
      <c r="AG290" s="123">
        <v>0</v>
      </c>
      <c r="AH290" s="123">
        <v>60.231403350830078</v>
      </c>
      <c r="AI290" s="123">
        <v>11.578000068664551</v>
      </c>
      <c r="AJ290" s="123">
        <v>14.892258644104004</v>
      </c>
      <c r="AK290" s="123">
        <v>36.629646301269531</v>
      </c>
      <c r="AL290" s="123">
        <v>36.048999786376953</v>
      </c>
      <c r="AM290" s="126">
        <v>54.519001007080078</v>
      </c>
      <c r="AN290" s="125">
        <v>111.75</v>
      </c>
      <c r="AO290" s="127">
        <v>56</v>
      </c>
      <c r="AP290" s="123">
        <v>58.244644165039063</v>
      </c>
      <c r="AQ290" s="123">
        <v>34.081455230712891</v>
      </c>
      <c r="AR290" s="123">
        <v>98</v>
      </c>
      <c r="AS290" s="123"/>
      <c r="AT290" s="123">
        <v>94</v>
      </c>
      <c r="AU290" s="123"/>
      <c r="AV290" s="123">
        <v>110</v>
      </c>
      <c r="AW290" s="123"/>
      <c r="AX290" s="123">
        <v>29</v>
      </c>
      <c r="AY290" s="123">
        <v>32.234043121337891</v>
      </c>
      <c r="AZ290" s="123">
        <v>4</v>
      </c>
      <c r="BA290" s="123"/>
      <c r="BB290" s="123">
        <v>174</v>
      </c>
      <c r="BC290" s="123">
        <v>174.48013305664063</v>
      </c>
      <c r="BD290" s="123">
        <v>6.5</v>
      </c>
      <c r="BE290" s="123">
        <v>6.6016879081726074</v>
      </c>
      <c r="BF290" s="123">
        <v>30</v>
      </c>
      <c r="BG290" s="123">
        <v>10</v>
      </c>
      <c r="BH290" s="123">
        <v>10.998809814453125</v>
      </c>
      <c r="BI290" s="123"/>
      <c r="BJ290" s="108">
        <f t="shared" si="13"/>
        <v>11</v>
      </c>
      <c r="BK290" s="123">
        <v>11</v>
      </c>
      <c r="BL290" s="123">
        <v>0</v>
      </c>
      <c r="BM290" s="126"/>
      <c r="BN290" s="108">
        <f t="shared" si="14"/>
        <v>121</v>
      </c>
      <c r="BO290" s="108">
        <v>72</v>
      </c>
      <c r="BP290" s="108">
        <v>49</v>
      </c>
      <c r="BQ290" s="108">
        <v>265</v>
      </c>
      <c r="BR290" s="123">
        <v>65.93499755859375</v>
      </c>
      <c r="BS290" s="123">
        <v>25.445999145507813</v>
      </c>
      <c r="BT290" s="123">
        <v>40.869998931884766</v>
      </c>
      <c r="BU290" s="123">
        <v>34.28900146484375</v>
      </c>
      <c r="BV290" s="123">
        <v>69</v>
      </c>
      <c r="BW290" s="123">
        <v>6.1999998092651367</v>
      </c>
      <c r="BX290" s="123">
        <v>13.600000381469727</v>
      </c>
      <c r="BY290" s="123">
        <v>29</v>
      </c>
      <c r="BZ290" s="123">
        <v>19.912988662719727</v>
      </c>
      <c r="CA290" s="123">
        <v>19</v>
      </c>
      <c r="CB290" s="123">
        <v>29.246662139892578</v>
      </c>
      <c r="CC290" s="126"/>
      <c r="CD290" s="123">
        <v>342.43118286132813</v>
      </c>
      <c r="CE290" s="123">
        <v>29.694658279418945</v>
      </c>
      <c r="CF290" s="123">
        <v>16.496864318847656</v>
      </c>
      <c r="CG290" s="123">
        <v>35.338191986083984</v>
      </c>
      <c r="CH290" s="123">
        <v>278.76754760742188</v>
      </c>
      <c r="CI290" s="123">
        <v>76.567039489746094</v>
      </c>
      <c r="CJ290" s="123">
        <v>33.435848236083984</v>
      </c>
      <c r="CK290" s="123">
        <v>48.327899932861328</v>
      </c>
      <c r="CL290" s="124">
        <v>25.127403259277344</v>
      </c>
      <c r="CM290" s="125">
        <v>178.55769348144531</v>
      </c>
      <c r="CN290" s="123">
        <v>64.331626892089844</v>
      </c>
      <c r="CO290" s="123">
        <v>49.876235961914063</v>
      </c>
      <c r="CP290" s="123">
        <v>60.056777954101563</v>
      </c>
      <c r="CQ290" s="123">
        <v>0</v>
      </c>
      <c r="CR290" s="123">
        <v>49.029514312744141</v>
      </c>
      <c r="CS290" s="123">
        <v>7.3609805107116699</v>
      </c>
      <c r="CT290" s="123">
        <v>30.707450866699219</v>
      </c>
      <c r="CU290" s="123">
        <v>46.917034149169922</v>
      </c>
      <c r="CV290" s="124">
        <v>59.693305969238281</v>
      </c>
      <c r="CW290" s="125">
        <v>2</v>
      </c>
      <c r="CX290" s="123">
        <v>302</v>
      </c>
      <c r="CY290" s="123">
        <v>106.29598999023438</v>
      </c>
      <c r="CZ290" s="123">
        <v>48.445552825927734</v>
      </c>
      <c r="DA290" s="123">
        <v>21.178644180297852</v>
      </c>
      <c r="DB290" s="123">
        <v>33.701267242431641</v>
      </c>
      <c r="DC290" s="123">
        <v>71.212562561035156</v>
      </c>
      <c r="DD290" s="123">
        <v>39</v>
      </c>
      <c r="DE290" s="123">
        <v>169</v>
      </c>
      <c r="DF290" s="123">
        <v>96.692848205566406</v>
      </c>
      <c r="DG290" s="123">
        <v>63.036888122558594</v>
      </c>
      <c r="DH290" s="123">
        <v>38.671222686767578</v>
      </c>
      <c r="DI290" s="128">
        <v>36.198566436767578</v>
      </c>
      <c r="DJ290" s="127">
        <v>210</v>
      </c>
      <c r="DK290" s="123">
        <v>108.14900207519531</v>
      </c>
      <c r="DL290" s="123">
        <v>22.844999313354492</v>
      </c>
      <c r="DM290" s="123">
        <v>28.451000213623047</v>
      </c>
      <c r="DN290" s="123">
        <v>53.367000579833984</v>
      </c>
      <c r="DO290" s="124">
        <v>111.42475891113281</v>
      </c>
      <c r="DP290" s="125">
        <v>14.928000450134277</v>
      </c>
      <c r="DQ290" s="123"/>
      <c r="DR290" s="125">
        <v>67</v>
      </c>
      <c r="DS290" s="128">
        <v>30.100000381469727</v>
      </c>
      <c r="DT290" s="127">
        <v>12</v>
      </c>
      <c r="DU290" s="123"/>
      <c r="DV290" s="123">
        <v>7</v>
      </c>
      <c r="DW290" s="123">
        <v>2.6102869510650635</v>
      </c>
      <c r="DX290" s="125">
        <v>9</v>
      </c>
      <c r="DY290" s="128"/>
      <c r="DZ290" s="127">
        <v>44</v>
      </c>
      <c r="EA290" s="123">
        <v>3</v>
      </c>
      <c r="EB290" s="123">
        <v>0</v>
      </c>
      <c r="EC290" s="123">
        <v>2</v>
      </c>
      <c r="ED290" s="123">
        <v>224.19999694824219</v>
      </c>
      <c r="EE290" s="129"/>
      <c r="EF290" s="129"/>
      <c r="EG290" s="129"/>
    </row>
    <row r="291" spans="1:137" x14ac:dyDescent="0.3">
      <c r="A291" s="226">
        <f t="shared" si="15"/>
        <v>46020.199305556205</v>
      </c>
      <c r="B291" s="123">
        <v>228</v>
      </c>
      <c r="C291" s="123">
        <v>51.118999481201172</v>
      </c>
      <c r="D291" s="123">
        <v>97.037002563476563</v>
      </c>
      <c r="E291" s="123">
        <v>18.547000885009766</v>
      </c>
      <c r="F291" s="123">
        <v>0</v>
      </c>
      <c r="G291" s="124">
        <v>17.190000534057617</v>
      </c>
      <c r="H291" s="125">
        <v>360</v>
      </c>
      <c r="I291" s="123">
        <v>321</v>
      </c>
      <c r="J291" s="123">
        <v>60.619998931884766</v>
      </c>
      <c r="K291" s="123">
        <v>62.422439575195313</v>
      </c>
      <c r="L291" s="123">
        <v>102.31700134277344</v>
      </c>
      <c r="M291" s="123">
        <v>12.10099983215332</v>
      </c>
      <c r="N291" s="123">
        <v>17.302999496459961</v>
      </c>
      <c r="O291" s="123">
        <v>18</v>
      </c>
      <c r="P291" s="123">
        <v>0</v>
      </c>
      <c r="Q291" s="123">
        <v>18.831819534301758</v>
      </c>
      <c r="R291" s="123">
        <v>4.9968748092651367</v>
      </c>
      <c r="S291" s="123">
        <v>5.5437779426574707</v>
      </c>
      <c r="T291" s="123">
        <v>9</v>
      </c>
      <c r="U291" s="123">
        <v>9</v>
      </c>
      <c r="V291" s="125">
        <v>848</v>
      </c>
      <c r="W291" s="123">
        <v>29.755168914794922</v>
      </c>
      <c r="X291" s="123">
        <v>24.655000686645508</v>
      </c>
      <c r="Y291" s="123">
        <v>8.0150003433227539</v>
      </c>
      <c r="Z291" s="123">
        <v>0</v>
      </c>
      <c r="AA291" s="123">
        <v>19.22599983215332</v>
      </c>
      <c r="AB291" s="123">
        <v>0</v>
      </c>
      <c r="AC291" s="123">
        <v>51.520549774169922</v>
      </c>
      <c r="AD291" s="123">
        <v>5.8520002365112305</v>
      </c>
      <c r="AE291" s="123">
        <v>0</v>
      </c>
      <c r="AF291" s="123">
        <v>79.983932495117188</v>
      </c>
      <c r="AG291" s="123">
        <v>0</v>
      </c>
      <c r="AH291" s="123">
        <v>60.231403350830078</v>
      </c>
      <c r="AI291" s="123">
        <v>11.960000038146973</v>
      </c>
      <c r="AJ291" s="123">
        <v>15.621262550354004</v>
      </c>
      <c r="AK291" s="123">
        <v>35.098663330078125</v>
      </c>
      <c r="AL291" s="123">
        <v>34.282001495361328</v>
      </c>
      <c r="AM291" s="126">
        <v>52.674999237060547</v>
      </c>
      <c r="AN291" s="125">
        <v>112.5625</v>
      </c>
      <c r="AO291" s="127">
        <v>56</v>
      </c>
      <c r="AP291" s="123">
        <v>58.110206604003906</v>
      </c>
      <c r="AQ291" s="123">
        <v>35.618789672851563</v>
      </c>
      <c r="AR291" s="123">
        <v>100</v>
      </c>
      <c r="AS291" s="123"/>
      <c r="AT291" s="123">
        <v>93</v>
      </c>
      <c r="AU291" s="123"/>
      <c r="AV291" s="123">
        <v>110</v>
      </c>
      <c r="AW291" s="123"/>
      <c r="AX291" s="123">
        <v>30</v>
      </c>
      <c r="AY291" s="123">
        <v>32.602436065673828</v>
      </c>
      <c r="AZ291" s="123">
        <v>3</v>
      </c>
      <c r="BA291" s="123"/>
      <c r="BB291" s="123">
        <v>175</v>
      </c>
      <c r="BC291" s="123">
        <v>175.56175231933594</v>
      </c>
      <c r="BD291" s="123">
        <v>6.5999999046325684</v>
      </c>
      <c r="BE291" s="123">
        <v>6.6019845008850098</v>
      </c>
      <c r="BF291" s="123">
        <v>30</v>
      </c>
      <c r="BG291" s="123">
        <v>10</v>
      </c>
      <c r="BH291" s="123">
        <v>10.866514205932617</v>
      </c>
      <c r="BI291" s="123"/>
      <c r="BJ291" s="108">
        <f t="shared" si="13"/>
        <v>11</v>
      </c>
      <c r="BK291" s="123">
        <v>11</v>
      </c>
      <c r="BL291" s="123">
        <v>0</v>
      </c>
      <c r="BM291" s="126"/>
      <c r="BN291" s="108">
        <f t="shared" si="14"/>
        <v>122</v>
      </c>
      <c r="BO291" s="108">
        <v>73</v>
      </c>
      <c r="BP291" s="108">
        <v>49</v>
      </c>
      <c r="BQ291" s="108">
        <v>267</v>
      </c>
      <c r="BR291" s="123">
        <v>66.839996337890625</v>
      </c>
      <c r="BS291" s="123">
        <v>23.920000076293945</v>
      </c>
      <c r="BT291" s="123">
        <v>40.869998931884766</v>
      </c>
      <c r="BU291" s="123">
        <v>34.161998748779297</v>
      </c>
      <c r="BV291" s="123">
        <v>68.800003051757813</v>
      </c>
      <c r="BW291" s="123">
        <v>6.3000001907348633</v>
      </c>
      <c r="BX291" s="123">
        <v>13.699999809265137</v>
      </c>
      <c r="BY291" s="123">
        <v>28</v>
      </c>
      <c r="BZ291" s="123">
        <v>19.931753158569336</v>
      </c>
      <c r="CA291" s="123">
        <v>19</v>
      </c>
      <c r="CB291" s="123">
        <v>29.535623550415039</v>
      </c>
      <c r="CC291" s="126"/>
      <c r="CD291" s="123">
        <v>336.4468994140625</v>
      </c>
      <c r="CE291" s="123">
        <v>30.007200241088867</v>
      </c>
      <c r="CF291" s="123">
        <v>15.9371337890625</v>
      </c>
      <c r="CG291" s="123">
        <v>35.338191986083984</v>
      </c>
      <c r="CH291" s="123">
        <v>277.42648315429688</v>
      </c>
      <c r="CI291" s="123">
        <v>75.805633544921875</v>
      </c>
      <c r="CJ291" s="123">
        <v>31.346040725708008</v>
      </c>
      <c r="CK291" s="123">
        <v>48.488971710205078</v>
      </c>
      <c r="CL291" s="124">
        <v>24.490358352661133</v>
      </c>
      <c r="CM291" s="125">
        <v>178.10466003417969</v>
      </c>
      <c r="CN291" s="123">
        <v>64.828842163085938</v>
      </c>
      <c r="CO291" s="123">
        <v>51.475849151611328</v>
      </c>
      <c r="CP291" s="123">
        <v>58.156909942626953</v>
      </c>
      <c r="CQ291" s="123">
        <v>0</v>
      </c>
      <c r="CR291" s="123">
        <v>47.901199340820313</v>
      </c>
      <c r="CS291" s="123">
        <v>7.5501465797424316</v>
      </c>
      <c r="CT291" s="123">
        <v>29.451576232910156</v>
      </c>
      <c r="CU291" s="123">
        <v>46.665798187255859</v>
      </c>
      <c r="CV291" s="124">
        <v>57.897407531738281</v>
      </c>
      <c r="CW291" s="125">
        <v>2</v>
      </c>
      <c r="CX291" s="123">
        <v>289</v>
      </c>
      <c r="CY291" s="123">
        <v>108.43795013427734</v>
      </c>
      <c r="CZ291" s="123">
        <v>46.725635528564453</v>
      </c>
      <c r="DA291" s="123">
        <v>20.461721420288086</v>
      </c>
      <c r="DB291" s="123">
        <v>31.061502456665039</v>
      </c>
      <c r="DC291" s="123">
        <v>69.981147766113281</v>
      </c>
      <c r="DD291" s="123">
        <v>41</v>
      </c>
      <c r="DE291" s="123">
        <v>169</v>
      </c>
      <c r="DF291" s="123">
        <v>96.828262329101563</v>
      </c>
      <c r="DG291" s="123">
        <v>62.400188446044922</v>
      </c>
      <c r="DH291" s="123">
        <v>38.961151123046875</v>
      </c>
      <c r="DI291" s="128">
        <v>36.877471923828125</v>
      </c>
      <c r="DJ291" s="127">
        <v>218</v>
      </c>
      <c r="DK291" s="123">
        <v>114.51100158691406</v>
      </c>
      <c r="DL291" s="123">
        <v>24.089000701904297</v>
      </c>
      <c r="DM291" s="123">
        <v>30.924999237060547</v>
      </c>
      <c r="DN291" s="123">
        <v>52.837001800537109</v>
      </c>
      <c r="DO291" s="124">
        <v>111.11073303222656</v>
      </c>
      <c r="DP291" s="125">
        <v>14.928000450134277</v>
      </c>
      <c r="DQ291" s="123"/>
      <c r="DR291" s="125">
        <v>67</v>
      </c>
      <c r="DS291" s="128">
        <v>30.700000762939453</v>
      </c>
      <c r="DT291" s="127">
        <v>13</v>
      </c>
      <c r="DU291" s="123"/>
      <c r="DV291" s="123">
        <v>10</v>
      </c>
      <c r="DW291" s="123">
        <v>2.7114260196685791</v>
      </c>
      <c r="DX291" s="125">
        <v>10</v>
      </c>
      <c r="DY291" s="128"/>
      <c r="DZ291" s="127">
        <v>46</v>
      </c>
      <c r="EA291" s="123">
        <v>3</v>
      </c>
      <c r="EB291" s="123">
        <v>0</v>
      </c>
      <c r="EC291" s="123">
        <v>1</v>
      </c>
      <c r="ED291" s="123">
        <v>225.60000610351563</v>
      </c>
      <c r="EE291" s="129"/>
      <c r="EF291" s="129"/>
      <c r="EG291" s="129"/>
    </row>
    <row r="292" spans="1:137" x14ac:dyDescent="0.3">
      <c r="A292" s="226">
        <f t="shared" si="15"/>
        <v>46020.200000000652</v>
      </c>
      <c r="B292" s="123">
        <v>223</v>
      </c>
      <c r="C292" s="123">
        <v>54.625999450683594</v>
      </c>
      <c r="D292" s="123">
        <v>96.810997009277344</v>
      </c>
      <c r="E292" s="123">
        <v>35.398998260498047</v>
      </c>
      <c r="F292" s="123">
        <v>0</v>
      </c>
      <c r="G292" s="124">
        <v>15.720000267028809</v>
      </c>
      <c r="H292" s="125">
        <v>360</v>
      </c>
      <c r="I292" s="123">
        <v>310</v>
      </c>
      <c r="J292" s="123">
        <v>60.846000671386719</v>
      </c>
      <c r="K292" s="123">
        <v>61.583675384521484</v>
      </c>
      <c r="L292" s="123">
        <v>50.362998962402344</v>
      </c>
      <c r="M292" s="123">
        <v>12.439999580383301</v>
      </c>
      <c r="N292" s="123">
        <v>17.430999755859375</v>
      </c>
      <c r="O292" s="123">
        <v>21</v>
      </c>
      <c r="P292" s="123">
        <v>0</v>
      </c>
      <c r="Q292" s="123">
        <v>21.27122688293457</v>
      </c>
      <c r="R292" s="123">
        <v>6</v>
      </c>
      <c r="S292" s="123">
        <v>3.6013863086700439</v>
      </c>
      <c r="T292" s="123">
        <v>9</v>
      </c>
      <c r="U292" s="123">
        <v>9</v>
      </c>
      <c r="V292" s="125">
        <v>849</v>
      </c>
      <c r="W292" s="123">
        <v>26.349357604980469</v>
      </c>
      <c r="X292" s="123">
        <v>24.541999816894531</v>
      </c>
      <c r="Y292" s="123">
        <v>7.6339998245239258</v>
      </c>
      <c r="Z292" s="123">
        <v>0</v>
      </c>
      <c r="AA292" s="123">
        <v>17.756000518798828</v>
      </c>
      <c r="AB292" s="123">
        <v>0</v>
      </c>
      <c r="AC292" s="123">
        <v>52.715061187744141</v>
      </c>
      <c r="AD292" s="123">
        <v>6.1069998741149902</v>
      </c>
      <c r="AE292" s="123">
        <v>0</v>
      </c>
      <c r="AF292" s="123">
        <v>80.157455444335938</v>
      </c>
      <c r="AG292" s="123">
        <v>0</v>
      </c>
      <c r="AH292" s="123">
        <v>61.344532012939453</v>
      </c>
      <c r="AI292" s="123">
        <v>15.204000473022461</v>
      </c>
      <c r="AJ292" s="123">
        <v>17.63795280456543</v>
      </c>
      <c r="AK292" s="123">
        <v>35.550266265869141</v>
      </c>
      <c r="AL292" s="123">
        <v>33.751998901367188</v>
      </c>
      <c r="AM292" s="126">
        <v>54.838001251220703</v>
      </c>
      <c r="AN292" s="125">
        <v>111</v>
      </c>
      <c r="AO292" s="127">
        <v>56</v>
      </c>
      <c r="AP292" s="123">
        <v>58.36004638671875</v>
      </c>
      <c r="AQ292" s="123">
        <v>34.860713958740234</v>
      </c>
      <c r="AR292" s="123">
        <v>98</v>
      </c>
      <c r="AS292" s="123"/>
      <c r="AT292" s="123">
        <v>94</v>
      </c>
      <c r="AU292" s="123"/>
      <c r="AV292" s="123">
        <v>110</v>
      </c>
      <c r="AW292" s="123"/>
      <c r="AX292" s="123">
        <v>30</v>
      </c>
      <c r="AY292" s="123">
        <v>32.720561981201172</v>
      </c>
      <c r="AZ292" s="123">
        <v>4</v>
      </c>
      <c r="BA292" s="123"/>
      <c r="BB292" s="123">
        <v>175</v>
      </c>
      <c r="BC292" s="123">
        <v>173.7091064453125</v>
      </c>
      <c r="BD292" s="123">
        <v>6.5999999046325684</v>
      </c>
      <c r="BE292" s="123">
        <v>6.5969657897949219</v>
      </c>
      <c r="BF292" s="123">
        <v>30</v>
      </c>
      <c r="BG292" s="123">
        <v>10</v>
      </c>
      <c r="BH292" s="123">
        <v>10.866514205932617</v>
      </c>
      <c r="BI292" s="123"/>
      <c r="BJ292" s="108">
        <f t="shared" si="13"/>
        <v>10</v>
      </c>
      <c r="BK292" s="123">
        <v>10</v>
      </c>
      <c r="BL292" s="123">
        <v>0</v>
      </c>
      <c r="BM292" s="126"/>
      <c r="BN292" s="108">
        <f t="shared" si="14"/>
        <v>121</v>
      </c>
      <c r="BO292" s="108">
        <v>72</v>
      </c>
      <c r="BP292" s="108">
        <v>49</v>
      </c>
      <c r="BQ292" s="108">
        <v>261</v>
      </c>
      <c r="BR292" s="123">
        <v>64.464996337890625</v>
      </c>
      <c r="BS292" s="123">
        <v>24.173999786376953</v>
      </c>
      <c r="BT292" s="123">
        <v>40.869998931884766</v>
      </c>
      <c r="BU292" s="123">
        <v>33.462001800537109</v>
      </c>
      <c r="BV292" s="123">
        <v>69.099998474121094</v>
      </c>
      <c r="BW292" s="123">
        <v>6.5</v>
      </c>
      <c r="BX292" s="123">
        <v>13.699999809265137</v>
      </c>
      <c r="BY292" s="123">
        <v>28</v>
      </c>
      <c r="BZ292" s="123">
        <v>19.957118988037109</v>
      </c>
      <c r="CA292" s="123">
        <v>19</v>
      </c>
      <c r="CB292" s="123">
        <v>29.265169143676758</v>
      </c>
      <c r="CC292" s="126"/>
      <c r="CD292" s="123">
        <v>332.9134521484375</v>
      </c>
      <c r="CE292" s="123">
        <v>27.296268463134766</v>
      </c>
      <c r="CF292" s="123">
        <v>16.165948867797852</v>
      </c>
      <c r="CG292" s="123">
        <v>35.338191986083984</v>
      </c>
      <c r="CH292" s="123">
        <v>273.97958374023438</v>
      </c>
      <c r="CI292" s="123">
        <v>79.688728332519531</v>
      </c>
      <c r="CJ292" s="123">
        <v>32.825138092041016</v>
      </c>
      <c r="CK292" s="123">
        <v>50.085094451904297</v>
      </c>
      <c r="CL292" s="124">
        <v>25.036190032958984</v>
      </c>
      <c r="CM292" s="125">
        <v>177.00119018554688</v>
      </c>
      <c r="CN292" s="123">
        <v>62.867942810058594</v>
      </c>
      <c r="CO292" s="123">
        <v>52.106967926025391</v>
      </c>
      <c r="CP292" s="123">
        <v>56.247024536132813</v>
      </c>
      <c r="CQ292" s="123">
        <v>0</v>
      </c>
      <c r="CR292" s="123">
        <v>49.034538269042969</v>
      </c>
      <c r="CS292" s="123">
        <v>7.2832536697387695</v>
      </c>
      <c r="CT292" s="123">
        <v>28.210353851318359</v>
      </c>
      <c r="CU292" s="123">
        <v>45.510406494140625</v>
      </c>
      <c r="CV292" s="124">
        <v>58.001308441162109</v>
      </c>
      <c r="CW292" s="125">
        <v>2</v>
      </c>
      <c r="CX292" s="123">
        <v>289</v>
      </c>
      <c r="CY292" s="123">
        <v>110.17079162597656</v>
      </c>
      <c r="CZ292" s="123">
        <v>47.666484832763672</v>
      </c>
      <c r="DA292" s="123">
        <v>19.423606872558594</v>
      </c>
      <c r="DB292" s="123">
        <v>33.625392913818359</v>
      </c>
      <c r="DC292" s="123">
        <v>68.614433288574219</v>
      </c>
      <c r="DD292" s="123">
        <v>42</v>
      </c>
      <c r="DE292" s="123">
        <v>170</v>
      </c>
      <c r="DF292" s="123">
        <v>96.453826904296875</v>
      </c>
      <c r="DG292" s="123">
        <v>62.698295593261719</v>
      </c>
      <c r="DH292" s="123">
        <v>40.511165618896484</v>
      </c>
      <c r="DI292" s="128">
        <v>36.753990173339844</v>
      </c>
      <c r="DJ292" s="127">
        <v>212</v>
      </c>
      <c r="DK292" s="123">
        <v>111.45700073242188</v>
      </c>
      <c r="DL292" s="123">
        <v>25.333000183105469</v>
      </c>
      <c r="DM292" s="123">
        <v>26.152999877929688</v>
      </c>
      <c r="DN292" s="123">
        <v>53.543998718261719</v>
      </c>
      <c r="DO292" s="124">
        <v>109.84513092041016</v>
      </c>
      <c r="DP292" s="125">
        <v>15.692000389099121</v>
      </c>
      <c r="DQ292" s="123"/>
      <c r="DR292" s="125">
        <v>67</v>
      </c>
      <c r="DS292" s="128">
        <v>29.399999618530273</v>
      </c>
      <c r="DT292" s="127">
        <v>13</v>
      </c>
      <c r="DU292" s="123"/>
      <c r="DV292" s="123">
        <v>9</v>
      </c>
      <c r="DW292" s="123">
        <v>2.750516414642334</v>
      </c>
      <c r="DX292" s="125">
        <v>9</v>
      </c>
      <c r="DY292" s="128"/>
      <c r="DZ292" s="127">
        <v>44</v>
      </c>
      <c r="EA292" s="123">
        <v>3</v>
      </c>
      <c r="EB292" s="123">
        <v>0</v>
      </c>
      <c r="EC292" s="123">
        <v>1</v>
      </c>
      <c r="ED292" s="123">
        <v>224.19999694824219</v>
      </c>
      <c r="EE292" s="129"/>
      <c r="EF292" s="129"/>
      <c r="EG292" s="129"/>
    </row>
    <row r="293" spans="1:137" x14ac:dyDescent="0.3">
      <c r="A293" s="226">
        <f t="shared" si="15"/>
        <v>46020.200694445099</v>
      </c>
      <c r="B293" s="123">
        <v>222</v>
      </c>
      <c r="C293" s="123">
        <v>54.060001373291016</v>
      </c>
      <c r="D293" s="123">
        <v>97.602996826171875</v>
      </c>
      <c r="E293" s="123">
        <v>35.398998260498047</v>
      </c>
      <c r="F293" s="123">
        <v>0</v>
      </c>
      <c r="G293" s="124">
        <v>17.756000518798828</v>
      </c>
      <c r="H293" s="125">
        <v>313</v>
      </c>
      <c r="I293" s="123">
        <v>277</v>
      </c>
      <c r="J293" s="123">
        <v>62.202999114990234</v>
      </c>
      <c r="K293" s="123">
        <v>61.848037719726563</v>
      </c>
      <c r="L293" s="123">
        <v>46.474998474121094</v>
      </c>
      <c r="M293" s="123">
        <v>12.326999664306641</v>
      </c>
      <c r="N293" s="123">
        <v>17.940000534057617</v>
      </c>
      <c r="O293" s="123">
        <v>17</v>
      </c>
      <c r="P293" s="123">
        <v>0</v>
      </c>
      <c r="Q293" s="123">
        <v>17.717609405517578</v>
      </c>
      <c r="R293" s="123">
        <v>9</v>
      </c>
      <c r="S293" s="123">
        <v>6.6446037292480469</v>
      </c>
      <c r="T293" s="123">
        <v>9</v>
      </c>
      <c r="U293" s="123">
        <v>9</v>
      </c>
      <c r="V293" s="125">
        <v>847</v>
      </c>
      <c r="W293" s="123">
        <v>26.349357604980469</v>
      </c>
      <c r="X293" s="123">
        <v>24.767999649047852</v>
      </c>
      <c r="Y293" s="123">
        <v>6.5520000457763672</v>
      </c>
      <c r="Z293" s="123">
        <v>0</v>
      </c>
      <c r="AA293" s="123">
        <v>18.434000015258789</v>
      </c>
      <c r="AB293" s="123">
        <v>0</v>
      </c>
      <c r="AC293" s="123">
        <v>52.394981384277344</v>
      </c>
      <c r="AD293" s="123">
        <v>6.3610000610351563</v>
      </c>
      <c r="AE293" s="123">
        <v>0</v>
      </c>
      <c r="AF293" s="123">
        <v>80.852058410644531</v>
      </c>
      <c r="AG293" s="123">
        <v>0</v>
      </c>
      <c r="AH293" s="123">
        <v>60.254680633544922</v>
      </c>
      <c r="AI293" s="123">
        <v>15.840000152587891</v>
      </c>
      <c r="AJ293" s="123">
        <v>18.346231460571289</v>
      </c>
      <c r="AK293" s="123">
        <v>35.881336212158203</v>
      </c>
      <c r="AL293" s="123">
        <v>36.226001739501953</v>
      </c>
      <c r="AM293" s="126">
        <v>53.055999755859375</v>
      </c>
      <c r="AN293" s="125">
        <v>111.75</v>
      </c>
      <c r="AO293" s="127">
        <v>57</v>
      </c>
      <c r="AP293" s="123">
        <v>59.199962615966797</v>
      </c>
      <c r="AQ293" s="123">
        <v>35.095619201660156</v>
      </c>
      <c r="AR293" s="123">
        <v>99</v>
      </c>
      <c r="AS293" s="123"/>
      <c r="AT293" s="123">
        <v>93</v>
      </c>
      <c r="AU293" s="123"/>
      <c r="AV293" s="123">
        <v>104</v>
      </c>
      <c r="AW293" s="123"/>
      <c r="AX293" s="123">
        <v>31</v>
      </c>
      <c r="AY293" s="123">
        <v>33.898223876953125</v>
      </c>
      <c r="AZ293" s="123">
        <v>4</v>
      </c>
      <c r="BA293" s="123"/>
      <c r="BB293" s="123">
        <v>175</v>
      </c>
      <c r="BC293" s="123">
        <v>175.81790161132813</v>
      </c>
      <c r="BD293" s="123">
        <v>6.5999999046325684</v>
      </c>
      <c r="BE293" s="123">
        <v>6.5969657897949219</v>
      </c>
      <c r="BF293" s="123">
        <v>30</v>
      </c>
      <c r="BG293" s="123">
        <v>10</v>
      </c>
      <c r="BH293" s="123">
        <v>11.223758697509766</v>
      </c>
      <c r="BI293" s="123"/>
      <c r="BJ293" s="108">
        <f t="shared" si="13"/>
        <v>9</v>
      </c>
      <c r="BK293" s="123">
        <v>9</v>
      </c>
      <c r="BL293" s="123">
        <v>0</v>
      </c>
      <c r="BM293" s="126"/>
      <c r="BN293" s="108">
        <f t="shared" si="14"/>
        <v>122</v>
      </c>
      <c r="BO293" s="108">
        <v>73</v>
      </c>
      <c r="BP293" s="108">
        <v>49</v>
      </c>
      <c r="BQ293" s="108">
        <v>264</v>
      </c>
      <c r="BR293" s="123">
        <v>67.179000854492188</v>
      </c>
      <c r="BS293" s="123">
        <v>23.156000137329102</v>
      </c>
      <c r="BT293" s="123">
        <v>40.869998931884766</v>
      </c>
      <c r="BU293" s="123">
        <v>33.334999084472656</v>
      </c>
      <c r="BV293" s="123">
        <v>69</v>
      </c>
      <c r="BW293" s="123">
        <v>6.4000000953674316</v>
      </c>
      <c r="BX293" s="123">
        <v>13.600000381469727</v>
      </c>
      <c r="BY293" s="123">
        <v>28</v>
      </c>
      <c r="BZ293" s="123">
        <v>19.930767059326172</v>
      </c>
      <c r="CA293" s="123">
        <v>19</v>
      </c>
      <c r="CB293" s="123">
        <v>29.141794204711914</v>
      </c>
      <c r="CC293" s="126"/>
      <c r="CD293" s="123">
        <v>328.4600830078125</v>
      </c>
      <c r="CE293" s="123">
        <v>30.035453796386719</v>
      </c>
      <c r="CF293" s="123">
        <v>15.937409400939941</v>
      </c>
      <c r="CG293" s="123">
        <v>35.338191986083984</v>
      </c>
      <c r="CH293" s="123">
        <v>272.74822998046875</v>
      </c>
      <c r="CI293" s="123">
        <v>78.997528076171875</v>
      </c>
      <c r="CJ293" s="123">
        <v>32.862171173095703</v>
      </c>
      <c r="CK293" s="123">
        <v>50.085094451904297</v>
      </c>
      <c r="CL293" s="124">
        <v>25.01234245300293</v>
      </c>
      <c r="CM293" s="125">
        <v>180.1119384765625</v>
      </c>
      <c r="CN293" s="123">
        <v>66.474143981933594</v>
      </c>
      <c r="CO293" s="123">
        <v>52.948993682861328</v>
      </c>
      <c r="CP293" s="123">
        <v>55.815021514892578</v>
      </c>
      <c r="CQ293" s="123">
        <v>0</v>
      </c>
      <c r="CR293" s="123">
        <v>48.758987426757813</v>
      </c>
      <c r="CS293" s="123">
        <v>7.638763427734375</v>
      </c>
      <c r="CT293" s="123">
        <v>27.868038177490234</v>
      </c>
      <c r="CU293" s="123">
        <v>46.187229156494141</v>
      </c>
      <c r="CV293" s="124">
        <v>58.696094512939453</v>
      </c>
      <c r="CW293" s="125">
        <v>3</v>
      </c>
      <c r="CX293" s="123">
        <v>291</v>
      </c>
      <c r="CY293" s="123">
        <v>107.50517272949219</v>
      </c>
      <c r="CZ293" s="123">
        <v>47.818328857421875</v>
      </c>
      <c r="DA293" s="123">
        <v>19.477361679077148</v>
      </c>
      <c r="DB293" s="123">
        <v>30.370548248291016</v>
      </c>
      <c r="DC293" s="123">
        <v>67.975189208984375</v>
      </c>
      <c r="DD293" s="123">
        <v>45</v>
      </c>
      <c r="DE293" s="123">
        <v>170</v>
      </c>
      <c r="DF293" s="123">
        <v>96.134368896484375</v>
      </c>
      <c r="DG293" s="123">
        <v>61.832843780517578</v>
      </c>
      <c r="DH293" s="123">
        <v>39.880176544189453</v>
      </c>
      <c r="DI293" s="128">
        <v>37.575153350830078</v>
      </c>
      <c r="DJ293" s="127">
        <v>217</v>
      </c>
      <c r="DK293" s="123">
        <v>117.56400299072266</v>
      </c>
      <c r="DL293" s="123">
        <v>27.142999649047852</v>
      </c>
      <c r="DM293" s="123">
        <v>33.044998168945313</v>
      </c>
      <c r="DN293" s="123">
        <v>53.013999938964844</v>
      </c>
      <c r="DO293" s="124">
        <v>110.87608337402344</v>
      </c>
      <c r="DP293" s="125">
        <v>14.616999626159668</v>
      </c>
      <c r="DQ293" s="123"/>
      <c r="DR293" s="125">
        <v>67</v>
      </c>
      <c r="DS293" s="128">
        <v>29.899999618530273</v>
      </c>
      <c r="DT293" s="127">
        <v>13</v>
      </c>
      <c r="DU293" s="123"/>
      <c r="DV293" s="123">
        <v>8</v>
      </c>
      <c r="DW293" s="123">
        <v>2.5958201885223389</v>
      </c>
      <c r="DX293" s="125">
        <v>9</v>
      </c>
      <c r="DY293" s="128"/>
      <c r="DZ293" s="127">
        <v>43</v>
      </c>
      <c r="EA293" s="123">
        <v>3</v>
      </c>
      <c r="EB293" s="123">
        <v>0</v>
      </c>
      <c r="EC293" s="123">
        <v>1</v>
      </c>
      <c r="ED293" s="123">
        <v>225</v>
      </c>
      <c r="EE293" s="129"/>
      <c r="EF293" s="129"/>
      <c r="EG293" s="129"/>
    </row>
    <row r="294" spans="1:137" x14ac:dyDescent="0.3">
      <c r="A294" s="226">
        <f t="shared" si="15"/>
        <v>46020.201388889545</v>
      </c>
      <c r="B294" s="123">
        <v>230</v>
      </c>
      <c r="C294" s="123">
        <v>53.833999633789063</v>
      </c>
      <c r="D294" s="123">
        <v>98.280998229980469</v>
      </c>
      <c r="E294" s="123">
        <v>35.737998962402344</v>
      </c>
      <c r="F294" s="123">
        <v>0</v>
      </c>
      <c r="G294" s="124">
        <v>17.076999664306641</v>
      </c>
      <c r="H294" s="125">
        <v>310</v>
      </c>
      <c r="I294" s="123">
        <v>277</v>
      </c>
      <c r="J294" s="123">
        <v>59.488998413085938</v>
      </c>
      <c r="K294" s="123">
        <v>62.034912109375</v>
      </c>
      <c r="L294" s="123">
        <v>47.181999206542969</v>
      </c>
      <c r="M294" s="123">
        <v>12.666000366210938</v>
      </c>
      <c r="N294" s="123">
        <v>17.812000274658203</v>
      </c>
      <c r="O294" s="123">
        <v>17</v>
      </c>
      <c r="P294" s="123">
        <v>0</v>
      </c>
      <c r="Q294" s="123">
        <v>17.848691940307617</v>
      </c>
      <c r="R294" s="123">
        <v>9</v>
      </c>
      <c r="S294" s="123">
        <v>6.6773309707641602</v>
      </c>
      <c r="T294" s="123">
        <v>9</v>
      </c>
      <c r="U294" s="123">
        <v>9</v>
      </c>
      <c r="V294" s="125">
        <v>850</v>
      </c>
      <c r="W294" s="123">
        <v>25.776998519897461</v>
      </c>
      <c r="X294" s="123">
        <v>25.333000183105469</v>
      </c>
      <c r="Y294" s="123">
        <v>6.7430000305175781</v>
      </c>
      <c r="Z294" s="123">
        <v>0</v>
      </c>
      <c r="AA294" s="123">
        <v>20.017999649047852</v>
      </c>
      <c r="AB294" s="123">
        <v>0</v>
      </c>
      <c r="AC294" s="123">
        <v>53.6702880859375</v>
      </c>
      <c r="AD294" s="123">
        <v>5.8520002365112305</v>
      </c>
      <c r="AE294" s="123">
        <v>0</v>
      </c>
      <c r="AF294" s="123">
        <v>81.895668029785156</v>
      </c>
      <c r="AG294" s="123">
        <v>0</v>
      </c>
      <c r="AH294" s="123">
        <v>61.899398803710938</v>
      </c>
      <c r="AI294" s="123">
        <v>13.741000175476074</v>
      </c>
      <c r="AJ294" s="123">
        <v>16.612485885620117</v>
      </c>
      <c r="AK294" s="123">
        <v>36.233547210693359</v>
      </c>
      <c r="AL294" s="123">
        <v>36.226001739501953</v>
      </c>
      <c r="AM294" s="126">
        <v>55.219001770019531</v>
      </c>
      <c r="AN294" s="125">
        <v>110.6875</v>
      </c>
      <c r="AO294" s="127">
        <v>54</v>
      </c>
      <c r="AP294" s="123">
        <v>57.644489288330078</v>
      </c>
      <c r="AQ294" s="123">
        <v>33.694660186767578</v>
      </c>
      <c r="AR294" s="123">
        <v>99</v>
      </c>
      <c r="AS294" s="123"/>
      <c r="AT294" s="123">
        <v>94</v>
      </c>
      <c r="AU294" s="123"/>
      <c r="AV294" s="123">
        <v>104</v>
      </c>
      <c r="AW294" s="123"/>
      <c r="AX294" s="123">
        <v>30</v>
      </c>
      <c r="AY294" s="123">
        <v>32.380378723144531</v>
      </c>
      <c r="AZ294" s="123">
        <v>4</v>
      </c>
      <c r="BA294" s="123"/>
      <c r="BB294" s="123">
        <v>174</v>
      </c>
      <c r="BC294" s="123">
        <v>174.70603942871094</v>
      </c>
      <c r="BD294" s="123">
        <v>6.5</v>
      </c>
      <c r="BE294" s="123">
        <v>6.5976214408874512</v>
      </c>
      <c r="BF294" s="123">
        <v>30</v>
      </c>
      <c r="BG294" s="123">
        <v>10</v>
      </c>
      <c r="BH294" s="123">
        <v>11.040761947631836</v>
      </c>
      <c r="BI294" s="123"/>
      <c r="BJ294" s="108">
        <f t="shared" si="13"/>
        <v>9</v>
      </c>
      <c r="BK294" s="123">
        <v>9</v>
      </c>
      <c r="BL294" s="123">
        <v>0</v>
      </c>
      <c r="BM294" s="126"/>
      <c r="BN294" s="108">
        <f t="shared" si="14"/>
        <v>122</v>
      </c>
      <c r="BO294" s="108">
        <v>73</v>
      </c>
      <c r="BP294" s="108">
        <v>49</v>
      </c>
      <c r="BQ294" s="108">
        <v>264</v>
      </c>
      <c r="BR294" s="123">
        <v>67.518997192382813</v>
      </c>
      <c r="BS294" s="123">
        <v>24.173999786376953</v>
      </c>
      <c r="BT294" s="123">
        <v>41.215999603271484</v>
      </c>
      <c r="BU294" s="123">
        <v>35.498001098632813</v>
      </c>
      <c r="BV294" s="123">
        <v>68.900001525878906</v>
      </c>
      <c r="BW294" s="123">
        <v>6.3000001907348633</v>
      </c>
      <c r="BX294" s="123">
        <v>13.5</v>
      </c>
      <c r="BY294" s="123">
        <v>28</v>
      </c>
      <c r="BZ294" s="123">
        <v>19.923837661743164</v>
      </c>
      <c r="CA294" s="123">
        <v>19</v>
      </c>
      <c r="CB294" s="123">
        <v>29.144163131713867</v>
      </c>
      <c r="CC294" s="126"/>
      <c r="CD294" s="123">
        <v>332.49127197265625</v>
      </c>
      <c r="CE294" s="123">
        <v>29.714651107788086</v>
      </c>
      <c r="CF294" s="123">
        <v>16.081090927124023</v>
      </c>
      <c r="CG294" s="123">
        <v>35.338191986083984</v>
      </c>
      <c r="CH294" s="123">
        <v>272.34872436523438</v>
      </c>
      <c r="CI294" s="123">
        <v>80.268692016601563</v>
      </c>
      <c r="CJ294" s="123">
        <v>34.483516693115234</v>
      </c>
      <c r="CK294" s="123">
        <v>47.828025817871094</v>
      </c>
      <c r="CL294" s="124">
        <v>25.868061065673828</v>
      </c>
      <c r="CM294" s="125">
        <v>176.25492858886719</v>
      </c>
      <c r="CN294" s="123">
        <v>65.318489074707031</v>
      </c>
      <c r="CO294" s="123">
        <v>52.553398132324219</v>
      </c>
      <c r="CP294" s="123">
        <v>56.358352661132813</v>
      </c>
      <c r="CQ294" s="123">
        <v>0</v>
      </c>
      <c r="CR294" s="123">
        <v>49.180282592773438</v>
      </c>
      <c r="CS294" s="123">
        <v>7.4429507255554199</v>
      </c>
      <c r="CT294" s="123">
        <v>27.943920135498047</v>
      </c>
      <c r="CU294" s="123">
        <v>45.123703002929688</v>
      </c>
      <c r="CV294" s="124">
        <v>58.518123626708984</v>
      </c>
      <c r="CW294" s="125">
        <v>2</v>
      </c>
      <c r="CX294" s="123">
        <v>291</v>
      </c>
      <c r="CY294" s="123">
        <v>107.365966796875</v>
      </c>
      <c r="CZ294" s="123">
        <v>48.674537658691406</v>
      </c>
      <c r="DA294" s="123">
        <v>21.008598327636719</v>
      </c>
      <c r="DB294" s="123">
        <v>29.940166473388672</v>
      </c>
      <c r="DC294" s="123">
        <v>70.760528564453125</v>
      </c>
      <c r="DD294" s="123">
        <v>52</v>
      </c>
      <c r="DE294" s="123">
        <v>167</v>
      </c>
      <c r="DF294" s="123">
        <v>97.551040649414063</v>
      </c>
      <c r="DG294" s="123">
        <v>62.742900848388672</v>
      </c>
      <c r="DH294" s="123">
        <v>39.898647308349609</v>
      </c>
      <c r="DI294" s="128">
        <v>38.345306396484375</v>
      </c>
      <c r="DJ294" s="127">
        <v>217</v>
      </c>
      <c r="DK294" s="123">
        <v>114.00199890136719</v>
      </c>
      <c r="DL294" s="123">
        <v>23.97599983215332</v>
      </c>
      <c r="DM294" s="123">
        <v>28.804000854492188</v>
      </c>
      <c r="DN294" s="123">
        <v>53.013999938964844</v>
      </c>
      <c r="DO294" s="124">
        <v>112.49407958984375</v>
      </c>
      <c r="DP294" s="125">
        <v>14.616999626159668</v>
      </c>
      <c r="DQ294" s="123"/>
      <c r="DR294" s="125">
        <v>67</v>
      </c>
      <c r="DS294" s="128">
        <v>28.799999237060547</v>
      </c>
      <c r="DT294" s="127">
        <v>12</v>
      </c>
      <c r="DU294" s="123"/>
      <c r="DV294" s="123">
        <v>8</v>
      </c>
      <c r="DW294" s="123">
        <v>2.5341103076934814</v>
      </c>
      <c r="DX294" s="125">
        <v>10</v>
      </c>
      <c r="DY294" s="128"/>
      <c r="DZ294" s="127">
        <v>44</v>
      </c>
      <c r="EA294" s="123">
        <v>3</v>
      </c>
      <c r="EB294" s="123">
        <v>0</v>
      </c>
      <c r="EC294" s="123">
        <v>1</v>
      </c>
      <c r="ED294" s="123">
        <v>230.60000610351563</v>
      </c>
      <c r="EE294" s="129"/>
      <c r="EF294" s="129"/>
      <c r="EG294" s="129"/>
    </row>
    <row r="295" spans="1:137" x14ac:dyDescent="0.3">
      <c r="A295" s="226">
        <f t="shared" si="15"/>
        <v>46020.202083333992</v>
      </c>
      <c r="B295" s="123">
        <v>231</v>
      </c>
      <c r="C295" s="123">
        <v>54.285999298095703</v>
      </c>
      <c r="D295" s="123">
        <v>98.620002746582031</v>
      </c>
      <c r="E295" s="123">
        <v>37.095001220703125</v>
      </c>
      <c r="F295" s="123">
        <v>0</v>
      </c>
      <c r="G295" s="124">
        <v>17.302999496459961</v>
      </c>
      <c r="H295" s="125">
        <v>311</v>
      </c>
      <c r="I295" s="123">
        <v>279</v>
      </c>
      <c r="J295" s="123">
        <v>60.279998779296875</v>
      </c>
      <c r="K295" s="123">
        <v>62.208400726318359</v>
      </c>
      <c r="L295" s="123">
        <v>48.066001892089844</v>
      </c>
      <c r="M295" s="123">
        <v>12.326999664306641</v>
      </c>
      <c r="N295" s="123">
        <v>17.493999481201172</v>
      </c>
      <c r="O295" s="123">
        <v>18</v>
      </c>
      <c r="P295" s="123">
        <v>0</v>
      </c>
      <c r="Q295" s="123">
        <v>18.306686401367188</v>
      </c>
      <c r="R295" s="123">
        <v>9</v>
      </c>
      <c r="S295" s="123">
        <v>7.8789811134338379</v>
      </c>
      <c r="T295" s="123">
        <v>9</v>
      </c>
      <c r="U295" s="123">
        <v>9</v>
      </c>
      <c r="V295" s="125">
        <v>842</v>
      </c>
      <c r="W295" s="123">
        <v>24.73756217956543</v>
      </c>
      <c r="X295" s="123">
        <v>25.333000183105469</v>
      </c>
      <c r="Y295" s="123">
        <v>7.8239998817443848</v>
      </c>
      <c r="Z295" s="123">
        <v>0</v>
      </c>
      <c r="AA295" s="123">
        <v>17.982000350952148</v>
      </c>
      <c r="AB295" s="123">
        <v>0</v>
      </c>
      <c r="AC295" s="123">
        <v>53.84588623046875</v>
      </c>
      <c r="AD295" s="123">
        <v>6.1069998741149902</v>
      </c>
      <c r="AE295" s="123">
        <v>0</v>
      </c>
      <c r="AF295" s="123">
        <v>81.036605834960938</v>
      </c>
      <c r="AG295" s="123">
        <v>0</v>
      </c>
      <c r="AH295" s="123">
        <v>61.471729278564453</v>
      </c>
      <c r="AI295" s="123">
        <v>14.503999710083008</v>
      </c>
      <c r="AJ295" s="123">
        <v>15.606524467468262</v>
      </c>
      <c r="AK295" s="123">
        <v>35.590282440185547</v>
      </c>
      <c r="AL295" s="123">
        <v>37.816001892089844</v>
      </c>
      <c r="AM295" s="126">
        <v>54.709999084472656</v>
      </c>
      <c r="AN295" s="125">
        <v>107.5</v>
      </c>
      <c r="AO295" s="127">
        <v>54</v>
      </c>
      <c r="AP295" s="123">
        <v>57.906749725341797</v>
      </c>
      <c r="AQ295" s="123">
        <v>33.581527709960938</v>
      </c>
      <c r="AR295" s="123">
        <v>100</v>
      </c>
      <c r="AS295" s="123"/>
      <c r="AT295" s="123">
        <v>93</v>
      </c>
      <c r="AU295" s="123"/>
      <c r="AV295" s="123">
        <v>104</v>
      </c>
      <c r="AW295" s="123"/>
      <c r="AX295" s="123">
        <v>30</v>
      </c>
      <c r="AY295" s="123">
        <v>32.279487609863281</v>
      </c>
      <c r="AZ295" s="123">
        <v>4</v>
      </c>
      <c r="BA295" s="123"/>
      <c r="BB295" s="123">
        <v>175</v>
      </c>
      <c r="BC295" s="123">
        <v>175.51362609863281</v>
      </c>
      <c r="BD295" s="123">
        <v>6.5</v>
      </c>
      <c r="BE295" s="123">
        <v>6.5844249725341797</v>
      </c>
      <c r="BF295" s="123">
        <v>29</v>
      </c>
      <c r="BG295" s="123">
        <v>10</v>
      </c>
      <c r="BH295" s="123">
        <v>10.806730270385742</v>
      </c>
      <c r="BI295" s="123"/>
      <c r="BJ295" s="108">
        <f t="shared" si="13"/>
        <v>10</v>
      </c>
      <c r="BK295" s="123">
        <v>10</v>
      </c>
      <c r="BL295" s="123">
        <v>0</v>
      </c>
      <c r="BM295" s="126"/>
      <c r="BN295" s="108">
        <f t="shared" si="14"/>
        <v>120.20000076293945</v>
      </c>
      <c r="BO295" s="108">
        <v>72</v>
      </c>
      <c r="BP295" s="108">
        <v>48.200000762939453</v>
      </c>
      <c r="BQ295" s="108">
        <v>264</v>
      </c>
      <c r="BR295" s="123">
        <v>65.483001708984375</v>
      </c>
      <c r="BS295" s="123">
        <v>24.937000274658203</v>
      </c>
      <c r="BT295" s="123">
        <v>40.869998931884766</v>
      </c>
      <c r="BU295" s="123">
        <v>34.798000335693359</v>
      </c>
      <c r="BV295" s="123">
        <v>69.300003051757813</v>
      </c>
      <c r="BW295" s="123">
        <v>6.3000001907348633</v>
      </c>
      <c r="BX295" s="123">
        <v>13.5</v>
      </c>
      <c r="BY295" s="123">
        <v>29</v>
      </c>
      <c r="BZ295" s="123">
        <v>19.916265487670898</v>
      </c>
      <c r="CA295" s="123">
        <v>19</v>
      </c>
      <c r="CB295" s="123">
        <v>29.119657516479492</v>
      </c>
      <c r="CC295" s="126"/>
      <c r="CD295" s="123">
        <v>330.51614379882813</v>
      </c>
      <c r="CE295" s="123">
        <v>29.232179641723633</v>
      </c>
      <c r="CF295" s="123">
        <v>15.869422912597656</v>
      </c>
      <c r="CG295" s="123">
        <v>35.338191986083984</v>
      </c>
      <c r="CH295" s="123">
        <v>271.99343872070313</v>
      </c>
      <c r="CI295" s="123">
        <v>78.019729614257813</v>
      </c>
      <c r="CJ295" s="123">
        <v>32.309986114501953</v>
      </c>
      <c r="CK295" s="123">
        <v>47.136959075927734</v>
      </c>
      <c r="CL295" s="124">
        <v>23.868457794189453</v>
      </c>
      <c r="CM295" s="125">
        <v>175.16009521484375</v>
      </c>
      <c r="CN295" s="123">
        <v>62.148719787597656</v>
      </c>
      <c r="CO295" s="123">
        <v>52.638072967529297</v>
      </c>
      <c r="CP295" s="123">
        <v>58.239360809326172</v>
      </c>
      <c r="CQ295" s="123">
        <v>0</v>
      </c>
      <c r="CR295" s="123">
        <v>48.379108428955078</v>
      </c>
      <c r="CS295" s="123">
        <v>7.7978167533874512</v>
      </c>
      <c r="CT295" s="123">
        <v>29.15557861328125</v>
      </c>
      <c r="CU295" s="123">
        <v>45.472061157226563</v>
      </c>
      <c r="CV295" s="124">
        <v>58.734230041503906</v>
      </c>
      <c r="CW295" s="125">
        <v>2</v>
      </c>
      <c r="CX295" s="123">
        <v>298</v>
      </c>
      <c r="CY295" s="123">
        <v>110.44418334960938</v>
      </c>
      <c r="CZ295" s="123">
        <v>48.465095520019531</v>
      </c>
      <c r="DA295" s="123">
        <v>20.058320999145508</v>
      </c>
      <c r="DB295" s="123">
        <v>30.321706771850586</v>
      </c>
      <c r="DC295" s="123">
        <v>69.291702270507813</v>
      </c>
      <c r="DD295" s="123">
        <v>39</v>
      </c>
      <c r="DE295" s="123">
        <v>169</v>
      </c>
      <c r="DF295" s="123">
        <v>97.691925048828125</v>
      </c>
      <c r="DG295" s="123">
        <v>61.652240753173828</v>
      </c>
      <c r="DH295" s="123">
        <v>40.882598876953125</v>
      </c>
      <c r="DI295" s="128">
        <v>37.252975463867188</v>
      </c>
      <c r="DJ295" s="127">
        <v>211</v>
      </c>
      <c r="DK295" s="123">
        <v>116.03700256347656</v>
      </c>
      <c r="DL295" s="123">
        <v>29.065999984741211</v>
      </c>
      <c r="DM295" s="123">
        <v>26.683000564575195</v>
      </c>
      <c r="DN295" s="123">
        <v>51.953998565673828</v>
      </c>
      <c r="DO295" s="124">
        <v>112.43331146240234</v>
      </c>
      <c r="DP295" s="125">
        <v>15.041000366210938</v>
      </c>
      <c r="DQ295" s="123"/>
      <c r="DR295" s="125">
        <v>0</v>
      </c>
      <c r="DS295" s="128">
        <v>29.700000762939453</v>
      </c>
      <c r="DT295" s="127">
        <v>13</v>
      </c>
      <c r="DU295" s="123"/>
      <c r="DV295" s="123">
        <v>8</v>
      </c>
      <c r="DW295" s="123">
        <v>2.4855055809020996</v>
      </c>
      <c r="DX295" s="125">
        <v>10</v>
      </c>
      <c r="DY295" s="128"/>
      <c r="DZ295" s="127">
        <v>45</v>
      </c>
      <c r="EA295" s="123">
        <v>3</v>
      </c>
      <c r="EB295" s="123">
        <v>0</v>
      </c>
      <c r="EC295" s="123">
        <v>1</v>
      </c>
      <c r="ED295" s="123">
        <v>227.5</v>
      </c>
      <c r="EE295" s="129"/>
      <c r="EF295" s="129"/>
      <c r="EG295" s="129"/>
    </row>
    <row r="296" spans="1:137" x14ac:dyDescent="0.3">
      <c r="A296" s="226">
        <f t="shared" si="15"/>
        <v>46020.202777778439</v>
      </c>
      <c r="B296" s="123">
        <v>231</v>
      </c>
      <c r="C296" s="123">
        <v>54.965000152587891</v>
      </c>
      <c r="D296" s="123">
        <v>98.393997192382813</v>
      </c>
      <c r="E296" s="123">
        <v>17.530000686645508</v>
      </c>
      <c r="F296" s="123">
        <v>2.1328411102294922</v>
      </c>
      <c r="G296" s="124">
        <v>18.094999313354492</v>
      </c>
      <c r="H296" s="125">
        <v>310</v>
      </c>
      <c r="I296" s="123">
        <v>274</v>
      </c>
      <c r="J296" s="123">
        <v>60.166999816894531</v>
      </c>
      <c r="K296" s="123">
        <v>62.626689910888672</v>
      </c>
      <c r="L296" s="123">
        <v>44.708000183105469</v>
      </c>
      <c r="M296" s="123">
        <v>11.875</v>
      </c>
      <c r="N296" s="123">
        <v>17.176000595092773</v>
      </c>
      <c r="O296" s="123">
        <v>18</v>
      </c>
      <c r="P296" s="123">
        <v>0</v>
      </c>
      <c r="Q296" s="123">
        <v>17.182519912719727</v>
      </c>
      <c r="R296" s="123">
        <v>0</v>
      </c>
      <c r="S296" s="123">
        <v>5.2259912490844727</v>
      </c>
      <c r="T296" s="123">
        <v>9</v>
      </c>
      <c r="U296" s="123">
        <v>9</v>
      </c>
      <c r="V296" s="125">
        <v>842</v>
      </c>
      <c r="W296" s="123">
        <v>26.060056686401367</v>
      </c>
      <c r="X296" s="123">
        <v>24.429000854492188</v>
      </c>
      <c r="Y296" s="123">
        <v>7.8239998817443848</v>
      </c>
      <c r="Z296" s="123">
        <v>0</v>
      </c>
      <c r="AA296" s="123">
        <v>17.982000350952148</v>
      </c>
      <c r="AB296" s="123">
        <v>0</v>
      </c>
      <c r="AC296" s="123">
        <v>53.325950622558594</v>
      </c>
      <c r="AD296" s="123">
        <v>6.3610000610351563</v>
      </c>
      <c r="AE296" s="123">
        <v>0</v>
      </c>
      <c r="AF296" s="123">
        <v>81.993370056152344</v>
      </c>
      <c r="AG296" s="123">
        <v>0</v>
      </c>
      <c r="AH296" s="123">
        <v>61.066165924072266</v>
      </c>
      <c r="AI296" s="123">
        <v>16.285999298095703</v>
      </c>
      <c r="AJ296" s="123">
        <v>16.701080322265625</v>
      </c>
      <c r="AK296" s="123">
        <v>35.773700714111328</v>
      </c>
      <c r="AL296" s="123">
        <v>36.226001739501953</v>
      </c>
      <c r="AM296" s="126">
        <v>54.328998565673828</v>
      </c>
      <c r="AN296" s="125">
        <v>109.9375</v>
      </c>
      <c r="AO296" s="127">
        <v>55</v>
      </c>
      <c r="AP296" s="123">
        <v>58.649070739746094</v>
      </c>
      <c r="AQ296" s="123">
        <v>34.008323669433594</v>
      </c>
      <c r="AR296" s="123">
        <v>100</v>
      </c>
      <c r="AS296" s="123"/>
      <c r="AT296" s="123">
        <v>94</v>
      </c>
      <c r="AU296" s="123"/>
      <c r="AV296" s="123">
        <v>104</v>
      </c>
      <c r="AW296" s="123"/>
      <c r="AX296" s="123">
        <v>29</v>
      </c>
      <c r="AY296" s="123">
        <v>32.435176849365234</v>
      </c>
      <c r="AZ296" s="123">
        <v>3</v>
      </c>
      <c r="BA296" s="123"/>
      <c r="BB296" s="123">
        <v>175</v>
      </c>
      <c r="BC296" s="123">
        <v>172.07620239257813</v>
      </c>
      <c r="BD296" s="123">
        <v>6.5</v>
      </c>
      <c r="BE296" s="123">
        <v>6.5825843811035156</v>
      </c>
      <c r="BF296" s="123">
        <v>29</v>
      </c>
      <c r="BG296" s="123">
        <v>10</v>
      </c>
      <c r="BH296" s="123">
        <v>10.782658576965332</v>
      </c>
      <c r="BI296" s="123"/>
      <c r="BJ296" s="108">
        <f t="shared" si="13"/>
        <v>10</v>
      </c>
      <c r="BK296" s="123">
        <v>10</v>
      </c>
      <c r="BL296" s="123">
        <v>0</v>
      </c>
      <c r="BM296" s="126"/>
      <c r="BN296" s="108">
        <f t="shared" si="14"/>
        <v>120.29999923706055</v>
      </c>
      <c r="BO296" s="108">
        <v>72</v>
      </c>
      <c r="BP296" s="108">
        <v>48.299999237060547</v>
      </c>
      <c r="BQ296" s="108">
        <v>265</v>
      </c>
      <c r="BR296" s="123">
        <v>68.083999633789063</v>
      </c>
      <c r="BS296" s="123">
        <v>24.429000854492188</v>
      </c>
      <c r="BT296" s="123">
        <v>40.523998260498047</v>
      </c>
      <c r="BU296" s="123">
        <v>36.897998809814453</v>
      </c>
      <c r="BV296" s="123">
        <v>69</v>
      </c>
      <c r="BW296" s="123">
        <v>6.4000000953674316</v>
      </c>
      <c r="BX296" s="123">
        <v>13.5</v>
      </c>
      <c r="BY296" s="123">
        <v>29</v>
      </c>
      <c r="BZ296" s="123">
        <v>19.941741943359375</v>
      </c>
      <c r="CA296" s="123">
        <v>20</v>
      </c>
      <c r="CB296" s="123">
        <v>29.754753112792969</v>
      </c>
      <c r="CC296" s="126"/>
      <c r="CD296" s="123">
        <v>330.50540161132813</v>
      </c>
      <c r="CE296" s="123">
        <v>29.036977767944336</v>
      </c>
      <c r="CF296" s="123">
        <v>16.287715911865234</v>
      </c>
      <c r="CG296" s="123">
        <v>35.338191986083984</v>
      </c>
      <c r="CH296" s="123">
        <v>272.04757690429688</v>
      </c>
      <c r="CI296" s="123">
        <v>76.334716796875</v>
      </c>
      <c r="CJ296" s="123">
        <v>33.686698913574219</v>
      </c>
      <c r="CK296" s="123">
        <v>47.399070739746094</v>
      </c>
      <c r="CL296" s="124">
        <v>23.979549407958984</v>
      </c>
      <c r="CM296" s="125">
        <v>176.94010925292969</v>
      </c>
      <c r="CN296" s="123">
        <v>64.271492004394531</v>
      </c>
      <c r="CO296" s="123">
        <v>52.485965728759766</v>
      </c>
      <c r="CP296" s="123">
        <v>58.495887756347656</v>
      </c>
      <c r="CQ296" s="123">
        <v>0</v>
      </c>
      <c r="CR296" s="123">
        <v>50.351486206054688</v>
      </c>
      <c r="CS296" s="123">
        <v>7.5764198303222656</v>
      </c>
      <c r="CT296" s="123">
        <v>30.129695892333984</v>
      </c>
      <c r="CU296" s="123">
        <v>44.833599090576172</v>
      </c>
      <c r="CV296" s="124">
        <v>58.373237609863281</v>
      </c>
      <c r="CW296" s="125">
        <v>2</v>
      </c>
      <c r="CX296" s="123">
        <v>291</v>
      </c>
      <c r="CY296" s="123">
        <v>108.29861450195313</v>
      </c>
      <c r="CZ296" s="123">
        <v>47.250331878662109</v>
      </c>
      <c r="DA296" s="123">
        <v>20.970127105712891</v>
      </c>
      <c r="DB296" s="123">
        <v>29.44549560546875</v>
      </c>
      <c r="DC296" s="123">
        <v>69.23846435546875</v>
      </c>
      <c r="DD296" s="123">
        <v>49</v>
      </c>
      <c r="DE296" s="123">
        <v>167</v>
      </c>
      <c r="DF296" s="123">
        <v>97.436012268066406</v>
      </c>
      <c r="DG296" s="123">
        <v>60.926010131835938</v>
      </c>
      <c r="DH296" s="123">
        <v>38.776493072509766</v>
      </c>
      <c r="DI296" s="128">
        <v>38.726005554199219</v>
      </c>
      <c r="DJ296" s="127">
        <v>212</v>
      </c>
      <c r="DK296" s="123">
        <v>108.65799713134766</v>
      </c>
      <c r="DL296" s="123">
        <v>29.065999984741211</v>
      </c>
      <c r="DM296" s="123">
        <v>26.329999923706055</v>
      </c>
      <c r="DN296" s="123">
        <v>50.009998321533203</v>
      </c>
      <c r="DO296" s="124">
        <v>112.99265289306641</v>
      </c>
      <c r="DP296" s="125">
        <v>15.494000434875488</v>
      </c>
      <c r="DQ296" s="123"/>
      <c r="DR296" s="125">
        <v>0</v>
      </c>
      <c r="DS296" s="128">
        <v>30.600000381469727</v>
      </c>
      <c r="DT296" s="127">
        <v>13</v>
      </c>
      <c r="DU296" s="123"/>
      <c r="DV296" s="123">
        <v>10</v>
      </c>
      <c r="DW296" s="123">
        <v>2.4895381927490234</v>
      </c>
      <c r="DX296" s="125">
        <v>10</v>
      </c>
      <c r="DY296" s="128"/>
      <c r="DZ296" s="127">
        <v>46</v>
      </c>
      <c r="EA296" s="123">
        <v>3</v>
      </c>
      <c r="EB296" s="123">
        <v>0</v>
      </c>
      <c r="EC296" s="123">
        <v>1</v>
      </c>
      <c r="ED296" s="123">
        <v>227.69999694824219</v>
      </c>
      <c r="EE296" s="129"/>
      <c r="EF296" s="129"/>
      <c r="EG296" s="129"/>
    </row>
    <row r="297" spans="1:137" x14ac:dyDescent="0.3">
      <c r="A297" s="226">
        <f t="shared" si="15"/>
        <v>46020.203472222885</v>
      </c>
      <c r="B297" s="123">
        <v>230</v>
      </c>
      <c r="C297" s="123">
        <v>51.910999298095703</v>
      </c>
      <c r="D297" s="123">
        <v>98.733001708984375</v>
      </c>
      <c r="E297" s="123">
        <v>17.190000534057617</v>
      </c>
      <c r="F297" s="123">
        <v>7.5828461647033691</v>
      </c>
      <c r="G297" s="124">
        <v>17.982000350952148</v>
      </c>
      <c r="H297" s="125">
        <v>302</v>
      </c>
      <c r="I297" s="123">
        <v>274</v>
      </c>
      <c r="J297" s="123">
        <v>60.846000671386719</v>
      </c>
      <c r="K297" s="123">
        <v>61.927738189697266</v>
      </c>
      <c r="L297" s="123">
        <v>45.769001007080078</v>
      </c>
      <c r="M297" s="123">
        <v>11.64900016784668</v>
      </c>
      <c r="N297" s="123">
        <v>17.176000595092773</v>
      </c>
      <c r="O297" s="123">
        <v>16</v>
      </c>
      <c r="P297" s="123">
        <v>0</v>
      </c>
      <c r="Q297" s="123">
        <v>17.080530166625977</v>
      </c>
      <c r="R297" s="123">
        <v>4.9968748092651367</v>
      </c>
      <c r="S297" s="123">
        <v>6.0568509101867676</v>
      </c>
      <c r="T297" s="123">
        <v>9</v>
      </c>
      <c r="U297" s="123">
        <v>9</v>
      </c>
      <c r="V297" s="125">
        <v>851</v>
      </c>
      <c r="W297" s="123">
        <v>24.853790283203125</v>
      </c>
      <c r="X297" s="123">
        <v>24.429000854492188</v>
      </c>
      <c r="Y297" s="123">
        <v>7.8239998817443848</v>
      </c>
      <c r="Z297" s="123">
        <v>0</v>
      </c>
      <c r="AA297" s="123">
        <v>17.530000686645508</v>
      </c>
      <c r="AB297" s="123">
        <v>0</v>
      </c>
      <c r="AC297" s="123">
        <v>53.845294952392578</v>
      </c>
      <c r="AD297" s="123">
        <v>6.1069998741149902</v>
      </c>
      <c r="AE297" s="123">
        <v>0</v>
      </c>
      <c r="AF297" s="123">
        <v>81.551773071289063</v>
      </c>
      <c r="AG297" s="123">
        <v>0</v>
      </c>
      <c r="AH297" s="123">
        <v>61.760860443115234</v>
      </c>
      <c r="AI297" s="123">
        <v>12.913999557495117</v>
      </c>
      <c r="AJ297" s="123">
        <v>18.241462707519531</v>
      </c>
      <c r="AK297" s="123">
        <v>35.524776458740234</v>
      </c>
      <c r="AL297" s="123">
        <v>35.519001007080078</v>
      </c>
      <c r="AM297" s="126">
        <v>54.709999084472656</v>
      </c>
      <c r="AN297" s="125">
        <v>111.9375</v>
      </c>
      <c r="AO297" s="127">
        <v>57</v>
      </c>
      <c r="AP297" s="123">
        <v>58.73553466796875</v>
      </c>
      <c r="AQ297" s="123">
        <v>34.427585601806641</v>
      </c>
      <c r="AR297" s="123">
        <v>101</v>
      </c>
      <c r="AS297" s="123"/>
      <c r="AT297" s="123">
        <v>92</v>
      </c>
      <c r="AU297" s="123"/>
      <c r="AV297" s="123">
        <v>104</v>
      </c>
      <c r="AW297" s="123"/>
      <c r="AX297" s="123">
        <v>29</v>
      </c>
      <c r="AY297" s="123">
        <v>32.929103851318359</v>
      </c>
      <c r="AZ297" s="123">
        <v>3</v>
      </c>
      <c r="BA297" s="123"/>
      <c r="BB297" s="123">
        <v>177</v>
      </c>
      <c r="BC297" s="123">
        <v>174.51901245117188</v>
      </c>
      <c r="BD297" s="123">
        <v>6.5</v>
      </c>
      <c r="BE297" s="123">
        <v>6.5881872177124023</v>
      </c>
      <c r="BF297" s="123">
        <v>30</v>
      </c>
      <c r="BG297" s="123">
        <v>10</v>
      </c>
      <c r="BH297" s="123">
        <v>10.779398918151855</v>
      </c>
      <c r="BI297" s="123"/>
      <c r="BJ297" s="108">
        <f t="shared" si="13"/>
        <v>10</v>
      </c>
      <c r="BK297" s="123">
        <v>10</v>
      </c>
      <c r="BL297" s="123">
        <v>0</v>
      </c>
      <c r="BM297" s="126"/>
      <c r="BN297" s="108">
        <f t="shared" si="14"/>
        <v>121.20000076293945</v>
      </c>
      <c r="BO297" s="108">
        <v>72</v>
      </c>
      <c r="BP297" s="108">
        <v>49.200000762939453</v>
      </c>
      <c r="BQ297" s="108">
        <v>271</v>
      </c>
      <c r="BR297" s="123">
        <v>66.500999450683594</v>
      </c>
      <c r="BS297" s="123">
        <v>23.920000076293945</v>
      </c>
      <c r="BT297" s="123">
        <v>39.485000610351563</v>
      </c>
      <c r="BU297" s="123">
        <v>33.779998779296875</v>
      </c>
      <c r="BV297" s="123">
        <v>70.099998474121094</v>
      </c>
      <c r="BW297" s="123">
        <v>6.4000000953674316</v>
      </c>
      <c r="BX297" s="123">
        <v>13.899999618530273</v>
      </c>
      <c r="BY297" s="123">
        <v>28</v>
      </c>
      <c r="BZ297" s="123">
        <v>19.912662506103516</v>
      </c>
      <c r="CA297" s="123">
        <v>19</v>
      </c>
      <c r="CB297" s="123">
        <v>30.083255767822266</v>
      </c>
      <c r="CC297" s="126"/>
      <c r="CD297" s="123">
        <v>326.98507690429688</v>
      </c>
      <c r="CE297" s="123">
        <v>28.947086334228516</v>
      </c>
      <c r="CF297" s="123">
        <v>16.087760925292969</v>
      </c>
      <c r="CG297" s="123">
        <v>35.338191986083984</v>
      </c>
      <c r="CH297" s="123">
        <v>271.70797729492188</v>
      </c>
      <c r="CI297" s="123">
        <v>76.131942749023438</v>
      </c>
      <c r="CJ297" s="123">
        <v>31.844562530517578</v>
      </c>
      <c r="CK297" s="123">
        <v>46.516452789306641</v>
      </c>
      <c r="CL297" s="124">
        <v>24.225122451782227</v>
      </c>
      <c r="CM297" s="125">
        <v>174.63847351074219</v>
      </c>
      <c r="CN297" s="123">
        <v>66.399185180664063</v>
      </c>
      <c r="CO297" s="123">
        <v>51.637168884277344</v>
      </c>
      <c r="CP297" s="123">
        <v>53.883632659912109</v>
      </c>
      <c r="CQ297" s="123">
        <v>0</v>
      </c>
      <c r="CR297" s="123">
        <v>52.258312225341797</v>
      </c>
      <c r="CS297" s="123">
        <v>7.7905173301696777</v>
      </c>
      <c r="CT297" s="123">
        <v>29.280271530151367</v>
      </c>
      <c r="CU297" s="123">
        <v>44.967960357666016</v>
      </c>
      <c r="CV297" s="124">
        <v>59.469818115234375</v>
      </c>
      <c r="CW297" s="125">
        <v>0</v>
      </c>
      <c r="CX297" s="123">
        <v>292</v>
      </c>
      <c r="CY297" s="123">
        <v>110.60330200195313</v>
      </c>
      <c r="CZ297" s="123">
        <v>46.885398864746094</v>
      </c>
      <c r="DA297" s="123">
        <v>22.321746826171875</v>
      </c>
      <c r="DB297" s="123">
        <v>30.93950080871582</v>
      </c>
      <c r="DC297" s="123">
        <v>67.663040161132813</v>
      </c>
      <c r="DD297" s="123">
        <v>43</v>
      </c>
      <c r="DE297" s="123">
        <v>169</v>
      </c>
      <c r="DF297" s="123">
        <v>95.826774597167969</v>
      </c>
      <c r="DG297" s="123">
        <v>60.727287292480469</v>
      </c>
      <c r="DH297" s="123">
        <v>41.796489715576172</v>
      </c>
      <c r="DI297" s="128">
        <v>36.233036041259766</v>
      </c>
      <c r="DJ297" s="127">
        <v>212</v>
      </c>
      <c r="DK297" s="123">
        <v>115.27400207519531</v>
      </c>
      <c r="DL297" s="123">
        <v>28.951999664306641</v>
      </c>
      <c r="DM297" s="123">
        <v>27.743999481201172</v>
      </c>
      <c r="DN297" s="123">
        <v>50.009998321533203</v>
      </c>
      <c r="DO297" s="124">
        <v>111.59217071533203</v>
      </c>
      <c r="DP297" s="125">
        <v>15.23900032043457</v>
      </c>
      <c r="DQ297" s="123"/>
      <c r="DR297" s="125">
        <v>0</v>
      </c>
      <c r="DS297" s="128">
        <v>30.299999237060547</v>
      </c>
      <c r="DT297" s="127">
        <v>12</v>
      </c>
      <c r="DU297" s="123"/>
      <c r="DV297" s="123">
        <v>10</v>
      </c>
      <c r="DW297" s="123">
        <v>2.8124668598175049</v>
      </c>
      <c r="DX297" s="125">
        <v>11</v>
      </c>
      <c r="DY297" s="128"/>
      <c r="DZ297" s="127">
        <v>45</v>
      </c>
      <c r="EA297" s="123">
        <v>3</v>
      </c>
      <c r="EB297" s="123">
        <v>0</v>
      </c>
      <c r="EC297" s="123">
        <v>1</v>
      </c>
      <c r="ED297" s="123">
        <v>222.80000305175781</v>
      </c>
      <c r="EE297" s="129"/>
      <c r="EF297" s="129"/>
      <c r="EG297" s="129"/>
    </row>
    <row r="298" spans="1:137" x14ac:dyDescent="0.3">
      <c r="A298" s="226">
        <f t="shared" si="15"/>
        <v>46020.204166667332</v>
      </c>
      <c r="B298" s="123">
        <v>226</v>
      </c>
      <c r="C298" s="123">
        <v>50.327999114990234</v>
      </c>
      <c r="D298" s="123">
        <v>99.185997009277344</v>
      </c>
      <c r="E298" s="123">
        <v>17.642999649047852</v>
      </c>
      <c r="F298" s="123">
        <v>0</v>
      </c>
      <c r="G298" s="124">
        <v>16.39900016784668</v>
      </c>
      <c r="H298" s="125">
        <v>302</v>
      </c>
      <c r="I298" s="123">
        <v>271</v>
      </c>
      <c r="J298" s="123">
        <v>58.810001373291016</v>
      </c>
      <c r="K298" s="123">
        <v>61.016681671142578</v>
      </c>
      <c r="L298" s="123">
        <v>43.471000671386719</v>
      </c>
      <c r="M298" s="123">
        <v>12.326999664306641</v>
      </c>
      <c r="N298" s="123">
        <v>17.940000534057617</v>
      </c>
      <c r="O298" s="123">
        <v>17</v>
      </c>
      <c r="P298" s="123">
        <v>0</v>
      </c>
      <c r="Q298" s="123">
        <v>17.971286773681641</v>
      </c>
      <c r="R298" s="123">
        <v>4.9968748092651367</v>
      </c>
      <c r="S298" s="123">
        <v>4.8112945556640625</v>
      </c>
      <c r="T298" s="123">
        <v>9</v>
      </c>
      <c r="U298" s="123">
        <v>9</v>
      </c>
      <c r="V298" s="125">
        <v>848</v>
      </c>
      <c r="W298" s="123">
        <v>23.911914825439453</v>
      </c>
      <c r="X298" s="123">
        <v>24.993999481201172</v>
      </c>
      <c r="Y298" s="123">
        <v>6.869999885559082</v>
      </c>
      <c r="Z298" s="123">
        <v>0</v>
      </c>
      <c r="AA298" s="123">
        <v>16.964000701904297</v>
      </c>
      <c r="AB298" s="123">
        <v>0</v>
      </c>
      <c r="AC298" s="123">
        <v>53.747745513916016</v>
      </c>
      <c r="AD298" s="123">
        <v>5.8520002365112305</v>
      </c>
      <c r="AE298" s="123">
        <v>0</v>
      </c>
      <c r="AF298" s="123">
        <v>82.88885498046875</v>
      </c>
      <c r="AG298" s="123">
        <v>0</v>
      </c>
      <c r="AH298" s="123">
        <v>59.808876037597656</v>
      </c>
      <c r="AI298" s="123">
        <v>12.850000381469727</v>
      </c>
      <c r="AJ298" s="123">
        <v>18.957696914672852</v>
      </c>
      <c r="AK298" s="123">
        <v>35.735080718994141</v>
      </c>
      <c r="AL298" s="123">
        <v>34.812000274658203</v>
      </c>
      <c r="AM298" s="126">
        <v>55.601001739501953</v>
      </c>
      <c r="AN298" s="125">
        <v>110</v>
      </c>
      <c r="AO298" s="127">
        <v>57</v>
      </c>
      <c r="AP298" s="123">
        <v>58.54632568359375</v>
      </c>
      <c r="AQ298" s="123">
        <v>33.341548919677734</v>
      </c>
      <c r="AR298" s="123">
        <v>101</v>
      </c>
      <c r="AS298" s="123"/>
      <c r="AT298" s="123">
        <v>92</v>
      </c>
      <c r="AU298" s="123"/>
      <c r="AV298" s="123">
        <v>109</v>
      </c>
      <c r="AW298" s="123"/>
      <c r="AX298" s="123">
        <v>29</v>
      </c>
      <c r="AY298" s="123">
        <v>32.756023406982422</v>
      </c>
      <c r="AZ298" s="123">
        <v>0</v>
      </c>
      <c r="BA298" s="123"/>
      <c r="BB298" s="123">
        <v>176</v>
      </c>
      <c r="BC298" s="123">
        <v>177.81808471679688</v>
      </c>
      <c r="BD298" s="123">
        <v>6.5</v>
      </c>
      <c r="BE298" s="123">
        <v>6.6307787895202637</v>
      </c>
      <c r="BF298" s="123">
        <v>30</v>
      </c>
      <c r="BG298" s="123">
        <v>10</v>
      </c>
      <c r="BH298" s="123">
        <v>10.762588500976563</v>
      </c>
      <c r="BI298" s="123"/>
      <c r="BJ298" s="108">
        <f t="shared" si="13"/>
        <v>10</v>
      </c>
      <c r="BK298" s="123">
        <v>10</v>
      </c>
      <c r="BL298" s="123">
        <v>0</v>
      </c>
      <c r="BM298" s="126"/>
      <c r="BN298" s="108">
        <f t="shared" si="14"/>
        <v>121</v>
      </c>
      <c r="BO298" s="108">
        <v>72</v>
      </c>
      <c r="BP298" s="108">
        <v>49</v>
      </c>
      <c r="BQ298" s="108">
        <v>263</v>
      </c>
      <c r="BR298" s="123">
        <v>67.632003784179688</v>
      </c>
      <c r="BS298" s="123">
        <v>24.429000854492188</v>
      </c>
      <c r="BT298" s="123">
        <v>40.176998138427734</v>
      </c>
      <c r="BU298" s="123">
        <v>33.462001800537109</v>
      </c>
      <c r="BV298" s="123">
        <v>70.199996948242188</v>
      </c>
      <c r="BW298" s="123">
        <v>6.3000001907348633</v>
      </c>
      <c r="BX298" s="123">
        <v>13.800000190734863</v>
      </c>
      <c r="BY298" s="123">
        <v>29</v>
      </c>
      <c r="BZ298" s="123">
        <v>19.912662506103516</v>
      </c>
      <c r="CA298" s="123">
        <v>19</v>
      </c>
      <c r="CB298" s="123">
        <v>29.892189025878906</v>
      </c>
      <c r="CC298" s="126"/>
      <c r="CD298" s="123">
        <v>334.8707275390625</v>
      </c>
      <c r="CE298" s="123">
        <v>29.334230422973633</v>
      </c>
      <c r="CF298" s="123">
        <v>15.903347969055176</v>
      </c>
      <c r="CG298" s="123">
        <v>35.338191986083984</v>
      </c>
      <c r="CH298" s="123">
        <v>272.23049926757813</v>
      </c>
      <c r="CI298" s="123">
        <v>75.884620666503906</v>
      </c>
      <c r="CJ298" s="123">
        <v>31.117446899414063</v>
      </c>
      <c r="CK298" s="123">
        <v>46.718044281005859</v>
      </c>
      <c r="CL298" s="124">
        <v>24.549417495727539</v>
      </c>
      <c r="CM298" s="125">
        <v>177.22334289550781</v>
      </c>
      <c r="CN298" s="123">
        <v>66.653511047363281</v>
      </c>
      <c r="CO298" s="123">
        <v>51.729911804199219</v>
      </c>
      <c r="CP298" s="123">
        <v>53.350101470947266</v>
      </c>
      <c r="CQ298" s="123">
        <v>0</v>
      </c>
      <c r="CR298" s="123">
        <v>51.928218841552734</v>
      </c>
      <c r="CS298" s="123">
        <v>8.1546173095703125</v>
      </c>
      <c r="CT298" s="123">
        <v>28.55549430847168</v>
      </c>
      <c r="CU298" s="123">
        <v>47.508380889892578</v>
      </c>
      <c r="CV298" s="124">
        <v>45.478408813476563</v>
      </c>
      <c r="CW298" s="125">
        <v>6</v>
      </c>
      <c r="CX298" s="123">
        <v>290</v>
      </c>
      <c r="CY298" s="123">
        <v>109.25843048095703</v>
      </c>
      <c r="CZ298" s="123">
        <v>46.277057647705078</v>
      </c>
      <c r="DA298" s="123">
        <v>21.341495513916016</v>
      </c>
      <c r="DB298" s="123">
        <v>29.834064483642578</v>
      </c>
      <c r="DC298" s="123">
        <v>68.232894897460938</v>
      </c>
      <c r="DD298" s="123">
        <v>39</v>
      </c>
      <c r="DE298" s="123">
        <v>169</v>
      </c>
      <c r="DF298" s="123">
        <v>97.186851501464844</v>
      </c>
      <c r="DG298" s="123">
        <v>61.986465454101563</v>
      </c>
      <c r="DH298" s="123">
        <v>40.907337188720703</v>
      </c>
      <c r="DI298" s="128">
        <v>36.699420928955078</v>
      </c>
      <c r="DJ298" s="127">
        <v>217</v>
      </c>
      <c r="DK298" s="123">
        <v>112.72899627685547</v>
      </c>
      <c r="DL298" s="123">
        <v>26.576999664306641</v>
      </c>
      <c r="DM298" s="123">
        <v>27.214000701904297</v>
      </c>
      <c r="DN298" s="123">
        <v>50.186000823974609</v>
      </c>
      <c r="DO298" s="124">
        <v>114.75205230712891</v>
      </c>
      <c r="DP298" s="125">
        <v>15.522000312805176</v>
      </c>
      <c r="DQ298" s="123"/>
      <c r="DR298" s="125">
        <v>0</v>
      </c>
      <c r="DS298" s="128">
        <v>30.700000762939453</v>
      </c>
      <c r="DT298" s="127">
        <v>12</v>
      </c>
      <c r="DU298" s="123"/>
      <c r="DV298" s="123">
        <v>10</v>
      </c>
      <c r="DW298" s="123">
        <v>2.4622979164123535</v>
      </c>
      <c r="DX298" s="125">
        <v>10</v>
      </c>
      <c r="DY298" s="128"/>
      <c r="DZ298" s="127">
        <v>45</v>
      </c>
      <c r="EA298" s="123">
        <v>3</v>
      </c>
      <c r="EB298" s="123">
        <v>0</v>
      </c>
      <c r="EC298" s="123">
        <v>1</v>
      </c>
      <c r="ED298" s="123">
        <v>225.39999389648438</v>
      </c>
      <c r="EE298" s="129"/>
      <c r="EF298" s="129"/>
      <c r="EG298" s="129"/>
    </row>
    <row r="299" spans="1:137" x14ac:dyDescent="0.3">
      <c r="A299" s="226">
        <f t="shared" si="15"/>
        <v>46020.204861111779</v>
      </c>
      <c r="B299" s="123">
        <v>226</v>
      </c>
      <c r="C299" s="123">
        <v>49.083999633789063</v>
      </c>
      <c r="D299" s="123">
        <v>97.829002380371094</v>
      </c>
      <c r="E299" s="123">
        <v>20.583000183105469</v>
      </c>
      <c r="F299" s="123">
        <v>4.1438279151916504</v>
      </c>
      <c r="G299" s="124">
        <v>17.190000534057617</v>
      </c>
      <c r="H299" s="125">
        <v>304</v>
      </c>
      <c r="I299" s="123">
        <v>268</v>
      </c>
      <c r="J299" s="123">
        <v>58.471000671386719</v>
      </c>
      <c r="K299" s="123">
        <v>62.143302917480469</v>
      </c>
      <c r="L299" s="123">
        <v>45.415000915527344</v>
      </c>
      <c r="M299" s="123">
        <v>12.326999664306641</v>
      </c>
      <c r="N299" s="123">
        <v>17.621000289916992</v>
      </c>
      <c r="O299" s="123">
        <v>18</v>
      </c>
      <c r="P299" s="123">
        <v>0</v>
      </c>
      <c r="Q299" s="123">
        <v>16.438314437866211</v>
      </c>
      <c r="R299" s="123">
        <v>4.9968748092651367</v>
      </c>
      <c r="S299" s="123">
        <v>4.2489705085754395</v>
      </c>
      <c r="T299" s="123">
        <v>9</v>
      </c>
      <c r="U299" s="123">
        <v>9</v>
      </c>
      <c r="V299" s="125">
        <v>855</v>
      </c>
      <c r="W299" s="123">
        <v>24.100038528442383</v>
      </c>
      <c r="X299" s="123">
        <v>25.219999313354492</v>
      </c>
      <c r="Y299" s="123">
        <v>6.4879999160766602</v>
      </c>
      <c r="Z299" s="123">
        <v>0</v>
      </c>
      <c r="AA299" s="123">
        <v>18.660999298095703</v>
      </c>
      <c r="AB299" s="123">
        <v>0</v>
      </c>
      <c r="AC299" s="123">
        <v>53.066673278808594</v>
      </c>
      <c r="AD299" s="123">
        <v>5.8520002365112305</v>
      </c>
      <c r="AE299" s="123">
        <v>0</v>
      </c>
      <c r="AF299" s="123">
        <v>80.852394104003906</v>
      </c>
      <c r="AG299" s="123">
        <v>0</v>
      </c>
      <c r="AH299" s="123">
        <v>60.291633605957031</v>
      </c>
      <c r="AI299" s="123">
        <v>14.503999710083008</v>
      </c>
      <c r="AJ299" s="123">
        <v>18.071813583374023</v>
      </c>
      <c r="AK299" s="123">
        <v>35.974246978759766</v>
      </c>
      <c r="AL299" s="123">
        <v>36.048999786376953</v>
      </c>
      <c r="AM299" s="126">
        <v>56.810001373291016</v>
      </c>
      <c r="AN299" s="125">
        <v>110</v>
      </c>
      <c r="AO299" s="127">
        <v>57</v>
      </c>
      <c r="AP299" s="123">
        <v>59.389400482177734</v>
      </c>
      <c r="AQ299" s="123">
        <v>33.762722015380859</v>
      </c>
      <c r="AR299" s="123">
        <v>101</v>
      </c>
      <c r="AS299" s="123"/>
      <c r="AT299" s="123">
        <v>92</v>
      </c>
      <c r="AU299" s="123"/>
      <c r="AV299" s="123">
        <v>112</v>
      </c>
      <c r="AW299" s="123"/>
      <c r="AX299" s="123">
        <v>29</v>
      </c>
      <c r="AY299" s="123">
        <v>32.785587310791016</v>
      </c>
      <c r="AZ299" s="123">
        <v>4</v>
      </c>
      <c r="BA299" s="123"/>
      <c r="BB299" s="123">
        <v>176</v>
      </c>
      <c r="BC299" s="123">
        <v>175.687744140625</v>
      </c>
      <c r="BD299" s="123">
        <v>6.5</v>
      </c>
      <c r="BE299" s="123">
        <v>6.58148193359375</v>
      </c>
      <c r="BF299" s="123">
        <v>30</v>
      </c>
      <c r="BG299" s="123">
        <v>10</v>
      </c>
      <c r="BH299" s="123">
        <v>10.745209693908691</v>
      </c>
      <c r="BI299" s="123"/>
      <c r="BJ299" s="108">
        <f t="shared" si="13"/>
        <v>10</v>
      </c>
      <c r="BK299" s="123">
        <v>10</v>
      </c>
      <c r="BL299" s="123">
        <v>0</v>
      </c>
      <c r="BM299" s="126"/>
      <c r="BN299" s="108">
        <f t="shared" si="14"/>
        <v>121</v>
      </c>
      <c r="BO299" s="108">
        <v>72</v>
      </c>
      <c r="BP299" s="108">
        <v>49</v>
      </c>
      <c r="BQ299" s="108">
        <v>260</v>
      </c>
      <c r="BR299" s="123">
        <v>64.238998413085938</v>
      </c>
      <c r="BS299" s="123">
        <v>24.429000854492188</v>
      </c>
      <c r="BT299" s="123">
        <v>40.523998260498047</v>
      </c>
      <c r="BU299" s="123">
        <v>33.334999084472656</v>
      </c>
      <c r="BV299" s="123">
        <v>68.800003051757813</v>
      </c>
      <c r="BW299" s="123">
        <v>6.0999999046325684</v>
      </c>
      <c r="BX299" s="123">
        <v>13.600000381469727</v>
      </c>
      <c r="BY299" s="123">
        <v>29</v>
      </c>
      <c r="BZ299" s="123">
        <v>19.91032600402832</v>
      </c>
      <c r="CA299" s="123">
        <v>19</v>
      </c>
      <c r="CB299" s="123">
        <v>29.99445915222168</v>
      </c>
      <c r="CC299" s="126"/>
      <c r="CD299" s="123">
        <v>327.23760986328125</v>
      </c>
      <c r="CE299" s="123">
        <v>28.926790237426758</v>
      </c>
      <c r="CF299" s="123">
        <v>16.030494689941406</v>
      </c>
      <c r="CG299" s="123">
        <v>35.338191986083984</v>
      </c>
      <c r="CH299" s="123">
        <v>271.74331665039063</v>
      </c>
      <c r="CI299" s="123">
        <v>77.275428771972656</v>
      </c>
      <c r="CJ299" s="123">
        <v>33.687271118164063</v>
      </c>
      <c r="CK299" s="123">
        <v>44.270195007324219</v>
      </c>
      <c r="CL299" s="124">
        <v>25.332679748535156</v>
      </c>
      <c r="CM299" s="125">
        <v>179.65142822265625</v>
      </c>
      <c r="CN299" s="123">
        <v>67.895278930664063</v>
      </c>
      <c r="CO299" s="123">
        <v>49.812271118164063</v>
      </c>
      <c r="CP299" s="123">
        <v>53.422096252441406</v>
      </c>
      <c r="CQ299" s="123">
        <v>0</v>
      </c>
      <c r="CR299" s="123">
        <v>51.395542144775391</v>
      </c>
      <c r="CS299" s="123">
        <v>16.138141632080078</v>
      </c>
      <c r="CT299" s="123">
        <v>29.245033264160156</v>
      </c>
      <c r="CU299" s="123">
        <v>47.101985931396484</v>
      </c>
      <c r="CV299" s="124">
        <v>45.478408813476563</v>
      </c>
      <c r="CW299" s="125">
        <v>2</v>
      </c>
      <c r="CX299" s="123">
        <v>288</v>
      </c>
      <c r="CY299" s="123">
        <v>106.06056976318359</v>
      </c>
      <c r="CZ299" s="123">
        <v>48.5982666015625</v>
      </c>
      <c r="DA299" s="123">
        <v>20.653041839599609</v>
      </c>
      <c r="DB299" s="123">
        <v>29.470012664794922</v>
      </c>
      <c r="DC299" s="123">
        <v>68.413307189941406</v>
      </c>
      <c r="DD299" s="123">
        <v>39</v>
      </c>
      <c r="DE299" s="123">
        <v>166</v>
      </c>
      <c r="DF299" s="123">
        <v>96.858161926269531</v>
      </c>
      <c r="DG299" s="123">
        <v>61.336494445800781</v>
      </c>
      <c r="DH299" s="123">
        <v>40.068767547607422</v>
      </c>
      <c r="DI299" s="128">
        <v>36.3892822265625</v>
      </c>
      <c r="DJ299" s="127">
        <v>213</v>
      </c>
      <c r="DK299" s="123">
        <v>111.71099853515625</v>
      </c>
      <c r="DL299" s="123">
        <v>24.315000534057617</v>
      </c>
      <c r="DM299" s="123">
        <v>27.214000701904297</v>
      </c>
      <c r="DN299" s="123">
        <v>47.888999938964844</v>
      </c>
      <c r="DO299" s="124">
        <v>111.01882934570313</v>
      </c>
      <c r="DP299" s="125">
        <v>15.324000358581543</v>
      </c>
      <c r="DQ299" s="123"/>
      <c r="DR299" s="125">
        <v>0</v>
      </c>
      <c r="DS299" s="128">
        <v>30.5</v>
      </c>
      <c r="DT299" s="127">
        <v>12</v>
      </c>
      <c r="DU299" s="123"/>
      <c r="DV299" s="123">
        <v>5</v>
      </c>
      <c r="DW299" s="123">
        <v>2.1752083301544189</v>
      </c>
      <c r="DX299" s="125">
        <v>10</v>
      </c>
      <c r="DY299" s="128"/>
      <c r="DZ299" s="127">
        <v>45</v>
      </c>
      <c r="EA299" s="123">
        <v>3</v>
      </c>
      <c r="EB299" s="123">
        <v>0</v>
      </c>
      <c r="EC299" s="123">
        <v>1</v>
      </c>
      <c r="ED299" s="123">
        <v>225.39999389648438</v>
      </c>
      <c r="EE299" s="129"/>
      <c r="EF299" s="129"/>
      <c r="EG299" s="129"/>
    </row>
    <row r="300" spans="1:137" x14ac:dyDescent="0.3">
      <c r="A300" s="226">
        <f t="shared" si="15"/>
        <v>46020.205555556226</v>
      </c>
      <c r="B300" s="123">
        <v>228</v>
      </c>
      <c r="C300" s="123">
        <v>51.910999298095703</v>
      </c>
      <c r="D300" s="123">
        <v>97.26300048828125</v>
      </c>
      <c r="E300" s="123">
        <v>18.886999130249023</v>
      </c>
      <c r="F300" s="123">
        <v>12.516709327697754</v>
      </c>
      <c r="G300" s="124">
        <v>17.530000686645508</v>
      </c>
      <c r="H300" s="125">
        <v>301</v>
      </c>
      <c r="I300" s="123">
        <v>271</v>
      </c>
      <c r="J300" s="123">
        <v>58.358001708984375</v>
      </c>
      <c r="K300" s="123">
        <v>61.097427368164063</v>
      </c>
      <c r="L300" s="123">
        <v>43.471000671386719</v>
      </c>
      <c r="M300" s="123">
        <v>11.421999931335449</v>
      </c>
      <c r="N300" s="123">
        <v>17.048999786376953</v>
      </c>
      <c r="O300" s="123">
        <v>18</v>
      </c>
      <c r="P300" s="123">
        <v>0</v>
      </c>
      <c r="Q300" s="123">
        <v>17.790624618530273</v>
      </c>
      <c r="R300" s="123">
        <v>0</v>
      </c>
      <c r="S300" s="123">
        <v>5.1160216331481934</v>
      </c>
      <c r="T300" s="123">
        <v>9</v>
      </c>
      <c r="U300" s="123">
        <v>9</v>
      </c>
      <c r="V300" s="125">
        <v>857</v>
      </c>
      <c r="W300" s="123">
        <v>26.76325798034668</v>
      </c>
      <c r="X300" s="123">
        <v>25.107000350952148</v>
      </c>
      <c r="Y300" s="123">
        <v>7.6339998245239258</v>
      </c>
      <c r="Z300" s="123">
        <v>0</v>
      </c>
      <c r="AA300" s="123">
        <v>19.22599983215332</v>
      </c>
      <c r="AB300" s="123">
        <v>0</v>
      </c>
      <c r="AC300" s="123">
        <v>53.671974182128906</v>
      </c>
      <c r="AD300" s="123">
        <v>6.1069998741149902</v>
      </c>
      <c r="AE300" s="123">
        <v>0</v>
      </c>
      <c r="AF300" s="123">
        <v>80.381736755371094</v>
      </c>
      <c r="AG300" s="123">
        <v>0</v>
      </c>
      <c r="AH300" s="123">
        <v>59.182792663574219</v>
      </c>
      <c r="AI300" s="123">
        <v>14.440999984741211</v>
      </c>
      <c r="AJ300" s="123">
        <v>17.11314582824707</v>
      </c>
      <c r="AK300" s="123">
        <v>36.120437622070313</v>
      </c>
      <c r="AL300" s="123">
        <v>35.341999053955078</v>
      </c>
      <c r="AM300" s="126">
        <v>55.155998229980469</v>
      </c>
      <c r="AN300" s="125">
        <v>111.5</v>
      </c>
      <c r="AO300" s="127">
        <v>58</v>
      </c>
      <c r="AP300" s="123">
        <v>60.544300079345703</v>
      </c>
      <c r="AQ300" s="123">
        <v>34.673316955566406</v>
      </c>
      <c r="AR300" s="123">
        <v>101</v>
      </c>
      <c r="AS300" s="123"/>
      <c r="AT300" s="123">
        <v>92</v>
      </c>
      <c r="AU300" s="123"/>
      <c r="AV300" s="123">
        <v>111</v>
      </c>
      <c r="AW300" s="123"/>
      <c r="AX300" s="123">
        <v>29</v>
      </c>
      <c r="AY300" s="123">
        <v>32.454853057861328</v>
      </c>
      <c r="AZ300" s="123">
        <v>4</v>
      </c>
      <c r="BA300" s="123"/>
      <c r="BB300" s="123">
        <v>177</v>
      </c>
      <c r="BC300" s="123">
        <v>180.88058471679688</v>
      </c>
      <c r="BD300" s="123">
        <v>6.5999999046325684</v>
      </c>
      <c r="BE300" s="123">
        <v>6.5746269226074219</v>
      </c>
      <c r="BF300" s="123">
        <v>31</v>
      </c>
      <c r="BG300" s="123">
        <v>10</v>
      </c>
      <c r="BH300" s="123">
        <v>10.889896392822266</v>
      </c>
      <c r="BI300" s="123"/>
      <c r="BJ300" s="108">
        <f t="shared" si="13"/>
        <v>11</v>
      </c>
      <c r="BK300" s="123">
        <v>11</v>
      </c>
      <c r="BL300" s="123">
        <v>0</v>
      </c>
      <c r="BM300" s="126"/>
      <c r="BN300" s="108">
        <f t="shared" si="14"/>
        <v>122</v>
      </c>
      <c r="BO300" s="108">
        <v>73</v>
      </c>
      <c r="BP300" s="108">
        <v>49</v>
      </c>
      <c r="BQ300" s="108">
        <v>263</v>
      </c>
      <c r="BR300" s="123">
        <v>66.047996520996094</v>
      </c>
      <c r="BS300" s="123">
        <v>24.429000854492188</v>
      </c>
      <c r="BT300" s="123">
        <v>40.523998260498047</v>
      </c>
      <c r="BU300" s="123">
        <v>33.844001770019531</v>
      </c>
      <c r="BV300" s="123">
        <v>69.400001525878906</v>
      </c>
      <c r="BW300" s="123">
        <v>6.0999999046325684</v>
      </c>
      <c r="BX300" s="123">
        <v>13.699999809265137</v>
      </c>
      <c r="BY300" s="123">
        <v>29</v>
      </c>
      <c r="BZ300" s="123">
        <v>19.922500610351563</v>
      </c>
      <c r="CA300" s="123">
        <v>20</v>
      </c>
      <c r="CB300" s="123">
        <v>29.677656173706055</v>
      </c>
      <c r="CC300" s="126"/>
      <c r="CD300" s="123">
        <v>330.49221801757813</v>
      </c>
      <c r="CE300" s="123">
        <v>30.622337341308594</v>
      </c>
      <c r="CF300" s="123">
        <v>15.608991622924805</v>
      </c>
      <c r="CG300" s="123">
        <v>35.338191986083984</v>
      </c>
      <c r="CH300" s="123">
        <v>272.7164306640625</v>
      </c>
      <c r="CI300" s="123">
        <v>75.216781616210938</v>
      </c>
      <c r="CJ300" s="123">
        <v>32.722343444824219</v>
      </c>
      <c r="CK300" s="123">
        <v>44.462081909179688</v>
      </c>
      <c r="CL300" s="124">
        <v>25.829687118530273</v>
      </c>
      <c r="CM300" s="125">
        <v>180.20613098144531</v>
      </c>
      <c r="CN300" s="123">
        <v>70.34613037109375</v>
      </c>
      <c r="CO300" s="123">
        <v>51.943500518798828</v>
      </c>
      <c r="CP300" s="123">
        <v>54.15570068359375</v>
      </c>
      <c r="CQ300" s="123">
        <v>0</v>
      </c>
      <c r="CR300" s="123">
        <v>49.024696350097656</v>
      </c>
      <c r="CS300" s="123">
        <v>16.71690559387207</v>
      </c>
      <c r="CT300" s="123">
        <v>31.699064254760742</v>
      </c>
      <c r="CU300" s="123">
        <v>51.480094909667969</v>
      </c>
      <c r="CV300" s="124">
        <v>48.186859130859375</v>
      </c>
      <c r="CW300" s="125">
        <v>2</v>
      </c>
      <c r="CX300" s="123">
        <v>294</v>
      </c>
      <c r="CY300" s="123">
        <v>110.04833221435547</v>
      </c>
      <c r="CZ300" s="123">
        <v>48.599540710449219</v>
      </c>
      <c r="DA300" s="123">
        <v>20.043062210083008</v>
      </c>
      <c r="DB300" s="123">
        <v>29.013147354125977</v>
      </c>
      <c r="DC300" s="123">
        <v>69.513359069824219</v>
      </c>
      <c r="DD300" s="123">
        <v>43</v>
      </c>
      <c r="DE300" s="123">
        <v>167</v>
      </c>
      <c r="DF300" s="123">
        <v>97.405418395996094</v>
      </c>
      <c r="DG300" s="123">
        <v>61.513542175292969</v>
      </c>
      <c r="DH300" s="123">
        <v>41.090766906738281</v>
      </c>
      <c r="DI300" s="128">
        <v>36.484779357910156</v>
      </c>
      <c r="DJ300" s="127">
        <v>216</v>
      </c>
      <c r="DK300" s="123">
        <v>114.00199890136719</v>
      </c>
      <c r="DL300" s="123">
        <v>25.333000183105469</v>
      </c>
      <c r="DM300" s="123">
        <v>29.156999588012695</v>
      </c>
      <c r="DN300" s="123">
        <v>52.837001800537109</v>
      </c>
      <c r="DO300" s="124">
        <v>112.53607940673828</v>
      </c>
      <c r="DP300" s="125">
        <v>15.35200023651123</v>
      </c>
      <c r="DQ300" s="123"/>
      <c r="DR300" s="125">
        <v>0</v>
      </c>
      <c r="DS300" s="128">
        <v>30.600000381469727</v>
      </c>
      <c r="DT300" s="127">
        <v>12</v>
      </c>
      <c r="DU300" s="123"/>
      <c r="DV300" s="123">
        <v>0</v>
      </c>
      <c r="DW300" s="123">
        <v>2.2723493576049805</v>
      </c>
      <c r="DX300" s="125">
        <v>10</v>
      </c>
      <c r="DY300" s="128"/>
      <c r="DZ300" s="127">
        <v>44</v>
      </c>
      <c r="EA300" s="123">
        <v>3</v>
      </c>
      <c r="EB300" s="123">
        <v>0</v>
      </c>
      <c r="EC300" s="123">
        <v>1</v>
      </c>
      <c r="ED300" s="123">
        <v>224.30000305175781</v>
      </c>
      <c r="EE300" s="129"/>
      <c r="EF300" s="129"/>
      <c r="EG300" s="129"/>
    </row>
    <row r="301" spans="1:137" x14ac:dyDescent="0.3">
      <c r="A301" s="226">
        <f t="shared" si="15"/>
        <v>46020.206250000672</v>
      </c>
      <c r="B301" s="123">
        <v>236</v>
      </c>
      <c r="C301" s="123">
        <v>50.215000152587891</v>
      </c>
      <c r="D301" s="123">
        <v>99.072998046875</v>
      </c>
      <c r="E301" s="123">
        <v>18.320999145507813</v>
      </c>
      <c r="F301" s="123">
        <v>0</v>
      </c>
      <c r="G301" s="124">
        <v>16.85099983215332</v>
      </c>
      <c r="H301" s="125">
        <v>301</v>
      </c>
      <c r="I301" s="123">
        <v>268</v>
      </c>
      <c r="J301" s="123">
        <v>62.202999114990234</v>
      </c>
      <c r="K301" s="123">
        <v>59.829841613769531</v>
      </c>
      <c r="L301" s="123">
        <v>46.298999786376953</v>
      </c>
      <c r="M301" s="123">
        <v>11.875</v>
      </c>
      <c r="N301" s="123">
        <v>17.749000549316406</v>
      </c>
      <c r="O301" s="123">
        <v>16</v>
      </c>
      <c r="P301" s="123">
        <v>0</v>
      </c>
      <c r="Q301" s="123">
        <v>15.465391159057617</v>
      </c>
      <c r="R301" s="123">
        <v>4.9968748092651367</v>
      </c>
      <c r="S301" s="123">
        <v>4.3340020179748535</v>
      </c>
      <c r="T301" s="123">
        <v>9</v>
      </c>
      <c r="U301" s="123">
        <v>9</v>
      </c>
      <c r="V301" s="125">
        <v>851</v>
      </c>
      <c r="W301" s="123">
        <v>27.426853179931641</v>
      </c>
      <c r="X301" s="123">
        <v>24.429000854492188</v>
      </c>
      <c r="Y301" s="123">
        <v>6.7430000305175781</v>
      </c>
      <c r="Z301" s="123">
        <v>0</v>
      </c>
      <c r="AA301" s="123">
        <v>17.756000518798828</v>
      </c>
      <c r="AB301" s="123">
        <v>0</v>
      </c>
      <c r="AC301" s="123">
        <v>53.723918914794922</v>
      </c>
      <c r="AD301" s="123">
        <v>6.1069998741149902</v>
      </c>
      <c r="AE301" s="123">
        <v>0</v>
      </c>
      <c r="AF301" s="123">
        <v>81.737075805664063</v>
      </c>
      <c r="AG301" s="123">
        <v>0</v>
      </c>
      <c r="AH301" s="123">
        <v>61.628616333007813</v>
      </c>
      <c r="AI301" s="123">
        <v>12.97700023651123</v>
      </c>
      <c r="AJ301" s="123">
        <v>17.089019775390625</v>
      </c>
      <c r="AK301" s="123">
        <v>36.836544036865234</v>
      </c>
      <c r="AL301" s="123">
        <v>38.700000762939453</v>
      </c>
      <c r="AM301" s="126">
        <v>53.692001342773438</v>
      </c>
      <c r="AN301" s="125">
        <v>113.9375</v>
      </c>
      <c r="AO301" s="127">
        <v>59</v>
      </c>
      <c r="AP301" s="123">
        <v>59.697216033935547</v>
      </c>
      <c r="AQ301" s="123">
        <v>36.501926422119141</v>
      </c>
      <c r="AR301" s="123">
        <v>103</v>
      </c>
      <c r="AS301" s="123"/>
      <c r="AT301" s="123">
        <v>91</v>
      </c>
      <c r="AU301" s="123"/>
      <c r="AV301" s="123">
        <v>111</v>
      </c>
      <c r="AW301" s="123"/>
      <c r="AX301" s="123">
        <v>29</v>
      </c>
      <c r="AY301" s="123">
        <v>32.383613586425781</v>
      </c>
      <c r="AZ301" s="123">
        <v>0</v>
      </c>
      <c r="BA301" s="123"/>
      <c r="BB301" s="123">
        <v>176</v>
      </c>
      <c r="BC301" s="123">
        <v>173.9708251953125</v>
      </c>
      <c r="BD301" s="123">
        <v>7</v>
      </c>
      <c r="BE301" s="123">
        <v>7.2217068672180176</v>
      </c>
      <c r="BF301" s="123">
        <v>30</v>
      </c>
      <c r="BG301" s="123">
        <v>10</v>
      </c>
      <c r="BH301" s="123">
        <v>10.803215980529785</v>
      </c>
      <c r="BI301" s="123"/>
      <c r="BJ301" s="108">
        <f t="shared" si="13"/>
        <v>11</v>
      </c>
      <c r="BK301" s="123">
        <v>11</v>
      </c>
      <c r="BL301" s="123">
        <v>0</v>
      </c>
      <c r="BM301" s="126"/>
      <c r="BN301" s="108">
        <f t="shared" si="14"/>
        <v>121</v>
      </c>
      <c r="BO301" s="108">
        <v>72</v>
      </c>
      <c r="BP301" s="108">
        <v>49</v>
      </c>
      <c r="BQ301" s="108">
        <v>261</v>
      </c>
      <c r="BR301" s="123">
        <v>65.483001708984375</v>
      </c>
      <c r="BS301" s="123">
        <v>24.937000274658203</v>
      </c>
      <c r="BT301" s="123">
        <v>40.523998260498047</v>
      </c>
      <c r="BU301" s="123">
        <v>33.779998779296875</v>
      </c>
      <c r="BV301" s="123">
        <v>69.099998474121094</v>
      </c>
      <c r="BW301" s="123">
        <v>6.0999999046325684</v>
      </c>
      <c r="BX301" s="123">
        <v>13.800000190734863</v>
      </c>
      <c r="BY301" s="123">
        <v>28</v>
      </c>
      <c r="BZ301" s="123">
        <v>19.938188552856445</v>
      </c>
      <c r="CA301" s="123">
        <v>19</v>
      </c>
      <c r="CB301" s="123">
        <v>29.565776824951172</v>
      </c>
      <c r="CC301" s="126"/>
      <c r="CD301" s="123">
        <v>329.74615478515625</v>
      </c>
      <c r="CE301" s="123">
        <v>31.055343627929688</v>
      </c>
      <c r="CF301" s="123">
        <v>15.803414344787598</v>
      </c>
      <c r="CG301" s="123">
        <v>35.338191986083984</v>
      </c>
      <c r="CH301" s="123">
        <v>272.29898071289063</v>
      </c>
      <c r="CI301" s="123">
        <v>75.596603393554688</v>
      </c>
      <c r="CJ301" s="123">
        <v>32.752117156982422</v>
      </c>
      <c r="CK301" s="123">
        <v>46.175811767578125</v>
      </c>
      <c r="CL301" s="124">
        <v>24.417984008789063</v>
      </c>
      <c r="CM301" s="125">
        <v>175.57672119140625</v>
      </c>
      <c r="CN301" s="123">
        <v>65.906387329101563</v>
      </c>
      <c r="CO301" s="123">
        <v>50.793209075927734</v>
      </c>
      <c r="CP301" s="123">
        <v>53.422470092773438</v>
      </c>
      <c r="CQ301" s="123">
        <v>0</v>
      </c>
      <c r="CR301" s="123">
        <v>49.983497619628906</v>
      </c>
      <c r="CS301" s="123">
        <v>16.902297973632813</v>
      </c>
      <c r="CT301" s="123">
        <v>32.814228057861328</v>
      </c>
      <c r="CU301" s="123">
        <v>48.605369567871094</v>
      </c>
      <c r="CV301" s="124">
        <v>48.681144714355469</v>
      </c>
      <c r="CW301" s="125">
        <v>2</v>
      </c>
      <c r="CX301" s="123">
        <v>297</v>
      </c>
      <c r="CY301" s="123">
        <v>107.4615478515625</v>
      </c>
      <c r="CZ301" s="123">
        <v>50.9520263671875</v>
      </c>
      <c r="DA301" s="123">
        <v>19.207990646362305</v>
      </c>
      <c r="DB301" s="123">
        <v>30.550453186035156</v>
      </c>
      <c r="DC301" s="123">
        <v>69.110824584960938</v>
      </c>
      <c r="DD301" s="123">
        <v>42</v>
      </c>
      <c r="DE301" s="123">
        <v>167</v>
      </c>
      <c r="DF301" s="123">
        <v>97.518089294433594</v>
      </c>
      <c r="DG301" s="123">
        <v>63.026573181152344</v>
      </c>
      <c r="DH301" s="123">
        <v>41.017795562744141</v>
      </c>
      <c r="DI301" s="128">
        <v>36.830509185791016</v>
      </c>
      <c r="DJ301" s="127">
        <v>221</v>
      </c>
      <c r="DK301" s="123">
        <v>119.34500122070313</v>
      </c>
      <c r="DL301" s="123">
        <v>25.333000183105469</v>
      </c>
      <c r="DM301" s="123">
        <v>33.929000854492188</v>
      </c>
      <c r="DN301" s="123">
        <v>51.599998474121094</v>
      </c>
      <c r="DO301" s="124">
        <v>115.09953308105469</v>
      </c>
      <c r="DP301" s="125">
        <v>15.35200023651123</v>
      </c>
      <c r="DQ301" s="123"/>
      <c r="DR301" s="125">
        <v>0</v>
      </c>
      <c r="DS301" s="128">
        <v>29.100000381469727</v>
      </c>
      <c r="DT301" s="127">
        <v>13</v>
      </c>
      <c r="DU301" s="123"/>
      <c r="DV301" s="123">
        <v>0</v>
      </c>
      <c r="DW301" s="123">
        <v>2.2577004432678223</v>
      </c>
      <c r="DX301" s="125">
        <v>10</v>
      </c>
      <c r="DY301" s="128"/>
      <c r="DZ301" s="127">
        <v>44</v>
      </c>
      <c r="EA301" s="123">
        <v>3</v>
      </c>
      <c r="EB301" s="123">
        <v>0</v>
      </c>
      <c r="EC301" s="123">
        <v>1</v>
      </c>
      <c r="ED301" s="123">
        <v>229.60000610351563</v>
      </c>
      <c r="EE301" s="129"/>
      <c r="EF301" s="129"/>
      <c r="EG301" s="129"/>
    </row>
    <row r="302" spans="1:137" x14ac:dyDescent="0.3">
      <c r="A302" s="226">
        <f t="shared" si="15"/>
        <v>46020.206944445119</v>
      </c>
      <c r="B302" s="123">
        <v>234</v>
      </c>
      <c r="C302" s="123">
        <v>50.102001190185547</v>
      </c>
      <c r="D302" s="123">
        <v>98.393997192382813</v>
      </c>
      <c r="E302" s="123">
        <v>21.14900016784668</v>
      </c>
      <c r="F302" s="123">
        <v>0</v>
      </c>
      <c r="G302" s="124">
        <v>16.738000869750977</v>
      </c>
      <c r="H302" s="125">
        <v>308</v>
      </c>
      <c r="I302" s="123">
        <v>272</v>
      </c>
      <c r="J302" s="123">
        <v>60.054000854492188</v>
      </c>
      <c r="K302" s="123">
        <v>61.190383911132813</v>
      </c>
      <c r="L302" s="123">
        <v>49.125999450683594</v>
      </c>
      <c r="M302" s="123">
        <v>11.98799991607666</v>
      </c>
      <c r="N302" s="123">
        <v>17.621000289916992</v>
      </c>
      <c r="O302" s="123">
        <v>17</v>
      </c>
      <c r="P302" s="123">
        <v>0</v>
      </c>
      <c r="Q302" s="123">
        <v>17.790637969970703</v>
      </c>
      <c r="R302" s="123">
        <v>6</v>
      </c>
      <c r="S302" s="123">
        <v>4.7138729095458984</v>
      </c>
      <c r="T302" s="123">
        <v>9</v>
      </c>
      <c r="U302" s="123">
        <v>9</v>
      </c>
      <c r="V302" s="125">
        <v>846</v>
      </c>
      <c r="W302" s="123">
        <v>26.504436492919922</v>
      </c>
      <c r="X302" s="123">
        <v>24.089000701904297</v>
      </c>
      <c r="Y302" s="123">
        <v>6.9970002174377441</v>
      </c>
      <c r="Z302" s="123">
        <v>0</v>
      </c>
      <c r="AA302" s="123">
        <v>17.076999664306641</v>
      </c>
      <c r="AB302" s="123">
        <v>0</v>
      </c>
      <c r="AC302" s="123">
        <v>52.804443359375</v>
      </c>
      <c r="AD302" s="123">
        <v>5.8520002365112305</v>
      </c>
      <c r="AE302" s="123">
        <v>0</v>
      </c>
      <c r="AF302" s="123">
        <v>80.337120056152344</v>
      </c>
      <c r="AG302" s="123">
        <v>0</v>
      </c>
      <c r="AH302" s="123">
        <v>58.967494964599609</v>
      </c>
      <c r="AI302" s="123">
        <v>13.61400032043457</v>
      </c>
      <c r="AJ302" s="123">
        <v>15.110389709472656</v>
      </c>
      <c r="AK302" s="123">
        <v>37.623332977294922</v>
      </c>
      <c r="AL302" s="123">
        <v>39.937000274658203</v>
      </c>
      <c r="AM302" s="126">
        <v>55.091999053955078</v>
      </c>
      <c r="AN302" s="125">
        <v>115.4375</v>
      </c>
      <c r="AO302" s="127">
        <v>59</v>
      </c>
      <c r="AP302" s="123">
        <v>59.514698028564453</v>
      </c>
      <c r="AQ302" s="123">
        <v>35.89776611328125</v>
      </c>
      <c r="AR302" s="123">
        <v>99</v>
      </c>
      <c r="AS302" s="123"/>
      <c r="AT302" s="123">
        <v>92</v>
      </c>
      <c r="AU302" s="123"/>
      <c r="AV302" s="123">
        <v>64</v>
      </c>
      <c r="AW302" s="123"/>
      <c r="AX302" s="123">
        <v>29</v>
      </c>
      <c r="AY302" s="123">
        <v>32.910129547119141</v>
      </c>
      <c r="AZ302" s="123">
        <v>3</v>
      </c>
      <c r="BA302" s="123"/>
      <c r="BB302" s="123">
        <v>174</v>
      </c>
      <c r="BC302" s="123">
        <v>173.04660034179688</v>
      </c>
      <c r="BD302" s="123">
        <v>7.0999999046325684</v>
      </c>
      <c r="BE302" s="123">
        <v>7.2166962623596191</v>
      </c>
      <c r="BF302" s="123">
        <v>30</v>
      </c>
      <c r="BG302" s="123">
        <v>10</v>
      </c>
      <c r="BH302" s="123">
        <v>10.803215980529785</v>
      </c>
      <c r="BI302" s="123"/>
      <c r="BJ302" s="108">
        <f t="shared" si="13"/>
        <v>10</v>
      </c>
      <c r="BK302" s="123">
        <v>10</v>
      </c>
      <c r="BL302" s="123">
        <v>0</v>
      </c>
      <c r="BM302" s="126"/>
      <c r="BN302" s="108">
        <f t="shared" si="14"/>
        <v>120.20000076293945</v>
      </c>
      <c r="BO302" s="108">
        <v>72</v>
      </c>
      <c r="BP302" s="108">
        <v>48.200000762939453</v>
      </c>
      <c r="BQ302" s="108">
        <v>264</v>
      </c>
      <c r="BR302" s="123">
        <v>69.780998229980469</v>
      </c>
      <c r="BS302" s="123">
        <v>25.191999435424805</v>
      </c>
      <c r="BT302" s="123">
        <v>40.523998260498047</v>
      </c>
      <c r="BU302" s="123">
        <v>34.226001739501953</v>
      </c>
      <c r="BV302" s="123">
        <v>70</v>
      </c>
      <c r="BW302" s="123">
        <v>6.5</v>
      </c>
      <c r="BX302" s="123">
        <v>13.899999618530273</v>
      </c>
      <c r="BY302" s="123">
        <v>28</v>
      </c>
      <c r="BZ302" s="123">
        <v>19.938188552856445</v>
      </c>
      <c r="CA302" s="123">
        <v>18</v>
      </c>
      <c r="CB302" s="123">
        <v>29.945898056030273</v>
      </c>
      <c r="CC302" s="126"/>
      <c r="CD302" s="123">
        <v>341.4122314453125</v>
      </c>
      <c r="CE302" s="123">
        <v>29.369058609008789</v>
      </c>
      <c r="CF302" s="123">
        <v>16.325511932373047</v>
      </c>
      <c r="CG302" s="123">
        <v>35.338191986083984</v>
      </c>
      <c r="CH302" s="123">
        <v>272.91909790039063</v>
      </c>
      <c r="CI302" s="123">
        <v>73.772285461425781</v>
      </c>
      <c r="CJ302" s="123">
        <v>32.124462127685547</v>
      </c>
      <c r="CK302" s="123">
        <v>45.167827606201172</v>
      </c>
      <c r="CL302" s="124">
        <v>25.238115310668945</v>
      </c>
      <c r="CM302" s="125">
        <v>177.55899047851563</v>
      </c>
      <c r="CN302" s="123">
        <v>64.526962280273438</v>
      </c>
      <c r="CO302" s="123">
        <v>50.350368499755859</v>
      </c>
      <c r="CP302" s="123">
        <v>53.821014404296875</v>
      </c>
      <c r="CQ302" s="123">
        <v>0</v>
      </c>
      <c r="CR302" s="123">
        <v>50.808860778808594</v>
      </c>
      <c r="CS302" s="123">
        <v>15.890790939331055</v>
      </c>
      <c r="CT302" s="123">
        <v>33.714351654052734</v>
      </c>
      <c r="CU302" s="123">
        <v>47.409488677978516</v>
      </c>
      <c r="CV302" s="124">
        <v>47.273811340332031</v>
      </c>
      <c r="CW302" s="125">
        <v>6</v>
      </c>
      <c r="CX302" s="123">
        <v>303</v>
      </c>
      <c r="CY302" s="123">
        <v>105.59950256347656</v>
      </c>
      <c r="CZ302" s="123">
        <v>51.809707641601563</v>
      </c>
      <c r="DA302" s="123">
        <v>19.207990646362305</v>
      </c>
      <c r="DB302" s="123">
        <v>34.588871002197266</v>
      </c>
      <c r="DC302" s="123">
        <v>71.476730346679688</v>
      </c>
      <c r="DD302" s="123">
        <v>37</v>
      </c>
      <c r="DE302" s="123">
        <v>167</v>
      </c>
      <c r="DF302" s="123">
        <v>97.148910522460938</v>
      </c>
      <c r="DG302" s="123">
        <v>61.794391632080078</v>
      </c>
      <c r="DH302" s="123">
        <v>40.472373962402344</v>
      </c>
      <c r="DI302" s="128">
        <v>35.824192047119141</v>
      </c>
      <c r="DJ302" s="127">
        <v>219</v>
      </c>
      <c r="DK302" s="123">
        <v>116.54599761962891</v>
      </c>
      <c r="DL302" s="123">
        <v>28.048000335693359</v>
      </c>
      <c r="DM302" s="123">
        <v>31.454999923706055</v>
      </c>
      <c r="DN302" s="123">
        <v>51.247001647949219</v>
      </c>
      <c r="DO302" s="124">
        <v>113.96016693115234</v>
      </c>
      <c r="DP302" s="125">
        <v>14.928000450134277</v>
      </c>
      <c r="DQ302" s="123"/>
      <c r="DR302" s="125">
        <v>0</v>
      </c>
      <c r="DS302" s="128">
        <v>28.899999618530273</v>
      </c>
      <c r="DT302" s="127">
        <v>12</v>
      </c>
      <c r="DU302" s="123"/>
      <c r="DV302" s="123">
        <v>13</v>
      </c>
      <c r="DW302" s="123">
        <v>2.1585330963134766</v>
      </c>
      <c r="DX302" s="125">
        <v>11</v>
      </c>
      <c r="DY302" s="128"/>
      <c r="DZ302" s="127">
        <v>45</v>
      </c>
      <c r="EA302" s="123">
        <v>3</v>
      </c>
      <c r="EB302" s="123">
        <v>0</v>
      </c>
      <c r="EC302" s="123">
        <v>1</v>
      </c>
      <c r="ED302" s="123">
        <v>224.69999694824219</v>
      </c>
      <c r="EE302" s="129"/>
      <c r="EF302" s="129"/>
      <c r="EG302" s="129"/>
    </row>
    <row r="303" spans="1:137" x14ac:dyDescent="0.3">
      <c r="A303" s="226">
        <f t="shared" si="15"/>
        <v>46020.207638889566</v>
      </c>
      <c r="B303" s="123">
        <v>224</v>
      </c>
      <c r="C303" s="123">
        <v>51.233001708984375</v>
      </c>
      <c r="D303" s="123">
        <v>96.810997009277344</v>
      </c>
      <c r="E303" s="123">
        <v>19.677999496459961</v>
      </c>
      <c r="F303" s="123">
        <v>0</v>
      </c>
      <c r="G303" s="124">
        <v>16.39900016784668</v>
      </c>
      <c r="H303" s="125">
        <v>310</v>
      </c>
      <c r="I303" s="123">
        <v>274</v>
      </c>
      <c r="J303" s="123">
        <v>56.208999633789063</v>
      </c>
      <c r="K303" s="123">
        <v>60.656688690185547</v>
      </c>
      <c r="L303" s="123">
        <v>46.298999786376953</v>
      </c>
      <c r="M303" s="123">
        <v>11.421999931335449</v>
      </c>
      <c r="N303" s="123">
        <v>17.558000564575195</v>
      </c>
      <c r="O303" s="123">
        <v>19</v>
      </c>
      <c r="P303" s="123">
        <v>0</v>
      </c>
      <c r="Q303" s="123">
        <v>19.912843704223633</v>
      </c>
      <c r="R303" s="123">
        <v>6</v>
      </c>
      <c r="S303" s="123">
        <v>5.8014163970947266</v>
      </c>
      <c r="T303" s="123">
        <v>9</v>
      </c>
      <c r="U303" s="123">
        <v>9</v>
      </c>
      <c r="V303" s="125">
        <v>849</v>
      </c>
      <c r="W303" s="123">
        <v>26.745635986328125</v>
      </c>
      <c r="X303" s="123">
        <v>24.201999664306641</v>
      </c>
      <c r="Y303" s="123">
        <v>6.5520000457763672</v>
      </c>
      <c r="Z303" s="123">
        <v>0</v>
      </c>
      <c r="AA303" s="123">
        <v>17.868999481201172</v>
      </c>
      <c r="AB303" s="123">
        <v>0</v>
      </c>
      <c r="AC303" s="123">
        <v>53.658370971679688</v>
      </c>
      <c r="AD303" s="123">
        <v>6.1069998741149902</v>
      </c>
      <c r="AE303" s="123">
        <v>0</v>
      </c>
      <c r="AF303" s="123">
        <v>79.651313781738281</v>
      </c>
      <c r="AG303" s="123">
        <v>0</v>
      </c>
      <c r="AH303" s="123">
        <v>59.191009521484375</v>
      </c>
      <c r="AI303" s="123">
        <v>14.567999839782715</v>
      </c>
      <c r="AJ303" s="123">
        <v>15.110389709472656</v>
      </c>
      <c r="AK303" s="123">
        <v>37.180393218994141</v>
      </c>
      <c r="AL303" s="123">
        <v>40.290000915527344</v>
      </c>
      <c r="AM303" s="126">
        <v>54.646999359130859</v>
      </c>
      <c r="AN303" s="125">
        <v>113.875</v>
      </c>
      <c r="AO303" s="127">
        <v>59</v>
      </c>
      <c r="AP303" s="123">
        <v>59.647422790527344</v>
      </c>
      <c r="AQ303" s="123">
        <v>35.542533874511719</v>
      </c>
      <c r="AR303" s="123">
        <v>98</v>
      </c>
      <c r="AS303" s="123"/>
      <c r="AT303" s="123">
        <v>96</v>
      </c>
      <c r="AU303" s="123"/>
      <c r="AV303" s="123">
        <v>53</v>
      </c>
      <c r="AW303" s="123"/>
      <c r="AX303" s="123">
        <v>29</v>
      </c>
      <c r="AY303" s="123">
        <v>32.156871795654297</v>
      </c>
      <c r="AZ303" s="123">
        <v>6</v>
      </c>
      <c r="BA303" s="123"/>
      <c r="BB303" s="123">
        <v>176</v>
      </c>
      <c r="BC303" s="123">
        <v>176.568359375</v>
      </c>
      <c r="BD303" s="123">
        <v>7.0999999046325684</v>
      </c>
      <c r="BE303" s="123">
        <v>7.1067428588867188</v>
      </c>
      <c r="BF303" s="123">
        <v>30</v>
      </c>
      <c r="BG303" s="123">
        <v>10</v>
      </c>
      <c r="BH303" s="123">
        <v>10.876673698425293</v>
      </c>
      <c r="BI303" s="123"/>
      <c r="BJ303" s="108">
        <f t="shared" si="13"/>
        <v>10</v>
      </c>
      <c r="BK303" s="123">
        <v>10</v>
      </c>
      <c r="BL303" s="123">
        <v>0</v>
      </c>
      <c r="BM303" s="126"/>
      <c r="BN303" s="108">
        <f t="shared" si="14"/>
        <v>121.20000076293945</v>
      </c>
      <c r="BO303" s="108">
        <v>73</v>
      </c>
      <c r="BP303" s="108">
        <v>48.200000762939453</v>
      </c>
      <c r="BQ303" s="108">
        <v>269</v>
      </c>
      <c r="BR303" s="123">
        <v>65.483001708984375</v>
      </c>
      <c r="BS303" s="123">
        <v>24.429000854492188</v>
      </c>
      <c r="BT303" s="123">
        <v>40.869998931884766</v>
      </c>
      <c r="BU303" s="123">
        <v>33.907001495361328</v>
      </c>
      <c r="BV303" s="123">
        <v>68.699996948242188</v>
      </c>
      <c r="BW303" s="123">
        <v>6.3000001907348633</v>
      </c>
      <c r="BX303" s="123">
        <v>13.699999809265137</v>
      </c>
      <c r="BY303" s="123">
        <v>29</v>
      </c>
      <c r="BZ303" s="123">
        <v>19.915643692016602</v>
      </c>
      <c r="CA303" s="123">
        <v>19</v>
      </c>
      <c r="CB303" s="123">
        <v>29.551637649536133</v>
      </c>
      <c r="CC303" s="126"/>
      <c r="CD303" s="123">
        <v>332.35214233398438</v>
      </c>
      <c r="CE303" s="123">
        <v>28.879112243652344</v>
      </c>
      <c r="CF303" s="123">
        <v>17.535682678222656</v>
      </c>
      <c r="CG303" s="123">
        <v>35.338191986083984</v>
      </c>
      <c r="CH303" s="123">
        <v>273.18447875976563</v>
      </c>
      <c r="CI303" s="123">
        <v>72.518470764160156</v>
      </c>
      <c r="CJ303" s="123">
        <v>32.297359466552734</v>
      </c>
      <c r="CK303" s="123">
        <v>46.034549713134766</v>
      </c>
      <c r="CL303" s="124">
        <v>24.927204132080078</v>
      </c>
      <c r="CM303" s="125">
        <v>175.95700073242188</v>
      </c>
      <c r="CN303" s="123">
        <v>63.972202301025391</v>
      </c>
      <c r="CO303" s="123">
        <v>52.651294708251953</v>
      </c>
      <c r="CP303" s="123">
        <v>51.506080627441406</v>
      </c>
      <c r="CQ303" s="123">
        <v>0</v>
      </c>
      <c r="CR303" s="123">
        <v>49.953037261962891</v>
      </c>
      <c r="CS303" s="123">
        <v>15.793262481689453</v>
      </c>
      <c r="CT303" s="123">
        <v>32.520847320556641</v>
      </c>
      <c r="CU303" s="123">
        <v>43.677154541015625</v>
      </c>
      <c r="CV303" s="124">
        <v>48.292560577392578</v>
      </c>
      <c r="CW303" s="125">
        <v>1</v>
      </c>
      <c r="CX303" s="123">
        <v>295</v>
      </c>
      <c r="CY303" s="123">
        <v>105.09552764892578</v>
      </c>
      <c r="CZ303" s="123">
        <v>49.153072357177734</v>
      </c>
      <c r="DA303" s="123">
        <v>19.536296844482422</v>
      </c>
      <c r="DB303" s="123">
        <v>30.443357467651367</v>
      </c>
      <c r="DC303" s="123">
        <v>72.202423095703125</v>
      </c>
      <c r="DD303" s="123">
        <v>37</v>
      </c>
      <c r="DE303" s="123">
        <v>168</v>
      </c>
      <c r="DF303" s="123">
        <v>99.273361206054688</v>
      </c>
      <c r="DG303" s="123">
        <v>61.163127899169922</v>
      </c>
      <c r="DH303" s="123">
        <v>41.094951629638672</v>
      </c>
      <c r="DI303" s="128">
        <v>36.305427551269531</v>
      </c>
      <c r="DJ303" s="127">
        <v>214</v>
      </c>
      <c r="DK303" s="123">
        <v>107.13099670410156</v>
      </c>
      <c r="DL303" s="123">
        <v>24.993999481201172</v>
      </c>
      <c r="DM303" s="123">
        <v>26.860000610351563</v>
      </c>
      <c r="DN303" s="123">
        <v>51.777000427246094</v>
      </c>
      <c r="DO303" s="124">
        <v>116.14067077636719</v>
      </c>
      <c r="DP303" s="125">
        <v>15.012999534606934</v>
      </c>
      <c r="DQ303" s="123"/>
      <c r="DR303" s="125">
        <v>0</v>
      </c>
      <c r="DS303" s="128">
        <v>27.700000762939453</v>
      </c>
      <c r="DT303" s="127">
        <v>12</v>
      </c>
      <c r="DU303" s="123"/>
      <c r="DV303" s="123">
        <v>10</v>
      </c>
      <c r="DW303" s="123">
        <v>2.1585330963134766</v>
      </c>
      <c r="DX303" s="125">
        <v>12</v>
      </c>
      <c r="DY303" s="128"/>
      <c r="DZ303" s="127">
        <v>45</v>
      </c>
      <c r="EA303" s="123">
        <v>3</v>
      </c>
      <c r="EB303" s="123">
        <v>0</v>
      </c>
      <c r="EC303" s="123">
        <v>2</v>
      </c>
      <c r="ED303" s="123">
        <v>229</v>
      </c>
      <c r="EE303" s="129"/>
      <c r="EF303" s="129"/>
      <c r="EG303" s="129"/>
    </row>
    <row r="304" spans="1:137" x14ac:dyDescent="0.3">
      <c r="A304" s="226">
        <f t="shared" si="15"/>
        <v>46020.208333334012</v>
      </c>
      <c r="B304" s="123">
        <v>225</v>
      </c>
      <c r="C304" s="123">
        <v>47.952999114990234</v>
      </c>
      <c r="D304" s="123">
        <v>97.71600341796875</v>
      </c>
      <c r="E304" s="123">
        <v>20.357000350952148</v>
      </c>
      <c r="F304" s="123">
        <v>3.94541335105896</v>
      </c>
      <c r="G304" s="124">
        <v>16.39900016784668</v>
      </c>
      <c r="H304" s="125">
        <v>320</v>
      </c>
      <c r="I304" s="123">
        <v>283</v>
      </c>
      <c r="J304" s="123">
        <v>59.375999450683594</v>
      </c>
      <c r="K304" s="123">
        <v>61.447818756103516</v>
      </c>
      <c r="L304" s="123">
        <v>47.181999206542969</v>
      </c>
      <c r="M304" s="123">
        <v>12.21399974822998</v>
      </c>
      <c r="N304" s="123">
        <v>16.857999801635742</v>
      </c>
      <c r="O304" s="123">
        <v>20</v>
      </c>
      <c r="P304" s="123">
        <v>0</v>
      </c>
      <c r="Q304" s="123">
        <v>20.506406784057617</v>
      </c>
      <c r="R304" s="123">
        <v>7.0031251907348633</v>
      </c>
      <c r="S304" s="123">
        <v>6.7530860900878906</v>
      </c>
      <c r="T304" s="123">
        <v>1</v>
      </c>
      <c r="U304" s="123">
        <v>1</v>
      </c>
      <c r="V304" s="125">
        <v>855</v>
      </c>
      <c r="W304" s="123">
        <v>26.792900085449219</v>
      </c>
      <c r="X304" s="123">
        <v>23.863000869750977</v>
      </c>
      <c r="Y304" s="123">
        <v>5.9159998893737793</v>
      </c>
      <c r="Z304" s="123">
        <v>0</v>
      </c>
      <c r="AA304" s="123">
        <v>18.77400016784668</v>
      </c>
      <c r="AB304" s="123">
        <v>0</v>
      </c>
      <c r="AC304" s="123">
        <v>52.441337585449219</v>
      </c>
      <c r="AD304" s="123">
        <v>6.1069998741149902</v>
      </c>
      <c r="AE304" s="123">
        <v>0</v>
      </c>
      <c r="AF304" s="123">
        <v>79.929550170898438</v>
      </c>
      <c r="AG304" s="123">
        <v>0</v>
      </c>
      <c r="AH304" s="123">
        <v>63.079975128173828</v>
      </c>
      <c r="AI304" s="123">
        <v>13.61400032043457</v>
      </c>
      <c r="AJ304" s="123">
        <v>16.942770004272461</v>
      </c>
      <c r="AK304" s="123">
        <v>35.610195159912109</v>
      </c>
      <c r="AL304" s="123">
        <v>35.873001098632813</v>
      </c>
      <c r="AM304" s="126">
        <v>54.838001251220703</v>
      </c>
      <c r="AN304" s="125">
        <v>114.375</v>
      </c>
      <c r="AO304" s="127">
        <v>58</v>
      </c>
      <c r="AP304" s="123">
        <v>60.118453979492188</v>
      </c>
      <c r="AQ304" s="123">
        <v>34.954673767089844</v>
      </c>
      <c r="AR304" s="123">
        <v>97</v>
      </c>
      <c r="AS304" s="123"/>
      <c r="AT304" s="123">
        <v>96</v>
      </c>
      <c r="AU304" s="123"/>
      <c r="AV304" s="123">
        <v>55</v>
      </c>
      <c r="AW304" s="123"/>
      <c r="AX304" s="123">
        <v>29</v>
      </c>
      <c r="AY304" s="123">
        <v>32.540969848632813</v>
      </c>
      <c r="AZ304" s="123">
        <v>6</v>
      </c>
      <c r="BA304" s="123"/>
      <c r="BB304" s="123">
        <v>176</v>
      </c>
      <c r="BC304" s="123">
        <v>179.24481201171875</v>
      </c>
      <c r="BD304" s="123">
        <v>6.5999999046325684</v>
      </c>
      <c r="BE304" s="123">
        <v>6.588902473449707</v>
      </c>
      <c r="BF304" s="123">
        <v>29</v>
      </c>
      <c r="BG304" s="123">
        <v>10</v>
      </c>
      <c r="BH304" s="123">
        <v>10.833191871643066</v>
      </c>
      <c r="BI304" s="123"/>
      <c r="BJ304" s="108">
        <f t="shared" si="13"/>
        <v>10</v>
      </c>
      <c r="BK304" s="123">
        <v>10</v>
      </c>
      <c r="BL304" s="123">
        <v>0</v>
      </c>
      <c r="BM304" s="126"/>
      <c r="BN304" s="108">
        <f t="shared" si="14"/>
        <v>120</v>
      </c>
      <c r="BO304" s="108">
        <v>71</v>
      </c>
      <c r="BP304" s="108">
        <v>49</v>
      </c>
      <c r="BQ304" s="108">
        <v>266</v>
      </c>
      <c r="BR304" s="123">
        <v>73.287002563476563</v>
      </c>
      <c r="BS304" s="123">
        <v>24.683000564575195</v>
      </c>
      <c r="BT304" s="123">
        <v>41.909000396728516</v>
      </c>
      <c r="BU304" s="123">
        <v>34.988998413085938</v>
      </c>
      <c r="BV304" s="123">
        <v>69.400001525878906</v>
      </c>
      <c r="BW304" s="123">
        <v>6.1999998092651367</v>
      </c>
      <c r="BX304" s="123">
        <v>13.699999809265137</v>
      </c>
      <c r="BY304" s="123">
        <v>28</v>
      </c>
      <c r="BZ304" s="123">
        <v>19.936479568481445</v>
      </c>
      <c r="CA304" s="123">
        <v>19</v>
      </c>
      <c r="CB304" s="123">
        <v>29.297277450561523</v>
      </c>
      <c r="CC304" s="126"/>
      <c r="CD304" s="123">
        <v>330.17428588867188</v>
      </c>
      <c r="CE304" s="123">
        <v>28.381589889526367</v>
      </c>
      <c r="CF304" s="123">
        <v>16.89576530456543</v>
      </c>
      <c r="CG304" s="123">
        <v>35.338191986083984</v>
      </c>
      <c r="CH304" s="123">
        <v>274.5457763671875</v>
      </c>
      <c r="CI304" s="123">
        <v>73.605255126953125</v>
      </c>
      <c r="CJ304" s="123">
        <v>32.71820068359375</v>
      </c>
      <c r="CK304" s="123">
        <v>44.756736755371094</v>
      </c>
      <c r="CL304" s="124">
        <v>24.011348724365234</v>
      </c>
      <c r="CM304" s="125">
        <v>177.29954528808594</v>
      </c>
      <c r="CN304" s="123">
        <v>64.394050598144531</v>
      </c>
      <c r="CO304" s="123">
        <v>52.469638824462891</v>
      </c>
      <c r="CP304" s="123">
        <v>51.128192901611328</v>
      </c>
      <c r="CQ304" s="123">
        <v>0</v>
      </c>
      <c r="CR304" s="123">
        <v>52.052768707275391</v>
      </c>
      <c r="CS304" s="123">
        <v>16.066986083984375</v>
      </c>
      <c r="CT304" s="123">
        <v>31.434621810913086</v>
      </c>
      <c r="CU304" s="123">
        <v>44.164333343505859</v>
      </c>
      <c r="CV304" s="124">
        <v>46.828407287597656</v>
      </c>
      <c r="CW304" s="125">
        <v>8</v>
      </c>
      <c r="CX304" s="123">
        <v>293</v>
      </c>
      <c r="CY304" s="123">
        <v>107.02446746826172</v>
      </c>
      <c r="CZ304" s="123">
        <v>50.537502288818359</v>
      </c>
      <c r="DA304" s="123">
        <v>19.928426742553711</v>
      </c>
      <c r="DB304" s="123">
        <v>28.267301559448242</v>
      </c>
      <c r="DC304" s="123">
        <v>72.28631591796875</v>
      </c>
      <c r="DD304" s="123">
        <v>44</v>
      </c>
      <c r="DE304" s="123">
        <v>169</v>
      </c>
      <c r="DF304" s="123">
        <v>96.712776184082031</v>
      </c>
      <c r="DG304" s="123">
        <v>62.116413116455078</v>
      </c>
      <c r="DH304" s="123">
        <v>40.682640075683594</v>
      </c>
      <c r="DI304" s="128">
        <v>38.755157470703125</v>
      </c>
      <c r="DJ304" s="127">
        <v>212</v>
      </c>
      <c r="DK304" s="123">
        <v>107.13099670410156</v>
      </c>
      <c r="DL304" s="123">
        <v>24.993999481201172</v>
      </c>
      <c r="DM304" s="123">
        <v>26.860000610351563</v>
      </c>
      <c r="DN304" s="123">
        <v>51.777000427246094</v>
      </c>
      <c r="DO304" s="124">
        <v>113.26796722412109</v>
      </c>
      <c r="DP304" s="125">
        <v>15.041000366210938</v>
      </c>
      <c r="DQ304" s="123"/>
      <c r="DR304" s="125">
        <v>0</v>
      </c>
      <c r="DS304" s="128">
        <v>26.799999237060547</v>
      </c>
      <c r="DT304" s="127">
        <v>12</v>
      </c>
      <c r="DU304" s="123"/>
      <c r="DV304" s="123">
        <v>8</v>
      </c>
      <c r="DW304" s="123">
        <v>2.2413690090179443</v>
      </c>
      <c r="DX304" s="125">
        <v>10</v>
      </c>
      <c r="DY304" s="128"/>
      <c r="DZ304" s="127">
        <v>44</v>
      </c>
      <c r="EA304" s="123">
        <v>3</v>
      </c>
      <c r="EB304" s="123">
        <v>0</v>
      </c>
      <c r="EC304" s="123">
        <v>1</v>
      </c>
      <c r="ED304" s="123">
        <v>230.10000610351563</v>
      </c>
      <c r="EE304" s="129"/>
      <c r="EF304" s="129"/>
      <c r="EG304" s="129"/>
    </row>
    <row r="305" spans="1:137" x14ac:dyDescent="0.3">
      <c r="A305" s="226">
        <f t="shared" si="15"/>
        <v>46020.209027778459</v>
      </c>
      <c r="B305" s="123">
        <v>231</v>
      </c>
      <c r="C305" s="123">
        <v>45.916999816894531</v>
      </c>
      <c r="D305" s="123">
        <v>98.507003784179688</v>
      </c>
      <c r="E305" s="123">
        <v>19.565000534057617</v>
      </c>
      <c r="F305" s="123">
        <v>14.728386878967285</v>
      </c>
      <c r="G305" s="124">
        <v>16.625</v>
      </c>
      <c r="H305" s="125">
        <v>320</v>
      </c>
      <c r="I305" s="123">
        <v>288</v>
      </c>
      <c r="J305" s="123">
        <v>57.566001892089844</v>
      </c>
      <c r="K305" s="123">
        <v>61.607078552246094</v>
      </c>
      <c r="L305" s="123">
        <v>48.066001892089844</v>
      </c>
      <c r="M305" s="123">
        <v>11.534999847412109</v>
      </c>
      <c r="N305" s="123">
        <v>17.113000869750977</v>
      </c>
      <c r="O305" s="123">
        <v>17</v>
      </c>
      <c r="P305" s="123">
        <v>0</v>
      </c>
      <c r="Q305" s="123">
        <v>17.642488479614258</v>
      </c>
      <c r="R305" s="123">
        <v>6</v>
      </c>
      <c r="S305" s="123">
        <v>7.1584153175354004</v>
      </c>
      <c r="T305" s="123">
        <v>0</v>
      </c>
      <c r="U305" s="123">
        <v>0</v>
      </c>
      <c r="V305" s="125">
        <v>857</v>
      </c>
      <c r="W305" s="123">
        <v>24.887607574462891</v>
      </c>
      <c r="X305" s="123">
        <v>24.429000854492188</v>
      </c>
      <c r="Y305" s="123">
        <v>6.1069998741149902</v>
      </c>
      <c r="Z305" s="123">
        <v>0</v>
      </c>
      <c r="AA305" s="123">
        <v>18.434000015258789</v>
      </c>
      <c r="AB305" s="123">
        <v>0</v>
      </c>
      <c r="AC305" s="123">
        <v>52.074371337890625</v>
      </c>
      <c r="AD305" s="123">
        <v>5.8520002365112305</v>
      </c>
      <c r="AE305" s="123">
        <v>0</v>
      </c>
      <c r="AF305" s="123">
        <v>80.2215576171875</v>
      </c>
      <c r="AG305" s="123">
        <v>0</v>
      </c>
      <c r="AH305" s="123">
        <v>63.1190185546875</v>
      </c>
      <c r="AI305" s="123">
        <v>13.168000221252441</v>
      </c>
      <c r="AJ305" s="123">
        <v>16.724098205566406</v>
      </c>
      <c r="AK305" s="123">
        <v>35.862754821777344</v>
      </c>
      <c r="AL305" s="123">
        <v>36.932998657226563</v>
      </c>
      <c r="AM305" s="126">
        <v>55.409999847412109</v>
      </c>
      <c r="AN305" s="125">
        <v>112.1875</v>
      </c>
      <c r="AO305" s="127">
        <v>58</v>
      </c>
      <c r="AP305" s="123">
        <v>61.102546691894531</v>
      </c>
      <c r="AQ305" s="123">
        <v>36.753952026367188</v>
      </c>
      <c r="AR305" s="123">
        <v>96</v>
      </c>
      <c r="AS305" s="123"/>
      <c r="AT305" s="123">
        <v>96</v>
      </c>
      <c r="AU305" s="123"/>
      <c r="AV305" s="123">
        <v>54</v>
      </c>
      <c r="AW305" s="123"/>
      <c r="AX305" s="123">
        <v>29</v>
      </c>
      <c r="AY305" s="123">
        <v>32.549522399902344</v>
      </c>
      <c r="AZ305" s="123">
        <v>5</v>
      </c>
      <c r="BA305" s="123"/>
      <c r="BB305" s="123">
        <v>177</v>
      </c>
      <c r="BC305" s="123">
        <v>176.87467956542969</v>
      </c>
      <c r="BD305" s="123">
        <v>6.5999999046325684</v>
      </c>
      <c r="BE305" s="123">
        <v>6.588902473449707</v>
      </c>
      <c r="BF305" s="123">
        <v>29</v>
      </c>
      <c r="BG305" s="123">
        <v>10</v>
      </c>
      <c r="BH305" s="123">
        <v>10.858383178710938</v>
      </c>
      <c r="BI305" s="123"/>
      <c r="BJ305" s="108">
        <f t="shared" si="13"/>
        <v>11</v>
      </c>
      <c r="BK305" s="123">
        <v>11</v>
      </c>
      <c r="BL305" s="123">
        <v>0</v>
      </c>
      <c r="BM305" s="126"/>
      <c r="BN305" s="108">
        <f t="shared" si="14"/>
        <v>121</v>
      </c>
      <c r="BO305" s="108">
        <v>72</v>
      </c>
      <c r="BP305" s="108">
        <v>49</v>
      </c>
      <c r="BQ305" s="108">
        <v>259</v>
      </c>
      <c r="BR305" s="123">
        <v>67.291999816894531</v>
      </c>
      <c r="BS305" s="123">
        <v>23.665000915527344</v>
      </c>
      <c r="BT305" s="123">
        <v>40.869998931884766</v>
      </c>
      <c r="BU305" s="123">
        <v>33.716999053955078</v>
      </c>
      <c r="BV305" s="123">
        <v>69.400001525878906</v>
      </c>
      <c r="BW305" s="123">
        <v>6.0999999046325684</v>
      </c>
      <c r="BX305" s="123">
        <v>13.699999809265137</v>
      </c>
      <c r="BY305" s="123">
        <v>28</v>
      </c>
      <c r="BZ305" s="123">
        <v>19.902055740356445</v>
      </c>
      <c r="CA305" s="123">
        <v>19</v>
      </c>
      <c r="CB305" s="123">
        <v>29.247486114501953</v>
      </c>
      <c r="CC305" s="126"/>
      <c r="CD305" s="123">
        <v>332.81591796875</v>
      </c>
      <c r="CE305" s="123">
        <v>29.560276031494141</v>
      </c>
      <c r="CF305" s="123">
        <v>15.731734275817871</v>
      </c>
      <c r="CG305" s="123">
        <v>35.338191986083984</v>
      </c>
      <c r="CH305" s="123">
        <v>274.47296142578125</v>
      </c>
      <c r="CI305" s="123">
        <v>76.610877990722656</v>
      </c>
      <c r="CJ305" s="123">
        <v>33.261249542236328</v>
      </c>
      <c r="CK305" s="123">
        <v>47.987350463867188</v>
      </c>
      <c r="CL305" s="124">
        <v>24.224887847900391</v>
      </c>
      <c r="CM305" s="125">
        <v>177.04476928710938</v>
      </c>
      <c r="CN305" s="123">
        <v>67.963455200195313</v>
      </c>
      <c r="CO305" s="123">
        <v>51.424686431884766</v>
      </c>
      <c r="CP305" s="123">
        <v>53.693744659423828</v>
      </c>
      <c r="CQ305" s="123">
        <v>0</v>
      </c>
      <c r="CR305" s="123">
        <v>49.342487335205078</v>
      </c>
      <c r="CS305" s="123">
        <v>16.430501937866211</v>
      </c>
      <c r="CT305" s="123">
        <v>31.145818710327148</v>
      </c>
      <c r="CU305" s="123">
        <v>39.712322235107422</v>
      </c>
      <c r="CV305" s="124">
        <v>47.086612701416016</v>
      </c>
      <c r="CW305" s="125">
        <v>0</v>
      </c>
      <c r="CX305" s="123">
        <v>293</v>
      </c>
      <c r="CY305" s="123">
        <v>108.48101806640625</v>
      </c>
      <c r="CZ305" s="123">
        <v>47.885185241699219</v>
      </c>
      <c r="DA305" s="123">
        <v>18.947299957275391</v>
      </c>
      <c r="DB305" s="123">
        <v>29.610502243041992</v>
      </c>
      <c r="DC305" s="123">
        <v>70.716888427734375</v>
      </c>
      <c r="DD305" s="123">
        <v>44</v>
      </c>
      <c r="DE305" s="123">
        <v>171</v>
      </c>
      <c r="DF305" s="123">
        <v>98.828826904296875</v>
      </c>
      <c r="DG305" s="123">
        <v>61.472011566162109</v>
      </c>
      <c r="DH305" s="123">
        <v>42.219875335693359</v>
      </c>
      <c r="DI305" s="128">
        <v>39.712749481201172</v>
      </c>
      <c r="DJ305" s="127">
        <v>214</v>
      </c>
      <c r="DK305" s="123">
        <v>107.13099670410156</v>
      </c>
      <c r="DL305" s="123">
        <v>24.993999481201172</v>
      </c>
      <c r="DM305" s="123">
        <v>26.860000610351563</v>
      </c>
      <c r="DN305" s="123">
        <v>51.777000427246094</v>
      </c>
      <c r="DO305" s="124">
        <v>118.19940948486328</v>
      </c>
      <c r="DP305" s="125">
        <v>15.295999526977539</v>
      </c>
      <c r="DQ305" s="123"/>
      <c r="DR305" s="125">
        <v>0</v>
      </c>
      <c r="DS305" s="128">
        <v>27.700000762939453</v>
      </c>
      <c r="DT305" s="127">
        <v>13</v>
      </c>
      <c r="DU305" s="123"/>
      <c r="DV305" s="123">
        <v>0</v>
      </c>
      <c r="DW305" s="123">
        <v>2.2520358562469482</v>
      </c>
      <c r="DX305" s="125">
        <v>10</v>
      </c>
      <c r="DY305" s="128"/>
      <c r="DZ305" s="127">
        <v>42</v>
      </c>
      <c r="EA305" s="123">
        <v>3</v>
      </c>
      <c r="EB305" s="123">
        <v>0</v>
      </c>
      <c r="EC305" s="123">
        <v>1</v>
      </c>
      <c r="ED305" s="123">
        <v>230.60000610351563</v>
      </c>
      <c r="EE305" s="129"/>
      <c r="EF305" s="129"/>
      <c r="EG305" s="129"/>
    </row>
    <row r="306" spans="1:137" x14ac:dyDescent="0.3">
      <c r="A306" s="226">
        <f t="shared" si="15"/>
        <v>46020.209722222906</v>
      </c>
      <c r="B306" s="123">
        <v>234</v>
      </c>
      <c r="C306" s="123">
        <v>50.893001556396484</v>
      </c>
      <c r="D306" s="123">
        <v>99.977996826171875</v>
      </c>
      <c r="E306" s="123">
        <v>17.756000518798828</v>
      </c>
      <c r="F306" s="123">
        <v>5.4904689788818359</v>
      </c>
      <c r="G306" s="124">
        <v>17.868999481201172</v>
      </c>
      <c r="H306" s="125">
        <v>320</v>
      </c>
      <c r="I306" s="123">
        <v>280</v>
      </c>
      <c r="J306" s="123">
        <v>56.773998260498047</v>
      </c>
      <c r="K306" s="123">
        <v>61.152259826660156</v>
      </c>
      <c r="L306" s="123">
        <v>49.303001403808594</v>
      </c>
      <c r="M306" s="123">
        <v>11.196000099182129</v>
      </c>
      <c r="N306" s="123">
        <v>17.430999755859375</v>
      </c>
      <c r="O306" s="123">
        <v>16</v>
      </c>
      <c r="P306" s="123">
        <v>0</v>
      </c>
      <c r="Q306" s="123">
        <v>16.909198760986328</v>
      </c>
      <c r="R306" s="123">
        <v>9</v>
      </c>
      <c r="S306" s="123">
        <v>7.0439252853393555</v>
      </c>
      <c r="T306" s="123">
        <v>0</v>
      </c>
      <c r="U306" s="123">
        <v>0</v>
      </c>
      <c r="V306" s="125">
        <v>858</v>
      </c>
      <c r="W306" s="123">
        <v>24.609298706054688</v>
      </c>
      <c r="X306" s="123">
        <v>24.201999664306641</v>
      </c>
      <c r="Y306" s="123">
        <v>7.125</v>
      </c>
      <c r="Z306" s="123">
        <v>0</v>
      </c>
      <c r="AA306" s="123">
        <v>17.302999496459961</v>
      </c>
      <c r="AB306" s="123">
        <v>0</v>
      </c>
      <c r="AC306" s="123">
        <v>52.923030853271484</v>
      </c>
      <c r="AD306" s="123">
        <v>5.8520002365112305</v>
      </c>
      <c r="AE306" s="123">
        <v>0</v>
      </c>
      <c r="AF306" s="123">
        <v>81.391670227050781</v>
      </c>
      <c r="AG306" s="123">
        <v>0</v>
      </c>
      <c r="AH306" s="123">
        <v>60.5787353515625</v>
      </c>
      <c r="AI306" s="123">
        <v>16.349000930786133</v>
      </c>
      <c r="AJ306" s="123">
        <v>16.836454391479492</v>
      </c>
      <c r="AK306" s="123">
        <v>35.738700866699219</v>
      </c>
      <c r="AL306" s="123">
        <v>40.466999053955078</v>
      </c>
      <c r="AM306" s="126">
        <v>54.011001586914063</v>
      </c>
      <c r="AN306" s="125">
        <v>114.8125</v>
      </c>
      <c r="AO306" s="127">
        <v>59</v>
      </c>
      <c r="AP306" s="123">
        <v>60.534065246582031</v>
      </c>
      <c r="AQ306" s="123">
        <v>36.166011810302734</v>
      </c>
      <c r="AR306" s="123">
        <v>99</v>
      </c>
      <c r="AS306" s="123"/>
      <c r="AT306" s="123">
        <v>95</v>
      </c>
      <c r="AU306" s="123"/>
      <c r="AV306" s="123">
        <v>60</v>
      </c>
      <c r="AW306" s="123"/>
      <c r="AX306" s="123">
        <v>29</v>
      </c>
      <c r="AY306" s="123">
        <v>31.913263320922852</v>
      </c>
      <c r="AZ306" s="123">
        <v>4</v>
      </c>
      <c r="BA306" s="123"/>
      <c r="BB306" s="123">
        <v>177</v>
      </c>
      <c r="BC306" s="123">
        <v>177.95683288574219</v>
      </c>
      <c r="BD306" s="123">
        <v>6.5</v>
      </c>
      <c r="BE306" s="123">
        <v>6.5940556526184082</v>
      </c>
      <c r="BF306" s="123">
        <v>31</v>
      </c>
      <c r="BG306" s="123">
        <v>10</v>
      </c>
      <c r="BH306" s="123">
        <v>10.952465057373047</v>
      </c>
      <c r="BI306" s="123"/>
      <c r="BJ306" s="108">
        <f t="shared" si="13"/>
        <v>11</v>
      </c>
      <c r="BK306" s="123">
        <v>11</v>
      </c>
      <c r="BL306" s="123">
        <v>0</v>
      </c>
      <c r="BM306" s="126"/>
      <c r="BN306" s="108">
        <f t="shared" si="14"/>
        <v>121.20000076293945</v>
      </c>
      <c r="BO306" s="108">
        <v>72</v>
      </c>
      <c r="BP306" s="108">
        <v>49.200000762939453</v>
      </c>
      <c r="BQ306" s="108">
        <v>267</v>
      </c>
      <c r="BR306" s="123">
        <v>71.476997375488281</v>
      </c>
      <c r="BS306" s="123">
        <v>24.173999786376953</v>
      </c>
      <c r="BT306" s="123">
        <v>40.869998931884766</v>
      </c>
      <c r="BU306" s="123">
        <v>33.844001770019531</v>
      </c>
      <c r="BV306" s="123">
        <v>68.099998474121094</v>
      </c>
      <c r="BW306" s="123">
        <v>6</v>
      </c>
      <c r="BX306" s="123">
        <v>13.699999809265137</v>
      </c>
      <c r="BY306" s="123">
        <v>29</v>
      </c>
      <c r="BZ306" s="123">
        <v>19.909761428833008</v>
      </c>
      <c r="CA306" s="123">
        <v>19</v>
      </c>
      <c r="CB306" s="123">
        <v>29.283462524414063</v>
      </c>
      <c r="CC306" s="126"/>
      <c r="CD306" s="123">
        <v>335.89474487304688</v>
      </c>
      <c r="CE306" s="123">
        <v>27.197916030883789</v>
      </c>
      <c r="CF306" s="123">
        <v>15.770502090454102</v>
      </c>
      <c r="CG306" s="123">
        <v>35.338191986083984</v>
      </c>
      <c r="CH306" s="123">
        <v>272.83798217773438</v>
      </c>
      <c r="CI306" s="123">
        <v>77.154525756835938</v>
      </c>
      <c r="CJ306" s="123">
        <v>31.951030731201172</v>
      </c>
      <c r="CK306" s="123">
        <v>48.016582489013672</v>
      </c>
      <c r="CL306" s="124">
        <v>24.495573043823242</v>
      </c>
      <c r="CM306" s="125">
        <v>176.13380432128906</v>
      </c>
      <c r="CN306" s="123">
        <v>64.095138549804688</v>
      </c>
      <c r="CO306" s="123">
        <v>51.051651000976563</v>
      </c>
      <c r="CP306" s="123">
        <v>53.778358459472656</v>
      </c>
      <c r="CQ306" s="123">
        <v>0</v>
      </c>
      <c r="CR306" s="123">
        <v>48.788707733154297</v>
      </c>
      <c r="CS306" s="123">
        <v>16.466875076293945</v>
      </c>
      <c r="CT306" s="123">
        <v>30.228555679321289</v>
      </c>
      <c r="CU306" s="123">
        <v>39.730449676513672</v>
      </c>
      <c r="CV306" s="124">
        <v>48.199207305908203</v>
      </c>
      <c r="CW306" s="125">
        <v>0</v>
      </c>
      <c r="CX306" s="123">
        <v>287</v>
      </c>
      <c r="CY306" s="123">
        <v>107.94097900390625</v>
      </c>
      <c r="CZ306" s="123">
        <v>47.698684692382813</v>
      </c>
      <c r="DA306" s="123">
        <v>19.61815071105957</v>
      </c>
      <c r="DB306" s="123">
        <v>30.135564804077148</v>
      </c>
      <c r="DC306" s="123">
        <v>69.524688720703125</v>
      </c>
      <c r="DD306" s="123">
        <v>42</v>
      </c>
      <c r="DE306" s="123">
        <v>168</v>
      </c>
      <c r="DF306" s="123">
        <v>97.800430297851563</v>
      </c>
      <c r="DG306" s="123">
        <v>60.389339447021484</v>
      </c>
      <c r="DH306" s="123">
        <v>40.890445709228516</v>
      </c>
      <c r="DI306" s="128">
        <v>39.620357513427734</v>
      </c>
      <c r="DJ306" s="127">
        <v>210</v>
      </c>
      <c r="DK306" s="123">
        <v>107.13099670410156</v>
      </c>
      <c r="DL306" s="123">
        <v>24.993999481201172</v>
      </c>
      <c r="DM306" s="123">
        <v>26.860000610351563</v>
      </c>
      <c r="DN306" s="123">
        <v>51.777000427246094</v>
      </c>
      <c r="DO306" s="124">
        <v>116.59944915771484</v>
      </c>
      <c r="DP306" s="125">
        <v>15.324000358581543</v>
      </c>
      <c r="DQ306" s="123"/>
      <c r="DR306" s="125">
        <v>0</v>
      </c>
      <c r="DS306" s="128">
        <v>28.299999237060547</v>
      </c>
      <c r="DT306" s="127">
        <v>12</v>
      </c>
      <c r="DU306" s="123"/>
      <c r="DV306" s="123">
        <v>8</v>
      </c>
      <c r="DW306" s="123">
        <v>2.1665642261505127</v>
      </c>
      <c r="DX306" s="125">
        <v>11</v>
      </c>
      <c r="DY306" s="128"/>
      <c r="DZ306" s="127">
        <v>44</v>
      </c>
      <c r="EA306" s="123">
        <v>3</v>
      </c>
      <c r="EB306" s="123">
        <v>0</v>
      </c>
      <c r="EC306" s="123">
        <v>1</v>
      </c>
      <c r="ED306" s="123">
        <v>230.89999389648438</v>
      </c>
      <c r="EE306" s="129"/>
      <c r="EF306" s="129"/>
      <c r="EG306" s="129"/>
    </row>
    <row r="307" spans="1:137" x14ac:dyDescent="0.3">
      <c r="A307" s="226">
        <f t="shared" si="15"/>
        <v>46020.210416667353</v>
      </c>
      <c r="B307" s="123">
        <v>234</v>
      </c>
      <c r="C307" s="123">
        <v>50.215000152587891</v>
      </c>
      <c r="D307" s="123">
        <v>98.167999267578125</v>
      </c>
      <c r="E307" s="123">
        <v>15.380999565124512</v>
      </c>
      <c r="F307" s="123">
        <v>0</v>
      </c>
      <c r="G307" s="124">
        <v>17.530000686645508</v>
      </c>
      <c r="H307" s="125">
        <v>325</v>
      </c>
      <c r="I307" s="123">
        <v>285</v>
      </c>
      <c r="J307" s="123">
        <v>59.148998260498047</v>
      </c>
      <c r="K307" s="123">
        <v>61.217826843261719</v>
      </c>
      <c r="L307" s="123">
        <v>48.949001312255859</v>
      </c>
      <c r="M307" s="123">
        <v>12.439999580383301</v>
      </c>
      <c r="N307" s="123">
        <v>17.176000595092773</v>
      </c>
      <c r="O307" s="123">
        <v>18</v>
      </c>
      <c r="P307" s="123">
        <v>0</v>
      </c>
      <c r="Q307" s="123">
        <v>18.241611480712891</v>
      </c>
      <c r="R307" s="123">
        <v>6</v>
      </c>
      <c r="S307" s="123">
        <v>6.2711372375488281</v>
      </c>
      <c r="T307" s="123">
        <v>0</v>
      </c>
      <c r="U307" s="123">
        <v>0</v>
      </c>
      <c r="V307" s="125">
        <v>855</v>
      </c>
      <c r="W307" s="123">
        <v>24.990581512451172</v>
      </c>
      <c r="X307" s="123">
        <v>25.333000183105469</v>
      </c>
      <c r="Y307" s="123">
        <v>6.3610000610351563</v>
      </c>
      <c r="Z307" s="123">
        <v>0</v>
      </c>
      <c r="AA307" s="123">
        <v>19.339000701904297</v>
      </c>
      <c r="AB307" s="123">
        <v>0</v>
      </c>
      <c r="AC307" s="123">
        <v>53.323631286621094</v>
      </c>
      <c r="AD307" s="123">
        <v>6.3610000610351563</v>
      </c>
      <c r="AE307" s="123">
        <v>0</v>
      </c>
      <c r="AF307" s="123">
        <v>80.466621398925781</v>
      </c>
      <c r="AG307" s="123">
        <v>0</v>
      </c>
      <c r="AH307" s="123">
        <v>61.501808166503906</v>
      </c>
      <c r="AI307" s="123">
        <v>12.595999717712402</v>
      </c>
      <c r="AJ307" s="123">
        <v>17.558076858520508</v>
      </c>
      <c r="AK307" s="123">
        <v>35.794490814208984</v>
      </c>
      <c r="AL307" s="123">
        <v>38.169998168945313</v>
      </c>
      <c r="AM307" s="126">
        <v>54.201000213623047</v>
      </c>
      <c r="AN307" s="125">
        <v>115.0625</v>
      </c>
      <c r="AO307" s="127">
        <v>58</v>
      </c>
      <c r="AP307" s="123">
        <v>60.106475830078125</v>
      </c>
      <c r="AQ307" s="123">
        <v>35.639205932617188</v>
      </c>
      <c r="AR307" s="123">
        <v>99</v>
      </c>
      <c r="AS307" s="123"/>
      <c r="AT307" s="123">
        <v>95</v>
      </c>
      <c r="AU307" s="123"/>
      <c r="AV307" s="123">
        <v>61</v>
      </c>
      <c r="AW307" s="123"/>
      <c r="AX307" s="123">
        <v>28</v>
      </c>
      <c r="AY307" s="123">
        <v>31.913263320922852</v>
      </c>
      <c r="AZ307" s="123">
        <v>4</v>
      </c>
      <c r="BA307" s="123"/>
      <c r="BB307" s="123">
        <v>177</v>
      </c>
      <c r="BC307" s="123">
        <v>177.96702575683594</v>
      </c>
      <c r="BD307" s="123">
        <v>6.5999999046325684</v>
      </c>
      <c r="BE307" s="123">
        <v>6.5945553779602051</v>
      </c>
      <c r="BF307" s="123">
        <v>30</v>
      </c>
      <c r="BG307" s="123">
        <v>10</v>
      </c>
      <c r="BH307" s="123">
        <v>10.901453018188477</v>
      </c>
      <c r="BI307" s="123"/>
      <c r="BJ307" s="108">
        <f t="shared" si="13"/>
        <v>11</v>
      </c>
      <c r="BK307" s="123">
        <v>11</v>
      </c>
      <c r="BL307" s="123">
        <v>0</v>
      </c>
      <c r="BM307" s="126"/>
      <c r="BN307" s="108">
        <f t="shared" si="14"/>
        <v>121</v>
      </c>
      <c r="BO307" s="108">
        <v>72</v>
      </c>
      <c r="BP307" s="108">
        <v>49</v>
      </c>
      <c r="BQ307" s="108">
        <v>271</v>
      </c>
      <c r="BR307" s="123">
        <v>69.893997192382813</v>
      </c>
      <c r="BS307" s="123">
        <v>23.665000915527344</v>
      </c>
      <c r="BT307" s="123">
        <v>40.176998138427734</v>
      </c>
      <c r="BU307" s="123">
        <v>33.652999877929688</v>
      </c>
      <c r="BV307" s="123">
        <v>68.300003051757813</v>
      </c>
      <c r="BW307" s="123">
        <v>6</v>
      </c>
      <c r="BX307" s="123">
        <v>14</v>
      </c>
      <c r="BY307" s="123">
        <v>29</v>
      </c>
      <c r="BZ307" s="123">
        <v>19.909761428833008</v>
      </c>
      <c r="CA307" s="123">
        <v>19</v>
      </c>
      <c r="CB307" s="123">
        <v>29.335338592529297</v>
      </c>
      <c r="CC307" s="126"/>
      <c r="CD307" s="123">
        <v>337.84439086914063</v>
      </c>
      <c r="CE307" s="123">
        <v>29.323856353759766</v>
      </c>
      <c r="CF307" s="123">
        <v>16.058748245239258</v>
      </c>
      <c r="CG307" s="123">
        <v>35.338191986083984</v>
      </c>
      <c r="CH307" s="123">
        <v>272.48565673828125</v>
      </c>
      <c r="CI307" s="123">
        <v>80.7177734375</v>
      </c>
      <c r="CJ307" s="123">
        <v>36.487846374511719</v>
      </c>
      <c r="CK307" s="123">
        <v>48.940200805664063</v>
      </c>
      <c r="CL307" s="124">
        <v>24.84605598449707</v>
      </c>
      <c r="CM307" s="125">
        <v>176.11891174316406</v>
      </c>
      <c r="CN307" s="123">
        <v>62.762222290039063</v>
      </c>
      <c r="CO307" s="123">
        <v>50.347221374511719</v>
      </c>
      <c r="CP307" s="123">
        <v>58.468208312988281</v>
      </c>
      <c r="CQ307" s="123">
        <v>0</v>
      </c>
      <c r="CR307" s="123">
        <v>52.635044097900391</v>
      </c>
      <c r="CS307" s="123">
        <v>16.525470733642578</v>
      </c>
      <c r="CT307" s="123">
        <v>30.90739631652832</v>
      </c>
      <c r="CU307" s="123">
        <v>41.684585571289063</v>
      </c>
      <c r="CV307" s="124">
        <v>47.024112701416016</v>
      </c>
      <c r="CW307" s="125">
        <v>3</v>
      </c>
      <c r="CX307" s="123">
        <v>295</v>
      </c>
      <c r="CY307" s="123">
        <v>107.44837951660156</v>
      </c>
      <c r="CZ307" s="123">
        <v>48.718559265136719</v>
      </c>
      <c r="DA307" s="123">
        <v>19.320150375366211</v>
      </c>
      <c r="DB307" s="123">
        <v>30.123550415039063</v>
      </c>
      <c r="DC307" s="123">
        <v>71.892417907714844</v>
      </c>
      <c r="DD307" s="123">
        <v>38</v>
      </c>
      <c r="DE307" s="123">
        <v>170</v>
      </c>
      <c r="DF307" s="123">
        <v>98.88665771484375</v>
      </c>
      <c r="DG307" s="123">
        <v>62.069316864013672</v>
      </c>
      <c r="DH307" s="123">
        <v>41.196636199951172</v>
      </c>
      <c r="DI307" s="128">
        <v>39.272750854492188</v>
      </c>
      <c r="DJ307" s="127">
        <v>208</v>
      </c>
      <c r="DK307" s="123">
        <v>107.13099670410156</v>
      </c>
      <c r="DL307" s="123">
        <v>24.993999481201172</v>
      </c>
      <c r="DM307" s="123">
        <v>26.860000610351563</v>
      </c>
      <c r="DN307" s="123">
        <v>51.777000427246094</v>
      </c>
      <c r="DO307" s="124">
        <v>113.21302795410156</v>
      </c>
      <c r="DP307" s="125">
        <v>15.324000358581543</v>
      </c>
      <c r="DQ307" s="123"/>
      <c r="DR307" s="125">
        <v>0</v>
      </c>
      <c r="DS307" s="128">
        <v>26.299999237060547</v>
      </c>
      <c r="DT307" s="127">
        <v>12</v>
      </c>
      <c r="DU307" s="123"/>
      <c r="DV307" s="123">
        <v>12</v>
      </c>
      <c r="DW307" s="123">
        <v>2.2152960300445557</v>
      </c>
      <c r="DX307" s="125">
        <v>12</v>
      </c>
      <c r="DY307" s="128"/>
      <c r="DZ307" s="127">
        <v>43</v>
      </c>
      <c r="EA307" s="123">
        <v>3</v>
      </c>
      <c r="EB307" s="123">
        <v>0</v>
      </c>
      <c r="EC307" s="123">
        <v>29</v>
      </c>
      <c r="ED307" s="123">
        <v>229.80000305175781</v>
      </c>
      <c r="EE307" s="129"/>
      <c r="EF307" s="129"/>
      <c r="EG307" s="129"/>
    </row>
    <row r="308" spans="1:137" x14ac:dyDescent="0.3">
      <c r="A308" s="226">
        <f t="shared" si="15"/>
        <v>46020.211111111799</v>
      </c>
      <c r="B308" s="123">
        <v>228</v>
      </c>
      <c r="C308" s="123">
        <v>51.571998596191406</v>
      </c>
      <c r="D308" s="123">
        <v>97.942001342773438</v>
      </c>
      <c r="E308" s="123">
        <v>17.756000518798828</v>
      </c>
      <c r="F308" s="123">
        <v>9.0432558059692383</v>
      </c>
      <c r="G308" s="124">
        <v>17.190000534057617</v>
      </c>
      <c r="H308" s="125">
        <v>318</v>
      </c>
      <c r="I308" s="123">
        <v>293</v>
      </c>
      <c r="J308" s="123">
        <v>59.715000152587891</v>
      </c>
      <c r="K308" s="123">
        <v>60.590667724609375</v>
      </c>
      <c r="L308" s="123">
        <v>46.828998565673828</v>
      </c>
      <c r="M308" s="123">
        <v>11.64900016784668</v>
      </c>
      <c r="N308" s="123">
        <v>18.129999160766602</v>
      </c>
      <c r="O308" s="123">
        <v>17</v>
      </c>
      <c r="P308" s="123">
        <v>0</v>
      </c>
      <c r="Q308" s="123">
        <v>17.461332321166992</v>
      </c>
      <c r="R308" s="123">
        <v>6</v>
      </c>
      <c r="S308" s="123">
        <v>6.5788469314575195</v>
      </c>
      <c r="T308" s="123">
        <v>0</v>
      </c>
      <c r="U308" s="123">
        <v>0</v>
      </c>
      <c r="V308" s="125">
        <v>861</v>
      </c>
      <c r="W308" s="123">
        <v>25.808080673217773</v>
      </c>
      <c r="X308" s="123">
        <v>24.541999816894531</v>
      </c>
      <c r="Y308" s="123">
        <v>5.7890000343322754</v>
      </c>
      <c r="Z308" s="123">
        <v>0</v>
      </c>
      <c r="AA308" s="123">
        <v>19.791999816894531</v>
      </c>
      <c r="AB308" s="123">
        <v>0</v>
      </c>
      <c r="AC308" s="123">
        <v>52.848751068115234</v>
      </c>
      <c r="AD308" s="123">
        <v>6.3610000610351563</v>
      </c>
      <c r="AE308" s="123">
        <v>0</v>
      </c>
      <c r="AF308" s="123">
        <v>80.257461547851563</v>
      </c>
      <c r="AG308" s="123">
        <v>0</v>
      </c>
      <c r="AH308" s="123">
        <v>61.728214263916016</v>
      </c>
      <c r="AI308" s="123">
        <v>15.140000343322754</v>
      </c>
      <c r="AJ308" s="123">
        <v>16.218515396118164</v>
      </c>
      <c r="AK308" s="123">
        <v>35.477577209472656</v>
      </c>
      <c r="AL308" s="123">
        <v>36.048999786376953</v>
      </c>
      <c r="AM308" s="126">
        <v>54.13800048828125</v>
      </c>
      <c r="AN308" s="125">
        <v>116.625</v>
      </c>
      <c r="AO308" s="127">
        <v>58</v>
      </c>
      <c r="AP308" s="123">
        <v>63.279857635498047</v>
      </c>
      <c r="AQ308" s="123">
        <v>35.899372100830078</v>
      </c>
      <c r="AR308" s="123">
        <v>99</v>
      </c>
      <c r="AS308" s="123"/>
      <c r="AT308" s="123">
        <v>96</v>
      </c>
      <c r="AU308" s="123"/>
      <c r="AV308" s="123">
        <v>61</v>
      </c>
      <c r="AW308" s="123"/>
      <c r="AX308" s="123">
        <v>29</v>
      </c>
      <c r="AY308" s="123">
        <v>31.765781402587891</v>
      </c>
      <c r="AZ308" s="123">
        <v>5</v>
      </c>
      <c r="BA308" s="123"/>
      <c r="BB308" s="123">
        <v>177</v>
      </c>
      <c r="BC308" s="123">
        <v>177.78483581542969</v>
      </c>
      <c r="BD308" s="123">
        <v>6.8000001907348633</v>
      </c>
      <c r="BE308" s="123">
        <v>7.0226483345031738</v>
      </c>
      <c r="BF308" s="123">
        <v>30</v>
      </c>
      <c r="BG308" s="123">
        <v>10</v>
      </c>
      <c r="BH308" s="123">
        <v>10.862963676452637</v>
      </c>
      <c r="BI308" s="123"/>
      <c r="BJ308" s="108">
        <f t="shared" si="13"/>
        <v>11</v>
      </c>
      <c r="BK308" s="123">
        <v>11</v>
      </c>
      <c r="BL308" s="123">
        <v>0</v>
      </c>
      <c r="BM308" s="126"/>
      <c r="BN308" s="108">
        <f t="shared" si="14"/>
        <v>121</v>
      </c>
      <c r="BO308" s="108">
        <v>72</v>
      </c>
      <c r="BP308" s="108">
        <v>49</v>
      </c>
      <c r="BQ308" s="108">
        <v>262</v>
      </c>
      <c r="BR308" s="123">
        <v>65.029998779296875</v>
      </c>
      <c r="BS308" s="123">
        <v>25.191999435424805</v>
      </c>
      <c r="BT308" s="123">
        <v>40.869998931884766</v>
      </c>
      <c r="BU308" s="123">
        <v>33.779998779296875</v>
      </c>
      <c r="BV308" s="123">
        <v>69.199996948242188</v>
      </c>
      <c r="BW308" s="123">
        <v>6.3000001907348633</v>
      </c>
      <c r="BX308" s="123">
        <v>14</v>
      </c>
      <c r="BY308" s="123">
        <v>28</v>
      </c>
      <c r="BZ308" s="123">
        <v>19.930883407592773</v>
      </c>
      <c r="CA308" s="123">
        <v>19</v>
      </c>
      <c r="CB308" s="123">
        <v>29.284671783447266</v>
      </c>
      <c r="CC308" s="126"/>
      <c r="CD308" s="123">
        <v>332.41171264648438</v>
      </c>
      <c r="CE308" s="123">
        <v>29.148221969604492</v>
      </c>
      <c r="CF308" s="123">
        <v>16.617303848266602</v>
      </c>
      <c r="CG308" s="123">
        <v>35.338191986083984</v>
      </c>
      <c r="CH308" s="123">
        <v>273.37307739257813</v>
      </c>
      <c r="CI308" s="123">
        <v>79.529861450195313</v>
      </c>
      <c r="CJ308" s="123">
        <v>34.482196807861328</v>
      </c>
      <c r="CK308" s="123">
        <v>47.526821136474609</v>
      </c>
      <c r="CL308" s="124">
        <v>23.905292510986328</v>
      </c>
      <c r="CM308" s="125">
        <v>173.92820739746094</v>
      </c>
      <c r="CN308" s="123">
        <v>65.655632019042969</v>
      </c>
      <c r="CO308" s="123">
        <v>49.333457946777344</v>
      </c>
      <c r="CP308" s="123">
        <v>54.868000030517578</v>
      </c>
      <c r="CQ308" s="123">
        <v>0</v>
      </c>
      <c r="CR308" s="123">
        <v>52.706199645996094</v>
      </c>
      <c r="CS308" s="123">
        <v>17.027057647705078</v>
      </c>
      <c r="CT308" s="123">
        <v>32.762527465820313</v>
      </c>
      <c r="CU308" s="123">
        <v>42.665054321289063</v>
      </c>
      <c r="CV308" s="124">
        <v>47.084323883056641</v>
      </c>
      <c r="CW308" s="125">
        <v>0</v>
      </c>
      <c r="CX308" s="123">
        <v>294</v>
      </c>
      <c r="CY308" s="123">
        <v>106.40265655517578</v>
      </c>
      <c r="CZ308" s="123">
        <v>48.999214172363281</v>
      </c>
      <c r="DA308" s="123">
        <v>20.165901184082031</v>
      </c>
      <c r="DB308" s="123">
        <v>29.837764739990234</v>
      </c>
      <c r="DC308" s="123">
        <v>71.499946594238281</v>
      </c>
      <c r="DD308" s="123">
        <v>45</v>
      </c>
      <c r="DE308" s="123">
        <v>166</v>
      </c>
      <c r="DF308" s="123">
        <v>98.997238159179688</v>
      </c>
      <c r="DG308" s="123">
        <v>60.5992431640625</v>
      </c>
      <c r="DH308" s="123">
        <v>40.645950317382813</v>
      </c>
      <c r="DI308" s="128">
        <v>37.853584289550781</v>
      </c>
      <c r="DJ308" s="127">
        <v>208</v>
      </c>
      <c r="DK308" s="123">
        <v>107.13099670410156</v>
      </c>
      <c r="DL308" s="123">
        <v>24.993999481201172</v>
      </c>
      <c r="DM308" s="123">
        <v>24.916000366210938</v>
      </c>
      <c r="DN308" s="123">
        <v>51.777000427246094</v>
      </c>
      <c r="DO308" s="124">
        <v>112.84634399414063</v>
      </c>
      <c r="DP308" s="125">
        <v>15.890000343322754</v>
      </c>
      <c r="DQ308" s="123"/>
      <c r="DR308" s="125">
        <v>0</v>
      </c>
      <c r="DS308" s="128">
        <v>27.399999618530273</v>
      </c>
      <c r="DT308" s="127">
        <v>12</v>
      </c>
      <c r="DU308" s="123"/>
      <c r="DV308" s="123">
        <v>11</v>
      </c>
      <c r="DW308" s="123">
        <v>2.2285597324371338</v>
      </c>
      <c r="DX308" s="125">
        <v>10</v>
      </c>
      <c r="DY308" s="128"/>
      <c r="DZ308" s="127">
        <v>44</v>
      </c>
      <c r="EA308" s="123">
        <v>3</v>
      </c>
      <c r="EB308" s="123">
        <v>0</v>
      </c>
      <c r="EC308" s="123">
        <v>29</v>
      </c>
      <c r="ED308" s="123">
        <v>228</v>
      </c>
      <c r="EE308" s="129"/>
      <c r="EF308" s="129"/>
      <c r="EG308" s="129"/>
    </row>
    <row r="309" spans="1:137" x14ac:dyDescent="0.3">
      <c r="A309" s="226">
        <f t="shared" si="15"/>
        <v>46020.211805556246</v>
      </c>
      <c r="B309" s="123">
        <v>230</v>
      </c>
      <c r="C309" s="123">
        <v>54.060001373291016</v>
      </c>
      <c r="D309" s="123">
        <v>99.185997009277344</v>
      </c>
      <c r="E309" s="123">
        <v>18.886999130249023</v>
      </c>
      <c r="F309" s="123">
        <v>7.3611044883728027</v>
      </c>
      <c r="G309" s="124">
        <v>17.868999481201172</v>
      </c>
      <c r="H309" s="125">
        <v>318</v>
      </c>
      <c r="I309" s="123">
        <v>287</v>
      </c>
      <c r="J309" s="123">
        <v>58.583999633789063</v>
      </c>
      <c r="K309" s="123">
        <v>61.428798675537109</v>
      </c>
      <c r="L309" s="123">
        <v>46.474998474121094</v>
      </c>
      <c r="M309" s="123">
        <v>12.439999580383301</v>
      </c>
      <c r="N309" s="123">
        <v>17.048999786376953</v>
      </c>
      <c r="O309" s="123">
        <v>18</v>
      </c>
      <c r="P309" s="123">
        <v>0</v>
      </c>
      <c r="Q309" s="123">
        <v>18.541292190551758</v>
      </c>
      <c r="R309" s="123">
        <v>9</v>
      </c>
      <c r="S309" s="123">
        <v>9.2789316177368164</v>
      </c>
      <c r="T309" s="123">
        <v>0</v>
      </c>
      <c r="U309" s="123">
        <v>0</v>
      </c>
      <c r="V309" s="125">
        <v>856</v>
      </c>
      <c r="W309" s="123">
        <v>27.290012359619141</v>
      </c>
      <c r="X309" s="123">
        <v>24.315000534057617</v>
      </c>
      <c r="Y309" s="123">
        <v>5.5339999198913574</v>
      </c>
      <c r="Z309" s="123">
        <v>0</v>
      </c>
      <c r="AA309" s="123">
        <v>18.547000885009766</v>
      </c>
      <c r="AB309" s="123">
        <v>0</v>
      </c>
      <c r="AC309" s="123">
        <v>54.075458526611328</v>
      </c>
      <c r="AD309" s="123">
        <v>5.8520002365112305</v>
      </c>
      <c r="AE309" s="123">
        <v>0</v>
      </c>
      <c r="AF309" s="123">
        <v>81.522956848144531</v>
      </c>
      <c r="AG309" s="123">
        <v>0</v>
      </c>
      <c r="AH309" s="123">
        <v>60.447116851806641</v>
      </c>
      <c r="AI309" s="123">
        <v>15.331000328063965</v>
      </c>
      <c r="AJ309" s="123">
        <v>15.573933601379395</v>
      </c>
      <c r="AK309" s="123">
        <v>36.856472015380859</v>
      </c>
      <c r="AL309" s="123">
        <v>37.993000030517578</v>
      </c>
      <c r="AM309" s="126">
        <v>53.946998596191406</v>
      </c>
      <c r="AN309" s="125">
        <v>116.3125</v>
      </c>
      <c r="AO309" s="127">
        <v>58</v>
      </c>
      <c r="AP309" s="123">
        <v>63.644744873046875</v>
      </c>
      <c r="AQ309" s="123">
        <v>37.170940399169922</v>
      </c>
      <c r="AR309" s="123">
        <v>98</v>
      </c>
      <c r="AS309" s="123"/>
      <c r="AT309" s="123">
        <v>95</v>
      </c>
      <c r="AU309" s="123"/>
      <c r="AV309" s="123">
        <v>60</v>
      </c>
      <c r="AW309" s="123"/>
      <c r="AX309" s="123">
        <v>29</v>
      </c>
      <c r="AY309" s="123">
        <v>31.765781402587891</v>
      </c>
      <c r="AZ309" s="123">
        <v>5</v>
      </c>
      <c r="BA309" s="123"/>
      <c r="BB309" s="123">
        <v>178</v>
      </c>
      <c r="BC309" s="123">
        <v>176.57685852050781</v>
      </c>
      <c r="BD309" s="123">
        <v>6.5999999046325684</v>
      </c>
      <c r="BE309" s="123">
        <v>6.6133618354797363</v>
      </c>
      <c r="BF309" s="123">
        <v>30</v>
      </c>
      <c r="BG309" s="123">
        <v>10</v>
      </c>
      <c r="BH309" s="123">
        <v>10.862963676452637</v>
      </c>
      <c r="BI309" s="123"/>
      <c r="BJ309" s="108">
        <f t="shared" si="13"/>
        <v>11</v>
      </c>
      <c r="BK309" s="123">
        <v>11</v>
      </c>
      <c r="BL309" s="123">
        <v>0</v>
      </c>
      <c r="BM309" s="126"/>
      <c r="BN309" s="108">
        <f t="shared" si="14"/>
        <v>121.20000076293945</v>
      </c>
      <c r="BO309" s="108">
        <v>73</v>
      </c>
      <c r="BP309" s="108">
        <v>48.200000762939453</v>
      </c>
      <c r="BQ309" s="108">
        <v>269</v>
      </c>
      <c r="BR309" s="123">
        <v>65.029998779296875</v>
      </c>
      <c r="BS309" s="123">
        <v>24.937000274658203</v>
      </c>
      <c r="BT309" s="123">
        <v>40.869998931884766</v>
      </c>
      <c r="BU309" s="123">
        <v>33.971000671386719</v>
      </c>
      <c r="BV309" s="123">
        <v>68.199996948242188</v>
      </c>
      <c r="BW309" s="123">
        <v>6.0999999046325684</v>
      </c>
      <c r="BX309" s="123">
        <v>13.899999618530273</v>
      </c>
      <c r="BY309" s="123">
        <v>28</v>
      </c>
      <c r="BZ309" s="123">
        <v>19.932205200195313</v>
      </c>
      <c r="CA309" s="123">
        <v>19</v>
      </c>
      <c r="CB309" s="123">
        <v>29.231647491455078</v>
      </c>
      <c r="CC309" s="126"/>
      <c r="CD309" s="123">
        <v>332.44964599609375</v>
      </c>
      <c r="CE309" s="123">
        <v>27.563671112060547</v>
      </c>
      <c r="CF309" s="123">
        <v>16.704586029052734</v>
      </c>
      <c r="CG309" s="123">
        <v>35.338191986083984</v>
      </c>
      <c r="CH309" s="123">
        <v>273.08087158203125</v>
      </c>
      <c r="CI309" s="123">
        <v>78.934608459472656</v>
      </c>
      <c r="CJ309" s="123">
        <v>34.467025756835938</v>
      </c>
      <c r="CK309" s="123">
        <v>47.769393920898438</v>
      </c>
      <c r="CL309" s="124">
        <v>23.124195098876953</v>
      </c>
      <c r="CM309" s="125">
        <v>173.6376953125</v>
      </c>
      <c r="CN309" s="123">
        <v>65.406997680664063</v>
      </c>
      <c r="CO309" s="123">
        <v>48.808059692382813</v>
      </c>
      <c r="CP309" s="123">
        <v>55.868980407714844</v>
      </c>
      <c r="CQ309" s="123">
        <v>0</v>
      </c>
      <c r="CR309" s="123">
        <v>52.218212127685547</v>
      </c>
      <c r="CS309" s="123">
        <v>16.728353500366211</v>
      </c>
      <c r="CT309" s="123">
        <v>30.604551315307617</v>
      </c>
      <c r="CU309" s="123">
        <v>41.575160980224609</v>
      </c>
      <c r="CV309" s="124">
        <v>47.653079986572266</v>
      </c>
      <c r="CW309" s="125">
        <v>3</v>
      </c>
      <c r="CX309" s="123">
        <v>298</v>
      </c>
      <c r="CY309" s="123">
        <v>109.58747100830078</v>
      </c>
      <c r="CZ309" s="123">
        <v>47.573509216308594</v>
      </c>
      <c r="DA309" s="123">
        <v>20.165901184082031</v>
      </c>
      <c r="DB309" s="123">
        <v>30.495382308959961</v>
      </c>
      <c r="DC309" s="123">
        <v>72.1502685546875</v>
      </c>
      <c r="DD309" s="123">
        <v>45</v>
      </c>
      <c r="DE309" s="123">
        <v>166</v>
      </c>
      <c r="DF309" s="123">
        <v>98.997238159179688</v>
      </c>
      <c r="DG309" s="123">
        <v>61.600791931152344</v>
      </c>
      <c r="DH309" s="123">
        <v>39.213066101074219</v>
      </c>
      <c r="DI309" s="128">
        <v>37.414295196533203</v>
      </c>
      <c r="DJ309" s="127">
        <v>212</v>
      </c>
      <c r="DK309" s="123">
        <v>107.89399719238281</v>
      </c>
      <c r="DL309" s="123">
        <v>27.594999313354492</v>
      </c>
      <c r="DM309" s="123">
        <v>24.916000366210938</v>
      </c>
      <c r="DN309" s="123">
        <v>50.716999053955078</v>
      </c>
      <c r="DO309" s="124">
        <v>114.719970703125</v>
      </c>
      <c r="DP309" s="125">
        <v>16.341999053955078</v>
      </c>
      <c r="DQ309" s="123"/>
      <c r="DR309" s="125">
        <v>0</v>
      </c>
      <c r="DS309" s="128">
        <v>26.299999237060547</v>
      </c>
      <c r="DT309" s="127">
        <v>12</v>
      </c>
      <c r="DU309" s="123"/>
      <c r="DV309" s="123">
        <v>6</v>
      </c>
      <c r="DW309" s="123">
        <v>2.2158424854278564</v>
      </c>
      <c r="DX309" s="125">
        <v>12</v>
      </c>
      <c r="DY309" s="128"/>
      <c r="DZ309" s="127">
        <v>44</v>
      </c>
      <c r="EA309" s="123">
        <v>3</v>
      </c>
      <c r="EB309" s="123">
        <v>0</v>
      </c>
      <c r="EC309" s="123">
        <v>29</v>
      </c>
      <c r="ED309" s="123">
        <v>227.19999694824219</v>
      </c>
      <c r="EE309" s="129"/>
      <c r="EF309" s="129"/>
      <c r="EG309" s="129"/>
    </row>
    <row r="310" spans="1:137" x14ac:dyDescent="0.3">
      <c r="A310" s="226">
        <f t="shared" si="15"/>
        <v>46020.212500000693</v>
      </c>
      <c r="B310" s="123">
        <v>233</v>
      </c>
      <c r="C310" s="123">
        <v>53.041999816894531</v>
      </c>
      <c r="D310" s="123">
        <v>98.733001708984375</v>
      </c>
      <c r="E310" s="123">
        <v>18.547000885009766</v>
      </c>
      <c r="F310" s="123">
        <v>0</v>
      </c>
      <c r="G310" s="124">
        <v>18.208000183105469</v>
      </c>
      <c r="H310" s="125">
        <v>321</v>
      </c>
      <c r="I310" s="123">
        <v>287</v>
      </c>
      <c r="J310" s="123">
        <v>63.333999633789063</v>
      </c>
      <c r="K310" s="123">
        <v>63.534027099609375</v>
      </c>
      <c r="L310" s="123">
        <v>47.181999206542969</v>
      </c>
      <c r="M310" s="123">
        <v>11.421999931335449</v>
      </c>
      <c r="N310" s="123">
        <v>16.731000900268555</v>
      </c>
      <c r="O310" s="123">
        <v>18</v>
      </c>
      <c r="P310" s="123">
        <v>0</v>
      </c>
      <c r="Q310" s="123">
        <v>17.799108505249023</v>
      </c>
      <c r="R310" s="123">
        <v>10.996874809265137</v>
      </c>
      <c r="S310" s="123">
        <v>10.448492050170898</v>
      </c>
      <c r="T310" s="123">
        <v>0</v>
      </c>
      <c r="U310" s="123">
        <v>0</v>
      </c>
      <c r="V310" s="125">
        <v>857</v>
      </c>
      <c r="W310" s="123">
        <v>27.105913162231445</v>
      </c>
      <c r="X310" s="123">
        <v>24.315000534057617</v>
      </c>
      <c r="Y310" s="123">
        <v>6.2979998588562012</v>
      </c>
      <c r="Z310" s="123">
        <v>0</v>
      </c>
      <c r="AA310" s="123">
        <v>17.642999649047852</v>
      </c>
      <c r="AB310" s="123">
        <v>0</v>
      </c>
      <c r="AC310" s="123">
        <v>53.427818298339844</v>
      </c>
      <c r="AD310" s="123">
        <v>6.1069998741149902</v>
      </c>
      <c r="AE310" s="123">
        <v>0</v>
      </c>
      <c r="AF310" s="123">
        <v>80.613136291503906</v>
      </c>
      <c r="AG310" s="123">
        <v>0</v>
      </c>
      <c r="AH310" s="123">
        <v>60.484180450439453</v>
      </c>
      <c r="AI310" s="123">
        <v>16.731000900268555</v>
      </c>
      <c r="AJ310" s="123">
        <v>16.727582931518555</v>
      </c>
      <c r="AK310" s="123">
        <v>37.613304138183594</v>
      </c>
      <c r="AL310" s="123">
        <v>38.347000122070313</v>
      </c>
      <c r="AM310" s="126">
        <v>53.247001647949219</v>
      </c>
      <c r="AN310" s="125">
        <v>115</v>
      </c>
      <c r="AO310" s="127">
        <v>59</v>
      </c>
      <c r="AP310" s="123">
        <v>63.514839172363281</v>
      </c>
      <c r="AQ310" s="123">
        <v>34.639869689941406</v>
      </c>
      <c r="AR310" s="123">
        <v>97</v>
      </c>
      <c r="AS310" s="123"/>
      <c r="AT310" s="123">
        <v>95</v>
      </c>
      <c r="AU310" s="123"/>
      <c r="AV310" s="123">
        <v>51</v>
      </c>
      <c r="AW310" s="123"/>
      <c r="AX310" s="123">
        <v>29</v>
      </c>
      <c r="AY310" s="123">
        <v>31.908164978027344</v>
      </c>
      <c r="AZ310" s="123">
        <v>5</v>
      </c>
      <c r="BA310" s="123"/>
      <c r="BB310" s="123">
        <v>178</v>
      </c>
      <c r="BC310" s="123">
        <v>177.82345581054688</v>
      </c>
      <c r="BD310" s="123">
        <v>6.5</v>
      </c>
      <c r="BE310" s="123">
        <v>6.5654382705688477</v>
      </c>
      <c r="BF310" s="123">
        <v>30</v>
      </c>
      <c r="BG310" s="123">
        <v>10</v>
      </c>
      <c r="BH310" s="123">
        <v>10.994344711303711</v>
      </c>
      <c r="BI310" s="123"/>
      <c r="BJ310" s="108">
        <f t="shared" si="13"/>
        <v>11</v>
      </c>
      <c r="BK310" s="123">
        <v>11</v>
      </c>
      <c r="BL310" s="123">
        <v>0</v>
      </c>
      <c r="BM310" s="126"/>
      <c r="BN310" s="108">
        <f t="shared" si="14"/>
        <v>122</v>
      </c>
      <c r="BO310" s="108">
        <v>73</v>
      </c>
      <c r="BP310" s="108">
        <v>49</v>
      </c>
      <c r="BQ310" s="108">
        <v>261</v>
      </c>
      <c r="BR310" s="123">
        <v>68.083999633789063</v>
      </c>
      <c r="BS310" s="123">
        <v>24.429000854492188</v>
      </c>
      <c r="BT310" s="123">
        <v>40.869998931884766</v>
      </c>
      <c r="BU310" s="123">
        <v>33.398998260498047</v>
      </c>
      <c r="BV310" s="123">
        <v>69.5</v>
      </c>
      <c r="BW310" s="123">
        <v>6.0999999046325684</v>
      </c>
      <c r="BX310" s="123">
        <v>13.800000190734863</v>
      </c>
      <c r="BY310" s="123">
        <v>28</v>
      </c>
      <c r="BZ310" s="123">
        <v>19.921758651733398</v>
      </c>
      <c r="CA310" s="123">
        <v>19</v>
      </c>
      <c r="CB310" s="123">
        <v>29.161666870117188</v>
      </c>
      <c r="CC310" s="126"/>
      <c r="CD310" s="123">
        <v>329.54568481445313</v>
      </c>
      <c r="CE310" s="123">
        <v>27.633518218994141</v>
      </c>
      <c r="CF310" s="123">
        <v>17.350452423095703</v>
      </c>
      <c r="CG310" s="123">
        <v>35.338191986083984</v>
      </c>
      <c r="CH310" s="123">
        <v>273.35452270507813</v>
      </c>
      <c r="CI310" s="123">
        <v>80.073806762695313</v>
      </c>
      <c r="CJ310" s="123">
        <v>33.765762329101563</v>
      </c>
      <c r="CK310" s="123">
        <v>48.940052032470703</v>
      </c>
      <c r="CL310" s="124">
        <v>22.897089004516602</v>
      </c>
      <c r="CM310" s="125">
        <v>171.44947814941406</v>
      </c>
      <c r="CN310" s="123">
        <v>65.35968017578125</v>
      </c>
      <c r="CO310" s="123">
        <v>50.501453399658203</v>
      </c>
      <c r="CP310" s="123">
        <v>52.572696685791016</v>
      </c>
      <c r="CQ310" s="123">
        <v>0</v>
      </c>
      <c r="CR310" s="123">
        <v>51.092239379882813</v>
      </c>
      <c r="CS310" s="123">
        <v>16.409124374389648</v>
      </c>
      <c r="CT310" s="123">
        <v>30.116804122924805</v>
      </c>
      <c r="CU310" s="123">
        <v>39.443405151367188</v>
      </c>
      <c r="CV310" s="124">
        <v>48.405975341796875</v>
      </c>
      <c r="CW310" s="125">
        <v>11</v>
      </c>
      <c r="CX310" s="123">
        <v>292</v>
      </c>
      <c r="CY310" s="123">
        <v>109.44522857666016</v>
      </c>
      <c r="CZ310" s="123">
        <v>48.588077545166016</v>
      </c>
      <c r="DA310" s="123">
        <v>19.900600433349609</v>
      </c>
      <c r="DB310" s="123">
        <v>30.388193130493164</v>
      </c>
      <c r="DC310" s="123">
        <v>69.190773010253906</v>
      </c>
      <c r="DD310" s="123">
        <v>55</v>
      </c>
      <c r="DE310" s="123">
        <v>168</v>
      </c>
      <c r="DF310" s="123">
        <v>101.41241455078125</v>
      </c>
      <c r="DG310" s="123">
        <v>61.544155120849609</v>
      </c>
      <c r="DH310" s="123">
        <v>39.505104064941406</v>
      </c>
      <c r="DI310" s="128">
        <v>38.501865386962891</v>
      </c>
      <c r="DJ310" s="127">
        <v>213</v>
      </c>
      <c r="DK310" s="123">
        <v>107.89399719238281</v>
      </c>
      <c r="DL310" s="123">
        <v>30.309999465942383</v>
      </c>
      <c r="DM310" s="123">
        <v>24.916000366210938</v>
      </c>
      <c r="DN310" s="123">
        <v>52.306999206542969</v>
      </c>
      <c r="DO310" s="124">
        <v>113.30223846435547</v>
      </c>
      <c r="DP310" s="125">
        <v>16.427000045776367</v>
      </c>
      <c r="DQ310" s="123"/>
      <c r="DR310" s="125">
        <v>0</v>
      </c>
      <c r="DS310" s="128">
        <v>28.5</v>
      </c>
      <c r="DT310" s="127">
        <v>13</v>
      </c>
      <c r="DU310" s="123"/>
      <c r="DV310" s="123">
        <v>6</v>
      </c>
      <c r="DW310" s="123">
        <v>2.2176964282989502</v>
      </c>
      <c r="DX310" s="125">
        <v>12</v>
      </c>
      <c r="DY310" s="128"/>
      <c r="DZ310" s="127">
        <v>43</v>
      </c>
      <c r="EA310" s="123">
        <v>3</v>
      </c>
      <c r="EB310" s="123">
        <v>0</v>
      </c>
      <c r="EC310" s="123">
        <v>29</v>
      </c>
      <c r="ED310" s="123">
        <v>231.69999694824219</v>
      </c>
      <c r="EE310" s="129"/>
      <c r="EF310" s="129"/>
      <c r="EG310" s="129"/>
    </row>
    <row r="311" spans="1:137" x14ac:dyDescent="0.3">
      <c r="A311" s="226">
        <f t="shared" si="15"/>
        <v>46020.213194445139</v>
      </c>
      <c r="B311" s="123">
        <v>236</v>
      </c>
      <c r="C311" s="123">
        <v>51.346000671386719</v>
      </c>
      <c r="D311" s="123">
        <v>99.072998046875</v>
      </c>
      <c r="E311" s="123">
        <v>17.190000534057617</v>
      </c>
      <c r="F311" s="123">
        <v>6.9331059455871582</v>
      </c>
      <c r="G311" s="124">
        <v>18.660999298095703</v>
      </c>
      <c r="H311" s="125">
        <v>328</v>
      </c>
      <c r="I311" s="123">
        <v>295</v>
      </c>
      <c r="J311" s="123">
        <v>60.619998931884766</v>
      </c>
      <c r="K311" s="123">
        <v>63.465290069580078</v>
      </c>
      <c r="L311" s="123">
        <v>45.769001007080078</v>
      </c>
      <c r="M311" s="123">
        <v>10.970000267028809</v>
      </c>
      <c r="N311" s="123">
        <v>16.857999801635742</v>
      </c>
      <c r="O311" s="123">
        <v>18</v>
      </c>
      <c r="P311" s="123">
        <v>0</v>
      </c>
      <c r="Q311" s="123">
        <v>18.438844680786133</v>
      </c>
      <c r="R311" s="123">
        <v>10.996874809265137</v>
      </c>
      <c r="S311" s="123">
        <v>10.448492050170898</v>
      </c>
      <c r="T311" s="123">
        <v>0</v>
      </c>
      <c r="U311" s="123">
        <v>0</v>
      </c>
      <c r="V311" s="125">
        <v>864</v>
      </c>
      <c r="W311" s="123">
        <v>27.146425247192383</v>
      </c>
      <c r="X311" s="123">
        <v>24.429000854492188</v>
      </c>
      <c r="Y311" s="123">
        <v>6.2979998588562012</v>
      </c>
      <c r="Z311" s="123">
        <v>0</v>
      </c>
      <c r="AA311" s="123">
        <v>17.642999649047852</v>
      </c>
      <c r="AB311" s="123">
        <v>0</v>
      </c>
      <c r="AC311" s="123">
        <v>54.182548522949219</v>
      </c>
      <c r="AD311" s="123">
        <v>6.1069998741149902</v>
      </c>
      <c r="AE311" s="123">
        <v>0</v>
      </c>
      <c r="AF311" s="123">
        <v>82.283119201660156</v>
      </c>
      <c r="AG311" s="123">
        <v>0</v>
      </c>
      <c r="AH311" s="123">
        <v>62.851852416992188</v>
      </c>
      <c r="AI311" s="123">
        <v>16.731000900268555</v>
      </c>
      <c r="AJ311" s="123">
        <v>16.727582931518555</v>
      </c>
      <c r="AK311" s="123">
        <v>37.275798797607422</v>
      </c>
      <c r="AL311" s="123">
        <v>36.756000518798828</v>
      </c>
      <c r="AM311" s="126">
        <v>56.745998382568359</v>
      </c>
      <c r="AN311" s="125">
        <v>116.1875</v>
      </c>
      <c r="AO311" s="127">
        <v>60</v>
      </c>
      <c r="AP311" s="123">
        <v>64.322113037109375</v>
      </c>
      <c r="AQ311" s="123">
        <v>34.639869689941406</v>
      </c>
      <c r="AR311" s="123">
        <v>96</v>
      </c>
      <c r="AS311" s="123"/>
      <c r="AT311" s="123">
        <v>96</v>
      </c>
      <c r="AU311" s="123"/>
      <c r="AV311" s="123">
        <v>54</v>
      </c>
      <c r="AW311" s="123"/>
      <c r="AX311" s="123">
        <v>30</v>
      </c>
      <c r="AY311" s="123">
        <v>32.593299865722656</v>
      </c>
      <c r="AZ311" s="123">
        <v>6</v>
      </c>
      <c r="BA311" s="123"/>
      <c r="BB311" s="123">
        <v>178</v>
      </c>
      <c r="BC311" s="123">
        <v>177.5225830078125</v>
      </c>
      <c r="BD311" s="123">
        <v>6.5</v>
      </c>
      <c r="BE311" s="123">
        <v>6.5876293182373047</v>
      </c>
      <c r="BF311" s="123">
        <v>30</v>
      </c>
      <c r="BG311" s="123">
        <v>10</v>
      </c>
      <c r="BH311" s="123">
        <v>11.162699699401855</v>
      </c>
      <c r="BI311" s="123"/>
      <c r="BJ311" s="108">
        <f t="shared" si="13"/>
        <v>11</v>
      </c>
      <c r="BK311" s="123">
        <v>11</v>
      </c>
      <c r="BL311" s="123">
        <v>0</v>
      </c>
      <c r="BM311" s="126"/>
      <c r="BN311" s="108">
        <f t="shared" si="14"/>
        <v>122</v>
      </c>
      <c r="BO311" s="108">
        <v>73</v>
      </c>
      <c r="BP311" s="108">
        <v>49</v>
      </c>
      <c r="BQ311" s="108">
        <v>273</v>
      </c>
      <c r="BR311" s="123">
        <v>72.042999267578125</v>
      </c>
      <c r="BS311" s="123">
        <v>23.410999298095703</v>
      </c>
      <c r="BT311" s="123">
        <v>40.176998138427734</v>
      </c>
      <c r="BU311" s="123">
        <v>34.86199951171875</v>
      </c>
      <c r="BV311" s="123">
        <v>68.900001525878906</v>
      </c>
      <c r="BW311" s="123">
        <v>6.0999999046325684</v>
      </c>
      <c r="BX311" s="123">
        <v>13.899999618530273</v>
      </c>
      <c r="BY311" s="123">
        <v>29</v>
      </c>
      <c r="BZ311" s="123">
        <v>3.1527431011199951</v>
      </c>
      <c r="CA311" s="123">
        <v>0</v>
      </c>
      <c r="CB311" s="123">
        <v>29.161666870117188</v>
      </c>
      <c r="CC311" s="126"/>
      <c r="CD311" s="123">
        <v>337.96087646484375</v>
      </c>
      <c r="CE311" s="123">
        <v>29.139930725097656</v>
      </c>
      <c r="CF311" s="123">
        <v>19.131229400634766</v>
      </c>
      <c r="CG311" s="123">
        <v>35.338191986083984</v>
      </c>
      <c r="CH311" s="123">
        <v>274.55868530273438</v>
      </c>
      <c r="CI311" s="123">
        <v>79.703819274902344</v>
      </c>
      <c r="CJ311" s="123">
        <v>31.273384094238281</v>
      </c>
      <c r="CK311" s="123">
        <v>49.658451080322266</v>
      </c>
      <c r="CL311" s="124">
        <v>23.877517700195313</v>
      </c>
      <c r="CM311" s="125">
        <v>176.14825439453125</v>
      </c>
      <c r="CN311" s="123">
        <v>69.039749145507813</v>
      </c>
      <c r="CO311" s="123">
        <v>49.017601013183594</v>
      </c>
      <c r="CP311" s="123">
        <v>54.821670532226563</v>
      </c>
      <c r="CQ311" s="123">
        <v>0</v>
      </c>
      <c r="CR311" s="123">
        <v>48.763809204101563</v>
      </c>
      <c r="CS311" s="123">
        <v>17.216217041015625</v>
      </c>
      <c r="CT311" s="123">
        <v>31.730548858642578</v>
      </c>
      <c r="CU311" s="123">
        <v>39.946231842041016</v>
      </c>
      <c r="CV311" s="124">
        <v>49.014064788818359</v>
      </c>
      <c r="CW311" s="125">
        <v>0</v>
      </c>
      <c r="CX311" s="123">
        <v>289</v>
      </c>
      <c r="CY311" s="123">
        <v>107.45549774169922</v>
      </c>
      <c r="CZ311" s="123">
        <v>47.162773132324219</v>
      </c>
      <c r="DA311" s="123">
        <v>20.886394500732422</v>
      </c>
      <c r="DB311" s="123">
        <v>29.771644592285156</v>
      </c>
      <c r="DC311" s="123">
        <v>68.3629150390625</v>
      </c>
      <c r="DD311" s="123">
        <v>57</v>
      </c>
      <c r="DE311" s="123">
        <v>168</v>
      </c>
      <c r="DF311" s="123">
        <v>101.593505859375</v>
      </c>
      <c r="DG311" s="123">
        <v>61.697422027587891</v>
      </c>
      <c r="DH311" s="123">
        <v>40.416893005371094</v>
      </c>
      <c r="DI311" s="128">
        <v>39.943756103515625</v>
      </c>
      <c r="DJ311" s="127">
        <v>220</v>
      </c>
      <c r="DK311" s="123">
        <v>115.52799987792969</v>
      </c>
      <c r="DL311" s="123">
        <v>26.916999816894531</v>
      </c>
      <c r="DM311" s="123">
        <v>27.920000076293945</v>
      </c>
      <c r="DN311" s="123">
        <v>53.721000671386719</v>
      </c>
      <c r="DO311" s="124">
        <v>117.5057373046875</v>
      </c>
      <c r="DP311" s="125">
        <v>16.172000885009766</v>
      </c>
      <c r="DQ311" s="123"/>
      <c r="DR311" s="125">
        <v>0</v>
      </c>
      <c r="DS311" s="128">
        <v>28</v>
      </c>
      <c r="DT311" s="127">
        <v>13</v>
      </c>
      <c r="DU311" s="123"/>
      <c r="DV311" s="123">
        <v>7</v>
      </c>
      <c r="DW311" s="123">
        <v>2.2435510158538818</v>
      </c>
      <c r="DX311" s="125">
        <v>12</v>
      </c>
      <c r="DY311" s="128"/>
      <c r="DZ311" s="127">
        <v>45</v>
      </c>
      <c r="EA311" s="123">
        <v>3</v>
      </c>
      <c r="EB311" s="123">
        <v>0</v>
      </c>
      <c r="EC311" s="123">
        <v>29</v>
      </c>
      <c r="ED311" s="123">
        <v>235.60000610351563</v>
      </c>
      <c r="EE311" s="129"/>
      <c r="EF311" s="129"/>
      <c r="EG311" s="129"/>
    </row>
    <row r="312" spans="1:137" x14ac:dyDescent="0.3">
      <c r="A312" s="226">
        <f t="shared" si="15"/>
        <v>46020.213888889586</v>
      </c>
      <c r="B312" s="123">
        <v>243</v>
      </c>
      <c r="C312" s="123">
        <v>54.512001037597656</v>
      </c>
      <c r="D312" s="123">
        <v>99.525001525878906</v>
      </c>
      <c r="E312" s="123">
        <v>17.416000366210938</v>
      </c>
      <c r="F312" s="123">
        <v>3.3608272075653076</v>
      </c>
      <c r="G312" s="124">
        <v>18.094999313354492</v>
      </c>
      <c r="H312" s="125">
        <v>325</v>
      </c>
      <c r="I312" s="123">
        <v>293</v>
      </c>
      <c r="J312" s="123">
        <v>62.541999816894531</v>
      </c>
      <c r="K312" s="123">
        <v>63.113338470458984</v>
      </c>
      <c r="L312" s="123">
        <v>46.298999786376953</v>
      </c>
      <c r="M312" s="123">
        <v>11.64900016784668</v>
      </c>
      <c r="N312" s="123">
        <v>17.367000579833984</v>
      </c>
      <c r="O312" s="123">
        <v>17</v>
      </c>
      <c r="P312" s="123">
        <v>0</v>
      </c>
      <c r="Q312" s="123">
        <v>17.635627746582031</v>
      </c>
      <c r="R312" s="123">
        <v>12</v>
      </c>
      <c r="S312" s="123">
        <v>11.997143745422363</v>
      </c>
      <c r="T312" s="123">
        <v>0</v>
      </c>
      <c r="U312" s="123">
        <v>0</v>
      </c>
      <c r="V312" s="125">
        <v>866</v>
      </c>
      <c r="W312" s="123">
        <v>25.718997955322266</v>
      </c>
      <c r="X312" s="123">
        <v>24.429000854492188</v>
      </c>
      <c r="Y312" s="123">
        <v>6.9970002174377441</v>
      </c>
      <c r="Z312" s="123">
        <v>0</v>
      </c>
      <c r="AA312" s="123">
        <v>17.530000686645508</v>
      </c>
      <c r="AB312" s="123">
        <v>0</v>
      </c>
      <c r="AC312" s="123">
        <v>55.776222229003906</v>
      </c>
      <c r="AD312" s="123">
        <v>6.1069998741149902</v>
      </c>
      <c r="AE312" s="123">
        <v>0</v>
      </c>
      <c r="AF312" s="123">
        <v>82.500450134277344</v>
      </c>
      <c r="AG312" s="123">
        <v>0</v>
      </c>
      <c r="AH312" s="123">
        <v>65.360908508300781</v>
      </c>
      <c r="AI312" s="123">
        <v>15.904000282287598</v>
      </c>
      <c r="AJ312" s="123">
        <v>16.67512321472168</v>
      </c>
      <c r="AK312" s="123">
        <v>36.0408935546875</v>
      </c>
      <c r="AL312" s="123">
        <v>38.169998168945313</v>
      </c>
      <c r="AM312" s="126">
        <v>56.363998413085938</v>
      </c>
      <c r="AN312" s="125">
        <v>123.75</v>
      </c>
      <c r="AO312" s="127">
        <v>63</v>
      </c>
      <c r="AP312" s="123">
        <v>66.945579528808594</v>
      </c>
      <c r="AQ312" s="123">
        <v>39.146610260009766</v>
      </c>
      <c r="AR312" s="123">
        <v>96</v>
      </c>
      <c r="AS312" s="123"/>
      <c r="AT312" s="123">
        <v>96</v>
      </c>
      <c r="AU312" s="123"/>
      <c r="AV312" s="123">
        <v>55</v>
      </c>
      <c r="AW312" s="123"/>
      <c r="AX312" s="123">
        <v>30</v>
      </c>
      <c r="AY312" s="123">
        <v>33.121334075927734</v>
      </c>
      <c r="AZ312" s="123">
        <v>5</v>
      </c>
      <c r="BA312" s="123"/>
      <c r="BB312" s="123">
        <v>177</v>
      </c>
      <c r="BC312" s="123">
        <v>177.84036254882813</v>
      </c>
      <c r="BD312" s="123">
        <v>6.5</v>
      </c>
      <c r="BE312" s="123">
        <v>6.5848383903503418</v>
      </c>
      <c r="BF312" s="123">
        <v>29</v>
      </c>
      <c r="BG312" s="123">
        <v>10</v>
      </c>
      <c r="BH312" s="123">
        <v>10.915717124938965</v>
      </c>
      <c r="BI312" s="123"/>
      <c r="BJ312" s="108">
        <f t="shared" si="13"/>
        <v>13</v>
      </c>
      <c r="BK312" s="123">
        <v>13</v>
      </c>
      <c r="BL312" s="123">
        <v>0</v>
      </c>
      <c r="BM312" s="126"/>
      <c r="BN312" s="108">
        <f t="shared" si="14"/>
        <v>121.20000076293945</v>
      </c>
      <c r="BO312" s="108">
        <v>72</v>
      </c>
      <c r="BP312" s="108">
        <v>49.200000762939453</v>
      </c>
      <c r="BQ312" s="108">
        <v>270</v>
      </c>
      <c r="BR312" s="123">
        <v>72.946998596191406</v>
      </c>
      <c r="BS312" s="123">
        <v>23.665000915527344</v>
      </c>
      <c r="BT312" s="123">
        <v>40.523998260498047</v>
      </c>
      <c r="BU312" s="123">
        <v>35.816001892089844</v>
      </c>
      <c r="BV312" s="123">
        <v>68.400001525878906</v>
      </c>
      <c r="BW312" s="123">
        <v>6.5</v>
      </c>
      <c r="BX312" s="123">
        <v>13.600000381469727</v>
      </c>
      <c r="BY312" s="123">
        <v>28</v>
      </c>
      <c r="BZ312" s="123">
        <v>1.4947801828384399E-2</v>
      </c>
      <c r="CA312" s="123">
        <v>0</v>
      </c>
      <c r="CB312" s="123">
        <v>29.243230819702148</v>
      </c>
      <c r="CC312" s="126"/>
      <c r="CD312" s="123">
        <v>339.05767822265625</v>
      </c>
      <c r="CE312" s="123">
        <v>28.522891998291016</v>
      </c>
      <c r="CF312" s="123">
        <v>18.434366226196289</v>
      </c>
      <c r="CG312" s="123">
        <v>35.338191986083984</v>
      </c>
      <c r="CH312" s="123">
        <v>275.4183349609375</v>
      </c>
      <c r="CI312" s="123">
        <v>78.860801696777344</v>
      </c>
      <c r="CJ312" s="123">
        <v>32.666858673095703</v>
      </c>
      <c r="CK312" s="123">
        <v>50.137771606445313</v>
      </c>
      <c r="CL312" s="124">
        <v>25.069520950317383</v>
      </c>
      <c r="CM312" s="125">
        <v>172.43550109863281</v>
      </c>
      <c r="CN312" s="123">
        <v>66.142265319824219</v>
      </c>
      <c r="CO312" s="123">
        <v>48.31610107421875</v>
      </c>
      <c r="CP312" s="123">
        <v>54.651153564453125</v>
      </c>
      <c r="CQ312" s="123">
        <v>0</v>
      </c>
      <c r="CR312" s="123">
        <v>50.095577239990234</v>
      </c>
      <c r="CS312" s="123">
        <v>16.749963760375977</v>
      </c>
      <c r="CT312" s="123">
        <v>32.907691955566406</v>
      </c>
      <c r="CU312" s="123">
        <v>43.865203857421875</v>
      </c>
      <c r="CV312" s="124">
        <v>49.705368041992188</v>
      </c>
      <c r="CW312" s="125">
        <v>3</v>
      </c>
      <c r="CX312" s="123">
        <v>290</v>
      </c>
      <c r="CY312" s="123">
        <v>107.45549774169922</v>
      </c>
      <c r="CZ312" s="123">
        <v>47.990966796875</v>
      </c>
      <c r="DA312" s="123">
        <v>19.588508605957031</v>
      </c>
      <c r="DB312" s="123">
        <v>30.690742492675781</v>
      </c>
      <c r="DC312" s="123">
        <v>68.98907470703125</v>
      </c>
      <c r="DD312" s="123">
        <v>59</v>
      </c>
      <c r="DE312" s="123">
        <v>169</v>
      </c>
      <c r="DF312" s="123">
        <v>102.47544097900391</v>
      </c>
      <c r="DG312" s="123">
        <v>61.959869384765625</v>
      </c>
      <c r="DH312" s="123">
        <v>40.881984710693359</v>
      </c>
      <c r="DI312" s="128">
        <v>39.5523681640625</v>
      </c>
      <c r="DJ312" s="127">
        <v>219</v>
      </c>
      <c r="DK312" s="123">
        <v>115.52799987792969</v>
      </c>
      <c r="DL312" s="123">
        <v>29.179000854492188</v>
      </c>
      <c r="DM312" s="123">
        <v>29.51099967956543</v>
      </c>
      <c r="DN312" s="123">
        <v>53.721000671386719</v>
      </c>
      <c r="DO312" s="124">
        <v>114.23222351074219</v>
      </c>
      <c r="DP312" s="125">
        <v>16.229000091552734</v>
      </c>
      <c r="DQ312" s="123"/>
      <c r="DR312" s="125">
        <v>0</v>
      </c>
      <c r="DS312" s="128">
        <v>28.299999237060547</v>
      </c>
      <c r="DT312" s="127">
        <v>13</v>
      </c>
      <c r="DU312" s="123"/>
      <c r="DV312" s="123">
        <v>7</v>
      </c>
      <c r="DW312" s="123">
        <v>2.3173248767852783</v>
      </c>
      <c r="DX312" s="125">
        <v>12</v>
      </c>
      <c r="DY312" s="128"/>
      <c r="DZ312" s="127">
        <v>45</v>
      </c>
      <c r="EA312" s="123">
        <v>3</v>
      </c>
      <c r="EB312" s="123">
        <v>0</v>
      </c>
      <c r="EC312" s="123">
        <v>29</v>
      </c>
      <c r="ED312" s="123">
        <v>237</v>
      </c>
      <c r="EE312" s="129"/>
      <c r="EF312" s="129"/>
      <c r="EG312" s="129"/>
    </row>
    <row r="313" spans="1:137" x14ac:dyDescent="0.3">
      <c r="A313" s="226">
        <f t="shared" si="15"/>
        <v>46020.214583334033</v>
      </c>
      <c r="B313" s="123">
        <v>240</v>
      </c>
      <c r="C313" s="123">
        <v>53.833999633789063</v>
      </c>
      <c r="D313" s="123">
        <v>97.602996826171875</v>
      </c>
      <c r="E313" s="123">
        <v>23.636999130249023</v>
      </c>
      <c r="F313" s="123">
        <v>10.301728248596191</v>
      </c>
      <c r="G313" s="124">
        <v>18.320999145507813</v>
      </c>
      <c r="H313" s="125">
        <v>329</v>
      </c>
      <c r="I313" s="123">
        <v>289</v>
      </c>
      <c r="J313" s="123">
        <v>63.333999633789063</v>
      </c>
      <c r="K313" s="123">
        <v>62.620929718017578</v>
      </c>
      <c r="L313" s="123">
        <v>45.591999053955078</v>
      </c>
      <c r="M313" s="123">
        <v>11.875</v>
      </c>
      <c r="N313" s="123">
        <v>16.794000625610352</v>
      </c>
      <c r="O313" s="123">
        <v>17</v>
      </c>
      <c r="P313" s="123">
        <v>0</v>
      </c>
      <c r="Q313" s="123">
        <v>17.606042861938477</v>
      </c>
      <c r="R313" s="123">
        <v>10.996874809265137</v>
      </c>
      <c r="S313" s="123">
        <v>9.6370830535888672</v>
      </c>
      <c r="T313" s="123">
        <v>0</v>
      </c>
      <c r="U313" s="123">
        <v>0</v>
      </c>
      <c r="V313" s="125">
        <v>865</v>
      </c>
      <c r="W313" s="123">
        <v>26.195480346679688</v>
      </c>
      <c r="X313" s="123">
        <v>24.655000686645508</v>
      </c>
      <c r="Y313" s="123">
        <v>6.6160001754760742</v>
      </c>
      <c r="Z313" s="123">
        <v>0</v>
      </c>
      <c r="AA313" s="123">
        <v>18.77400016784668</v>
      </c>
      <c r="AB313" s="123">
        <v>0</v>
      </c>
      <c r="AC313" s="123">
        <v>53.89422607421875</v>
      </c>
      <c r="AD313" s="123">
        <v>6.1069998741149902</v>
      </c>
      <c r="AE313" s="123">
        <v>0</v>
      </c>
      <c r="AF313" s="123">
        <v>83.078018188476563</v>
      </c>
      <c r="AG313" s="123">
        <v>0</v>
      </c>
      <c r="AH313" s="123">
        <v>64.452743530273438</v>
      </c>
      <c r="AI313" s="123">
        <v>17.558000564575195</v>
      </c>
      <c r="AJ313" s="123">
        <v>17.238922119140625</v>
      </c>
      <c r="AK313" s="123">
        <v>37.074863433837891</v>
      </c>
      <c r="AL313" s="123">
        <v>36.402999877929688</v>
      </c>
      <c r="AM313" s="126">
        <v>56.745998382568359</v>
      </c>
      <c r="AN313" s="125">
        <v>116.4375</v>
      </c>
      <c r="AO313" s="127">
        <v>62</v>
      </c>
      <c r="AP313" s="123">
        <v>65.205596923828125</v>
      </c>
      <c r="AQ313" s="123">
        <v>37.887157440185547</v>
      </c>
      <c r="AR313" s="123">
        <v>97</v>
      </c>
      <c r="AS313" s="123"/>
      <c r="AT313" s="123">
        <v>96</v>
      </c>
      <c r="AU313" s="123"/>
      <c r="AV313" s="123">
        <v>53</v>
      </c>
      <c r="AW313" s="123"/>
      <c r="AX313" s="123">
        <v>30</v>
      </c>
      <c r="AY313" s="123">
        <v>32.174243927001953</v>
      </c>
      <c r="AZ313" s="123">
        <v>4</v>
      </c>
      <c r="BA313" s="123"/>
      <c r="BB313" s="123">
        <v>178</v>
      </c>
      <c r="BC313" s="123">
        <v>179.57939147949219</v>
      </c>
      <c r="BD313" s="123">
        <v>6.8000001907348633</v>
      </c>
      <c r="BE313" s="123">
        <v>6.7761998176574707</v>
      </c>
      <c r="BF313" s="123">
        <v>30</v>
      </c>
      <c r="BG313" s="123">
        <v>10</v>
      </c>
      <c r="BH313" s="123">
        <v>10.92929744720459</v>
      </c>
      <c r="BI313" s="123"/>
      <c r="BJ313" s="108">
        <f t="shared" si="13"/>
        <v>11</v>
      </c>
      <c r="BK313" s="123">
        <v>11</v>
      </c>
      <c r="BL313" s="123">
        <v>0</v>
      </c>
      <c r="BM313" s="126"/>
      <c r="BN313" s="108">
        <f t="shared" si="14"/>
        <v>121</v>
      </c>
      <c r="BO313" s="108">
        <v>72</v>
      </c>
      <c r="BP313" s="108">
        <v>49</v>
      </c>
      <c r="BQ313" s="108">
        <v>270</v>
      </c>
      <c r="BR313" s="123">
        <v>75.775001525878906</v>
      </c>
      <c r="BS313" s="123">
        <v>24.429000854492188</v>
      </c>
      <c r="BT313" s="123">
        <v>40.523998260498047</v>
      </c>
      <c r="BU313" s="123">
        <v>36.388999938964844</v>
      </c>
      <c r="BV313" s="123">
        <v>69.099998474121094</v>
      </c>
      <c r="BW313" s="123">
        <v>6.5</v>
      </c>
      <c r="BX313" s="123">
        <v>13.600000381469727</v>
      </c>
      <c r="BY313" s="123">
        <v>28</v>
      </c>
      <c r="BZ313" s="123">
        <v>1.3062199577689171E-2</v>
      </c>
      <c r="CA313" s="123">
        <v>0</v>
      </c>
      <c r="CB313" s="123">
        <v>29.772623062133789</v>
      </c>
      <c r="CC313" s="126"/>
      <c r="CD313" s="123">
        <v>340.080810546875</v>
      </c>
      <c r="CE313" s="123">
        <v>32.052947998046875</v>
      </c>
      <c r="CF313" s="123">
        <v>17.486604690551758</v>
      </c>
      <c r="CG313" s="123">
        <v>35.338191986083984</v>
      </c>
      <c r="CH313" s="123">
        <v>275.12396240234375</v>
      </c>
      <c r="CI313" s="123">
        <v>77.596977233886719</v>
      </c>
      <c r="CJ313" s="123">
        <v>34.092948913574219</v>
      </c>
      <c r="CK313" s="123">
        <v>47.364498138427734</v>
      </c>
      <c r="CL313" s="124">
        <v>25.154821395874023</v>
      </c>
      <c r="CM313" s="125">
        <v>176.90158081054688</v>
      </c>
      <c r="CN313" s="123">
        <v>72.816993713378906</v>
      </c>
      <c r="CO313" s="123">
        <v>48.176364898681641</v>
      </c>
      <c r="CP313" s="123">
        <v>52.633918762207031</v>
      </c>
      <c r="CQ313" s="123">
        <v>0</v>
      </c>
      <c r="CR313" s="123">
        <v>49.770755767822266</v>
      </c>
      <c r="CS313" s="123">
        <v>16.057378768920898</v>
      </c>
      <c r="CT313" s="123">
        <v>33.29351806640625</v>
      </c>
      <c r="CU313" s="123">
        <v>37.987804412841797</v>
      </c>
      <c r="CV313" s="124">
        <v>46.542396545410156</v>
      </c>
      <c r="CW313" s="125">
        <v>1</v>
      </c>
      <c r="CX313" s="123">
        <v>291</v>
      </c>
      <c r="CY313" s="123">
        <v>108.9981689453125</v>
      </c>
      <c r="CZ313" s="123">
        <v>49.756267547607422</v>
      </c>
      <c r="DA313" s="123">
        <v>19.636508941650391</v>
      </c>
      <c r="DB313" s="123">
        <v>29.564374923706055</v>
      </c>
      <c r="DC313" s="123">
        <v>69.153663635253906</v>
      </c>
      <c r="DD313" s="123">
        <v>60</v>
      </c>
      <c r="DE313" s="123">
        <v>168</v>
      </c>
      <c r="DF313" s="123">
        <v>102.72654724121094</v>
      </c>
      <c r="DG313" s="123">
        <v>65.759254455566406</v>
      </c>
      <c r="DH313" s="123">
        <v>40.090927124023438</v>
      </c>
      <c r="DI313" s="128">
        <v>39.5523681640625</v>
      </c>
      <c r="DJ313" s="127">
        <v>219</v>
      </c>
      <c r="DK313" s="123">
        <v>116.29199981689453</v>
      </c>
      <c r="DL313" s="123">
        <v>26.238000869750977</v>
      </c>
      <c r="DM313" s="123">
        <v>29.687999725341797</v>
      </c>
      <c r="DN313" s="123">
        <v>53.896999359130859</v>
      </c>
      <c r="DO313" s="124">
        <v>115.88264465332031</v>
      </c>
      <c r="DP313" s="125">
        <v>15.579000473022461</v>
      </c>
      <c r="DQ313" s="123"/>
      <c r="DR313" s="125">
        <v>0</v>
      </c>
      <c r="DS313" s="128">
        <v>28.100000381469727</v>
      </c>
      <c r="DT313" s="127">
        <v>12</v>
      </c>
      <c r="DU313" s="123"/>
      <c r="DV313" s="123">
        <v>7</v>
      </c>
      <c r="DW313" s="123">
        <v>2.3457527160644531</v>
      </c>
      <c r="DX313" s="125">
        <v>12</v>
      </c>
      <c r="DY313" s="128"/>
      <c r="DZ313" s="127">
        <v>45</v>
      </c>
      <c r="EA313" s="123">
        <v>3</v>
      </c>
      <c r="EB313" s="123">
        <v>0</v>
      </c>
      <c r="EC313" s="123">
        <v>29</v>
      </c>
      <c r="ED313" s="123">
        <v>237.69999694824219</v>
      </c>
      <c r="EE313" s="129"/>
      <c r="EF313" s="129"/>
      <c r="EG313" s="129"/>
    </row>
    <row r="314" spans="1:137" x14ac:dyDescent="0.3">
      <c r="A314" s="226">
        <f t="shared" si="15"/>
        <v>46020.21527777848</v>
      </c>
      <c r="B314" s="123">
        <v>238</v>
      </c>
      <c r="C314" s="123">
        <v>51.346000671386719</v>
      </c>
      <c r="D314" s="123">
        <v>98.167999267578125</v>
      </c>
      <c r="E314" s="123">
        <v>20.243999481201172</v>
      </c>
      <c r="F314" s="123">
        <v>13.467438697814941</v>
      </c>
      <c r="G314" s="124">
        <v>18.208000183105469</v>
      </c>
      <c r="H314" s="125">
        <v>321</v>
      </c>
      <c r="I314" s="123">
        <v>293</v>
      </c>
      <c r="J314" s="123">
        <v>59.035999298095703</v>
      </c>
      <c r="K314" s="123">
        <v>61.143527984619141</v>
      </c>
      <c r="L314" s="123">
        <v>45.769001007080078</v>
      </c>
      <c r="M314" s="123">
        <v>11.421999931335449</v>
      </c>
      <c r="N314" s="123">
        <v>18.511999130249023</v>
      </c>
      <c r="O314" s="123">
        <v>17</v>
      </c>
      <c r="P314" s="123">
        <v>0</v>
      </c>
      <c r="Q314" s="123">
        <v>18.109411239624023</v>
      </c>
      <c r="R314" s="123">
        <v>6</v>
      </c>
      <c r="S314" s="123">
        <v>6.1003804206848145</v>
      </c>
      <c r="T314" s="123">
        <v>7</v>
      </c>
      <c r="U314" s="123">
        <v>7</v>
      </c>
      <c r="V314" s="125">
        <v>865</v>
      </c>
      <c r="W314" s="123">
        <v>26.911579132080078</v>
      </c>
      <c r="X314" s="123">
        <v>24.655000686645508</v>
      </c>
      <c r="Y314" s="123">
        <v>6.5520000457763672</v>
      </c>
      <c r="Z314" s="123">
        <v>0</v>
      </c>
      <c r="AA314" s="123">
        <v>17.530000686645508</v>
      </c>
      <c r="AB314" s="123">
        <v>0</v>
      </c>
      <c r="AC314" s="123">
        <v>54.495628356933594</v>
      </c>
      <c r="AD314" s="123">
        <v>5.8520002365112305</v>
      </c>
      <c r="AE314" s="123">
        <v>0</v>
      </c>
      <c r="AF314" s="123">
        <v>81.838958740234375</v>
      </c>
      <c r="AG314" s="123">
        <v>0</v>
      </c>
      <c r="AH314" s="123">
        <v>66.691947937011719</v>
      </c>
      <c r="AI314" s="123">
        <v>13.104999542236328</v>
      </c>
      <c r="AJ314" s="123">
        <v>16.476987838745117</v>
      </c>
      <c r="AK314" s="123">
        <v>36.306781768798828</v>
      </c>
      <c r="AL314" s="123">
        <v>36.226001739501953</v>
      </c>
      <c r="AM314" s="126">
        <v>56.110000610351563</v>
      </c>
      <c r="AN314" s="125">
        <v>116.3125</v>
      </c>
      <c r="AO314" s="127">
        <v>60</v>
      </c>
      <c r="AP314" s="123">
        <v>64.564544677734375</v>
      </c>
      <c r="AQ314" s="123">
        <v>34.863204956054688</v>
      </c>
      <c r="AR314" s="123">
        <v>98</v>
      </c>
      <c r="AS314" s="123"/>
      <c r="AT314" s="123">
        <v>95</v>
      </c>
      <c r="AU314" s="123"/>
      <c r="AV314" s="123">
        <v>55</v>
      </c>
      <c r="AW314" s="123"/>
      <c r="AX314" s="123">
        <v>29</v>
      </c>
      <c r="AY314" s="123">
        <v>31.501953125</v>
      </c>
      <c r="AZ314" s="123">
        <v>4</v>
      </c>
      <c r="BA314" s="123"/>
      <c r="BB314" s="123">
        <v>178</v>
      </c>
      <c r="BC314" s="123">
        <v>181.69979858398438</v>
      </c>
      <c r="BD314" s="123">
        <v>6.5999999046325684</v>
      </c>
      <c r="BE314" s="123">
        <v>6.6338915824890137</v>
      </c>
      <c r="BF314" s="123">
        <v>30</v>
      </c>
      <c r="BG314" s="123">
        <v>11</v>
      </c>
      <c r="BH314" s="123">
        <v>11.296768188476563</v>
      </c>
      <c r="BI314" s="123"/>
      <c r="BJ314" s="108">
        <f t="shared" si="13"/>
        <v>11</v>
      </c>
      <c r="BK314" s="123">
        <v>11</v>
      </c>
      <c r="BL314" s="123">
        <v>0</v>
      </c>
      <c r="BM314" s="126"/>
      <c r="BN314" s="108">
        <f t="shared" si="14"/>
        <v>122.20000076293945</v>
      </c>
      <c r="BO314" s="108">
        <v>73</v>
      </c>
      <c r="BP314" s="108">
        <v>49.200000762939453</v>
      </c>
      <c r="BQ314" s="108">
        <v>275</v>
      </c>
      <c r="BR314" s="123">
        <v>76.566001892089844</v>
      </c>
      <c r="BS314" s="123">
        <v>24.683000564575195</v>
      </c>
      <c r="BT314" s="123">
        <v>40.869998931884766</v>
      </c>
      <c r="BU314" s="123">
        <v>34.924999237060547</v>
      </c>
      <c r="BV314" s="123">
        <v>68.300003051757813</v>
      </c>
      <c r="BW314" s="123">
        <v>6.4000000953674316</v>
      </c>
      <c r="BX314" s="123">
        <v>13.600000381469727</v>
      </c>
      <c r="BY314" s="123">
        <v>28</v>
      </c>
      <c r="BZ314" s="123">
        <v>1.3062199577689171E-2</v>
      </c>
      <c r="CA314" s="123">
        <v>0</v>
      </c>
      <c r="CB314" s="123">
        <v>30.09691047668457</v>
      </c>
      <c r="CC314" s="126"/>
      <c r="CD314" s="123">
        <v>336.83676147460938</v>
      </c>
      <c r="CE314" s="123">
        <v>29.818519592285156</v>
      </c>
      <c r="CF314" s="123">
        <v>17.302801132202148</v>
      </c>
      <c r="CG314" s="123">
        <v>35.338191986083984</v>
      </c>
      <c r="CH314" s="123">
        <v>277.11032104492188</v>
      </c>
      <c r="CI314" s="123">
        <v>82.070693969726563</v>
      </c>
      <c r="CJ314" s="123">
        <v>32.257892608642578</v>
      </c>
      <c r="CK314" s="123">
        <v>49.956809997558594</v>
      </c>
      <c r="CL314" s="124">
        <v>24.446586608886719</v>
      </c>
      <c r="CM314" s="125">
        <v>171.57855224609375</v>
      </c>
      <c r="CN314" s="123">
        <v>64.366043090820313</v>
      </c>
      <c r="CO314" s="123">
        <v>46.293003082275391</v>
      </c>
      <c r="CP314" s="123">
        <v>54.977912902832031</v>
      </c>
      <c r="CQ314" s="123">
        <v>0</v>
      </c>
      <c r="CR314" s="123">
        <v>50.404899597167969</v>
      </c>
      <c r="CS314" s="123">
        <v>16.75701904296875</v>
      </c>
      <c r="CT314" s="123">
        <v>35.846797943115234</v>
      </c>
      <c r="CU314" s="123">
        <v>39.518566131591797</v>
      </c>
      <c r="CV314" s="124">
        <v>46.600749969482422</v>
      </c>
      <c r="CW314" s="125">
        <v>5</v>
      </c>
      <c r="CX314" s="123">
        <v>296</v>
      </c>
      <c r="CY314" s="123">
        <v>107.51427459716797</v>
      </c>
      <c r="CZ314" s="123">
        <v>49.37841796875</v>
      </c>
      <c r="DA314" s="123">
        <v>20.498594284057617</v>
      </c>
      <c r="DB314" s="123">
        <v>29.023139953613281</v>
      </c>
      <c r="DC314" s="123">
        <v>71.915275573730469</v>
      </c>
      <c r="DD314" s="123">
        <v>56</v>
      </c>
      <c r="DE314" s="123">
        <v>170</v>
      </c>
      <c r="DF314" s="123">
        <v>102.56265258789063</v>
      </c>
      <c r="DG314" s="123">
        <v>67.446563720703125</v>
      </c>
      <c r="DH314" s="123">
        <v>39.686397552490234</v>
      </c>
      <c r="DI314" s="128">
        <v>37.517326354980469</v>
      </c>
      <c r="DJ314" s="127">
        <v>219</v>
      </c>
      <c r="DK314" s="123">
        <v>112.47499847412109</v>
      </c>
      <c r="DL314" s="123">
        <v>26.238000869750977</v>
      </c>
      <c r="DM314" s="123">
        <v>29.687999725341797</v>
      </c>
      <c r="DN314" s="123">
        <v>51.599998474121094</v>
      </c>
      <c r="DO314" s="124">
        <v>114.80265045166016</v>
      </c>
      <c r="DP314" s="125">
        <v>15.890000343322754</v>
      </c>
      <c r="DQ314" s="123"/>
      <c r="DR314" s="125">
        <v>0</v>
      </c>
      <c r="DS314" s="128">
        <v>28.700000762939453</v>
      </c>
      <c r="DT314" s="127">
        <v>12</v>
      </c>
      <c r="DU314" s="123"/>
      <c r="DV314" s="123">
        <v>7</v>
      </c>
      <c r="DW314" s="123">
        <v>2.3838181495666504</v>
      </c>
      <c r="DX314" s="125">
        <v>10</v>
      </c>
      <c r="DY314" s="128"/>
      <c r="DZ314" s="127">
        <v>45</v>
      </c>
      <c r="EA314" s="123">
        <v>3</v>
      </c>
      <c r="EB314" s="123">
        <v>0</v>
      </c>
      <c r="EC314" s="123">
        <v>29</v>
      </c>
      <c r="ED314" s="123">
        <v>237.19999694824219</v>
      </c>
      <c r="EE314" s="129"/>
      <c r="EF314" s="129"/>
      <c r="EG314" s="129"/>
    </row>
    <row r="315" spans="1:137" x14ac:dyDescent="0.3">
      <c r="A315" s="226">
        <f t="shared" si="15"/>
        <v>46020.215972222926</v>
      </c>
      <c r="B315" s="123">
        <v>241</v>
      </c>
      <c r="C315" s="123">
        <v>52.477001190185547</v>
      </c>
      <c r="D315" s="123">
        <v>99.977996826171875</v>
      </c>
      <c r="E315" s="123">
        <v>22.280000686645508</v>
      </c>
      <c r="F315" s="123">
        <v>6.804286003112793</v>
      </c>
      <c r="G315" s="124">
        <v>19.339000701904297</v>
      </c>
      <c r="H315" s="125">
        <v>320</v>
      </c>
      <c r="I315" s="123">
        <v>285</v>
      </c>
      <c r="J315" s="123">
        <v>60.733001708984375</v>
      </c>
      <c r="K315" s="123">
        <v>61.00677490234375</v>
      </c>
      <c r="L315" s="123">
        <v>42.588001251220703</v>
      </c>
      <c r="M315" s="123">
        <v>11.76200008392334</v>
      </c>
      <c r="N315" s="123">
        <v>16.985000610351563</v>
      </c>
      <c r="O315" s="123">
        <v>17</v>
      </c>
      <c r="P315" s="123">
        <v>0</v>
      </c>
      <c r="Q315" s="123">
        <v>18.109411239624023</v>
      </c>
      <c r="R315" s="123">
        <v>6</v>
      </c>
      <c r="S315" s="123">
        <v>6.1003804206848145</v>
      </c>
      <c r="T315" s="123">
        <v>9</v>
      </c>
      <c r="U315" s="123">
        <v>9</v>
      </c>
      <c r="V315" s="125">
        <v>862</v>
      </c>
      <c r="W315" s="123">
        <v>29.337005615234375</v>
      </c>
      <c r="X315" s="123">
        <v>24.201999664306641</v>
      </c>
      <c r="Y315" s="123">
        <v>6.3610000610351563</v>
      </c>
      <c r="Z315" s="123">
        <v>0</v>
      </c>
      <c r="AA315" s="123">
        <v>17.530000686645508</v>
      </c>
      <c r="AB315" s="123">
        <v>0</v>
      </c>
      <c r="AC315" s="123">
        <v>53.965011596679688</v>
      </c>
      <c r="AD315" s="123">
        <v>5.8520002365112305</v>
      </c>
      <c r="AE315" s="123">
        <v>0</v>
      </c>
      <c r="AF315" s="123">
        <v>81.994293212890625</v>
      </c>
      <c r="AG315" s="123">
        <v>0</v>
      </c>
      <c r="AH315" s="123">
        <v>62.408924102783203</v>
      </c>
      <c r="AI315" s="123">
        <v>13.423000335693359</v>
      </c>
      <c r="AJ315" s="123">
        <v>17.573183059692383</v>
      </c>
      <c r="AK315" s="123">
        <v>36.128910064697266</v>
      </c>
      <c r="AL315" s="123">
        <v>37.639999389648438</v>
      </c>
      <c r="AM315" s="126">
        <v>56.110000610351563</v>
      </c>
      <c r="AN315" s="125">
        <v>119.6875</v>
      </c>
      <c r="AO315" s="127">
        <v>60</v>
      </c>
      <c r="AP315" s="123">
        <v>64.674964904785156</v>
      </c>
      <c r="AQ315" s="123">
        <v>34.863204956054688</v>
      </c>
      <c r="AR315" s="123">
        <v>98</v>
      </c>
      <c r="AS315" s="123"/>
      <c r="AT315" s="123">
        <v>95</v>
      </c>
      <c r="AU315" s="123"/>
      <c r="AV315" s="123">
        <v>61</v>
      </c>
      <c r="AW315" s="123"/>
      <c r="AX315" s="123">
        <v>28</v>
      </c>
      <c r="AY315" s="123">
        <v>31.501953125</v>
      </c>
      <c r="AZ315" s="123">
        <v>4</v>
      </c>
      <c r="BA315" s="123"/>
      <c r="BB315" s="123">
        <v>176</v>
      </c>
      <c r="BC315" s="123">
        <v>174.51905822753906</v>
      </c>
      <c r="BD315" s="123">
        <v>6.5</v>
      </c>
      <c r="BE315" s="123">
        <v>6.6161999702453613</v>
      </c>
      <c r="BF315" s="123">
        <v>31</v>
      </c>
      <c r="BG315" s="123">
        <v>10</v>
      </c>
      <c r="BH315" s="123">
        <v>10.971698760986328</v>
      </c>
      <c r="BI315" s="123"/>
      <c r="BJ315" s="108">
        <f t="shared" si="13"/>
        <v>11</v>
      </c>
      <c r="BK315" s="123">
        <v>11</v>
      </c>
      <c r="BL315" s="123">
        <v>0</v>
      </c>
      <c r="BM315" s="126"/>
      <c r="BN315" s="108">
        <f t="shared" si="14"/>
        <v>122</v>
      </c>
      <c r="BO315" s="108">
        <v>73</v>
      </c>
      <c r="BP315" s="108">
        <v>49</v>
      </c>
      <c r="BQ315" s="108">
        <v>272</v>
      </c>
      <c r="BR315" s="123">
        <v>73.172996520996094</v>
      </c>
      <c r="BS315" s="123">
        <v>24.429000854492188</v>
      </c>
      <c r="BT315" s="123">
        <v>41.562999725341797</v>
      </c>
      <c r="BU315" s="123">
        <v>35.498001098632813</v>
      </c>
      <c r="BV315" s="123">
        <v>68</v>
      </c>
      <c r="BW315" s="123">
        <v>6.4000000953674316</v>
      </c>
      <c r="BX315" s="123">
        <v>13.899999618530273</v>
      </c>
      <c r="BY315" s="123">
        <v>28</v>
      </c>
      <c r="BZ315" s="123">
        <v>1.4837124384939671E-2</v>
      </c>
      <c r="CA315" s="123">
        <v>0</v>
      </c>
      <c r="CB315" s="123">
        <v>29.890630722045898</v>
      </c>
      <c r="CC315" s="126"/>
      <c r="CD315" s="123">
        <v>337.97711181640625</v>
      </c>
      <c r="CE315" s="123">
        <v>28.950117111206055</v>
      </c>
      <c r="CF315" s="123">
        <v>18.793050765991211</v>
      </c>
      <c r="CG315" s="123">
        <v>35.338191986083984</v>
      </c>
      <c r="CH315" s="123">
        <v>276.55117797851563</v>
      </c>
      <c r="CI315" s="123">
        <v>81.489784240722656</v>
      </c>
      <c r="CJ315" s="123">
        <v>31.727941513061523</v>
      </c>
      <c r="CK315" s="123">
        <v>49.638309478759766</v>
      </c>
      <c r="CL315" s="124">
        <v>25.954072952270508</v>
      </c>
      <c r="CM315" s="125">
        <v>168.8897705078125</v>
      </c>
      <c r="CN315" s="123">
        <v>60.838951110839844</v>
      </c>
      <c r="CO315" s="123">
        <v>48.389389038085938</v>
      </c>
      <c r="CP315" s="123">
        <v>56.426025390625</v>
      </c>
      <c r="CQ315" s="123">
        <v>0</v>
      </c>
      <c r="CR315" s="123">
        <v>53.575511932373047</v>
      </c>
      <c r="CS315" s="123">
        <v>17.230142593383789</v>
      </c>
      <c r="CT315" s="123">
        <v>35.977687835693359</v>
      </c>
      <c r="CU315" s="123">
        <v>41.145927429199219</v>
      </c>
      <c r="CV315" s="124">
        <v>45.851081848144531</v>
      </c>
      <c r="CW315" s="125">
        <v>2</v>
      </c>
      <c r="CX315" s="123">
        <v>293</v>
      </c>
      <c r="CY315" s="123">
        <v>107.92314147949219</v>
      </c>
      <c r="CZ315" s="123">
        <v>47.550891876220703</v>
      </c>
      <c r="DA315" s="123">
        <v>20.326318740844727</v>
      </c>
      <c r="DB315" s="123">
        <v>30.613859176635742</v>
      </c>
      <c r="DC315" s="123">
        <v>70.039436340332031</v>
      </c>
      <c r="DD315" s="123">
        <v>50</v>
      </c>
      <c r="DE315" s="123">
        <v>168</v>
      </c>
      <c r="DF315" s="123">
        <v>100.99777984619141</v>
      </c>
      <c r="DG315" s="123">
        <v>63.192405700683594</v>
      </c>
      <c r="DH315" s="123">
        <v>41.361709594726563</v>
      </c>
      <c r="DI315" s="128">
        <v>38.150520324707031</v>
      </c>
      <c r="DJ315" s="127">
        <v>220</v>
      </c>
      <c r="DK315" s="123">
        <v>118.58200073242188</v>
      </c>
      <c r="DL315" s="123">
        <v>26.238000869750977</v>
      </c>
      <c r="DM315" s="123">
        <v>30.570999145507813</v>
      </c>
      <c r="DN315" s="123">
        <v>53.543998718261719</v>
      </c>
      <c r="DO315" s="124">
        <v>115.01325988769531</v>
      </c>
      <c r="DP315" s="125">
        <v>15.890000343322754</v>
      </c>
      <c r="DQ315" s="123"/>
      <c r="DR315" s="125">
        <v>0</v>
      </c>
      <c r="DS315" s="128">
        <v>29.399999618530273</v>
      </c>
      <c r="DT315" s="127">
        <v>12</v>
      </c>
      <c r="DU315" s="123"/>
      <c r="DV315" s="123">
        <v>8</v>
      </c>
      <c r="DW315" s="123">
        <v>2.3139967918395996</v>
      </c>
      <c r="DX315" s="125">
        <v>10</v>
      </c>
      <c r="DY315" s="128"/>
      <c r="DZ315" s="127">
        <v>45</v>
      </c>
      <c r="EA315" s="123">
        <v>3</v>
      </c>
      <c r="EB315" s="123">
        <v>0</v>
      </c>
      <c r="EC315" s="123">
        <v>29</v>
      </c>
      <c r="ED315" s="123">
        <v>236.19999694824219</v>
      </c>
      <c r="EE315" s="129"/>
      <c r="EF315" s="129"/>
      <c r="EG315" s="129"/>
    </row>
    <row r="316" spans="1:137" x14ac:dyDescent="0.3">
      <c r="A316" s="226">
        <f t="shared" si="15"/>
        <v>46020.216666667373</v>
      </c>
      <c r="B316" s="123">
        <v>246</v>
      </c>
      <c r="C316" s="123">
        <v>49.988998413085938</v>
      </c>
      <c r="D316" s="123">
        <v>98.733001708984375</v>
      </c>
      <c r="E316" s="123">
        <v>18.886999130249023</v>
      </c>
      <c r="F316" s="123">
        <v>8.9082212448120117</v>
      </c>
      <c r="G316" s="124">
        <v>19.339000701904297</v>
      </c>
      <c r="H316" s="125">
        <v>320</v>
      </c>
      <c r="I316" s="123">
        <v>290</v>
      </c>
      <c r="J316" s="123">
        <v>60.733001708984375</v>
      </c>
      <c r="K316" s="123">
        <v>61.940235137939453</v>
      </c>
      <c r="L316" s="123">
        <v>44.532001495361328</v>
      </c>
      <c r="M316" s="123">
        <v>11.64900016784668</v>
      </c>
      <c r="N316" s="123">
        <v>16.857999801635742</v>
      </c>
      <c r="O316" s="123">
        <v>17</v>
      </c>
      <c r="P316" s="123">
        <v>0</v>
      </c>
      <c r="Q316" s="123">
        <v>18.614612579345703</v>
      </c>
      <c r="R316" s="123">
        <v>7.9968748092651367</v>
      </c>
      <c r="S316" s="123">
        <v>7.9225034713745117</v>
      </c>
      <c r="T316" s="123">
        <v>9</v>
      </c>
      <c r="U316" s="123">
        <v>9</v>
      </c>
      <c r="V316" s="125">
        <v>865</v>
      </c>
      <c r="W316" s="123">
        <v>29.244609832763672</v>
      </c>
      <c r="X316" s="123">
        <v>25.559000015258789</v>
      </c>
      <c r="Y316" s="123">
        <v>5.7249999046325684</v>
      </c>
      <c r="Z316" s="123">
        <v>0</v>
      </c>
      <c r="AA316" s="123">
        <v>19.22599983215332</v>
      </c>
      <c r="AB316" s="123">
        <v>0</v>
      </c>
      <c r="AC316" s="123">
        <v>54.402423858642578</v>
      </c>
      <c r="AD316" s="123">
        <v>5.8520002365112305</v>
      </c>
      <c r="AE316" s="123">
        <v>0</v>
      </c>
      <c r="AF316" s="123">
        <v>81.24981689453125</v>
      </c>
      <c r="AG316" s="123">
        <v>0</v>
      </c>
      <c r="AH316" s="123">
        <v>61.946304321289063</v>
      </c>
      <c r="AI316" s="123">
        <v>12.786999702453613</v>
      </c>
      <c r="AJ316" s="123">
        <v>19.739555358886719</v>
      </c>
      <c r="AK316" s="123">
        <v>36.873928070068359</v>
      </c>
      <c r="AL316" s="123">
        <v>35.341999053955078</v>
      </c>
      <c r="AM316" s="126">
        <v>52.166000366210938</v>
      </c>
      <c r="AN316" s="125">
        <v>120.75</v>
      </c>
      <c r="AO316" s="127">
        <v>62</v>
      </c>
      <c r="AP316" s="123">
        <v>63.944656372070313</v>
      </c>
      <c r="AQ316" s="123">
        <v>35.853485107421875</v>
      </c>
      <c r="AR316" s="123">
        <v>99</v>
      </c>
      <c r="AS316" s="123"/>
      <c r="AT316" s="123">
        <v>95</v>
      </c>
      <c r="AU316" s="123"/>
      <c r="AV316" s="123">
        <v>61</v>
      </c>
      <c r="AW316" s="123"/>
      <c r="AX316" s="123">
        <v>28</v>
      </c>
      <c r="AY316" s="123">
        <v>31.455162048339844</v>
      </c>
      <c r="AZ316" s="123">
        <v>4</v>
      </c>
      <c r="BA316" s="123"/>
      <c r="BB316" s="123">
        <v>177</v>
      </c>
      <c r="BC316" s="123">
        <v>178.15261840820313</v>
      </c>
      <c r="BD316" s="123">
        <v>6.1999998092651367</v>
      </c>
      <c r="BE316" s="123">
        <v>6.6251568794250488</v>
      </c>
      <c r="BF316" s="123">
        <v>30</v>
      </c>
      <c r="BG316" s="123">
        <v>10</v>
      </c>
      <c r="BH316" s="123">
        <v>10.908751487731934</v>
      </c>
      <c r="BI316" s="123"/>
      <c r="BJ316" s="108">
        <f t="shared" si="13"/>
        <v>11</v>
      </c>
      <c r="BK316" s="123">
        <v>11</v>
      </c>
      <c r="BL316" s="123">
        <v>0</v>
      </c>
      <c r="BM316" s="126"/>
      <c r="BN316" s="108">
        <f t="shared" si="14"/>
        <v>122</v>
      </c>
      <c r="BO316" s="108">
        <v>73</v>
      </c>
      <c r="BP316" s="108">
        <v>49</v>
      </c>
      <c r="BQ316" s="108">
        <v>272</v>
      </c>
      <c r="BR316" s="123">
        <v>69.780998229980469</v>
      </c>
      <c r="BS316" s="123">
        <v>23.920000076293945</v>
      </c>
      <c r="BT316" s="123">
        <v>41.909000396728516</v>
      </c>
      <c r="BU316" s="123">
        <v>35.943000793457031</v>
      </c>
      <c r="BV316" s="123">
        <v>69.900001525878906</v>
      </c>
      <c r="BW316" s="123">
        <v>6.4000000953674316</v>
      </c>
      <c r="BX316" s="123">
        <v>13.699999809265137</v>
      </c>
      <c r="BY316" s="123">
        <v>28</v>
      </c>
      <c r="BZ316" s="123">
        <v>1.4356075786054134E-2</v>
      </c>
      <c r="CA316" s="123">
        <v>0</v>
      </c>
      <c r="CB316" s="123">
        <v>30.047407150268555</v>
      </c>
      <c r="CC316" s="126"/>
      <c r="CD316" s="123">
        <v>338.90396118164063</v>
      </c>
      <c r="CE316" s="123">
        <v>27.957601547241211</v>
      </c>
      <c r="CF316" s="123">
        <v>19.22736930847168</v>
      </c>
      <c r="CG316" s="123">
        <v>35.338191986083984</v>
      </c>
      <c r="CH316" s="123">
        <v>276.11080932617188</v>
      </c>
      <c r="CI316" s="123">
        <v>75.396430969238281</v>
      </c>
      <c r="CJ316" s="123">
        <v>31.035770416259766</v>
      </c>
      <c r="CK316" s="123">
        <v>48.126617431640625</v>
      </c>
      <c r="CL316" s="124">
        <v>23.642055511474609</v>
      </c>
      <c r="CM316" s="125">
        <v>173.23529052734375</v>
      </c>
      <c r="CN316" s="123">
        <v>63.629650115966797</v>
      </c>
      <c r="CO316" s="123">
        <v>48.258438110351563</v>
      </c>
      <c r="CP316" s="123">
        <v>58.404994964599609</v>
      </c>
      <c r="CQ316" s="123">
        <v>0</v>
      </c>
      <c r="CR316" s="123">
        <v>52.509784698486328</v>
      </c>
      <c r="CS316" s="123">
        <v>18.451421737670898</v>
      </c>
      <c r="CT316" s="123">
        <v>33.714473724365234</v>
      </c>
      <c r="CU316" s="123">
        <v>44.070644378662109</v>
      </c>
      <c r="CV316" s="124">
        <v>46.481899261474609</v>
      </c>
      <c r="CW316" s="125">
        <v>2</v>
      </c>
      <c r="CX316" s="123">
        <v>289</v>
      </c>
      <c r="CY316" s="123">
        <v>105.74504852294922</v>
      </c>
      <c r="CZ316" s="123">
        <v>49.390209197998047</v>
      </c>
      <c r="DA316" s="123">
        <v>20.936990737915039</v>
      </c>
      <c r="DB316" s="123">
        <v>30.613725662231445</v>
      </c>
      <c r="DC316" s="123">
        <v>70.306694030761719</v>
      </c>
      <c r="DD316" s="123">
        <v>60</v>
      </c>
      <c r="DE316" s="123">
        <v>170</v>
      </c>
      <c r="DF316" s="123">
        <v>102.15595245361328</v>
      </c>
      <c r="DG316" s="123">
        <v>61.987358093261719</v>
      </c>
      <c r="DH316" s="123">
        <v>41.996738433837891</v>
      </c>
      <c r="DI316" s="128">
        <v>38.472129821777344</v>
      </c>
      <c r="DJ316" s="127">
        <v>222</v>
      </c>
      <c r="DK316" s="123">
        <v>120.36299896240234</v>
      </c>
      <c r="DL316" s="123">
        <v>27.820999145507813</v>
      </c>
      <c r="DM316" s="123">
        <v>30.924999237060547</v>
      </c>
      <c r="DN316" s="123">
        <v>53.367000579833984</v>
      </c>
      <c r="DO316" s="124">
        <v>115.51709747314453</v>
      </c>
      <c r="DP316" s="125">
        <v>16.229000091552734</v>
      </c>
      <c r="DQ316" s="123"/>
      <c r="DR316" s="125">
        <v>0</v>
      </c>
      <c r="DS316" s="128">
        <v>29</v>
      </c>
      <c r="DT316" s="127">
        <v>12</v>
      </c>
      <c r="DU316" s="123"/>
      <c r="DV316" s="123">
        <v>7</v>
      </c>
      <c r="DW316" s="123">
        <v>2.3433420658111572</v>
      </c>
      <c r="DX316" s="125">
        <v>11</v>
      </c>
      <c r="DY316" s="128"/>
      <c r="DZ316" s="127">
        <v>44</v>
      </c>
      <c r="EA316" s="123">
        <v>3</v>
      </c>
      <c r="EB316" s="123">
        <v>0</v>
      </c>
      <c r="EC316" s="123">
        <v>29</v>
      </c>
      <c r="ED316" s="123">
        <v>231.10000610351563</v>
      </c>
      <c r="EE316" s="129"/>
      <c r="EF316" s="129"/>
      <c r="EG316" s="129"/>
    </row>
    <row r="317" spans="1:137" x14ac:dyDescent="0.3">
      <c r="A317" s="226">
        <f t="shared" si="15"/>
        <v>46020.21736111182</v>
      </c>
      <c r="B317" s="123">
        <v>246</v>
      </c>
      <c r="C317" s="123">
        <v>53.268001556396484</v>
      </c>
      <c r="D317" s="123">
        <v>99.525001525878906</v>
      </c>
      <c r="E317" s="123">
        <v>22.052999496459961</v>
      </c>
      <c r="F317" s="123">
        <v>10.703688621520996</v>
      </c>
      <c r="G317" s="124">
        <v>17.756000518798828</v>
      </c>
      <c r="H317" s="125">
        <v>322</v>
      </c>
      <c r="I317" s="123">
        <v>292</v>
      </c>
      <c r="J317" s="123">
        <v>62.769001007080078</v>
      </c>
      <c r="K317" s="123">
        <v>61.629642486572266</v>
      </c>
      <c r="L317" s="123">
        <v>46.652000427246094</v>
      </c>
      <c r="M317" s="123">
        <v>11.64900016784668</v>
      </c>
      <c r="N317" s="123">
        <v>17.875999450683594</v>
      </c>
      <c r="O317" s="123">
        <v>19</v>
      </c>
      <c r="P317" s="123">
        <v>0</v>
      </c>
      <c r="Q317" s="123">
        <v>19.328384399414063</v>
      </c>
      <c r="R317" s="123">
        <v>7.9968748092651367</v>
      </c>
      <c r="S317" s="123">
        <v>7.5431499481201172</v>
      </c>
      <c r="T317" s="123">
        <v>9</v>
      </c>
      <c r="U317" s="123">
        <v>9</v>
      </c>
      <c r="V317" s="125">
        <v>869</v>
      </c>
      <c r="W317" s="123">
        <v>30.445474624633789</v>
      </c>
      <c r="X317" s="123">
        <v>25.107000350952148</v>
      </c>
      <c r="Y317" s="123">
        <v>6.7430000305175781</v>
      </c>
      <c r="Z317" s="123">
        <v>0</v>
      </c>
      <c r="AA317" s="123">
        <v>18.320999145507813</v>
      </c>
      <c r="AB317" s="123">
        <v>0</v>
      </c>
      <c r="AC317" s="123">
        <v>53.410503387451172</v>
      </c>
      <c r="AD317" s="123">
        <v>6.1069998741149902</v>
      </c>
      <c r="AE317" s="123">
        <v>0</v>
      </c>
      <c r="AF317" s="123">
        <v>81.310447692871094</v>
      </c>
      <c r="AG317" s="123">
        <v>0</v>
      </c>
      <c r="AH317" s="123">
        <v>64.113899230957031</v>
      </c>
      <c r="AI317" s="123">
        <v>13.932000160217285</v>
      </c>
      <c r="AJ317" s="123">
        <v>16.975185394287109</v>
      </c>
      <c r="AK317" s="123">
        <v>36.298137664794922</v>
      </c>
      <c r="AL317" s="123">
        <v>35.341999053955078</v>
      </c>
      <c r="AM317" s="126">
        <v>55.219001770019531</v>
      </c>
      <c r="AN317" s="125">
        <v>115.9375</v>
      </c>
      <c r="AO317" s="127">
        <v>62</v>
      </c>
      <c r="AP317" s="123">
        <v>62.097095489501953</v>
      </c>
      <c r="AQ317" s="123">
        <v>36.257423400878906</v>
      </c>
      <c r="AR317" s="123">
        <v>99</v>
      </c>
      <c r="AS317" s="123"/>
      <c r="AT317" s="123">
        <v>95</v>
      </c>
      <c r="AU317" s="123"/>
      <c r="AV317" s="123">
        <v>63</v>
      </c>
      <c r="AW317" s="123"/>
      <c r="AX317" s="123">
        <v>29</v>
      </c>
      <c r="AY317" s="123">
        <v>31.658201217651367</v>
      </c>
      <c r="AZ317" s="123">
        <v>3</v>
      </c>
      <c r="BA317" s="123"/>
      <c r="BB317" s="123">
        <v>178</v>
      </c>
      <c r="BC317" s="123">
        <v>178.37783813476563</v>
      </c>
      <c r="BD317" s="123">
        <v>6.8000001907348633</v>
      </c>
      <c r="BE317" s="123">
        <v>6.7565445899963379</v>
      </c>
      <c r="BF317" s="123">
        <v>30</v>
      </c>
      <c r="BG317" s="123">
        <v>10</v>
      </c>
      <c r="BH317" s="123">
        <v>10.945334434509277</v>
      </c>
      <c r="BI317" s="123"/>
      <c r="BJ317" s="108">
        <f t="shared" si="13"/>
        <v>11</v>
      </c>
      <c r="BK317" s="123">
        <v>11</v>
      </c>
      <c r="BL317" s="123">
        <v>0</v>
      </c>
      <c r="BM317" s="126"/>
      <c r="BN317" s="108">
        <f t="shared" si="14"/>
        <v>122</v>
      </c>
      <c r="BO317" s="108">
        <v>73</v>
      </c>
      <c r="BP317" s="108">
        <v>49</v>
      </c>
      <c r="BQ317" s="108">
        <v>274</v>
      </c>
      <c r="BR317" s="123">
        <v>70.912002563476563</v>
      </c>
      <c r="BS317" s="123">
        <v>25.191999435424805</v>
      </c>
      <c r="BT317" s="123">
        <v>42.255001068115234</v>
      </c>
      <c r="BU317" s="123">
        <v>36.833999633789063</v>
      </c>
      <c r="BV317" s="123">
        <v>69.400001525878906</v>
      </c>
      <c r="BW317" s="123">
        <v>6.1999998092651367</v>
      </c>
      <c r="BX317" s="123">
        <v>13.699999809265137</v>
      </c>
      <c r="BY317" s="123">
        <v>29</v>
      </c>
      <c r="BZ317" s="123">
        <v>1.3987351208925247E-2</v>
      </c>
      <c r="CA317" s="123">
        <v>0</v>
      </c>
      <c r="CB317" s="123">
        <v>29.689676284790039</v>
      </c>
      <c r="CC317" s="126"/>
      <c r="CD317" s="123">
        <v>332.61370849609375</v>
      </c>
      <c r="CE317" s="123">
        <v>27.957601547241211</v>
      </c>
      <c r="CF317" s="123">
        <v>18.925416946411133</v>
      </c>
      <c r="CG317" s="123">
        <v>35.338191986083984</v>
      </c>
      <c r="CH317" s="123">
        <v>276.81338500976563</v>
      </c>
      <c r="CI317" s="123">
        <v>75.351638793945313</v>
      </c>
      <c r="CJ317" s="123">
        <v>31.590126037597656</v>
      </c>
      <c r="CK317" s="123">
        <v>47.263523101806641</v>
      </c>
      <c r="CL317" s="124">
        <v>25.280839920043945</v>
      </c>
      <c r="CM317" s="125">
        <v>174.58900451660156</v>
      </c>
      <c r="CN317" s="123">
        <v>65.483016967773438</v>
      </c>
      <c r="CO317" s="123">
        <v>50.578155517578125</v>
      </c>
      <c r="CP317" s="123">
        <v>56.248428344726563</v>
      </c>
      <c r="CQ317" s="123">
        <v>0</v>
      </c>
      <c r="CR317" s="123">
        <v>48.341056823730469</v>
      </c>
      <c r="CS317" s="123">
        <v>18.020767211914063</v>
      </c>
      <c r="CT317" s="123">
        <v>33.562545776367188</v>
      </c>
      <c r="CU317" s="123">
        <v>44.119152069091797</v>
      </c>
      <c r="CV317" s="124">
        <v>48.957778930664063</v>
      </c>
      <c r="CW317" s="125">
        <v>2</v>
      </c>
      <c r="CX317" s="123">
        <v>292</v>
      </c>
      <c r="CY317" s="123">
        <v>105.94806671142578</v>
      </c>
      <c r="CZ317" s="123">
        <v>49.010589599609375</v>
      </c>
      <c r="DA317" s="123">
        <v>21.634744644165039</v>
      </c>
      <c r="DB317" s="123">
        <v>32.655075073242188</v>
      </c>
      <c r="DC317" s="123">
        <v>70.930946350097656</v>
      </c>
      <c r="DD317" s="123">
        <v>56</v>
      </c>
      <c r="DE317" s="123">
        <v>168</v>
      </c>
      <c r="DF317" s="123">
        <v>102.41079711914063</v>
      </c>
      <c r="DG317" s="123">
        <v>62.669143676757813</v>
      </c>
      <c r="DH317" s="123">
        <v>43.779098510742188</v>
      </c>
      <c r="DI317" s="128">
        <v>38.449256896972656</v>
      </c>
      <c r="DJ317" s="127">
        <v>235</v>
      </c>
      <c r="DK317" s="123">
        <v>127.23400115966797</v>
      </c>
      <c r="DL317" s="123">
        <v>29.179000854492188</v>
      </c>
      <c r="DM317" s="123">
        <v>44.532001495361328</v>
      </c>
      <c r="DN317" s="123">
        <v>52.484001159667969</v>
      </c>
      <c r="DO317" s="124">
        <v>115.18145751953125</v>
      </c>
      <c r="DP317" s="125">
        <v>16.201000213623047</v>
      </c>
      <c r="DQ317" s="123"/>
      <c r="DR317" s="125">
        <v>0</v>
      </c>
      <c r="DS317" s="128">
        <v>29</v>
      </c>
      <c r="DT317" s="127">
        <v>12</v>
      </c>
      <c r="DU317" s="123"/>
      <c r="DV317" s="123">
        <v>7</v>
      </c>
      <c r="DW317" s="123">
        <v>2.1845366954803467</v>
      </c>
      <c r="DX317" s="125">
        <v>9</v>
      </c>
      <c r="DY317" s="128"/>
      <c r="DZ317" s="127">
        <v>45</v>
      </c>
      <c r="EA317" s="123">
        <v>3</v>
      </c>
      <c r="EB317" s="123">
        <v>0</v>
      </c>
      <c r="EC317" s="123">
        <v>29</v>
      </c>
      <c r="ED317" s="123">
        <v>236.30000305175781</v>
      </c>
      <c r="EE317" s="129"/>
      <c r="EF317" s="129"/>
      <c r="EG317" s="129"/>
    </row>
    <row r="318" spans="1:137" x14ac:dyDescent="0.3">
      <c r="A318" s="226">
        <f t="shared" si="15"/>
        <v>46020.218055556266</v>
      </c>
      <c r="B318" s="123">
        <v>240</v>
      </c>
      <c r="C318" s="123">
        <v>48.743999481201172</v>
      </c>
      <c r="D318" s="123">
        <v>99.863998413085938</v>
      </c>
      <c r="E318" s="123">
        <v>20.809000015258789</v>
      </c>
      <c r="F318" s="123">
        <v>5.2597427368164063</v>
      </c>
      <c r="G318" s="124">
        <v>17.530000686645508</v>
      </c>
      <c r="H318" s="125">
        <v>328</v>
      </c>
      <c r="I318" s="123">
        <v>294</v>
      </c>
      <c r="J318" s="123">
        <v>63.446998596191406</v>
      </c>
      <c r="K318" s="123">
        <v>63.384292602539063</v>
      </c>
      <c r="L318" s="123">
        <v>47.535999298095703</v>
      </c>
      <c r="M318" s="123">
        <v>11.421999931335449</v>
      </c>
      <c r="N318" s="123">
        <v>17.493999481201172</v>
      </c>
      <c r="O318" s="123">
        <v>18</v>
      </c>
      <c r="P318" s="123">
        <v>0</v>
      </c>
      <c r="Q318" s="123">
        <v>18.417102813720703</v>
      </c>
      <c r="R318" s="123">
        <v>6</v>
      </c>
      <c r="S318" s="123">
        <v>7.3932137489318848</v>
      </c>
      <c r="T318" s="123">
        <v>9</v>
      </c>
      <c r="U318" s="123">
        <v>9</v>
      </c>
      <c r="V318" s="125">
        <v>863</v>
      </c>
      <c r="W318" s="123">
        <v>27.543939590454102</v>
      </c>
      <c r="X318" s="123">
        <v>24.315000534057617</v>
      </c>
      <c r="Y318" s="123">
        <v>7.9520001411437988</v>
      </c>
      <c r="Z318" s="123">
        <v>0</v>
      </c>
      <c r="AA318" s="123">
        <v>18.660999298095703</v>
      </c>
      <c r="AB318" s="123">
        <v>0</v>
      </c>
      <c r="AC318" s="123">
        <v>53.219074249267578</v>
      </c>
      <c r="AD318" s="123">
        <v>5.8520002365112305</v>
      </c>
      <c r="AE318" s="123">
        <v>0</v>
      </c>
      <c r="AF318" s="123">
        <v>80.99176025390625</v>
      </c>
      <c r="AG318" s="123">
        <v>0</v>
      </c>
      <c r="AH318" s="123">
        <v>63.677715301513672</v>
      </c>
      <c r="AI318" s="123">
        <v>13.868000030517578</v>
      </c>
      <c r="AJ318" s="123">
        <v>17.257345199584961</v>
      </c>
      <c r="AK318" s="123">
        <v>36.171195983886719</v>
      </c>
      <c r="AL318" s="123">
        <v>36.402999877929688</v>
      </c>
      <c r="AM318" s="126">
        <v>53.564998626708984</v>
      </c>
      <c r="AN318" s="125">
        <v>113.75</v>
      </c>
      <c r="AO318" s="127">
        <v>58</v>
      </c>
      <c r="AP318" s="123">
        <v>60.753993988037109</v>
      </c>
      <c r="AQ318" s="123">
        <v>35.388637542724609</v>
      </c>
      <c r="AR318" s="123">
        <v>97</v>
      </c>
      <c r="AS318" s="123"/>
      <c r="AT318" s="123">
        <v>95</v>
      </c>
      <c r="AU318" s="123"/>
      <c r="AV318" s="123">
        <v>61</v>
      </c>
      <c r="AW318" s="123"/>
      <c r="AX318" s="123">
        <v>31</v>
      </c>
      <c r="AY318" s="123">
        <v>33.080478668212891</v>
      </c>
      <c r="AZ318" s="123">
        <v>4</v>
      </c>
      <c r="BA318" s="123"/>
      <c r="BB318" s="123">
        <v>178</v>
      </c>
      <c r="BC318" s="123">
        <v>175.4761962890625</v>
      </c>
      <c r="BD318" s="123">
        <v>7.3000001907348633</v>
      </c>
      <c r="BE318" s="123">
        <v>7.3166084289550781</v>
      </c>
      <c r="BF318" s="123">
        <v>29</v>
      </c>
      <c r="BG318" s="123">
        <v>10</v>
      </c>
      <c r="BH318" s="123">
        <v>11.054821968078613</v>
      </c>
      <c r="BI318" s="123"/>
      <c r="BJ318" s="108">
        <f t="shared" si="13"/>
        <v>11</v>
      </c>
      <c r="BK318" s="123">
        <v>11</v>
      </c>
      <c r="BL318" s="123">
        <v>0</v>
      </c>
      <c r="BM318" s="126"/>
      <c r="BN318" s="108">
        <f t="shared" si="14"/>
        <v>122</v>
      </c>
      <c r="BO318" s="108">
        <v>73</v>
      </c>
      <c r="BP318" s="108">
        <v>49</v>
      </c>
      <c r="BQ318" s="108">
        <v>270</v>
      </c>
      <c r="BR318" s="123">
        <v>68.875999450683594</v>
      </c>
      <c r="BS318" s="123">
        <v>23.920000076293945</v>
      </c>
      <c r="BT318" s="123">
        <v>40.869998931884766</v>
      </c>
      <c r="BU318" s="123">
        <v>35.943000793457031</v>
      </c>
      <c r="BV318" s="123">
        <v>68.5</v>
      </c>
      <c r="BW318" s="123">
        <v>6.3000001907348633</v>
      </c>
      <c r="BX318" s="123">
        <v>13.699999809265137</v>
      </c>
      <c r="BY318" s="123">
        <v>29</v>
      </c>
      <c r="BZ318" s="123">
        <v>1.5560152009129524E-2</v>
      </c>
      <c r="CA318" s="123">
        <v>0</v>
      </c>
      <c r="CB318" s="123">
        <v>29.742116928100586</v>
      </c>
      <c r="CC318" s="126"/>
      <c r="CD318" s="123">
        <v>343.87307739257813</v>
      </c>
      <c r="CE318" s="123">
        <v>30.713851928710938</v>
      </c>
      <c r="CF318" s="123">
        <v>19.062000274658203</v>
      </c>
      <c r="CG318" s="123">
        <v>35.338191986083984</v>
      </c>
      <c r="CH318" s="123">
        <v>277.88705444335938</v>
      </c>
      <c r="CI318" s="123">
        <v>76.335762023925781</v>
      </c>
      <c r="CJ318" s="123">
        <v>31.219236373901367</v>
      </c>
      <c r="CK318" s="123">
        <v>49.037742614746094</v>
      </c>
      <c r="CL318" s="124">
        <v>24.455635070800781</v>
      </c>
      <c r="CM318" s="125">
        <v>173.72721862792969</v>
      </c>
      <c r="CN318" s="123">
        <v>64.339942932128906</v>
      </c>
      <c r="CO318" s="123">
        <v>49.604290008544922</v>
      </c>
      <c r="CP318" s="123">
        <v>56.351158142089844</v>
      </c>
      <c r="CQ318" s="123">
        <v>0</v>
      </c>
      <c r="CR318" s="123">
        <v>50.954547882080078</v>
      </c>
      <c r="CS318" s="123">
        <v>17.476081848144531</v>
      </c>
      <c r="CT318" s="123">
        <v>35.438983917236328</v>
      </c>
      <c r="CU318" s="123">
        <v>45.329860687255859</v>
      </c>
      <c r="CV318" s="124">
        <v>49.342952728271484</v>
      </c>
      <c r="CW318" s="125">
        <v>2</v>
      </c>
      <c r="CX318" s="123">
        <v>301</v>
      </c>
      <c r="CY318" s="123">
        <v>109.90715026855469</v>
      </c>
      <c r="CZ318" s="123">
        <v>50.006687164306641</v>
      </c>
      <c r="DA318" s="123">
        <v>19.896396636962891</v>
      </c>
      <c r="DB318" s="123">
        <v>31.42877197265625</v>
      </c>
      <c r="DC318" s="123">
        <v>71.365135192871094</v>
      </c>
      <c r="DD318" s="123">
        <v>60</v>
      </c>
      <c r="DE318" s="123">
        <v>169</v>
      </c>
      <c r="DF318" s="123">
        <v>103.43727111816406</v>
      </c>
      <c r="DG318" s="123">
        <v>62.693531036376953</v>
      </c>
      <c r="DH318" s="123">
        <v>43.69879150390625</v>
      </c>
      <c r="DI318" s="128">
        <v>38.186454772949219</v>
      </c>
      <c r="DJ318" s="127">
        <v>222</v>
      </c>
      <c r="DK318" s="123">
        <v>120.87200164794922</v>
      </c>
      <c r="DL318" s="123">
        <v>27.934999465942383</v>
      </c>
      <c r="DM318" s="123">
        <v>35.519001007080078</v>
      </c>
      <c r="DN318" s="123">
        <v>51.777000427246094</v>
      </c>
      <c r="DO318" s="124">
        <v>113.73562622070313</v>
      </c>
      <c r="DP318" s="125">
        <v>15.663000106811523</v>
      </c>
      <c r="DQ318" s="123"/>
      <c r="DR318" s="125">
        <v>0</v>
      </c>
      <c r="DS318" s="128">
        <v>27.299999237060547</v>
      </c>
      <c r="DT318" s="127">
        <v>12</v>
      </c>
      <c r="DU318" s="123"/>
      <c r="DV318" s="123">
        <v>13</v>
      </c>
      <c r="DW318" s="123">
        <v>2.153663158416748</v>
      </c>
      <c r="DX318" s="125">
        <v>10</v>
      </c>
      <c r="DY318" s="128"/>
      <c r="DZ318" s="127">
        <v>45</v>
      </c>
      <c r="EA318" s="123">
        <v>3</v>
      </c>
      <c r="EB318" s="123">
        <v>0</v>
      </c>
      <c r="EC318" s="123">
        <v>29</v>
      </c>
      <c r="ED318" s="123">
        <v>238.19999694824219</v>
      </c>
      <c r="EE318" s="129"/>
      <c r="EF318" s="129"/>
      <c r="EG318" s="129"/>
    </row>
    <row r="319" spans="1:137" x14ac:dyDescent="0.3">
      <c r="A319" s="226">
        <f t="shared" si="15"/>
        <v>46020.218750000713</v>
      </c>
      <c r="B319" s="123">
        <v>237</v>
      </c>
      <c r="C319" s="123">
        <v>53.721000671386719</v>
      </c>
      <c r="D319" s="123">
        <v>98.393997192382813</v>
      </c>
      <c r="E319" s="123">
        <v>20.809000015258789</v>
      </c>
      <c r="F319" s="123">
        <v>0</v>
      </c>
      <c r="G319" s="124">
        <v>18.886999130249023</v>
      </c>
      <c r="H319" s="125">
        <v>328</v>
      </c>
      <c r="I319" s="123">
        <v>294</v>
      </c>
      <c r="J319" s="123">
        <v>60.619998931884766</v>
      </c>
      <c r="K319" s="123">
        <v>62.921302795410156</v>
      </c>
      <c r="L319" s="123">
        <v>47.181999206542969</v>
      </c>
      <c r="M319" s="123">
        <v>12.21399974822998</v>
      </c>
      <c r="N319" s="123">
        <v>17.430999755859375</v>
      </c>
      <c r="O319" s="123">
        <v>18</v>
      </c>
      <c r="P319" s="123">
        <v>0</v>
      </c>
      <c r="Q319" s="123">
        <v>17.899845123291016</v>
      </c>
      <c r="R319" s="123">
        <v>10.003125190734863</v>
      </c>
      <c r="S319" s="123">
        <v>10.433714866638184</v>
      </c>
      <c r="T319" s="123">
        <v>9</v>
      </c>
      <c r="U319" s="123">
        <v>9</v>
      </c>
      <c r="V319" s="125">
        <v>870</v>
      </c>
      <c r="W319" s="123">
        <v>26.87291145324707</v>
      </c>
      <c r="X319" s="123">
        <v>23.52400016784668</v>
      </c>
      <c r="Y319" s="123">
        <v>7.6970000267028809</v>
      </c>
      <c r="Z319" s="123">
        <v>0</v>
      </c>
      <c r="AA319" s="123">
        <v>18.660999298095703</v>
      </c>
      <c r="AB319" s="123">
        <v>0</v>
      </c>
      <c r="AC319" s="123">
        <v>54.745002746582031</v>
      </c>
      <c r="AD319" s="123">
        <v>5.8520002365112305</v>
      </c>
      <c r="AE319" s="123">
        <v>0</v>
      </c>
      <c r="AF319" s="123">
        <v>82.245712280273438</v>
      </c>
      <c r="AG319" s="123">
        <v>0</v>
      </c>
      <c r="AH319" s="123">
        <v>63.331020355224609</v>
      </c>
      <c r="AI319" s="123">
        <v>13.104999542236328</v>
      </c>
      <c r="AJ319" s="123">
        <v>16.047649383544922</v>
      </c>
      <c r="AK319" s="123">
        <v>36.589729309082031</v>
      </c>
      <c r="AL319" s="123">
        <v>41.527000427246094</v>
      </c>
      <c r="AM319" s="126">
        <v>54.074001312255859</v>
      </c>
      <c r="AN319" s="125">
        <v>112.8125</v>
      </c>
      <c r="AO319" s="127">
        <v>56</v>
      </c>
      <c r="AP319" s="123">
        <v>60.110912322998047</v>
      </c>
      <c r="AQ319" s="123">
        <v>33.289142608642578</v>
      </c>
      <c r="AR319" s="123">
        <v>98</v>
      </c>
      <c r="AS319" s="123"/>
      <c r="AT319" s="123">
        <v>95</v>
      </c>
      <c r="AU319" s="123"/>
      <c r="AV319" s="123">
        <v>56</v>
      </c>
      <c r="AW319" s="123"/>
      <c r="AX319" s="123">
        <v>30</v>
      </c>
      <c r="AY319" s="123">
        <v>33.080478668212891</v>
      </c>
      <c r="AZ319" s="123">
        <v>4</v>
      </c>
      <c r="BA319" s="123"/>
      <c r="BB319" s="123">
        <v>177</v>
      </c>
      <c r="BC319" s="123">
        <v>176.8011474609375</v>
      </c>
      <c r="BD319" s="123">
        <v>7.3000001907348633</v>
      </c>
      <c r="BE319" s="123">
        <v>7.3166084289550781</v>
      </c>
      <c r="BF319" s="123">
        <v>30</v>
      </c>
      <c r="BG319" s="123">
        <v>11</v>
      </c>
      <c r="BH319" s="123">
        <v>11.444159507751465</v>
      </c>
      <c r="BI319" s="123"/>
      <c r="BJ319" s="108">
        <f t="shared" si="13"/>
        <v>11</v>
      </c>
      <c r="BK319" s="123">
        <v>11</v>
      </c>
      <c r="BL319" s="123">
        <v>0</v>
      </c>
      <c r="BM319" s="126"/>
      <c r="BN319" s="108">
        <f t="shared" si="14"/>
        <v>121</v>
      </c>
      <c r="BO319" s="108">
        <v>72</v>
      </c>
      <c r="BP319" s="108">
        <v>49</v>
      </c>
      <c r="BQ319" s="108">
        <v>270</v>
      </c>
      <c r="BR319" s="123">
        <v>70.797996520996094</v>
      </c>
      <c r="BS319" s="123">
        <v>24.429000854492188</v>
      </c>
      <c r="BT319" s="123">
        <v>40.869998931884766</v>
      </c>
      <c r="BU319" s="123">
        <v>35.116001129150391</v>
      </c>
      <c r="BV319" s="123">
        <v>69.199996948242188</v>
      </c>
      <c r="BW319" s="123">
        <v>6.3000001907348633</v>
      </c>
      <c r="BX319" s="123">
        <v>13.600000381469727</v>
      </c>
      <c r="BY319" s="123">
        <v>29</v>
      </c>
      <c r="BZ319" s="123">
        <v>1.2126528657972813E-2</v>
      </c>
      <c r="CA319" s="123">
        <v>1</v>
      </c>
      <c r="CB319" s="123">
        <v>29.677976608276367</v>
      </c>
      <c r="CC319" s="126"/>
      <c r="CD319" s="123">
        <v>341.10556030273438</v>
      </c>
      <c r="CE319" s="123">
        <v>28.354825973510742</v>
      </c>
      <c r="CF319" s="123">
        <v>16.957536697387695</v>
      </c>
      <c r="CG319" s="123">
        <v>35.338191986083984</v>
      </c>
      <c r="CH319" s="123">
        <v>279.0076904296875</v>
      </c>
      <c r="CI319" s="123">
        <v>81.1075439453125</v>
      </c>
      <c r="CJ319" s="123">
        <v>33.596767425537109</v>
      </c>
      <c r="CK319" s="123">
        <v>51.773460388183594</v>
      </c>
      <c r="CL319" s="124">
        <v>26.212800979614258</v>
      </c>
      <c r="CM319" s="125">
        <v>172.38499450683594</v>
      </c>
      <c r="CN319" s="123">
        <v>62.574207305908203</v>
      </c>
      <c r="CO319" s="123">
        <v>50.267856597900391</v>
      </c>
      <c r="CP319" s="123">
        <v>56.780708312988281</v>
      </c>
      <c r="CQ319" s="123">
        <v>0</v>
      </c>
      <c r="CR319" s="123">
        <v>51.289268493652344</v>
      </c>
      <c r="CS319" s="123">
        <v>16.436313629150391</v>
      </c>
      <c r="CT319" s="123">
        <v>32.353977203369141</v>
      </c>
      <c r="CU319" s="123">
        <v>42.200729370117188</v>
      </c>
      <c r="CV319" s="124">
        <v>49.523651123046875</v>
      </c>
      <c r="CW319" s="125">
        <v>3</v>
      </c>
      <c r="CX319" s="123">
        <v>297</v>
      </c>
      <c r="CY319" s="123">
        <v>106.70716094970703</v>
      </c>
      <c r="CZ319" s="123">
        <v>53.193485260009766</v>
      </c>
      <c r="DA319" s="123">
        <v>20.415451049804688</v>
      </c>
      <c r="DB319" s="123">
        <v>30.250001907348633</v>
      </c>
      <c r="DC319" s="123">
        <v>70.956077575683594</v>
      </c>
      <c r="DD319" s="123">
        <v>58</v>
      </c>
      <c r="DE319" s="123">
        <v>169</v>
      </c>
      <c r="DF319" s="123">
        <v>105.00949859619141</v>
      </c>
      <c r="DG319" s="123">
        <v>64.816001892089844</v>
      </c>
      <c r="DH319" s="123">
        <v>40.793415069580078</v>
      </c>
      <c r="DI319" s="128">
        <v>39.251377105712891</v>
      </c>
      <c r="DJ319" s="127">
        <v>222</v>
      </c>
      <c r="DK319" s="123">
        <v>121.88999938964844</v>
      </c>
      <c r="DL319" s="123">
        <v>28.839000701904297</v>
      </c>
      <c r="DM319" s="123">
        <v>35.519001007080078</v>
      </c>
      <c r="DN319" s="123">
        <v>54.074001312255859</v>
      </c>
      <c r="DO319" s="124">
        <v>111.92859649658203</v>
      </c>
      <c r="DP319" s="125">
        <v>15.550000190734863</v>
      </c>
      <c r="DQ319" s="123"/>
      <c r="DR319" s="125">
        <v>0</v>
      </c>
      <c r="DS319" s="128">
        <v>29.799999237060547</v>
      </c>
      <c r="DT319" s="127">
        <v>12</v>
      </c>
      <c r="DU319" s="123"/>
      <c r="DV319" s="123">
        <v>6</v>
      </c>
      <c r="DW319" s="123">
        <v>2.2059645652770996</v>
      </c>
      <c r="DX319" s="125">
        <v>10</v>
      </c>
      <c r="DY319" s="128"/>
      <c r="DZ319" s="127">
        <v>45</v>
      </c>
      <c r="EA319" s="123">
        <v>3</v>
      </c>
      <c r="EB319" s="123">
        <v>0</v>
      </c>
      <c r="EC319" s="123">
        <v>29</v>
      </c>
      <c r="ED319" s="123">
        <v>237.69999694824219</v>
      </c>
      <c r="EE319" s="129"/>
      <c r="EF319" s="129"/>
      <c r="EG319" s="129"/>
    </row>
    <row r="320" spans="1:137" x14ac:dyDescent="0.3">
      <c r="A320" s="226">
        <f t="shared" si="15"/>
        <v>46020.21944444516</v>
      </c>
      <c r="B320" s="123">
        <v>239</v>
      </c>
      <c r="C320" s="123">
        <v>54.738998413085938</v>
      </c>
      <c r="D320" s="123">
        <v>99.412002563476563</v>
      </c>
      <c r="E320" s="123">
        <v>18.660999298095703</v>
      </c>
      <c r="F320" s="123">
        <v>18.882543563842773</v>
      </c>
      <c r="G320" s="124">
        <v>18.77400016784668</v>
      </c>
      <c r="H320" s="125">
        <v>330</v>
      </c>
      <c r="I320" s="123">
        <v>292</v>
      </c>
      <c r="J320" s="123">
        <v>62.881999969482422</v>
      </c>
      <c r="K320" s="123">
        <v>63.523513793945313</v>
      </c>
      <c r="L320" s="123">
        <v>48.066001892089844</v>
      </c>
      <c r="M320" s="123">
        <v>13.119000434875488</v>
      </c>
      <c r="N320" s="123">
        <v>18.129999160766602</v>
      </c>
      <c r="O320" s="123">
        <v>18</v>
      </c>
      <c r="P320" s="123">
        <v>0</v>
      </c>
      <c r="Q320" s="123">
        <v>17.68988037109375</v>
      </c>
      <c r="R320" s="123">
        <v>10.003125190734863</v>
      </c>
      <c r="S320" s="123">
        <v>10.433714866638184</v>
      </c>
      <c r="T320" s="123">
        <v>9</v>
      </c>
      <c r="U320" s="123">
        <v>9</v>
      </c>
      <c r="V320" s="125">
        <v>870</v>
      </c>
      <c r="W320" s="123">
        <v>26.694137573242188</v>
      </c>
      <c r="X320" s="123">
        <v>23.184000015258789</v>
      </c>
      <c r="Y320" s="123">
        <v>9.4149999618530273</v>
      </c>
      <c r="Z320" s="123">
        <v>0</v>
      </c>
      <c r="AA320" s="123">
        <v>16.85099983215332</v>
      </c>
      <c r="AB320" s="123">
        <v>0</v>
      </c>
      <c r="AC320" s="123">
        <v>55.305812835693359</v>
      </c>
      <c r="AD320" s="123">
        <v>5.8520002365112305</v>
      </c>
      <c r="AE320" s="123">
        <v>0</v>
      </c>
      <c r="AF320" s="123">
        <v>82.642402648925781</v>
      </c>
      <c r="AG320" s="123">
        <v>0</v>
      </c>
      <c r="AH320" s="123">
        <v>61.005016326904297</v>
      </c>
      <c r="AI320" s="123">
        <v>15.204000473022461</v>
      </c>
      <c r="AJ320" s="123">
        <v>15.815289497375488</v>
      </c>
      <c r="AK320" s="123">
        <v>36.9853515625</v>
      </c>
      <c r="AL320" s="123">
        <v>38.700000762939453</v>
      </c>
      <c r="AM320" s="126">
        <v>53.756000518798828</v>
      </c>
      <c r="AN320" s="125">
        <v>111</v>
      </c>
      <c r="AO320" s="127">
        <v>57</v>
      </c>
      <c r="AP320" s="123">
        <v>61.533309936523438</v>
      </c>
      <c r="AQ320" s="123">
        <v>33.380390167236328</v>
      </c>
      <c r="AR320" s="123">
        <v>99</v>
      </c>
      <c r="AS320" s="123"/>
      <c r="AT320" s="123">
        <v>95</v>
      </c>
      <c r="AU320" s="123"/>
      <c r="AV320" s="123">
        <v>56</v>
      </c>
      <c r="AW320" s="123"/>
      <c r="AX320" s="123">
        <v>32</v>
      </c>
      <c r="AY320" s="123">
        <v>33.385810852050781</v>
      </c>
      <c r="AZ320" s="123">
        <v>4</v>
      </c>
      <c r="BA320" s="123"/>
      <c r="BB320" s="123">
        <v>178</v>
      </c>
      <c r="BC320" s="123">
        <v>175.76455688476563</v>
      </c>
      <c r="BD320" s="123">
        <v>6.9000000953674316</v>
      </c>
      <c r="BE320" s="123">
        <v>7.1777973175048828</v>
      </c>
      <c r="BF320" s="123">
        <v>30</v>
      </c>
      <c r="BG320" s="123">
        <v>11</v>
      </c>
      <c r="BH320" s="123">
        <v>11.882021903991699</v>
      </c>
      <c r="BI320" s="123"/>
      <c r="BJ320" s="108">
        <f t="shared" si="13"/>
        <v>12</v>
      </c>
      <c r="BK320" s="123">
        <v>12</v>
      </c>
      <c r="BL320" s="123">
        <v>0</v>
      </c>
      <c r="BM320" s="126"/>
      <c r="BN320" s="108">
        <f t="shared" si="14"/>
        <v>122</v>
      </c>
      <c r="BO320" s="108">
        <v>73</v>
      </c>
      <c r="BP320" s="108">
        <v>49</v>
      </c>
      <c r="BQ320" s="108">
        <v>268</v>
      </c>
      <c r="BR320" s="123">
        <v>69.3280029296875</v>
      </c>
      <c r="BS320" s="123">
        <v>24.937000274658203</v>
      </c>
      <c r="BT320" s="123">
        <v>40.523998260498047</v>
      </c>
      <c r="BU320" s="123">
        <v>36.451999664306641</v>
      </c>
      <c r="BV320" s="123">
        <v>69.099998474121094</v>
      </c>
      <c r="BW320" s="123">
        <v>6.1999998092651367</v>
      </c>
      <c r="BX320" s="123">
        <v>13.600000381469727</v>
      </c>
      <c r="BY320" s="123">
        <v>28</v>
      </c>
      <c r="BZ320" s="123">
        <v>1.5161823481321335E-2</v>
      </c>
      <c r="CA320" s="123">
        <v>0</v>
      </c>
      <c r="CB320" s="123">
        <v>29.622787475585938</v>
      </c>
      <c r="CC320" s="126"/>
      <c r="CD320" s="123">
        <v>338.85781860351563</v>
      </c>
      <c r="CE320" s="123">
        <v>27.259584426879883</v>
      </c>
      <c r="CF320" s="123">
        <v>17.125387191772461</v>
      </c>
      <c r="CG320" s="123">
        <v>35.338191986083984</v>
      </c>
      <c r="CH320" s="123">
        <v>277.66778564453125</v>
      </c>
      <c r="CI320" s="123">
        <v>84.094169616699219</v>
      </c>
      <c r="CJ320" s="123">
        <v>37.829521179199219</v>
      </c>
      <c r="CK320" s="123">
        <v>51.143604278564453</v>
      </c>
      <c r="CL320" s="124">
        <v>25.17277717590332</v>
      </c>
      <c r="CM320" s="125">
        <v>174.31544494628906</v>
      </c>
      <c r="CN320" s="123">
        <v>64.600349426269531</v>
      </c>
      <c r="CO320" s="123">
        <v>48.275531768798828</v>
      </c>
      <c r="CP320" s="123">
        <v>55.705440521240234</v>
      </c>
      <c r="CQ320" s="123">
        <v>0</v>
      </c>
      <c r="CR320" s="123">
        <v>52.385910034179688</v>
      </c>
      <c r="CS320" s="123">
        <v>16.733278274536133</v>
      </c>
      <c r="CT320" s="123">
        <v>31.770193099975586</v>
      </c>
      <c r="CU320" s="123">
        <v>41.651496887207031</v>
      </c>
      <c r="CV320" s="124">
        <v>49.116767883300781</v>
      </c>
      <c r="CW320" s="125">
        <v>12</v>
      </c>
      <c r="CX320" s="123">
        <v>299</v>
      </c>
      <c r="CY320" s="123">
        <v>106.45381164550781</v>
      </c>
      <c r="CZ320" s="123">
        <v>48.401950836181641</v>
      </c>
      <c r="DA320" s="123">
        <v>20.153907775878906</v>
      </c>
      <c r="DB320" s="123">
        <v>28.519704818725586</v>
      </c>
      <c r="DC320" s="123">
        <v>70.299041748046875</v>
      </c>
      <c r="DD320" s="123">
        <v>53</v>
      </c>
      <c r="DE320" s="123">
        <v>169</v>
      </c>
      <c r="DF320" s="123">
        <v>103.57693481445313</v>
      </c>
      <c r="DG320" s="123">
        <v>63.585506439208984</v>
      </c>
      <c r="DH320" s="123">
        <v>41.769229888916016</v>
      </c>
      <c r="DI320" s="128">
        <v>36.397129058837891</v>
      </c>
      <c r="DJ320" s="127">
        <v>227</v>
      </c>
      <c r="DK320" s="123">
        <v>122.14499664306641</v>
      </c>
      <c r="DL320" s="123">
        <v>30.195999145507813</v>
      </c>
      <c r="DM320" s="123">
        <v>38.169998168945313</v>
      </c>
      <c r="DN320" s="123">
        <v>50.540000915527344</v>
      </c>
      <c r="DO320" s="124">
        <v>118.25846099853516</v>
      </c>
      <c r="DP320" s="125">
        <v>15.720000267028809</v>
      </c>
      <c r="DQ320" s="123"/>
      <c r="DR320" s="125">
        <v>0</v>
      </c>
      <c r="DS320" s="128">
        <v>31.100000381469727</v>
      </c>
      <c r="DT320" s="127">
        <v>12</v>
      </c>
      <c r="DU320" s="123"/>
      <c r="DV320" s="123">
        <v>11</v>
      </c>
      <c r="DW320" s="123">
        <v>2.1570217609405518</v>
      </c>
      <c r="DX320" s="125">
        <v>10</v>
      </c>
      <c r="DY320" s="128"/>
      <c r="DZ320" s="127">
        <v>46</v>
      </c>
      <c r="EA320" s="123">
        <v>3</v>
      </c>
      <c r="EB320" s="123">
        <v>0</v>
      </c>
      <c r="EC320" s="123">
        <v>29</v>
      </c>
      <c r="ED320" s="123">
        <v>234.69999694824219</v>
      </c>
      <c r="EE320" s="129"/>
      <c r="EF320" s="129"/>
      <c r="EG320" s="129"/>
    </row>
    <row r="321" spans="1:137" x14ac:dyDescent="0.3">
      <c r="A321" s="226">
        <f t="shared" si="15"/>
        <v>46020.220138889606</v>
      </c>
      <c r="B321" s="123">
        <v>243</v>
      </c>
      <c r="C321" s="123">
        <v>54.398998260498047</v>
      </c>
      <c r="D321" s="123">
        <v>99.977996826171875</v>
      </c>
      <c r="E321" s="123">
        <v>18.547000885009766</v>
      </c>
      <c r="F321" s="123">
        <v>7.8483843803405762</v>
      </c>
      <c r="G321" s="124">
        <v>18.660999298095703</v>
      </c>
      <c r="H321" s="125">
        <v>335</v>
      </c>
      <c r="I321" s="123">
        <v>296</v>
      </c>
      <c r="J321" s="123">
        <v>61.750999450683594</v>
      </c>
      <c r="K321" s="123">
        <v>66.07666015625</v>
      </c>
      <c r="L321" s="123">
        <v>51.599998474121094</v>
      </c>
      <c r="M321" s="123">
        <v>12.779000282287598</v>
      </c>
      <c r="N321" s="123">
        <v>17.493999481201172</v>
      </c>
      <c r="O321" s="123">
        <v>18</v>
      </c>
      <c r="P321" s="123">
        <v>0</v>
      </c>
      <c r="Q321" s="123">
        <v>18.512596130371094</v>
      </c>
      <c r="R321" s="123">
        <v>13.003125190734863</v>
      </c>
      <c r="S321" s="123">
        <v>13.799346923828125</v>
      </c>
      <c r="T321" s="123">
        <v>9</v>
      </c>
      <c r="U321" s="123">
        <v>9</v>
      </c>
      <c r="V321" s="125">
        <v>869</v>
      </c>
      <c r="W321" s="123">
        <v>27.057670593261719</v>
      </c>
      <c r="X321" s="123">
        <v>25.219999313354492</v>
      </c>
      <c r="Y321" s="123">
        <v>7.125</v>
      </c>
      <c r="Z321" s="123">
        <v>0</v>
      </c>
      <c r="AA321" s="123">
        <v>16.964000701904297</v>
      </c>
      <c r="AB321" s="123">
        <v>0</v>
      </c>
      <c r="AC321" s="123">
        <v>56.199695587158203</v>
      </c>
      <c r="AD321" s="123">
        <v>5.8520002365112305</v>
      </c>
      <c r="AE321" s="123">
        <v>0</v>
      </c>
      <c r="AF321" s="123">
        <v>82.457443237304688</v>
      </c>
      <c r="AG321" s="123">
        <v>0</v>
      </c>
      <c r="AH321" s="123">
        <v>64.479026794433594</v>
      </c>
      <c r="AI321" s="123">
        <v>12.850000381469727</v>
      </c>
      <c r="AJ321" s="123">
        <v>17.308835983276367</v>
      </c>
      <c r="AK321" s="123">
        <v>38.049652099609375</v>
      </c>
      <c r="AL321" s="123">
        <v>39.407001495361328</v>
      </c>
      <c r="AM321" s="126">
        <v>54.328998565673828</v>
      </c>
      <c r="AN321" s="125">
        <v>111</v>
      </c>
      <c r="AO321" s="127">
        <v>57</v>
      </c>
      <c r="AP321" s="123">
        <v>61.891532897949219</v>
      </c>
      <c r="AQ321" s="123">
        <v>34.898292541503906</v>
      </c>
      <c r="AR321" s="123">
        <v>97</v>
      </c>
      <c r="AS321" s="123"/>
      <c r="AT321" s="123">
        <v>96</v>
      </c>
      <c r="AU321" s="123"/>
      <c r="AV321" s="123">
        <v>56</v>
      </c>
      <c r="AW321" s="123"/>
      <c r="AX321" s="123">
        <v>30</v>
      </c>
      <c r="AY321" s="123">
        <v>33.385810852050781</v>
      </c>
      <c r="AZ321" s="123">
        <v>0</v>
      </c>
      <c r="BA321" s="123"/>
      <c r="BB321" s="123">
        <v>178</v>
      </c>
      <c r="BC321" s="123">
        <v>178.72930908203125</v>
      </c>
      <c r="BD321" s="123">
        <v>6.9000000953674316</v>
      </c>
      <c r="BE321" s="123">
        <v>6.9873342514038086</v>
      </c>
      <c r="BF321" s="123">
        <v>30</v>
      </c>
      <c r="BG321" s="123">
        <v>10</v>
      </c>
      <c r="BH321" s="123">
        <v>11.133063316345215</v>
      </c>
      <c r="BI321" s="123"/>
      <c r="BJ321" s="108">
        <f t="shared" si="13"/>
        <v>11</v>
      </c>
      <c r="BK321" s="123">
        <v>11</v>
      </c>
      <c r="BL321" s="123">
        <v>0</v>
      </c>
      <c r="BM321" s="126"/>
      <c r="BN321" s="108">
        <f t="shared" si="14"/>
        <v>122</v>
      </c>
      <c r="BO321" s="108">
        <v>73</v>
      </c>
      <c r="BP321" s="108">
        <v>49</v>
      </c>
      <c r="BQ321" s="108">
        <v>270</v>
      </c>
      <c r="BR321" s="123">
        <v>69.893997192382813</v>
      </c>
      <c r="BS321" s="123">
        <v>24.937000274658203</v>
      </c>
      <c r="BT321" s="123">
        <v>40.523998260498047</v>
      </c>
      <c r="BU321" s="123">
        <v>37.724998474121094</v>
      </c>
      <c r="BV321" s="123">
        <v>68.800003051757813</v>
      </c>
      <c r="BW321" s="123">
        <v>6.0999999046325684</v>
      </c>
      <c r="BX321" s="123">
        <v>13.600000381469727</v>
      </c>
      <c r="BY321" s="123">
        <v>29</v>
      </c>
      <c r="BZ321" s="123">
        <v>1.3327421620488167E-2</v>
      </c>
      <c r="CA321" s="123">
        <v>1</v>
      </c>
      <c r="CB321" s="123">
        <v>29.782655715942383</v>
      </c>
      <c r="CC321" s="126"/>
      <c r="CD321" s="123">
        <v>342.01876831054688</v>
      </c>
      <c r="CE321" s="123">
        <v>27.294376373291016</v>
      </c>
      <c r="CF321" s="123">
        <v>17.365503311157227</v>
      </c>
      <c r="CG321" s="123">
        <v>35.338191986083984</v>
      </c>
      <c r="CH321" s="123">
        <v>278.09890747070313</v>
      </c>
      <c r="CI321" s="123">
        <v>84.296928405761719</v>
      </c>
      <c r="CJ321" s="123">
        <v>34.410442352294922</v>
      </c>
      <c r="CK321" s="123">
        <v>51.729145050048828</v>
      </c>
      <c r="CL321" s="124">
        <v>27.473026275634766</v>
      </c>
      <c r="CM321" s="125">
        <v>150.78073120117188</v>
      </c>
      <c r="CN321" s="123">
        <v>44.045726776123047</v>
      </c>
      <c r="CO321" s="123">
        <v>49.096748352050781</v>
      </c>
      <c r="CP321" s="123">
        <v>54.962997436523438</v>
      </c>
      <c r="CQ321" s="123">
        <v>0</v>
      </c>
      <c r="CR321" s="123">
        <v>51.465930938720703</v>
      </c>
      <c r="CS321" s="123">
        <v>15.954387664794922</v>
      </c>
      <c r="CT321" s="123">
        <v>33.25347900390625</v>
      </c>
      <c r="CU321" s="123">
        <v>42.28765869140625</v>
      </c>
      <c r="CV321" s="124">
        <v>49.952659606933594</v>
      </c>
      <c r="CW321" s="125">
        <v>2</v>
      </c>
      <c r="CX321" s="123">
        <v>302</v>
      </c>
      <c r="CY321" s="123">
        <v>107.57393646240234</v>
      </c>
      <c r="CZ321" s="123">
        <v>47.727157592773438</v>
      </c>
      <c r="DA321" s="123">
        <v>23.142032623291016</v>
      </c>
      <c r="DB321" s="123">
        <v>31.300003051757813</v>
      </c>
      <c r="DC321" s="123">
        <v>71.975593566894531</v>
      </c>
      <c r="DD321" s="123">
        <v>56</v>
      </c>
      <c r="DE321" s="123">
        <v>168</v>
      </c>
      <c r="DF321" s="123">
        <v>101.92649841308594</v>
      </c>
      <c r="DG321" s="123">
        <v>64.136573791503906</v>
      </c>
      <c r="DH321" s="123">
        <v>39.283660888671875</v>
      </c>
      <c r="DI321" s="128">
        <v>36.838779449462891</v>
      </c>
      <c r="DJ321" s="127">
        <v>229</v>
      </c>
      <c r="DK321" s="123">
        <v>120.87200164794922</v>
      </c>
      <c r="DL321" s="123">
        <v>30.083000183105469</v>
      </c>
      <c r="DM321" s="123">
        <v>37.639999389648438</v>
      </c>
      <c r="DN321" s="123">
        <v>53.191001892089844</v>
      </c>
      <c r="DO321" s="124">
        <v>118.12739562988281</v>
      </c>
      <c r="DP321" s="125">
        <v>16.143999099731445</v>
      </c>
      <c r="DQ321" s="123"/>
      <c r="DR321" s="125">
        <v>0</v>
      </c>
      <c r="DS321" s="128">
        <v>28.399999618530273</v>
      </c>
      <c r="DT321" s="127">
        <v>12</v>
      </c>
      <c r="DU321" s="123"/>
      <c r="DV321" s="123">
        <v>8</v>
      </c>
      <c r="DW321" s="123">
        <v>2.3043549060821533</v>
      </c>
      <c r="DX321" s="125">
        <v>10</v>
      </c>
      <c r="DY321" s="128"/>
      <c r="DZ321" s="127">
        <v>45</v>
      </c>
      <c r="EA321" s="123">
        <v>3</v>
      </c>
      <c r="EB321" s="123">
        <v>0</v>
      </c>
      <c r="EC321" s="123">
        <v>29</v>
      </c>
      <c r="ED321" s="123">
        <v>234.80000305175781</v>
      </c>
      <c r="EE321" s="129"/>
      <c r="EF321" s="129"/>
      <c r="EG321" s="129"/>
    </row>
    <row r="322" spans="1:137" x14ac:dyDescent="0.3">
      <c r="A322" s="226">
        <f t="shared" si="15"/>
        <v>46020.220833334053</v>
      </c>
      <c r="B322" s="123">
        <v>246</v>
      </c>
      <c r="C322" s="123">
        <v>57.340000152587891</v>
      </c>
      <c r="D322" s="123">
        <v>98.847000122070313</v>
      </c>
      <c r="E322" s="123">
        <v>18.547000885009766</v>
      </c>
      <c r="F322" s="123">
        <v>0</v>
      </c>
      <c r="G322" s="124">
        <v>19.451999664306641</v>
      </c>
      <c r="H322" s="125">
        <v>336</v>
      </c>
      <c r="I322" s="123">
        <v>301</v>
      </c>
      <c r="J322" s="123">
        <v>60.733001708984375</v>
      </c>
      <c r="K322" s="123">
        <v>67.3427734375</v>
      </c>
      <c r="L322" s="123">
        <v>50.186000823974609</v>
      </c>
      <c r="M322" s="123">
        <v>12.326999664306641</v>
      </c>
      <c r="N322" s="123">
        <v>17.302999496459961</v>
      </c>
      <c r="O322" s="123">
        <v>18</v>
      </c>
      <c r="P322" s="123">
        <v>0</v>
      </c>
      <c r="Q322" s="123">
        <v>19.936622619628906</v>
      </c>
      <c r="R322" s="123">
        <v>12</v>
      </c>
      <c r="S322" s="123">
        <v>11.936760902404785</v>
      </c>
      <c r="T322" s="123">
        <v>9</v>
      </c>
      <c r="U322" s="123">
        <v>9</v>
      </c>
      <c r="V322" s="125">
        <v>877</v>
      </c>
      <c r="W322" s="123">
        <v>28.347829818725586</v>
      </c>
      <c r="X322" s="123">
        <v>25.107000350952148</v>
      </c>
      <c r="Y322" s="123">
        <v>7.2519998550415039</v>
      </c>
      <c r="Z322" s="123">
        <v>0</v>
      </c>
      <c r="AA322" s="123">
        <v>17.190000534057617</v>
      </c>
      <c r="AB322" s="123">
        <v>0</v>
      </c>
      <c r="AC322" s="123">
        <v>57.677413940429688</v>
      </c>
      <c r="AD322" s="123">
        <v>6.1069998741149902</v>
      </c>
      <c r="AE322" s="123">
        <v>0</v>
      </c>
      <c r="AF322" s="123">
        <v>84.096466064453125</v>
      </c>
      <c r="AG322" s="123">
        <v>0</v>
      </c>
      <c r="AH322" s="123">
        <v>63.693153381347656</v>
      </c>
      <c r="AI322" s="123">
        <v>14.694999694824219</v>
      </c>
      <c r="AJ322" s="123">
        <v>17.781728744506836</v>
      </c>
      <c r="AK322" s="123">
        <v>37.440895080566406</v>
      </c>
      <c r="AL322" s="123">
        <v>36.932998657226563</v>
      </c>
      <c r="AM322" s="126">
        <v>56.492000579833984</v>
      </c>
      <c r="AN322" s="125">
        <v>113.75</v>
      </c>
      <c r="AO322" s="127">
        <v>58</v>
      </c>
      <c r="AP322" s="123">
        <v>60.041767120361328</v>
      </c>
      <c r="AQ322" s="123">
        <v>35.106559753417969</v>
      </c>
      <c r="AR322" s="123">
        <v>98</v>
      </c>
      <c r="AS322" s="123"/>
      <c r="AT322" s="123">
        <v>96</v>
      </c>
      <c r="AU322" s="123"/>
      <c r="AV322" s="123">
        <v>57</v>
      </c>
      <c r="AW322" s="123"/>
      <c r="AX322" s="123">
        <v>29</v>
      </c>
      <c r="AY322" s="123">
        <v>32.010185241699219</v>
      </c>
      <c r="AZ322" s="123">
        <v>4</v>
      </c>
      <c r="BA322" s="123"/>
      <c r="BB322" s="123">
        <v>178</v>
      </c>
      <c r="BC322" s="123">
        <v>178.7713623046875</v>
      </c>
      <c r="BD322" s="123">
        <v>7.0999999046325684</v>
      </c>
      <c r="BE322" s="123">
        <v>6.9900293350219727</v>
      </c>
      <c r="BF322" s="123">
        <v>30</v>
      </c>
      <c r="BG322" s="123">
        <v>10</v>
      </c>
      <c r="BH322" s="123">
        <v>11.167227745056152</v>
      </c>
      <c r="BI322" s="123"/>
      <c r="BJ322" s="108">
        <f t="shared" si="13"/>
        <v>11</v>
      </c>
      <c r="BK322" s="123">
        <v>11</v>
      </c>
      <c r="BL322" s="123">
        <v>0</v>
      </c>
      <c r="BM322" s="126"/>
      <c r="BN322" s="108">
        <f t="shared" si="14"/>
        <v>120.20000076293945</v>
      </c>
      <c r="BO322" s="108">
        <v>72</v>
      </c>
      <c r="BP322" s="108">
        <v>48.200000762939453</v>
      </c>
      <c r="BQ322" s="108">
        <v>266</v>
      </c>
      <c r="BR322" s="123">
        <v>69.893997192382813</v>
      </c>
      <c r="BS322" s="123">
        <v>23.920000076293945</v>
      </c>
      <c r="BT322" s="123">
        <v>40.869998931884766</v>
      </c>
      <c r="BU322" s="123">
        <v>34.735000610351563</v>
      </c>
      <c r="BV322" s="123">
        <v>69.400001525878906</v>
      </c>
      <c r="BW322" s="123">
        <v>6.3000001907348633</v>
      </c>
      <c r="BX322" s="123">
        <v>13.600000381469727</v>
      </c>
      <c r="BY322" s="123">
        <v>30</v>
      </c>
      <c r="BZ322" s="123">
        <v>1.3327421620488167E-2</v>
      </c>
      <c r="CA322" s="123">
        <v>0</v>
      </c>
      <c r="CB322" s="123">
        <v>30.229188919067383</v>
      </c>
      <c r="CC322" s="126"/>
      <c r="CD322" s="123">
        <v>343.26416015625</v>
      </c>
      <c r="CE322" s="123">
        <v>31.482484817504883</v>
      </c>
      <c r="CF322" s="123">
        <v>16.965850830078125</v>
      </c>
      <c r="CG322" s="123">
        <v>35.338191986083984</v>
      </c>
      <c r="CH322" s="123">
        <v>279.684326171875</v>
      </c>
      <c r="CI322" s="123">
        <v>88.243659973144531</v>
      </c>
      <c r="CJ322" s="123">
        <v>33.425788879394531</v>
      </c>
      <c r="CK322" s="123">
        <v>54.959869384765625</v>
      </c>
      <c r="CL322" s="124">
        <v>24.080841064453125</v>
      </c>
      <c r="CM322" s="125">
        <v>148.00318908691406</v>
      </c>
      <c r="CN322" s="123">
        <v>43.177093505859375</v>
      </c>
      <c r="CO322" s="123">
        <v>48.105243682861328</v>
      </c>
      <c r="CP322" s="123">
        <v>52.656898498535156</v>
      </c>
      <c r="CQ322" s="123">
        <v>0</v>
      </c>
      <c r="CR322" s="123">
        <v>52.571582794189453</v>
      </c>
      <c r="CS322" s="123">
        <v>16.86717414855957</v>
      </c>
      <c r="CT322" s="123">
        <v>34.301998138427734</v>
      </c>
      <c r="CU322" s="123">
        <v>42.420951843261719</v>
      </c>
      <c r="CV322" s="124">
        <v>49.881153106689453</v>
      </c>
      <c r="CW322" s="125">
        <v>9</v>
      </c>
      <c r="CX322" s="123">
        <v>301</v>
      </c>
      <c r="CY322" s="123">
        <v>110.57622528076172</v>
      </c>
      <c r="CZ322" s="123">
        <v>49.061420440673828</v>
      </c>
      <c r="DA322" s="123">
        <v>23.264280319213867</v>
      </c>
      <c r="DB322" s="123">
        <v>29.764829635620117</v>
      </c>
      <c r="DC322" s="123">
        <v>71.707275390625</v>
      </c>
      <c r="DD322" s="123">
        <v>42</v>
      </c>
      <c r="DE322" s="123">
        <v>167</v>
      </c>
      <c r="DF322" s="123">
        <v>102.53640747070313</v>
      </c>
      <c r="DG322" s="123">
        <v>63.074165344238281</v>
      </c>
      <c r="DH322" s="123">
        <v>39.942523956298828</v>
      </c>
      <c r="DI322" s="128">
        <v>36.03912353515625</v>
      </c>
      <c r="DJ322" s="127">
        <v>227</v>
      </c>
      <c r="DK322" s="123">
        <v>120.87200164794922</v>
      </c>
      <c r="DL322" s="123">
        <v>27.594999313354492</v>
      </c>
      <c r="DM322" s="123">
        <v>36.578998565673828</v>
      </c>
      <c r="DN322" s="123">
        <v>53.721000671386719</v>
      </c>
      <c r="DO322" s="124">
        <v>113.80521392822266</v>
      </c>
      <c r="DP322" s="125">
        <v>15.182999610900879</v>
      </c>
      <c r="DQ322" s="123"/>
      <c r="DR322" s="125">
        <v>0</v>
      </c>
      <c r="DS322" s="128">
        <v>30.100000381469727</v>
      </c>
      <c r="DT322" s="127">
        <v>13</v>
      </c>
      <c r="DU322" s="123"/>
      <c r="DV322" s="123">
        <v>9</v>
      </c>
      <c r="DW322" s="123">
        <v>2.2101576328277588</v>
      </c>
      <c r="DX322" s="125">
        <v>12</v>
      </c>
      <c r="DY322" s="128"/>
      <c r="DZ322" s="127">
        <v>45</v>
      </c>
      <c r="EA322" s="123">
        <v>3</v>
      </c>
      <c r="EB322" s="123">
        <v>0</v>
      </c>
      <c r="EC322" s="123">
        <v>29</v>
      </c>
      <c r="ED322" s="123">
        <v>230.60000610351563</v>
      </c>
      <c r="EE322" s="129"/>
      <c r="EF322" s="129"/>
      <c r="EG322" s="129"/>
    </row>
    <row r="323" spans="1:137" x14ac:dyDescent="0.3">
      <c r="A323" s="226">
        <f t="shared" si="15"/>
        <v>46020.2215277785</v>
      </c>
      <c r="B323" s="123">
        <v>247</v>
      </c>
      <c r="C323" s="123">
        <v>55.756000518798828</v>
      </c>
      <c r="D323" s="123">
        <v>97.71600341796875</v>
      </c>
      <c r="E323" s="123">
        <v>19.565000534057617</v>
      </c>
      <c r="F323" s="123">
        <v>2.8232197761535645</v>
      </c>
      <c r="G323" s="124">
        <v>19.339000701904297</v>
      </c>
      <c r="H323" s="125">
        <v>333</v>
      </c>
      <c r="I323" s="123">
        <v>298</v>
      </c>
      <c r="J323" s="123">
        <v>60.958999633789063</v>
      </c>
      <c r="K323" s="123">
        <v>63.135475158691406</v>
      </c>
      <c r="L323" s="123">
        <v>47.712001800537109</v>
      </c>
      <c r="M323" s="123">
        <v>12.439999580383301</v>
      </c>
      <c r="N323" s="123">
        <v>17.302999496459961</v>
      </c>
      <c r="O323" s="123">
        <v>17</v>
      </c>
      <c r="P323" s="123">
        <v>0</v>
      </c>
      <c r="Q323" s="123">
        <v>17.32026481628418</v>
      </c>
      <c r="R323" s="123">
        <v>10.996874809265137</v>
      </c>
      <c r="S323" s="123">
        <v>11.425549507141113</v>
      </c>
      <c r="T323" s="123">
        <v>9</v>
      </c>
      <c r="U323" s="123">
        <v>9</v>
      </c>
      <c r="V323" s="125">
        <v>877</v>
      </c>
      <c r="W323" s="123">
        <v>30.118991851806641</v>
      </c>
      <c r="X323" s="123">
        <v>24.993999481201172</v>
      </c>
      <c r="Y323" s="123">
        <v>6.3610000610351563</v>
      </c>
      <c r="Z323" s="123">
        <v>0</v>
      </c>
      <c r="AA323" s="123">
        <v>16.625</v>
      </c>
      <c r="AB323" s="123">
        <v>0</v>
      </c>
      <c r="AC323" s="123">
        <v>55.801303863525391</v>
      </c>
      <c r="AD323" s="123">
        <v>5.8520002365112305</v>
      </c>
      <c r="AE323" s="123">
        <v>0</v>
      </c>
      <c r="AF323" s="123">
        <v>82.652191162109375</v>
      </c>
      <c r="AG323" s="123">
        <v>0</v>
      </c>
      <c r="AH323" s="123">
        <v>63.613208770751953</v>
      </c>
      <c r="AI323" s="123">
        <v>14.821999549865723</v>
      </c>
      <c r="AJ323" s="123">
        <v>17.315515518188477</v>
      </c>
      <c r="AK323" s="123">
        <v>37.248313903808594</v>
      </c>
      <c r="AL323" s="123">
        <v>37.285999298095703</v>
      </c>
      <c r="AM323" s="126">
        <v>55.918998718261719</v>
      </c>
      <c r="AN323" s="125">
        <v>113.75</v>
      </c>
      <c r="AO323" s="127">
        <v>58</v>
      </c>
      <c r="AP323" s="123">
        <v>60.265132904052734</v>
      </c>
      <c r="AQ323" s="123">
        <v>35.486984252929688</v>
      </c>
      <c r="AR323" s="123">
        <v>98</v>
      </c>
      <c r="AS323" s="123"/>
      <c r="AT323" s="123">
        <v>95</v>
      </c>
      <c r="AU323" s="123"/>
      <c r="AV323" s="123">
        <v>63</v>
      </c>
      <c r="AW323" s="123"/>
      <c r="AX323" s="123">
        <v>29</v>
      </c>
      <c r="AY323" s="123">
        <v>32.010185241699219</v>
      </c>
      <c r="AZ323" s="123">
        <v>3</v>
      </c>
      <c r="BA323" s="123"/>
      <c r="BB323" s="123">
        <v>177</v>
      </c>
      <c r="BC323" s="123">
        <v>177.43057250976563</v>
      </c>
      <c r="BD323" s="123">
        <v>7.8000001907348633</v>
      </c>
      <c r="BE323" s="123">
        <v>7.8090448379516602</v>
      </c>
      <c r="BF323" s="123">
        <v>30</v>
      </c>
      <c r="BG323" s="123">
        <v>10</v>
      </c>
      <c r="BH323" s="123">
        <v>11.093107223510742</v>
      </c>
      <c r="BI323" s="123"/>
      <c r="BJ323" s="108">
        <f t="shared" si="13"/>
        <v>11</v>
      </c>
      <c r="BK323" s="123">
        <v>11</v>
      </c>
      <c r="BL323" s="123">
        <v>0</v>
      </c>
      <c r="BM323" s="126"/>
      <c r="BN323" s="108">
        <f t="shared" si="14"/>
        <v>121</v>
      </c>
      <c r="BO323" s="108">
        <v>72</v>
      </c>
      <c r="BP323" s="108">
        <v>49</v>
      </c>
      <c r="BQ323" s="108">
        <v>273</v>
      </c>
      <c r="BR323" s="123">
        <v>77.132003784179688</v>
      </c>
      <c r="BS323" s="123">
        <v>23.156000137329102</v>
      </c>
      <c r="BT323" s="123">
        <v>41.562999725341797</v>
      </c>
      <c r="BU323" s="123">
        <v>34.416000366210938</v>
      </c>
      <c r="BV323" s="123">
        <v>69.099998474121094</v>
      </c>
      <c r="BW323" s="123">
        <v>6.1999998092651367</v>
      </c>
      <c r="BX323" s="123">
        <v>13.800000190734863</v>
      </c>
      <c r="BY323" s="123">
        <v>28</v>
      </c>
      <c r="BZ323" s="123">
        <v>1.5098022297024727E-2</v>
      </c>
      <c r="CA323" s="123">
        <v>1</v>
      </c>
      <c r="CB323" s="123">
        <v>30.093765258789063</v>
      </c>
      <c r="CC323" s="126"/>
      <c r="CD323" s="123">
        <v>345.73089599609375</v>
      </c>
      <c r="CE323" s="123">
        <v>30.362394332885742</v>
      </c>
      <c r="CF323" s="123">
        <v>18.011783599853516</v>
      </c>
      <c r="CG323" s="123">
        <v>35.338191986083984</v>
      </c>
      <c r="CH323" s="123">
        <v>281.913330078125</v>
      </c>
      <c r="CI323" s="123">
        <v>87.817115783691406</v>
      </c>
      <c r="CJ323" s="123">
        <v>37.191307067871094</v>
      </c>
      <c r="CK323" s="123">
        <v>54.742347717285156</v>
      </c>
      <c r="CL323" s="124">
        <v>25.177055358886719</v>
      </c>
      <c r="CM323" s="125">
        <v>149.95039367675781</v>
      </c>
      <c r="CN323" s="123">
        <v>45.016044616699219</v>
      </c>
      <c r="CO323" s="123">
        <v>48.761844635009766</v>
      </c>
      <c r="CP323" s="123">
        <v>51.487876892089844</v>
      </c>
      <c r="CQ323" s="123">
        <v>0</v>
      </c>
      <c r="CR323" s="123">
        <v>57.684478759765625</v>
      </c>
      <c r="CS323" s="123">
        <v>16.893068313598633</v>
      </c>
      <c r="CT323" s="123">
        <v>31.460048675537109</v>
      </c>
      <c r="CU323" s="123">
        <v>39.562278747558594</v>
      </c>
      <c r="CV323" s="124">
        <v>49.449287414550781</v>
      </c>
      <c r="CW323" s="125">
        <v>2</v>
      </c>
      <c r="CX323" s="123">
        <v>298</v>
      </c>
      <c r="CY323" s="123">
        <v>108.88573455810547</v>
      </c>
      <c r="CZ323" s="123">
        <v>48.817512512207031</v>
      </c>
      <c r="DA323" s="123">
        <v>22.838653564453125</v>
      </c>
      <c r="DB323" s="123">
        <v>29.764829635620117</v>
      </c>
      <c r="DC323" s="123">
        <v>72.322715759277344</v>
      </c>
      <c r="DD323" s="123">
        <v>42</v>
      </c>
      <c r="DE323" s="123">
        <v>170</v>
      </c>
      <c r="DF323" s="123">
        <v>102.53640747070313</v>
      </c>
      <c r="DG323" s="123">
        <v>64.796295166015625</v>
      </c>
      <c r="DH323" s="123">
        <v>42.817478179931641</v>
      </c>
      <c r="DI323" s="128">
        <v>38.032363891601563</v>
      </c>
      <c r="DJ323" s="127">
        <v>224</v>
      </c>
      <c r="DK323" s="123">
        <v>122.65399932861328</v>
      </c>
      <c r="DL323" s="123">
        <v>30.423000335693359</v>
      </c>
      <c r="DM323" s="123">
        <v>32.868000030517578</v>
      </c>
      <c r="DN323" s="123">
        <v>53.721000671386719</v>
      </c>
      <c r="DO323" s="124">
        <v>115.25725555419922</v>
      </c>
      <c r="DP323" s="125">
        <v>15.182999610900879</v>
      </c>
      <c r="DQ323" s="123"/>
      <c r="DR323" s="125">
        <v>0</v>
      </c>
      <c r="DS323" s="128">
        <v>31.799999237060547</v>
      </c>
      <c r="DT323" s="127">
        <v>12</v>
      </c>
      <c r="DU323" s="123"/>
      <c r="DV323" s="123">
        <v>10</v>
      </c>
      <c r="DW323" s="123">
        <v>2.4245567321777344</v>
      </c>
      <c r="DX323" s="125">
        <v>10</v>
      </c>
      <c r="DY323" s="128"/>
      <c r="DZ323" s="127">
        <v>44</v>
      </c>
      <c r="EA323" s="123">
        <v>3</v>
      </c>
      <c r="EB323" s="123">
        <v>0</v>
      </c>
      <c r="EC323" s="123">
        <v>29</v>
      </c>
      <c r="ED323" s="123">
        <v>239.19999694824219</v>
      </c>
      <c r="EE323" s="129"/>
      <c r="EF323" s="129"/>
      <c r="EG323" s="129"/>
    </row>
    <row r="324" spans="1:137" x14ac:dyDescent="0.3">
      <c r="A324" s="226">
        <f t="shared" si="15"/>
        <v>46020.222222222947</v>
      </c>
      <c r="B324" s="123">
        <v>247</v>
      </c>
      <c r="C324" s="123">
        <v>51.118999481201172</v>
      </c>
      <c r="D324" s="123">
        <v>97.71600341796875</v>
      </c>
      <c r="E324" s="123">
        <v>18.660999298095703</v>
      </c>
      <c r="F324" s="123">
        <v>16.305538177490234</v>
      </c>
      <c r="G324" s="124">
        <v>18.660999298095703</v>
      </c>
      <c r="H324" s="125">
        <v>325</v>
      </c>
      <c r="I324" s="123">
        <v>294</v>
      </c>
      <c r="J324" s="123">
        <v>59.715000152587891</v>
      </c>
      <c r="K324" s="123">
        <v>61.110145568847656</v>
      </c>
      <c r="L324" s="123">
        <v>48.418998718261719</v>
      </c>
      <c r="M324" s="123">
        <v>13.909999847412109</v>
      </c>
      <c r="N324" s="123">
        <v>17.239999771118164</v>
      </c>
      <c r="O324" s="123">
        <v>15</v>
      </c>
      <c r="P324" s="123">
        <v>0</v>
      </c>
      <c r="Q324" s="123">
        <v>16.681570053100586</v>
      </c>
      <c r="R324" s="123">
        <v>10.003125190734863</v>
      </c>
      <c r="S324" s="123">
        <v>9.2688522338867188</v>
      </c>
      <c r="T324" s="123">
        <v>9</v>
      </c>
      <c r="U324" s="123">
        <v>9</v>
      </c>
      <c r="V324" s="125">
        <v>864</v>
      </c>
      <c r="W324" s="123">
        <v>30.777494430541992</v>
      </c>
      <c r="X324" s="123">
        <v>24.767999649047852</v>
      </c>
      <c r="Y324" s="123">
        <v>7.2519998550415039</v>
      </c>
      <c r="Z324" s="123">
        <v>0</v>
      </c>
      <c r="AA324" s="123">
        <v>16.964000701904297</v>
      </c>
      <c r="AB324" s="123">
        <v>0</v>
      </c>
      <c r="AC324" s="123">
        <v>55.034191131591797</v>
      </c>
      <c r="AD324" s="123">
        <v>5.8520002365112305</v>
      </c>
      <c r="AE324" s="123">
        <v>0</v>
      </c>
      <c r="AF324" s="123">
        <v>81.616195678710938</v>
      </c>
      <c r="AG324" s="123">
        <v>0</v>
      </c>
      <c r="AH324" s="123">
        <v>62.533283233642578</v>
      </c>
      <c r="AI324" s="123">
        <v>14.25</v>
      </c>
      <c r="AJ324" s="123">
        <v>16.693979263305664</v>
      </c>
      <c r="AK324" s="123">
        <v>38.842250823974609</v>
      </c>
      <c r="AL324" s="123">
        <v>39.053001403808594</v>
      </c>
      <c r="AM324" s="126">
        <v>55.347000122070313</v>
      </c>
      <c r="AN324" s="125">
        <v>115</v>
      </c>
      <c r="AO324" s="127">
        <v>58</v>
      </c>
      <c r="AP324" s="123">
        <v>60.928192138671875</v>
      </c>
      <c r="AQ324" s="123">
        <v>34.176074981689453</v>
      </c>
      <c r="AR324" s="123">
        <v>97</v>
      </c>
      <c r="AS324" s="123"/>
      <c r="AT324" s="123">
        <v>95</v>
      </c>
      <c r="AU324" s="123"/>
      <c r="AV324" s="123">
        <v>64</v>
      </c>
      <c r="AW324" s="123"/>
      <c r="AX324" s="123">
        <v>30</v>
      </c>
      <c r="AY324" s="123">
        <v>32.022914886474609</v>
      </c>
      <c r="AZ324" s="123">
        <v>4</v>
      </c>
      <c r="BA324" s="123"/>
      <c r="BB324" s="123">
        <v>177</v>
      </c>
      <c r="BC324" s="123">
        <v>175.60646057128906</v>
      </c>
      <c r="BD324" s="123">
        <v>7.8000001907348633</v>
      </c>
      <c r="BE324" s="123">
        <v>7.7855372428894043</v>
      </c>
      <c r="BF324" s="123">
        <v>30</v>
      </c>
      <c r="BG324" s="123">
        <v>10</v>
      </c>
      <c r="BH324" s="123">
        <v>11.083452224731445</v>
      </c>
      <c r="BI324" s="123"/>
      <c r="BJ324" s="108">
        <f t="shared" si="13"/>
        <v>11</v>
      </c>
      <c r="BK324" s="123">
        <v>11</v>
      </c>
      <c r="BL324" s="123">
        <v>0</v>
      </c>
      <c r="BM324" s="126"/>
      <c r="BN324" s="108">
        <f t="shared" si="14"/>
        <v>121</v>
      </c>
      <c r="BO324" s="108">
        <v>72</v>
      </c>
      <c r="BP324" s="108">
        <v>49</v>
      </c>
      <c r="BQ324" s="108">
        <v>275</v>
      </c>
      <c r="BR324" s="123">
        <v>73.851997375488281</v>
      </c>
      <c r="BS324" s="123">
        <v>24.429000854492188</v>
      </c>
      <c r="BT324" s="123">
        <v>40.869998931884766</v>
      </c>
      <c r="BU324" s="123">
        <v>35.433998107910156</v>
      </c>
      <c r="BV324" s="123">
        <v>69.5</v>
      </c>
      <c r="BW324" s="123">
        <v>6</v>
      </c>
      <c r="BX324" s="123">
        <v>13.699999809265137</v>
      </c>
      <c r="BY324" s="123">
        <v>29</v>
      </c>
      <c r="BZ324" s="123">
        <v>1.5569247305393219E-2</v>
      </c>
      <c r="CA324" s="123">
        <v>0</v>
      </c>
      <c r="CB324" s="123">
        <v>29.737142562866211</v>
      </c>
      <c r="CC324" s="126"/>
      <c r="CD324" s="123">
        <v>351.49383544921875</v>
      </c>
      <c r="CE324" s="123">
        <v>31.22569465637207</v>
      </c>
      <c r="CF324" s="123">
        <v>18.046350479125977</v>
      </c>
      <c r="CG324" s="123">
        <v>35.338191986083984</v>
      </c>
      <c r="CH324" s="123">
        <v>282.44378662109375</v>
      </c>
      <c r="CI324" s="123">
        <v>87.373306274414063</v>
      </c>
      <c r="CJ324" s="123">
        <v>36.808280944824219</v>
      </c>
      <c r="CK324" s="123">
        <v>52.982189178466797</v>
      </c>
      <c r="CL324" s="124">
        <v>23.141164779663086</v>
      </c>
      <c r="CM324" s="125">
        <v>150.69688415527344</v>
      </c>
      <c r="CN324" s="123">
        <v>43.129104614257813</v>
      </c>
      <c r="CO324" s="123">
        <v>47.750957489013672</v>
      </c>
      <c r="CP324" s="123">
        <v>56.097885131835938</v>
      </c>
      <c r="CQ324" s="123">
        <v>0</v>
      </c>
      <c r="CR324" s="123">
        <v>60.995426177978516</v>
      </c>
      <c r="CS324" s="123">
        <v>16.893068313598633</v>
      </c>
      <c r="CT324" s="123">
        <v>32.669498443603516</v>
      </c>
      <c r="CU324" s="123">
        <v>37.973430633544922</v>
      </c>
      <c r="CV324" s="124">
        <v>49.10260009765625</v>
      </c>
      <c r="CW324" s="125">
        <v>6</v>
      </c>
      <c r="CX324" s="123">
        <v>303</v>
      </c>
      <c r="CY324" s="123">
        <v>109.80234527587891</v>
      </c>
      <c r="CZ324" s="123">
        <v>48.318206787109375</v>
      </c>
      <c r="DA324" s="123">
        <v>22.401517868041992</v>
      </c>
      <c r="DB324" s="123">
        <v>29.624704360961914</v>
      </c>
      <c r="DC324" s="123">
        <v>73.141273498535156</v>
      </c>
      <c r="DD324" s="123">
        <v>56</v>
      </c>
      <c r="DE324" s="123">
        <v>168</v>
      </c>
      <c r="DF324" s="123">
        <v>102.23368835449219</v>
      </c>
      <c r="DG324" s="123">
        <v>66.401229858398438</v>
      </c>
      <c r="DH324" s="123">
        <v>42.560447692871094</v>
      </c>
      <c r="DI324" s="128">
        <v>37.493965148925781</v>
      </c>
      <c r="DJ324" s="127">
        <v>227</v>
      </c>
      <c r="DK324" s="123">
        <v>122.14499664306641</v>
      </c>
      <c r="DL324" s="123">
        <v>29.517999649047852</v>
      </c>
      <c r="DM324" s="123">
        <v>30.74799919128418</v>
      </c>
      <c r="DN324" s="123">
        <v>51.777000427246094</v>
      </c>
      <c r="DO324" s="124">
        <v>117.68130493164063</v>
      </c>
      <c r="DP324" s="125">
        <v>16.341999053955078</v>
      </c>
      <c r="DQ324" s="123"/>
      <c r="DR324" s="125">
        <v>0</v>
      </c>
      <c r="DS324" s="128">
        <v>30.200000762939453</v>
      </c>
      <c r="DT324" s="127">
        <v>13</v>
      </c>
      <c r="DU324" s="123"/>
      <c r="DV324" s="123">
        <v>11</v>
      </c>
      <c r="DW324" s="123">
        <v>2.5355308055877686</v>
      </c>
      <c r="DX324" s="125">
        <v>10</v>
      </c>
      <c r="DY324" s="128"/>
      <c r="DZ324" s="127">
        <v>45</v>
      </c>
      <c r="EA324" s="123">
        <v>3</v>
      </c>
      <c r="EB324" s="123">
        <v>0</v>
      </c>
      <c r="EC324" s="123">
        <v>29</v>
      </c>
      <c r="ED324" s="123">
        <v>236.5</v>
      </c>
      <c r="EE324" s="129"/>
      <c r="EF324" s="129"/>
      <c r="EG324" s="129"/>
    </row>
    <row r="325" spans="1:137" x14ac:dyDescent="0.3">
      <c r="A325" s="226">
        <f t="shared" si="15"/>
        <v>46020.222916667393</v>
      </c>
      <c r="B325" s="123">
        <v>243</v>
      </c>
      <c r="C325" s="123">
        <v>50.779998779296875</v>
      </c>
      <c r="D325" s="123">
        <v>97.71600341796875</v>
      </c>
      <c r="E325" s="123">
        <v>19.905000686645508</v>
      </c>
      <c r="F325" s="123">
        <v>0</v>
      </c>
      <c r="G325" s="124">
        <v>17.756000518798828</v>
      </c>
      <c r="H325" s="125">
        <v>325</v>
      </c>
      <c r="I325" s="123">
        <v>293</v>
      </c>
      <c r="J325" s="123">
        <v>60.166999816894531</v>
      </c>
      <c r="K325" s="123">
        <v>61.660636901855469</v>
      </c>
      <c r="L325" s="123">
        <v>46.298999786376953</v>
      </c>
      <c r="M325" s="123">
        <v>13.005999565124512</v>
      </c>
      <c r="N325" s="123">
        <v>16.922000885009766</v>
      </c>
      <c r="O325" s="123">
        <v>17</v>
      </c>
      <c r="P325" s="123">
        <v>0</v>
      </c>
      <c r="Q325" s="123">
        <v>18.672771453857422</v>
      </c>
      <c r="R325" s="123">
        <v>10.996874809265137</v>
      </c>
      <c r="S325" s="123">
        <v>11.305012702941895</v>
      </c>
      <c r="T325" s="123">
        <v>9</v>
      </c>
      <c r="U325" s="123">
        <v>9</v>
      </c>
      <c r="V325" s="125">
        <v>862</v>
      </c>
      <c r="W325" s="123">
        <v>30.15721321105957</v>
      </c>
      <c r="X325" s="123">
        <v>24.429000854492188</v>
      </c>
      <c r="Y325" s="123">
        <v>7.5060000419616699</v>
      </c>
      <c r="Z325" s="123">
        <v>0</v>
      </c>
      <c r="AA325" s="123">
        <v>17.076999664306641</v>
      </c>
      <c r="AB325" s="123">
        <v>0</v>
      </c>
      <c r="AC325" s="123">
        <v>55.447311401367188</v>
      </c>
      <c r="AD325" s="123">
        <v>5.8520002365112305</v>
      </c>
      <c r="AE325" s="123">
        <v>0</v>
      </c>
      <c r="AF325" s="123">
        <v>80.440086364746094</v>
      </c>
      <c r="AG325" s="123">
        <v>0</v>
      </c>
      <c r="AH325" s="123">
        <v>65.358085632324219</v>
      </c>
      <c r="AI325" s="123">
        <v>13.359000205993652</v>
      </c>
      <c r="AJ325" s="123">
        <v>16.575006484985352</v>
      </c>
      <c r="AK325" s="123">
        <v>39.120807647705078</v>
      </c>
      <c r="AL325" s="123">
        <v>39.759998321533203</v>
      </c>
      <c r="AM325" s="126">
        <v>55.409999847412109</v>
      </c>
      <c r="AN325" s="125">
        <v>114.1875</v>
      </c>
      <c r="AO325" s="127">
        <v>58</v>
      </c>
      <c r="AP325" s="123">
        <v>59.2352294921875</v>
      </c>
      <c r="AQ325" s="123">
        <v>34.176074981689453</v>
      </c>
      <c r="AR325" s="123">
        <v>98</v>
      </c>
      <c r="AS325" s="123"/>
      <c r="AT325" s="123">
        <v>95</v>
      </c>
      <c r="AU325" s="123"/>
      <c r="AV325" s="123">
        <v>64</v>
      </c>
      <c r="AW325" s="123"/>
      <c r="AX325" s="123">
        <v>29</v>
      </c>
      <c r="AY325" s="123">
        <v>32.333145141601563</v>
      </c>
      <c r="AZ325" s="123">
        <v>4</v>
      </c>
      <c r="BA325" s="123"/>
      <c r="BB325" s="123">
        <v>176</v>
      </c>
      <c r="BC325" s="123">
        <v>175.81864929199219</v>
      </c>
      <c r="BD325" s="123">
        <v>8.3999996185302734</v>
      </c>
      <c r="BE325" s="123">
        <v>8.2127628326416016</v>
      </c>
      <c r="BF325" s="123">
        <v>30</v>
      </c>
      <c r="BG325" s="123">
        <v>10</v>
      </c>
      <c r="BH325" s="123">
        <v>10.916003227233887</v>
      </c>
      <c r="BI325" s="123"/>
      <c r="BJ325" s="108">
        <f t="shared" ref="BJ325:BJ363" si="16">SUM(BK325:BL325)</f>
        <v>12</v>
      </c>
      <c r="BK325" s="123">
        <v>12</v>
      </c>
      <c r="BL325" s="123">
        <v>0</v>
      </c>
      <c r="BM325" s="126"/>
      <c r="BN325" s="108">
        <f t="shared" ref="BN325:BN363" si="17">SUM(BO325:BP325)</f>
        <v>122</v>
      </c>
      <c r="BO325" s="108">
        <v>73</v>
      </c>
      <c r="BP325" s="108">
        <v>49</v>
      </c>
      <c r="BQ325" s="108">
        <v>275</v>
      </c>
      <c r="BR325" s="123">
        <v>69.441001892089844</v>
      </c>
      <c r="BS325" s="123">
        <v>24.683000564575195</v>
      </c>
      <c r="BT325" s="123">
        <v>40.869998931884766</v>
      </c>
      <c r="BU325" s="123">
        <v>35.625</v>
      </c>
      <c r="BV325" s="123">
        <v>69.199996948242188</v>
      </c>
      <c r="BW325" s="123">
        <v>5.8000001907348633</v>
      </c>
      <c r="BX325" s="123">
        <v>13.5</v>
      </c>
      <c r="BY325" s="123">
        <v>29</v>
      </c>
      <c r="BZ325" s="123">
        <v>1.5296943485736847E-2</v>
      </c>
      <c r="CA325" s="123">
        <v>0</v>
      </c>
      <c r="CB325" s="123">
        <v>29.781671524047852</v>
      </c>
      <c r="CC325" s="126"/>
      <c r="CD325" s="123">
        <v>351.36907958984375</v>
      </c>
      <c r="CE325" s="123">
        <v>31.184541702270508</v>
      </c>
      <c r="CF325" s="123">
        <v>17.984415054321289</v>
      </c>
      <c r="CG325" s="123">
        <v>35.338191986083984</v>
      </c>
      <c r="CH325" s="123">
        <v>283.03671264648438</v>
      </c>
      <c r="CI325" s="123">
        <v>85.083656311035156</v>
      </c>
      <c r="CJ325" s="123">
        <v>35.443824768066406</v>
      </c>
      <c r="CK325" s="123">
        <v>52.530677795410156</v>
      </c>
      <c r="CL325" s="124">
        <v>24.483066558837891</v>
      </c>
      <c r="CM325" s="125">
        <v>153.32376098632813</v>
      </c>
      <c r="CN325" s="123">
        <v>45.164348602294922</v>
      </c>
      <c r="CO325" s="123">
        <v>48.267734527587891</v>
      </c>
      <c r="CP325" s="123">
        <v>56.390239715576172</v>
      </c>
      <c r="CQ325" s="123">
        <v>0</v>
      </c>
      <c r="CR325" s="123">
        <v>59.881496429443359</v>
      </c>
      <c r="CS325" s="123">
        <v>16.857000350952148</v>
      </c>
      <c r="CT325" s="123">
        <v>32.757354736328125</v>
      </c>
      <c r="CU325" s="123">
        <v>36.321712493896484</v>
      </c>
      <c r="CV325" s="124">
        <v>52.106388092041016</v>
      </c>
      <c r="CW325" s="125">
        <v>44</v>
      </c>
      <c r="CX325" s="123">
        <v>295</v>
      </c>
      <c r="CY325" s="123">
        <v>109.36965942382813</v>
      </c>
      <c r="CZ325" s="123">
        <v>50.174655914306641</v>
      </c>
      <c r="DA325" s="123">
        <v>21.419206619262695</v>
      </c>
      <c r="DB325" s="123">
        <v>26.64805793762207</v>
      </c>
      <c r="DC325" s="123">
        <v>72.117500305175781</v>
      </c>
      <c r="DD325" s="123">
        <v>55</v>
      </c>
      <c r="DE325" s="123">
        <v>170</v>
      </c>
      <c r="DF325" s="123">
        <v>102.72286987304688</v>
      </c>
      <c r="DG325" s="123">
        <v>65.906387329101563</v>
      </c>
      <c r="DH325" s="123">
        <v>41.399158477783203</v>
      </c>
      <c r="DI325" s="128">
        <v>37.4530029296875</v>
      </c>
      <c r="DJ325" s="127">
        <v>229</v>
      </c>
      <c r="DK325" s="123">
        <v>121.88999938964844</v>
      </c>
      <c r="DL325" s="123">
        <v>29.517999649047852</v>
      </c>
      <c r="DM325" s="123">
        <v>33.044998168945313</v>
      </c>
      <c r="DN325" s="123">
        <v>51.777000427246094</v>
      </c>
      <c r="DO325" s="124">
        <v>119.78934478759766</v>
      </c>
      <c r="DP325" s="125">
        <v>15.663000106811523</v>
      </c>
      <c r="DQ325" s="123"/>
      <c r="DR325" s="125">
        <v>0</v>
      </c>
      <c r="DS325" s="128">
        <v>29.399999618530273</v>
      </c>
      <c r="DT325" s="127">
        <v>13</v>
      </c>
      <c r="DU325" s="123"/>
      <c r="DV325" s="123">
        <v>10</v>
      </c>
      <c r="DW325" s="123">
        <v>2.504481315612793</v>
      </c>
      <c r="DX325" s="125">
        <v>10</v>
      </c>
      <c r="DY325" s="128"/>
      <c r="DZ325" s="127">
        <v>45</v>
      </c>
      <c r="EA325" s="123">
        <v>3</v>
      </c>
      <c r="EB325" s="123">
        <v>0</v>
      </c>
      <c r="EC325" s="123">
        <v>29</v>
      </c>
      <c r="ED325" s="123">
        <v>237.10000610351563</v>
      </c>
      <c r="EE325" s="129"/>
      <c r="EF325" s="129"/>
      <c r="EG325" s="129"/>
    </row>
    <row r="326" spans="1:137" x14ac:dyDescent="0.3">
      <c r="A326" s="226">
        <f t="shared" si="15"/>
        <v>46020.22361111184</v>
      </c>
      <c r="B326" s="123">
        <v>245</v>
      </c>
      <c r="C326" s="123">
        <v>54.512001037597656</v>
      </c>
      <c r="D326" s="123">
        <v>99.412002563476563</v>
      </c>
      <c r="E326" s="123">
        <v>18.660999298095703</v>
      </c>
      <c r="F326" s="123">
        <v>13.442190170288086</v>
      </c>
      <c r="G326" s="124">
        <v>18.434000015258789</v>
      </c>
      <c r="H326" s="125">
        <v>327</v>
      </c>
      <c r="I326" s="123">
        <v>293</v>
      </c>
      <c r="J326" s="123">
        <v>60.733001708984375</v>
      </c>
      <c r="K326" s="123">
        <v>63.665645599365234</v>
      </c>
      <c r="L326" s="123">
        <v>44.532001495361328</v>
      </c>
      <c r="M326" s="123">
        <v>13.232000350952148</v>
      </c>
      <c r="N326" s="123">
        <v>17.367000579833984</v>
      </c>
      <c r="O326" s="123">
        <v>17</v>
      </c>
      <c r="P326" s="123">
        <v>0</v>
      </c>
      <c r="Q326" s="123">
        <v>15.967278480529785</v>
      </c>
      <c r="R326" s="123">
        <v>10.003125190734863</v>
      </c>
      <c r="S326" s="123">
        <v>10.705275535583496</v>
      </c>
      <c r="T326" s="123">
        <v>9</v>
      </c>
      <c r="U326" s="123">
        <v>9</v>
      </c>
      <c r="V326" s="125">
        <v>865</v>
      </c>
      <c r="W326" s="123">
        <v>30.316970825195313</v>
      </c>
      <c r="X326" s="123">
        <v>24.429000854492188</v>
      </c>
      <c r="Y326" s="123">
        <v>7.315000057220459</v>
      </c>
      <c r="Z326" s="123">
        <v>0</v>
      </c>
      <c r="AA326" s="123">
        <v>19.451999664306641</v>
      </c>
      <c r="AB326" s="123">
        <v>0</v>
      </c>
      <c r="AC326" s="123">
        <v>55.884651184082031</v>
      </c>
      <c r="AD326" s="123">
        <v>5.8520002365112305</v>
      </c>
      <c r="AE326" s="123">
        <v>0</v>
      </c>
      <c r="AF326" s="123">
        <v>81.583587646484375</v>
      </c>
      <c r="AG326" s="123">
        <v>0</v>
      </c>
      <c r="AH326" s="123">
        <v>63.744472503662109</v>
      </c>
      <c r="AI326" s="123">
        <v>13.994999885559082</v>
      </c>
      <c r="AJ326" s="123">
        <v>16.621841430664063</v>
      </c>
      <c r="AK326" s="123">
        <v>38.178268432617188</v>
      </c>
      <c r="AL326" s="123">
        <v>37.639999389648438</v>
      </c>
      <c r="AM326" s="126">
        <v>54.773998260498047</v>
      </c>
      <c r="AN326" s="125">
        <v>110.25</v>
      </c>
      <c r="AO326" s="127">
        <v>57</v>
      </c>
      <c r="AP326" s="123">
        <v>59.462070465087891</v>
      </c>
      <c r="AQ326" s="123">
        <v>35.192958831787109</v>
      </c>
      <c r="AR326" s="123">
        <v>97</v>
      </c>
      <c r="AS326" s="123"/>
      <c r="AT326" s="123">
        <v>95</v>
      </c>
      <c r="AU326" s="123"/>
      <c r="AV326" s="123">
        <v>64</v>
      </c>
      <c r="AW326" s="123"/>
      <c r="AX326" s="123">
        <v>29</v>
      </c>
      <c r="AY326" s="123">
        <v>31.742254257202148</v>
      </c>
      <c r="AZ326" s="123">
        <v>4</v>
      </c>
      <c r="BA326" s="123"/>
      <c r="BB326" s="123">
        <v>177</v>
      </c>
      <c r="BC326" s="123">
        <v>177.13417053222656</v>
      </c>
      <c r="BD326" s="123">
        <v>7.4000000953674316</v>
      </c>
      <c r="BE326" s="123">
        <v>7.8105812072753906</v>
      </c>
      <c r="BF326" s="123">
        <v>30</v>
      </c>
      <c r="BG326" s="123">
        <v>10</v>
      </c>
      <c r="BH326" s="123">
        <v>10.869296073913574</v>
      </c>
      <c r="BI326" s="123"/>
      <c r="BJ326" s="108">
        <f t="shared" si="16"/>
        <v>13</v>
      </c>
      <c r="BK326" s="123">
        <v>13</v>
      </c>
      <c r="BL326" s="123">
        <v>0</v>
      </c>
      <c r="BM326" s="126"/>
      <c r="BN326" s="108">
        <f t="shared" si="17"/>
        <v>122.20000076293945</v>
      </c>
      <c r="BO326" s="108">
        <v>73</v>
      </c>
      <c r="BP326" s="108">
        <v>49.200000762939453</v>
      </c>
      <c r="BQ326" s="108">
        <v>268</v>
      </c>
      <c r="BR326" s="123">
        <v>68.536003112792969</v>
      </c>
      <c r="BS326" s="123">
        <v>25.191999435424805</v>
      </c>
      <c r="BT326" s="123">
        <v>43.640998840332031</v>
      </c>
      <c r="BU326" s="123">
        <v>34.226001739501953</v>
      </c>
      <c r="BV326" s="123">
        <v>69</v>
      </c>
      <c r="BW326" s="123">
        <v>6</v>
      </c>
      <c r="BX326" s="123">
        <v>13.600000381469727</v>
      </c>
      <c r="BY326" s="123">
        <v>30</v>
      </c>
      <c r="BZ326" s="123">
        <v>1.4409799128770828E-2</v>
      </c>
      <c r="CA326" s="123">
        <v>1</v>
      </c>
      <c r="CB326" s="123">
        <v>29.917566299438477</v>
      </c>
      <c r="CC326" s="126"/>
      <c r="CD326" s="123">
        <v>344.8909912109375</v>
      </c>
      <c r="CE326" s="123">
        <v>31.257360458374023</v>
      </c>
      <c r="CF326" s="123">
        <v>17.061176300048828</v>
      </c>
      <c r="CG326" s="123">
        <v>35.338191986083984</v>
      </c>
      <c r="CH326" s="123">
        <v>283.459716796875</v>
      </c>
      <c r="CI326" s="123">
        <v>87.725082397460938</v>
      </c>
      <c r="CJ326" s="123">
        <v>39.661617279052734</v>
      </c>
      <c r="CK326" s="123">
        <v>52.012218475341797</v>
      </c>
      <c r="CL326" s="124">
        <v>23.35004997253418</v>
      </c>
      <c r="CM326" s="125">
        <v>165.8260498046875</v>
      </c>
      <c r="CN326" s="123">
        <v>51.265960693359375</v>
      </c>
      <c r="CO326" s="123">
        <v>49.723255157470703</v>
      </c>
      <c r="CP326" s="123">
        <v>58.688434600830078</v>
      </c>
      <c r="CQ326" s="123">
        <v>0</v>
      </c>
      <c r="CR326" s="123">
        <v>61.173904418945313</v>
      </c>
      <c r="CS326" s="123">
        <v>17.504165649414063</v>
      </c>
      <c r="CT326" s="123">
        <v>33.303390502929688</v>
      </c>
      <c r="CU326" s="123">
        <v>43.530071258544922</v>
      </c>
      <c r="CV326" s="124">
        <v>53.281982421875</v>
      </c>
      <c r="CW326" s="125">
        <v>41</v>
      </c>
      <c r="CX326" s="123">
        <v>302</v>
      </c>
      <c r="CY326" s="123">
        <v>108.0401611328125</v>
      </c>
      <c r="CZ326" s="123">
        <v>49.668960571289063</v>
      </c>
      <c r="DA326" s="123">
        <v>21.583749771118164</v>
      </c>
      <c r="DB326" s="123">
        <v>28.224777221679688</v>
      </c>
      <c r="DC326" s="123">
        <v>74.291244506835938</v>
      </c>
      <c r="DD326" s="123">
        <v>53</v>
      </c>
      <c r="DE326" s="123">
        <v>169</v>
      </c>
      <c r="DF326" s="123">
        <v>102.11397552490234</v>
      </c>
      <c r="DG326" s="123">
        <v>62.148536682128906</v>
      </c>
      <c r="DH326" s="123">
        <v>42.253955841064453</v>
      </c>
      <c r="DI326" s="128">
        <v>38.727127075195313</v>
      </c>
      <c r="DJ326" s="127">
        <v>226</v>
      </c>
      <c r="DK326" s="123">
        <v>115.01899719238281</v>
      </c>
      <c r="DL326" s="123">
        <v>29.065999984741211</v>
      </c>
      <c r="DM326" s="123">
        <v>31.454999923706055</v>
      </c>
      <c r="DN326" s="123">
        <v>51.777000427246094</v>
      </c>
      <c r="DO326" s="124">
        <v>116.29705810546875</v>
      </c>
      <c r="DP326" s="125">
        <v>15.663000106811523</v>
      </c>
      <c r="DQ326" s="123"/>
      <c r="DR326" s="125">
        <v>0</v>
      </c>
      <c r="DS326" s="128">
        <v>27.700000762939453</v>
      </c>
      <c r="DT326" s="127">
        <v>13</v>
      </c>
      <c r="DU326" s="123"/>
      <c r="DV326" s="123">
        <v>7</v>
      </c>
      <c r="DW326" s="123">
        <v>2.2857227325439453</v>
      </c>
      <c r="DX326" s="125">
        <v>11</v>
      </c>
      <c r="DY326" s="128"/>
      <c r="DZ326" s="127">
        <v>45</v>
      </c>
      <c r="EA326" s="123">
        <v>3</v>
      </c>
      <c r="EB326" s="123">
        <v>0</v>
      </c>
      <c r="EC326" s="123">
        <v>29</v>
      </c>
      <c r="ED326" s="123">
        <v>234.5</v>
      </c>
      <c r="EE326" s="129"/>
      <c r="EF326" s="129"/>
      <c r="EG326" s="129"/>
    </row>
    <row r="327" spans="1:137" x14ac:dyDescent="0.3">
      <c r="A327" s="226">
        <f t="shared" si="15"/>
        <v>46020.224305556287</v>
      </c>
      <c r="B327" s="123">
        <v>240</v>
      </c>
      <c r="C327" s="123">
        <v>51.910999298095703</v>
      </c>
      <c r="D327" s="123">
        <v>98.959999084472656</v>
      </c>
      <c r="E327" s="123">
        <v>19.339000701904297</v>
      </c>
      <c r="F327" s="123">
        <v>13.085278511047363</v>
      </c>
      <c r="G327" s="124">
        <v>19.113000869750977</v>
      </c>
      <c r="H327" s="125">
        <v>329</v>
      </c>
      <c r="I327" s="123">
        <v>287</v>
      </c>
      <c r="J327" s="123">
        <v>61.63800048828125</v>
      </c>
      <c r="K327" s="123">
        <v>62.5518798828125</v>
      </c>
      <c r="L327" s="123">
        <v>46.298999786376953</v>
      </c>
      <c r="M327" s="123">
        <v>14.02400016784668</v>
      </c>
      <c r="N327" s="123">
        <v>17.048999786376953</v>
      </c>
      <c r="O327" s="123">
        <v>18</v>
      </c>
      <c r="P327" s="123">
        <v>0</v>
      </c>
      <c r="Q327" s="123">
        <v>18.458818435668945</v>
      </c>
      <c r="R327" s="123">
        <v>10.996874809265137</v>
      </c>
      <c r="S327" s="123">
        <v>9.9532022476196289</v>
      </c>
      <c r="T327" s="123">
        <v>9</v>
      </c>
      <c r="U327" s="123">
        <v>9</v>
      </c>
      <c r="V327" s="125">
        <v>877</v>
      </c>
      <c r="W327" s="123">
        <v>30.501310348510742</v>
      </c>
      <c r="X327" s="123">
        <v>24.881000518798828</v>
      </c>
      <c r="Y327" s="123">
        <v>6.869999885559082</v>
      </c>
      <c r="Z327" s="123">
        <v>0</v>
      </c>
      <c r="AA327" s="123">
        <v>17.642999649047852</v>
      </c>
      <c r="AB327" s="123">
        <v>0</v>
      </c>
      <c r="AC327" s="123">
        <v>54.52703857421875</v>
      </c>
      <c r="AD327" s="123">
        <v>6.1069998741149902</v>
      </c>
      <c r="AE327" s="123">
        <v>0</v>
      </c>
      <c r="AF327" s="123">
        <v>82.501152038574219</v>
      </c>
      <c r="AG327" s="123">
        <v>0</v>
      </c>
      <c r="AH327" s="123">
        <v>63.693428039550781</v>
      </c>
      <c r="AI327" s="123">
        <v>19.402999877929688</v>
      </c>
      <c r="AJ327" s="123">
        <v>17.759313583374023</v>
      </c>
      <c r="AK327" s="123">
        <v>37.807449340820313</v>
      </c>
      <c r="AL327" s="123">
        <v>36.756000518798828</v>
      </c>
      <c r="AM327" s="126">
        <v>54.519001007080078</v>
      </c>
      <c r="AN327" s="125">
        <v>113.875</v>
      </c>
      <c r="AO327" s="127">
        <v>58</v>
      </c>
      <c r="AP327" s="123">
        <v>59.248695373535156</v>
      </c>
      <c r="AQ327" s="123">
        <v>34.730037689208984</v>
      </c>
      <c r="AR327" s="123">
        <v>97</v>
      </c>
      <c r="AS327" s="123"/>
      <c r="AT327" s="123">
        <v>96</v>
      </c>
      <c r="AU327" s="123"/>
      <c r="AV327" s="123">
        <v>55</v>
      </c>
      <c r="AW327" s="123"/>
      <c r="AX327" s="123">
        <v>31</v>
      </c>
      <c r="AY327" s="123">
        <v>33.331939697265625</v>
      </c>
      <c r="AZ327" s="123">
        <v>5</v>
      </c>
      <c r="BA327" s="123"/>
      <c r="BB327" s="123">
        <v>177</v>
      </c>
      <c r="BC327" s="123">
        <v>178.24864196777344</v>
      </c>
      <c r="BD327" s="123">
        <v>6.5</v>
      </c>
      <c r="BE327" s="123">
        <v>6.5186948776245117</v>
      </c>
      <c r="BF327" s="123">
        <v>30</v>
      </c>
      <c r="BG327" s="123">
        <v>10</v>
      </c>
      <c r="BH327" s="123">
        <v>10.91119384765625</v>
      </c>
      <c r="BI327" s="123"/>
      <c r="BJ327" s="108">
        <f t="shared" si="16"/>
        <v>12</v>
      </c>
      <c r="BK327" s="123">
        <v>12</v>
      </c>
      <c r="BL327" s="123">
        <v>0</v>
      </c>
      <c r="BM327" s="126"/>
      <c r="BN327" s="108">
        <f t="shared" si="17"/>
        <v>121</v>
      </c>
      <c r="BO327" s="108">
        <v>72</v>
      </c>
      <c r="BP327" s="108">
        <v>49</v>
      </c>
      <c r="BQ327" s="108">
        <v>268</v>
      </c>
      <c r="BR327" s="123">
        <v>70.346000671386719</v>
      </c>
      <c r="BS327" s="123">
        <v>25.191999435424805</v>
      </c>
      <c r="BT327" s="123">
        <v>40.869998931884766</v>
      </c>
      <c r="BU327" s="123">
        <v>36.325000762939453</v>
      </c>
      <c r="BV327" s="123">
        <v>68</v>
      </c>
      <c r="BW327" s="123">
        <v>5.9000000953674316</v>
      </c>
      <c r="BX327" s="123">
        <v>13.699999809265137</v>
      </c>
      <c r="BY327" s="123">
        <v>29</v>
      </c>
      <c r="BZ327" s="123">
        <v>1.4409799128770828E-2</v>
      </c>
      <c r="CA327" s="123">
        <v>1</v>
      </c>
      <c r="CB327" s="123">
        <v>29.861942291259766</v>
      </c>
      <c r="CC327" s="126"/>
      <c r="CD327" s="123">
        <v>351.23858642578125</v>
      </c>
      <c r="CE327" s="123">
        <v>30.454950332641602</v>
      </c>
      <c r="CF327" s="123">
        <v>17.050601959228516</v>
      </c>
      <c r="CG327" s="123">
        <v>35.338191986083984</v>
      </c>
      <c r="CH327" s="123">
        <v>283.7264404296875</v>
      </c>
      <c r="CI327" s="123">
        <v>80.1312255859375</v>
      </c>
      <c r="CJ327" s="123">
        <v>34.746047973632813</v>
      </c>
      <c r="CK327" s="123">
        <v>51.368568420410156</v>
      </c>
      <c r="CL327" s="124">
        <v>22.612396240234375</v>
      </c>
      <c r="CM327" s="125">
        <v>156.60298156738281</v>
      </c>
      <c r="CN327" s="123">
        <v>43.739879608154297</v>
      </c>
      <c r="CO327" s="123">
        <v>48.547138214111328</v>
      </c>
      <c r="CP327" s="123">
        <v>59.156970977783203</v>
      </c>
      <c r="CQ327" s="123">
        <v>0</v>
      </c>
      <c r="CR327" s="123">
        <v>60.745784759521484</v>
      </c>
      <c r="CS327" s="123">
        <v>17.372919082641602</v>
      </c>
      <c r="CT327" s="123">
        <v>34.984317779541016</v>
      </c>
      <c r="CU327" s="123">
        <v>41.495826721191406</v>
      </c>
      <c r="CV327" s="124">
        <v>50.726306915283203</v>
      </c>
      <c r="CW327" s="125">
        <v>41</v>
      </c>
      <c r="CX327" s="123">
        <v>297</v>
      </c>
      <c r="CY327" s="123">
        <v>108.37823486328125</v>
      </c>
      <c r="CZ327" s="123">
        <v>50.138160705566406</v>
      </c>
      <c r="DA327" s="123">
        <v>19.894161224365234</v>
      </c>
      <c r="DB327" s="123">
        <v>28.173473358154297</v>
      </c>
      <c r="DC327" s="123">
        <v>73.239334106445313</v>
      </c>
      <c r="DD327" s="123">
        <v>47</v>
      </c>
      <c r="DE327" s="123">
        <v>169</v>
      </c>
      <c r="DF327" s="123">
        <v>100.17143249511719</v>
      </c>
      <c r="DG327" s="123">
        <v>64.626243591308594</v>
      </c>
      <c r="DH327" s="123">
        <v>43.650382995605469</v>
      </c>
      <c r="DI327" s="128">
        <v>38.727127075195313</v>
      </c>
      <c r="DJ327" s="127">
        <v>225</v>
      </c>
      <c r="DK327" s="123">
        <v>120.10900115966797</v>
      </c>
      <c r="DL327" s="123">
        <v>29.291999816894531</v>
      </c>
      <c r="DM327" s="123">
        <v>31.985000610351563</v>
      </c>
      <c r="DN327" s="123">
        <v>52.306999206542969</v>
      </c>
      <c r="DO327" s="124">
        <v>116.29705810546875</v>
      </c>
      <c r="DP327" s="125">
        <v>15.522000312805176</v>
      </c>
      <c r="DQ327" s="123"/>
      <c r="DR327" s="125">
        <v>0</v>
      </c>
      <c r="DS327" s="128">
        <v>29.600000381469727</v>
      </c>
      <c r="DT327" s="127">
        <v>13</v>
      </c>
      <c r="DU327" s="123"/>
      <c r="DV327" s="123">
        <v>6</v>
      </c>
      <c r="DW327" s="123">
        <v>2.3267786502838135</v>
      </c>
      <c r="DX327" s="125">
        <v>11</v>
      </c>
      <c r="DY327" s="128"/>
      <c r="DZ327" s="127">
        <v>46</v>
      </c>
      <c r="EA327" s="123">
        <v>3</v>
      </c>
      <c r="EB327" s="123">
        <v>0</v>
      </c>
      <c r="EC327" s="123">
        <v>29</v>
      </c>
      <c r="ED327" s="123">
        <v>234.80000305175781</v>
      </c>
      <c r="EE327" s="129"/>
      <c r="EF327" s="129"/>
      <c r="EG327" s="129"/>
    </row>
    <row r="328" spans="1:137" x14ac:dyDescent="0.3">
      <c r="A328" s="226">
        <f t="shared" si="15"/>
        <v>46020.225000000733</v>
      </c>
      <c r="B328" s="123">
        <v>246</v>
      </c>
      <c r="C328" s="123">
        <v>52.477001190185547</v>
      </c>
      <c r="D328" s="123">
        <v>99.185997009277344</v>
      </c>
      <c r="E328" s="123">
        <v>20.583000183105469</v>
      </c>
      <c r="F328" s="123">
        <v>0</v>
      </c>
      <c r="G328" s="124">
        <v>18.434000015258789</v>
      </c>
      <c r="H328" s="125">
        <v>328</v>
      </c>
      <c r="I328" s="123">
        <v>298</v>
      </c>
      <c r="J328" s="123">
        <v>60.166999816894531</v>
      </c>
      <c r="K328" s="123">
        <v>63.017063140869141</v>
      </c>
      <c r="L328" s="123">
        <v>47.181999206542969</v>
      </c>
      <c r="M328" s="123">
        <v>14.13700008392334</v>
      </c>
      <c r="N328" s="123">
        <v>17.176000595092773</v>
      </c>
      <c r="O328" s="123">
        <v>18</v>
      </c>
      <c r="P328" s="123">
        <v>0</v>
      </c>
      <c r="Q328" s="123">
        <v>18.618808746337891</v>
      </c>
      <c r="R328" s="123">
        <v>10.003125190734863</v>
      </c>
      <c r="S328" s="123">
        <v>9.4228935241699219</v>
      </c>
      <c r="T328" s="123">
        <v>9</v>
      </c>
      <c r="U328" s="123">
        <v>9</v>
      </c>
      <c r="V328" s="125">
        <v>874</v>
      </c>
      <c r="W328" s="123">
        <v>32.685207366943359</v>
      </c>
      <c r="X328" s="123">
        <v>24.881000518798828</v>
      </c>
      <c r="Y328" s="123">
        <v>7.2519998550415039</v>
      </c>
      <c r="Z328" s="123">
        <v>0</v>
      </c>
      <c r="AA328" s="123">
        <v>17.642999649047852</v>
      </c>
      <c r="AB328" s="123">
        <v>0</v>
      </c>
      <c r="AC328" s="123">
        <v>52.694866180419922</v>
      </c>
      <c r="AD328" s="123">
        <v>5.8520002365112305</v>
      </c>
      <c r="AE328" s="123">
        <v>0</v>
      </c>
      <c r="AF328" s="123">
        <v>82.484519958496094</v>
      </c>
      <c r="AG328" s="123">
        <v>0</v>
      </c>
      <c r="AH328" s="123">
        <v>63.693428039550781</v>
      </c>
      <c r="AI328" s="123">
        <v>14.185999870300293</v>
      </c>
      <c r="AJ328" s="123">
        <v>17.727571487426758</v>
      </c>
      <c r="AK328" s="123">
        <v>37.764457702636719</v>
      </c>
      <c r="AL328" s="123">
        <v>33.929000854492188</v>
      </c>
      <c r="AM328" s="126">
        <v>56.300998687744141</v>
      </c>
      <c r="AN328" s="125">
        <v>118.9375</v>
      </c>
      <c r="AO328" s="127">
        <v>60</v>
      </c>
      <c r="AP328" s="123">
        <v>61.093048095703125</v>
      </c>
      <c r="AQ328" s="123">
        <v>37.318416595458984</v>
      </c>
      <c r="AR328" s="123">
        <v>98</v>
      </c>
      <c r="AS328" s="123"/>
      <c r="AT328" s="123">
        <v>97</v>
      </c>
      <c r="AU328" s="123"/>
      <c r="AV328" s="123">
        <v>55</v>
      </c>
      <c r="AW328" s="123"/>
      <c r="AX328" s="123">
        <v>30</v>
      </c>
      <c r="AY328" s="123">
        <v>33.001071929931641</v>
      </c>
      <c r="AZ328" s="123">
        <v>5</v>
      </c>
      <c r="BA328" s="123"/>
      <c r="BB328" s="123">
        <v>177</v>
      </c>
      <c r="BC328" s="123">
        <v>180.2926025390625</v>
      </c>
      <c r="BD328" s="123">
        <v>6.5</v>
      </c>
      <c r="BE328" s="123">
        <v>6.7019882202148438</v>
      </c>
      <c r="BF328" s="123">
        <v>30</v>
      </c>
      <c r="BG328" s="123">
        <v>10</v>
      </c>
      <c r="BH328" s="123">
        <v>10.864341735839844</v>
      </c>
      <c r="BI328" s="123"/>
      <c r="BJ328" s="108">
        <f t="shared" si="16"/>
        <v>12</v>
      </c>
      <c r="BK328" s="123">
        <v>12</v>
      </c>
      <c r="BL328" s="123">
        <v>0</v>
      </c>
      <c r="BM328" s="126"/>
      <c r="BN328" s="108">
        <f t="shared" si="17"/>
        <v>122</v>
      </c>
      <c r="BO328" s="108">
        <v>73</v>
      </c>
      <c r="BP328" s="108">
        <v>49</v>
      </c>
      <c r="BQ328" s="108">
        <v>275</v>
      </c>
      <c r="BR328" s="123">
        <v>73.05999755859375</v>
      </c>
      <c r="BS328" s="123">
        <v>25.445999145507813</v>
      </c>
      <c r="BT328" s="123">
        <v>40.523998260498047</v>
      </c>
      <c r="BU328" s="123">
        <v>36.325000762939453</v>
      </c>
      <c r="BV328" s="123">
        <v>69</v>
      </c>
      <c r="BW328" s="123">
        <v>6</v>
      </c>
      <c r="BX328" s="123">
        <v>13.699999809265137</v>
      </c>
      <c r="BY328" s="123">
        <v>31</v>
      </c>
      <c r="BZ328" s="123">
        <v>1.585845835506916E-2</v>
      </c>
      <c r="CA328" s="123">
        <v>0</v>
      </c>
      <c r="CB328" s="123">
        <v>29.676290512084961</v>
      </c>
      <c r="CC328" s="126"/>
      <c r="CD328" s="123">
        <v>349.42257690429688</v>
      </c>
      <c r="CE328" s="123">
        <v>29.929140090942383</v>
      </c>
      <c r="CF328" s="123">
        <v>16.213911056518555</v>
      </c>
      <c r="CG328" s="123">
        <v>35.338191986083984</v>
      </c>
      <c r="CH328" s="123">
        <v>283.16818237304688</v>
      </c>
      <c r="CI328" s="123">
        <v>80.933219909667969</v>
      </c>
      <c r="CJ328" s="123">
        <v>33.550991058349609</v>
      </c>
      <c r="CK328" s="123">
        <v>52.504055023193359</v>
      </c>
      <c r="CL328" s="124">
        <v>24.409749984741211</v>
      </c>
      <c r="CM328" s="125">
        <v>160.73753356933594</v>
      </c>
      <c r="CN328" s="123">
        <v>44.562419891357422</v>
      </c>
      <c r="CO328" s="123">
        <v>50.188381195068359</v>
      </c>
      <c r="CP328" s="123">
        <v>58.840015411376953</v>
      </c>
      <c r="CQ328" s="123">
        <v>0</v>
      </c>
      <c r="CR328" s="123">
        <v>60.248302459716797</v>
      </c>
      <c r="CS328" s="123">
        <v>16.163824081420898</v>
      </c>
      <c r="CT328" s="123">
        <v>35.613677978515625</v>
      </c>
      <c r="CU328" s="123">
        <v>42.83538818359375</v>
      </c>
      <c r="CV328" s="124">
        <v>50.809787750244141</v>
      </c>
      <c r="CW328" s="125">
        <v>44</v>
      </c>
      <c r="CX328" s="123">
        <v>298</v>
      </c>
      <c r="CY328" s="123">
        <v>110.78861999511719</v>
      </c>
      <c r="CZ328" s="123">
        <v>49.992710113525391</v>
      </c>
      <c r="DA328" s="123">
        <v>20.44671630859375</v>
      </c>
      <c r="DB328" s="123">
        <v>28.31574821472168</v>
      </c>
      <c r="DC328" s="123">
        <v>72.497718811035156</v>
      </c>
      <c r="DD328" s="123">
        <v>65</v>
      </c>
      <c r="DE328" s="123">
        <v>171</v>
      </c>
      <c r="DF328" s="123">
        <v>100.60691833496094</v>
      </c>
      <c r="DG328" s="123">
        <v>64.626243591308594</v>
      </c>
      <c r="DH328" s="123">
        <v>41.008640289306641</v>
      </c>
      <c r="DI328" s="128">
        <v>40.007419586181641</v>
      </c>
      <c r="DJ328" s="127">
        <v>226</v>
      </c>
      <c r="DK328" s="123">
        <v>119.85399627685547</v>
      </c>
      <c r="DL328" s="123">
        <v>28.951999664306641</v>
      </c>
      <c r="DM328" s="123">
        <v>31.985000610351563</v>
      </c>
      <c r="DN328" s="123">
        <v>53.367000579833984</v>
      </c>
      <c r="DO328" s="124">
        <v>118.72831726074219</v>
      </c>
      <c r="DP328" s="125">
        <v>15.890000343322754</v>
      </c>
      <c r="DQ328" s="123"/>
      <c r="DR328" s="125">
        <v>0</v>
      </c>
      <c r="DS328" s="128">
        <v>29.899999618530273</v>
      </c>
      <c r="DT328" s="127">
        <v>13</v>
      </c>
      <c r="DU328" s="123"/>
      <c r="DV328" s="123">
        <v>9</v>
      </c>
      <c r="DW328" s="123">
        <v>2.3580586910247803</v>
      </c>
      <c r="DX328" s="125">
        <v>10</v>
      </c>
      <c r="DY328" s="128"/>
      <c r="DZ328" s="127">
        <v>47</v>
      </c>
      <c r="EA328" s="123">
        <v>3</v>
      </c>
      <c r="EB328" s="123">
        <v>0</v>
      </c>
      <c r="EC328" s="123">
        <v>29</v>
      </c>
      <c r="ED328" s="123">
        <v>236.89999389648438</v>
      </c>
      <c r="EE328" s="129"/>
      <c r="EF328" s="129"/>
      <c r="EG328" s="129"/>
    </row>
    <row r="329" spans="1:137" x14ac:dyDescent="0.3">
      <c r="A329" s="226">
        <f t="shared" si="15"/>
        <v>46020.22569444518</v>
      </c>
      <c r="B329" s="123">
        <v>242</v>
      </c>
      <c r="C329" s="123">
        <v>53.494998931884766</v>
      </c>
      <c r="D329" s="123">
        <v>99.072998046875</v>
      </c>
      <c r="E329" s="123">
        <v>18.547000885009766</v>
      </c>
      <c r="F329" s="123">
        <v>14.255711555480957</v>
      </c>
      <c r="G329" s="124">
        <v>19</v>
      </c>
      <c r="H329" s="125">
        <v>328</v>
      </c>
      <c r="I329" s="123">
        <v>290</v>
      </c>
      <c r="J329" s="123">
        <v>60.958999633789063</v>
      </c>
      <c r="K329" s="123">
        <v>62.408676147460938</v>
      </c>
      <c r="L329" s="123">
        <v>48.418998718261719</v>
      </c>
      <c r="M329" s="123">
        <v>13.232000350952148</v>
      </c>
      <c r="N329" s="123">
        <v>17.875999450683594</v>
      </c>
      <c r="O329" s="123">
        <v>19</v>
      </c>
      <c r="P329" s="123">
        <v>0</v>
      </c>
      <c r="Q329" s="123">
        <v>18.044836044311523</v>
      </c>
      <c r="R329" s="123">
        <v>10.003125190734863</v>
      </c>
      <c r="S329" s="123">
        <v>9.6736297607421875</v>
      </c>
      <c r="T329" s="123">
        <v>1</v>
      </c>
      <c r="U329" s="123">
        <v>1</v>
      </c>
      <c r="V329" s="125">
        <v>868</v>
      </c>
      <c r="W329" s="123">
        <v>28.605958938598633</v>
      </c>
      <c r="X329" s="123">
        <v>24.541999816894531</v>
      </c>
      <c r="Y329" s="123">
        <v>6.6160001754760742</v>
      </c>
      <c r="Z329" s="123">
        <v>0</v>
      </c>
      <c r="AA329" s="123">
        <v>18.77400016784668</v>
      </c>
      <c r="AB329" s="123">
        <v>0</v>
      </c>
      <c r="AC329" s="123">
        <v>53.4825439453125</v>
      </c>
      <c r="AD329" s="123">
        <v>5.8520002365112305</v>
      </c>
      <c r="AE329" s="123">
        <v>0</v>
      </c>
      <c r="AF329" s="123">
        <v>80.831863403320313</v>
      </c>
      <c r="AG329" s="123">
        <v>0</v>
      </c>
      <c r="AH329" s="123">
        <v>65.0526123046875</v>
      </c>
      <c r="AI329" s="123">
        <v>14.25</v>
      </c>
      <c r="AJ329" s="123">
        <v>16.927398681640625</v>
      </c>
      <c r="AK329" s="123">
        <v>36.966312408447266</v>
      </c>
      <c r="AL329" s="123">
        <v>33.929000854492188</v>
      </c>
      <c r="AM329" s="126">
        <v>56.23699951171875</v>
      </c>
      <c r="AN329" s="125">
        <v>115.9375</v>
      </c>
      <c r="AO329" s="127">
        <v>59</v>
      </c>
      <c r="AP329" s="123">
        <v>59.966876983642578</v>
      </c>
      <c r="AQ329" s="123">
        <v>36.865806579589844</v>
      </c>
      <c r="AR329" s="123">
        <v>97</v>
      </c>
      <c r="AS329" s="123"/>
      <c r="AT329" s="123">
        <v>97</v>
      </c>
      <c r="AU329" s="123"/>
      <c r="AV329" s="123">
        <v>56</v>
      </c>
      <c r="AW329" s="123"/>
      <c r="AX329" s="123">
        <v>31</v>
      </c>
      <c r="AY329" s="123">
        <v>32.984676361083984</v>
      </c>
      <c r="AZ329" s="123">
        <v>5</v>
      </c>
      <c r="BA329" s="123"/>
      <c r="BB329" s="123">
        <v>177</v>
      </c>
      <c r="BC329" s="123">
        <v>174.75523376464844</v>
      </c>
      <c r="BD329" s="123">
        <v>6.5</v>
      </c>
      <c r="BE329" s="123">
        <v>6.6156930923461914</v>
      </c>
      <c r="BF329" s="123">
        <v>30</v>
      </c>
      <c r="BG329" s="123">
        <v>10</v>
      </c>
      <c r="BH329" s="123">
        <v>10.858688354492188</v>
      </c>
      <c r="BI329" s="123"/>
      <c r="BJ329" s="108">
        <f t="shared" si="16"/>
        <v>12</v>
      </c>
      <c r="BK329" s="123">
        <v>12</v>
      </c>
      <c r="BL329" s="123">
        <v>0</v>
      </c>
      <c r="BM329" s="126"/>
      <c r="BN329" s="108">
        <f t="shared" si="17"/>
        <v>122</v>
      </c>
      <c r="BO329" s="108">
        <v>73</v>
      </c>
      <c r="BP329" s="108">
        <v>49</v>
      </c>
      <c r="BQ329" s="108">
        <v>270</v>
      </c>
      <c r="BR329" s="123">
        <v>73.172996520996094</v>
      </c>
      <c r="BS329" s="123">
        <v>25.701000213623047</v>
      </c>
      <c r="BT329" s="123">
        <v>40.869998931884766</v>
      </c>
      <c r="BU329" s="123">
        <v>35.943000793457031</v>
      </c>
      <c r="BV329" s="123">
        <v>69.699996948242188</v>
      </c>
      <c r="BW329" s="123">
        <v>5.9000000953674316</v>
      </c>
      <c r="BX329" s="123">
        <v>14.100000381469727</v>
      </c>
      <c r="BY329" s="123">
        <v>28</v>
      </c>
      <c r="BZ329" s="123">
        <v>1.5389683656394482E-2</v>
      </c>
      <c r="CA329" s="123">
        <v>0</v>
      </c>
      <c r="CB329" s="123">
        <v>29.665138244628906</v>
      </c>
      <c r="CC329" s="126"/>
      <c r="CD329" s="123">
        <v>339.68063354492188</v>
      </c>
      <c r="CE329" s="123">
        <v>28.865434646606445</v>
      </c>
      <c r="CF329" s="123">
        <v>15.788878440856934</v>
      </c>
      <c r="CG329" s="123">
        <v>35.338191986083984</v>
      </c>
      <c r="CH329" s="123">
        <v>281.978271484375</v>
      </c>
      <c r="CI329" s="123">
        <v>81.260055541992188</v>
      </c>
      <c r="CJ329" s="123">
        <v>32.174205780029297</v>
      </c>
      <c r="CK329" s="123">
        <v>52.842754364013672</v>
      </c>
      <c r="CL329" s="124">
        <v>24.409749984741211</v>
      </c>
      <c r="CM329" s="125">
        <v>157.98912048339844</v>
      </c>
      <c r="CN329" s="123">
        <v>46.569049835205078</v>
      </c>
      <c r="CO329" s="123">
        <v>50.093269348144531</v>
      </c>
      <c r="CP329" s="123">
        <v>57.489059448242188</v>
      </c>
      <c r="CQ329" s="123">
        <v>0</v>
      </c>
      <c r="CR329" s="123">
        <v>61.237884521484375</v>
      </c>
      <c r="CS329" s="123">
        <v>16.32855224609375</v>
      </c>
      <c r="CT329" s="123">
        <v>32.991580963134766</v>
      </c>
      <c r="CU329" s="123">
        <v>43.592277526855469</v>
      </c>
      <c r="CV329" s="124">
        <v>52.671085357666016</v>
      </c>
      <c r="CW329" s="125">
        <v>39</v>
      </c>
      <c r="CX329" s="123">
        <v>298</v>
      </c>
      <c r="CY329" s="123">
        <v>110.57865905761719</v>
      </c>
      <c r="CZ329" s="123">
        <v>50.991741180419922</v>
      </c>
      <c r="DA329" s="123">
        <v>22.080791473388672</v>
      </c>
      <c r="DB329" s="123">
        <v>29.35467529296875</v>
      </c>
      <c r="DC329" s="123">
        <v>69.777046203613281</v>
      </c>
      <c r="DD329" s="123">
        <v>56</v>
      </c>
      <c r="DE329" s="123">
        <v>169</v>
      </c>
      <c r="DF329" s="123">
        <v>99.814949035644531</v>
      </c>
      <c r="DG329" s="123">
        <v>66.384231567382813</v>
      </c>
      <c r="DH329" s="123">
        <v>41.008640289306641</v>
      </c>
      <c r="DI329" s="128">
        <v>38.728450775146484</v>
      </c>
      <c r="DJ329" s="127">
        <v>220</v>
      </c>
      <c r="DK329" s="123">
        <v>118.072998046875</v>
      </c>
      <c r="DL329" s="123">
        <v>24.881000518798828</v>
      </c>
      <c r="DM329" s="123">
        <v>35.341999053955078</v>
      </c>
      <c r="DN329" s="123">
        <v>52.306999206542969</v>
      </c>
      <c r="DO329" s="124">
        <v>114.50514221191406</v>
      </c>
      <c r="DP329" s="125">
        <v>15.890000343322754</v>
      </c>
      <c r="DQ329" s="123"/>
      <c r="DR329" s="125">
        <v>0</v>
      </c>
      <c r="DS329" s="128">
        <v>28.600000381469727</v>
      </c>
      <c r="DT329" s="127">
        <v>13</v>
      </c>
      <c r="DU329" s="123"/>
      <c r="DV329" s="123">
        <v>9</v>
      </c>
      <c r="DW329" s="123">
        <v>2.7605445384979248</v>
      </c>
      <c r="DX329" s="125">
        <v>11</v>
      </c>
      <c r="DY329" s="128"/>
      <c r="DZ329" s="127">
        <v>45</v>
      </c>
      <c r="EA329" s="123">
        <v>3</v>
      </c>
      <c r="EB329" s="123">
        <v>0</v>
      </c>
      <c r="EC329" s="123">
        <v>29</v>
      </c>
      <c r="ED329" s="123">
        <v>236.69999694824219</v>
      </c>
      <c r="EE329" s="129"/>
      <c r="EF329" s="129"/>
      <c r="EG329" s="129"/>
    </row>
    <row r="330" spans="1:137" x14ac:dyDescent="0.3">
      <c r="A330" s="226">
        <f t="shared" si="15"/>
        <v>46020.226388889627</v>
      </c>
      <c r="B330" s="123">
        <v>239</v>
      </c>
      <c r="C330" s="123">
        <v>54.738998413085938</v>
      </c>
      <c r="D330" s="123">
        <v>100.54299926757813</v>
      </c>
      <c r="E330" s="123">
        <v>16.964000701904297</v>
      </c>
      <c r="F330" s="123">
        <v>7.7600574493408203</v>
      </c>
      <c r="G330" s="124">
        <v>18.434000015258789</v>
      </c>
      <c r="H330" s="125">
        <v>324</v>
      </c>
      <c r="I330" s="123">
        <v>290</v>
      </c>
      <c r="J330" s="123">
        <v>59.26300048828125</v>
      </c>
      <c r="K330" s="123">
        <v>62.064777374267578</v>
      </c>
      <c r="L330" s="123">
        <v>47.888999938964844</v>
      </c>
      <c r="M330" s="123">
        <v>13.571000099182129</v>
      </c>
      <c r="N330" s="123">
        <v>16.285999298095703</v>
      </c>
      <c r="O330" s="123">
        <v>20</v>
      </c>
      <c r="P330" s="123">
        <v>0</v>
      </c>
      <c r="Q330" s="123">
        <v>20.631832122802734</v>
      </c>
      <c r="R330" s="123">
        <v>10.003125190734863</v>
      </c>
      <c r="S330" s="123">
        <v>9.6736297607421875</v>
      </c>
      <c r="T330" s="123">
        <v>0</v>
      </c>
      <c r="U330" s="123">
        <v>0</v>
      </c>
      <c r="V330" s="125">
        <v>866</v>
      </c>
      <c r="W330" s="123">
        <v>27.444805145263672</v>
      </c>
      <c r="X330" s="123">
        <v>24.429000854492188</v>
      </c>
      <c r="Y330" s="123">
        <v>7.9520001411437988</v>
      </c>
      <c r="Z330" s="123">
        <v>0</v>
      </c>
      <c r="AA330" s="123">
        <v>19.113000869750977</v>
      </c>
      <c r="AB330" s="123">
        <v>0</v>
      </c>
      <c r="AC330" s="123">
        <v>54.535633087158203</v>
      </c>
      <c r="AD330" s="123">
        <v>5.8520002365112305</v>
      </c>
      <c r="AE330" s="123">
        <v>0</v>
      </c>
      <c r="AF330" s="123">
        <v>83.072273254394531</v>
      </c>
      <c r="AG330" s="123">
        <v>0</v>
      </c>
      <c r="AH330" s="123">
        <v>64.498222351074219</v>
      </c>
      <c r="AI330" s="123">
        <v>17.176000595092773</v>
      </c>
      <c r="AJ330" s="123">
        <v>15.486664772033691</v>
      </c>
      <c r="AK330" s="123">
        <v>36.482921600341797</v>
      </c>
      <c r="AL330" s="123">
        <v>34.282001495361328</v>
      </c>
      <c r="AM330" s="126">
        <v>55.536998748779297</v>
      </c>
      <c r="AN330" s="125">
        <v>116.9375</v>
      </c>
      <c r="AO330" s="127">
        <v>60</v>
      </c>
      <c r="AP330" s="123">
        <v>60.510856628417969</v>
      </c>
      <c r="AQ330" s="123">
        <v>36.79620361328125</v>
      </c>
      <c r="AR330" s="123">
        <v>97</v>
      </c>
      <c r="AS330" s="123"/>
      <c r="AT330" s="123">
        <v>97</v>
      </c>
      <c r="AU330" s="123"/>
      <c r="AV330" s="123">
        <v>56</v>
      </c>
      <c r="AW330" s="123"/>
      <c r="AX330" s="123">
        <v>30</v>
      </c>
      <c r="AY330" s="123">
        <v>33.052364349365234</v>
      </c>
      <c r="AZ330" s="123">
        <v>3</v>
      </c>
      <c r="BA330" s="123"/>
      <c r="BB330" s="123">
        <v>177</v>
      </c>
      <c r="BC330" s="123">
        <v>179.70956420898438</v>
      </c>
      <c r="BD330" s="123">
        <v>6.8000001907348633</v>
      </c>
      <c r="BE330" s="123">
        <v>6.6943354606628418</v>
      </c>
      <c r="BF330" s="123">
        <v>30</v>
      </c>
      <c r="BG330" s="123">
        <v>10</v>
      </c>
      <c r="BH330" s="123">
        <v>10.858688354492188</v>
      </c>
      <c r="BI330" s="123"/>
      <c r="BJ330" s="108">
        <f t="shared" si="16"/>
        <v>11</v>
      </c>
      <c r="BK330" s="123">
        <v>11</v>
      </c>
      <c r="BL330" s="123">
        <v>0</v>
      </c>
      <c r="BM330" s="126"/>
      <c r="BN330" s="108">
        <f t="shared" si="17"/>
        <v>121.20000076293945</v>
      </c>
      <c r="BO330" s="108">
        <v>72</v>
      </c>
      <c r="BP330" s="108">
        <v>49.200000762939453</v>
      </c>
      <c r="BQ330" s="108">
        <v>270</v>
      </c>
      <c r="BR330" s="123">
        <v>73.851997375488281</v>
      </c>
      <c r="BS330" s="123">
        <v>24.683000564575195</v>
      </c>
      <c r="BT330" s="123">
        <v>40.523998260498047</v>
      </c>
      <c r="BU330" s="123">
        <v>36.198001861572266</v>
      </c>
      <c r="BV330" s="123">
        <v>68.900001525878906</v>
      </c>
      <c r="BW330" s="123">
        <v>5.8000001907348633</v>
      </c>
      <c r="BX330" s="123">
        <v>14.100000381469727</v>
      </c>
      <c r="BY330" s="123">
        <v>27</v>
      </c>
      <c r="BZ330" s="123">
        <v>1.489199697971344E-2</v>
      </c>
      <c r="CA330" s="123">
        <v>0</v>
      </c>
      <c r="CB330" s="123">
        <v>29.410163879394531</v>
      </c>
      <c r="CC330" s="126"/>
      <c r="CD330" s="123">
        <v>341.95755004882813</v>
      </c>
      <c r="CE330" s="123">
        <v>27.816596984863281</v>
      </c>
      <c r="CF330" s="123">
        <v>16.985919952392578</v>
      </c>
      <c r="CG330" s="123">
        <v>35.338191986083984</v>
      </c>
      <c r="CH330" s="123">
        <v>280.63104248046875</v>
      </c>
      <c r="CI330" s="123">
        <v>79.438987731933594</v>
      </c>
      <c r="CJ330" s="123">
        <v>33.203739166259766</v>
      </c>
      <c r="CK330" s="123">
        <v>47.105796813964844</v>
      </c>
      <c r="CL330" s="124">
        <v>21.488065719604492</v>
      </c>
      <c r="CM330" s="125">
        <v>151.91972351074219</v>
      </c>
      <c r="CN330" s="123">
        <v>45.971790313720703</v>
      </c>
      <c r="CO330" s="123">
        <v>48.731487274169922</v>
      </c>
      <c r="CP330" s="123">
        <v>54.680774688720703</v>
      </c>
      <c r="CQ330" s="123">
        <v>0</v>
      </c>
      <c r="CR330" s="123">
        <v>61.59930419921875</v>
      </c>
      <c r="CS330" s="123">
        <v>17.424428939819336</v>
      </c>
      <c r="CT330" s="123">
        <v>32.153705596923828</v>
      </c>
      <c r="CU330" s="123">
        <v>40.287601470947266</v>
      </c>
      <c r="CV330" s="124">
        <v>53.294254302978516</v>
      </c>
      <c r="CW330" s="125">
        <v>39</v>
      </c>
      <c r="CX330" s="123">
        <v>295</v>
      </c>
      <c r="CY330" s="123">
        <v>109.60963439941406</v>
      </c>
      <c r="CZ330" s="123">
        <v>52.335533142089844</v>
      </c>
      <c r="DA330" s="123">
        <v>20.096561431884766</v>
      </c>
      <c r="DB330" s="123">
        <v>29.35467529296875</v>
      </c>
      <c r="DC330" s="123">
        <v>70.631805419921875</v>
      </c>
      <c r="DD330" s="123">
        <v>60</v>
      </c>
      <c r="DE330" s="123">
        <v>170</v>
      </c>
      <c r="DF330" s="123">
        <v>100.07604217529297</v>
      </c>
      <c r="DG330" s="123">
        <v>66.982223510742188</v>
      </c>
      <c r="DH330" s="123">
        <v>41.064605712890625</v>
      </c>
      <c r="DI330" s="128">
        <v>40.914688110351563</v>
      </c>
      <c r="DJ330" s="127">
        <v>219</v>
      </c>
      <c r="DK330" s="123">
        <v>117.05500030517578</v>
      </c>
      <c r="DL330" s="123">
        <v>25.673000335693359</v>
      </c>
      <c r="DM330" s="123">
        <v>31.454999923706055</v>
      </c>
      <c r="DN330" s="123">
        <v>50.540000915527344</v>
      </c>
      <c r="DO330" s="124">
        <v>113.28189086914063</v>
      </c>
      <c r="DP330" s="125">
        <v>14.928000450134277</v>
      </c>
      <c r="DQ330" s="123"/>
      <c r="DR330" s="125">
        <v>0</v>
      </c>
      <c r="DS330" s="128">
        <v>27.5</v>
      </c>
      <c r="DT330" s="127">
        <v>13</v>
      </c>
      <c r="DU330" s="123"/>
      <c r="DV330" s="123">
        <v>9</v>
      </c>
      <c r="DW330" s="123">
        <v>2.7673752307891846</v>
      </c>
      <c r="DX330" s="125">
        <v>11</v>
      </c>
      <c r="DY330" s="128"/>
      <c r="DZ330" s="127">
        <v>45</v>
      </c>
      <c r="EA330" s="123">
        <v>3</v>
      </c>
      <c r="EB330" s="123">
        <v>0</v>
      </c>
      <c r="EC330" s="123">
        <v>29</v>
      </c>
      <c r="ED330" s="123">
        <v>237.5</v>
      </c>
      <c r="EE330" s="129"/>
      <c r="EF330" s="129"/>
      <c r="EG330" s="129"/>
    </row>
    <row r="331" spans="1:137" x14ac:dyDescent="0.3">
      <c r="A331" s="226">
        <f t="shared" si="15"/>
        <v>46020.227083334074</v>
      </c>
      <c r="B331" s="123">
        <v>242</v>
      </c>
      <c r="C331" s="123">
        <v>53.833999633789063</v>
      </c>
      <c r="D331" s="123">
        <v>100.43000030517578</v>
      </c>
      <c r="E331" s="123">
        <v>18.547000885009766</v>
      </c>
      <c r="F331" s="123">
        <v>0</v>
      </c>
      <c r="G331" s="124">
        <v>17.982000350952148</v>
      </c>
      <c r="H331" s="125">
        <v>324</v>
      </c>
      <c r="I331" s="123">
        <v>291</v>
      </c>
      <c r="J331" s="123">
        <v>60.393001556396484</v>
      </c>
      <c r="K331" s="123">
        <v>62.285915374755859</v>
      </c>
      <c r="L331" s="123">
        <v>47.888999938964844</v>
      </c>
      <c r="M331" s="123">
        <v>14.13700008392334</v>
      </c>
      <c r="N331" s="123">
        <v>17.302999496459961</v>
      </c>
      <c r="O331" s="123">
        <v>20</v>
      </c>
      <c r="P331" s="123">
        <v>0</v>
      </c>
      <c r="Q331" s="123">
        <v>20.813682556152344</v>
      </c>
      <c r="R331" s="123">
        <v>10.996874809265137</v>
      </c>
      <c r="S331" s="123">
        <v>11.468659400939941</v>
      </c>
      <c r="T331" s="123">
        <v>0</v>
      </c>
      <c r="U331" s="123">
        <v>0</v>
      </c>
      <c r="V331" s="125">
        <v>879</v>
      </c>
      <c r="W331" s="123">
        <v>27.444805145263672</v>
      </c>
      <c r="X331" s="123">
        <v>23.070999145507813</v>
      </c>
      <c r="Y331" s="123">
        <v>7.1880002021789551</v>
      </c>
      <c r="Z331" s="123">
        <v>0</v>
      </c>
      <c r="AA331" s="123">
        <v>18.660999298095703</v>
      </c>
      <c r="AB331" s="123">
        <v>0</v>
      </c>
      <c r="AC331" s="123">
        <v>54.902290344238281</v>
      </c>
      <c r="AD331" s="123">
        <v>5.5980000495910645</v>
      </c>
      <c r="AE331" s="123">
        <v>0</v>
      </c>
      <c r="AF331" s="123">
        <v>82.435539245605469</v>
      </c>
      <c r="AG331" s="123">
        <v>0</v>
      </c>
      <c r="AH331" s="123">
        <v>66.973907470703125</v>
      </c>
      <c r="AI331" s="123">
        <v>18.702999114990234</v>
      </c>
      <c r="AJ331" s="123">
        <v>15.959824562072754</v>
      </c>
      <c r="AK331" s="123">
        <v>37.352909088134766</v>
      </c>
      <c r="AL331" s="123">
        <v>35.695999145507813</v>
      </c>
      <c r="AM331" s="126">
        <v>57.000999450683594</v>
      </c>
      <c r="AN331" s="125">
        <v>117.375</v>
      </c>
      <c r="AO331" s="127">
        <v>60</v>
      </c>
      <c r="AP331" s="123">
        <v>62.620048522949219</v>
      </c>
      <c r="AQ331" s="123">
        <v>36.79620361328125</v>
      </c>
      <c r="AR331" s="123">
        <v>96</v>
      </c>
      <c r="AS331" s="123"/>
      <c r="AT331" s="123">
        <v>98</v>
      </c>
      <c r="AU331" s="123"/>
      <c r="AV331" s="123">
        <v>56</v>
      </c>
      <c r="AW331" s="123"/>
      <c r="AX331" s="123">
        <v>30</v>
      </c>
      <c r="AY331" s="123">
        <v>32.562862396240234</v>
      </c>
      <c r="AZ331" s="123">
        <v>3</v>
      </c>
      <c r="BA331" s="123"/>
      <c r="BB331" s="123">
        <v>177</v>
      </c>
      <c r="BC331" s="123">
        <v>175.13743591308594</v>
      </c>
      <c r="BD331" s="123">
        <v>6.8000001907348633</v>
      </c>
      <c r="BE331" s="123">
        <v>6.7265243530273438</v>
      </c>
      <c r="BF331" s="123">
        <v>30</v>
      </c>
      <c r="BG331" s="123">
        <v>10</v>
      </c>
      <c r="BH331" s="123">
        <v>11.099693298339844</v>
      </c>
      <c r="BI331" s="123"/>
      <c r="BJ331" s="108">
        <f t="shared" si="16"/>
        <v>11</v>
      </c>
      <c r="BK331" s="123">
        <v>11</v>
      </c>
      <c r="BL331" s="123">
        <v>0</v>
      </c>
      <c r="BM331" s="126"/>
      <c r="BN331" s="108">
        <f t="shared" si="17"/>
        <v>122</v>
      </c>
      <c r="BO331" s="108">
        <v>73</v>
      </c>
      <c r="BP331" s="108">
        <v>49</v>
      </c>
      <c r="BQ331" s="108">
        <v>273</v>
      </c>
      <c r="BR331" s="123">
        <v>71.929000854492188</v>
      </c>
      <c r="BS331" s="123">
        <v>22.902000427246094</v>
      </c>
      <c r="BT331" s="123">
        <v>40.869998931884766</v>
      </c>
      <c r="BU331" s="123">
        <v>35.306999206542969</v>
      </c>
      <c r="BV331" s="123">
        <v>70</v>
      </c>
      <c r="BW331" s="123">
        <v>5.9000000953674316</v>
      </c>
      <c r="BX331" s="123">
        <v>14.199999809265137</v>
      </c>
      <c r="BY331" s="123">
        <v>27</v>
      </c>
      <c r="BZ331" s="123">
        <v>1.3891612179577351E-2</v>
      </c>
      <c r="CA331" s="123">
        <v>0</v>
      </c>
      <c r="CB331" s="123">
        <v>29.457429885864258</v>
      </c>
      <c r="CC331" s="126"/>
      <c r="CD331" s="123">
        <v>338.56887817382813</v>
      </c>
      <c r="CE331" s="123">
        <v>27.816596984863281</v>
      </c>
      <c r="CF331" s="123">
        <v>16.238985061645508</v>
      </c>
      <c r="CG331" s="123">
        <v>35.338191986083984</v>
      </c>
      <c r="CH331" s="123">
        <v>279.30953979492188</v>
      </c>
      <c r="CI331" s="123">
        <v>78.858261108398438</v>
      </c>
      <c r="CJ331" s="123">
        <v>32.956912994384766</v>
      </c>
      <c r="CK331" s="123">
        <v>48.003864288330078</v>
      </c>
      <c r="CL331" s="124">
        <v>21.721580505371094</v>
      </c>
      <c r="CM331" s="125">
        <v>148.66816711425781</v>
      </c>
      <c r="CN331" s="123">
        <v>41.330432891845703</v>
      </c>
      <c r="CO331" s="123">
        <v>47.785015106201172</v>
      </c>
      <c r="CP331" s="123">
        <v>54.501590728759766</v>
      </c>
      <c r="CQ331" s="123">
        <v>0</v>
      </c>
      <c r="CR331" s="123">
        <v>58.710590362548828</v>
      </c>
      <c r="CS331" s="123">
        <v>17.904218673706055</v>
      </c>
      <c r="CT331" s="123">
        <v>29.808687210083008</v>
      </c>
      <c r="CU331" s="123">
        <v>41.076057434082031</v>
      </c>
      <c r="CV331" s="124">
        <v>53.230083465576172</v>
      </c>
      <c r="CW331" s="125">
        <v>44</v>
      </c>
      <c r="CX331" s="123">
        <v>301</v>
      </c>
      <c r="CY331" s="123">
        <v>110.1214599609375</v>
      </c>
      <c r="CZ331" s="123">
        <v>54.519966125488281</v>
      </c>
      <c r="DA331" s="123">
        <v>20.506620407104492</v>
      </c>
      <c r="DB331" s="123">
        <v>32.324142456054688</v>
      </c>
      <c r="DC331" s="123">
        <v>72.340652465820313</v>
      </c>
      <c r="DD331" s="123">
        <v>55</v>
      </c>
      <c r="DE331" s="123">
        <v>170</v>
      </c>
      <c r="DF331" s="123">
        <v>97.591690063476563</v>
      </c>
      <c r="DG331" s="123">
        <v>64.583549499511719</v>
      </c>
      <c r="DH331" s="123">
        <v>41.425662994384766</v>
      </c>
      <c r="DI331" s="128">
        <v>37.916130065917969</v>
      </c>
      <c r="DJ331" s="127">
        <v>215</v>
      </c>
      <c r="DK331" s="123">
        <v>110.69400024414063</v>
      </c>
      <c r="DL331" s="123">
        <v>26.576999664306641</v>
      </c>
      <c r="DM331" s="123">
        <v>25.976999282836914</v>
      </c>
      <c r="DN331" s="123">
        <v>51.423000335693359</v>
      </c>
      <c r="DO331" s="124">
        <v>114.45625305175781</v>
      </c>
      <c r="DP331" s="125">
        <v>15.833000183105469</v>
      </c>
      <c r="DQ331" s="123"/>
      <c r="DR331" s="125">
        <v>0</v>
      </c>
      <c r="DS331" s="128">
        <v>29.200000762939453</v>
      </c>
      <c r="DT331" s="127">
        <v>12</v>
      </c>
      <c r="DU331" s="123"/>
      <c r="DV331" s="123">
        <v>9</v>
      </c>
      <c r="DW331" s="123">
        <v>2.6284606456756592</v>
      </c>
      <c r="DX331" s="125">
        <v>11</v>
      </c>
      <c r="DY331" s="128"/>
      <c r="DZ331" s="127">
        <v>45</v>
      </c>
      <c r="EA331" s="123">
        <v>3</v>
      </c>
      <c r="EB331" s="123">
        <v>0</v>
      </c>
      <c r="EC331" s="123">
        <v>29</v>
      </c>
      <c r="ED331" s="123">
        <v>229.69999694824219</v>
      </c>
      <c r="EE331" s="129"/>
      <c r="EF331" s="129"/>
      <c r="EG331" s="129"/>
    </row>
    <row r="332" spans="1:137" x14ac:dyDescent="0.3">
      <c r="A332" s="226">
        <f t="shared" si="15"/>
        <v>46020.22777777852</v>
      </c>
      <c r="B332" s="123">
        <v>235</v>
      </c>
      <c r="C332" s="123">
        <v>52.363998413085938</v>
      </c>
      <c r="D332" s="123">
        <v>99.863998413085938</v>
      </c>
      <c r="E332" s="123">
        <v>21.714000701904297</v>
      </c>
      <c r="F332" s="123">
        <v>0</v>
      </c>
      <c r="G332" s="124">
        <v>19.113000869750977</v>
      </c>
      <c r="H332" s="125">
        <v>330</v>
      </c>
      <c r="I332" s="123">
        <v>291</v>
      </c>
      <c r="J332" s="123">
        <v>61.63800048828125</v>
      </c>
      <c r="K332" s="123">
        <v>63.651573181152344</v>
      </c>
      <c r="L332" s="123">
        <v>48.772998809814453</v>
      </c>
      <c r="M332" s="123">
        <v>13.232000350952148</v>
      </c>
      <c r="N332" s="123">
        <v>17.621000289916992</v>
      </c>
      <c r="O332" s="123">
        <v>20</v>
      </c>
      <c r="P332" s="123">
        <v>0</v>
      </c>
      <c r="Q332" s="123">
        <v>20.275672912597656</v>
      </c>
      <c r="R332" s="123">
        <v>10.996874809265137</v>
      </c>
      <c r="S332" s="123">
        <v>11.131228446960449</v>
      </c>
      <c r="T332" s="123">
        <v>0</v>
      </c>
      <c r="U332" s="123">
        <v>0</v>
      </c>
      <c r="V332" s="125">
        <v>880</v>
      </c>
      <c r="W332" s="123">
        <v>29.191186904907227</v>
      </c>
      <c r="X332" s="123">
        <v>23.070999145507813</v>
      </c>
      <c r="Y332" s="123">
        <v>8.9060001373291016</v>
      </c>
      <c r="Z332" s="123">
        <v>0</v>
      </c>
      <c r="AA332" s="123">
        <v>17.076999664306641</v>
      </c>
      <c r="AB332" s="123">
        <v>0</v>
      </c>
      <c r="AC332" s="123">
        <v>55.526271820068359</v>
      </c>
      <c r="AD332" s="123">
        <v>5.5980000495910645</v>
      </c>
      <c r="AE332" s="123">
        <v>0</v>
      </c>
      <c r="AF332" s="123">
        <v>82.735504150390625</v>
      </c>
      <c r="AG332" s="123">
        <v>0</v>
      </c>
      <c r="AH332" s="123">
        <v>65.828292846679688</v>
      </c>
      <c r="AI332" s="123">
        <v>19.784000396728516</v>
      </c>
      <c r="AJ332" s="123">
        <v>14.828886032104492</v>
      </c>
      <c r="AK332" s="123">
        <v>36.978416442871094</v>
      </c>
      <c r="AL332" s="123">
        <v>36.048999786376953</v>
      </c>
      <c r="AM332" s="126">
        <v>56.110000610351563</v>
      </c>
      <c r="AN332" s="125">
        <v>119.4375</v>
      </c>
      <c r="AO332" s="127">
        <v>62</v>
      </c>
      <c r="AP332" s="123">
        <v>62.093357086181641</v>
      </c>
      <c r="AQ332" s="123">
        <v>37.328666687011719</v>
      </c>
      <c r="AR332" s="123">
        <v>96</v>
      </c>
      <c r="AS332" s="123"/>
      <c r="AT332" s="123">
        <v>98</v>
      </c>
      <c r="AU332" s="123"/>
      <c r="AV332" s="123">
        <v>64</v>
      </c>
      <c r="AW332" s="123"/>
      <c r="AX332" s="123">
        <v>31</v>
      </c>
      <c r="AY332" s="123">
        <v>34.281993865966797</v>
      </c>
      <c r="AZ332" s="123">
        <v>4</v>
      </c>
      <c r="BA332" s="123"/>
      <c r="BB332" s="123">
        <v>176</v>
      </c>
      <c r="BC332" s="123">
        <v>180.97404479980469</v>
      </c>
      <c r="BD332" s="123">
        <v>7.1999998092651367</v>
      </c>
      <c r="BE332" s="123">
        <v>7.2414236068725586</v>
      </c>
      <c r="BF332" s="123">
        <v>30</v>
      </c>
      <c r="BG332" s="123">
        <v>10</v>
      </c>
      <c r="BH332" s="123">
        <v>11.098158836364746</v>
      </c>
      <c r="BI332" s="123"/>
      <c r="BJ332" s="108">
        <f t="shared" si="16"/>
        <v>12</v>
      </c>
      <c r="BK332" s="123">
        <v>12</v>
      </c>
      <c r="BL332" s="123">
        <v>0</v>
      </c>
      <c r="BM332" s="126"/>
      <c r="BN332" s="108">
        <f t="shared" si="17"/>
        <v>122.20000076293945</v>
      </c>
      <c r="BO332" s="108">
        <v>73</v>
      </c>
      <c r="BP332" s="108">
        <v>49.200000762939453</v>
      </c>
      <c r="BQ332" s="108">
        <v>272</v>
      </c>
      <c r="BR332" s="123">
        <v>74.0780029296875</v>
      </c>
      <c r="BS332" s="123">
        <v>23.156000137329102</v>
      </c>
      <c r="BT332" s="123">
        <v>40.869998931884766</v>
      </c>
      <c r="BU332" s="123">
        <v>34.735000610351563</v>
      </c>
      <c r="BV332" s="123">
        <v>69.800003051757813</v>
      </c>
      <c r="BW332" s="123">
        <v>5.8000001907348633</v>
      </c>
      <c r="BX332" s="123">
        <v>14.100000381469727</v>
      </c>
      <c r="BY332" s="123">
        <v>28</v>
      </c>
      <c r="BZ332" s="123">
        <v>1.3891612179577351E-2</v>
      </c>
      <c r="CA332" s="123">
        <v>0</v>
      </c>
      <c r="CB332" s="123">
        <v>29.395341873168945</v>
      </c>
      <c r="CC332" s="126"/>
      <c r="CD332" s="123">
        <v>346.82565307617188</v>
      </c>
      <c r="CE332" s="123">
        <v>31.255865097045898</v>
      </c>
      <c r="CF332" s="123">
        <v>16.238985061645508</v>
      </c>
      <c r="CG332" s="123">
        <v>35.338191986083984</v>
      </c>
      <c r="CH332" s="123">
        <v>279.15447998046875</v>
      </c>
      <c r="CI332" s="123">
        <v>82.307762145996094</v>
      </c>
      <c r="CJ332" s="123">
        <v>32.956912994384766</v>
      </c>
      <c r="CK332" s="123">
        <v>50.37957763671875</v>
      </c>
      <c r="CL332" s="124">
        <v>22.202457427978516</v>
      </c>
      <c r="CM332" s="125">
        <v>153.37556457519531</v>
      </c>
      <c r="CN332" s="123">
        <v>44.162883758544922</v>
      </c>
      <c r="CO332" s="123">
        <v>47.513858795166016</v>
      </c>
      <c r="CP332" s="123">
        <v>58.053382873535156</v>
      </c>
      <c r="CQ332" s="123">
        <v>0</v>
      </c>
      <c r="CR332" s="123">
        <v>58.460803985595703</v>
      </c>
      <c r="CS332" s="123">
        <v>17.875417709350586</v>
      </c>
      <c r="CT332" s="123">
        <v>34.668495178222656</v>
      </c>
      <c r="CU332" s="123">
        <v>40.789421081542969</v>
      </c>
      <c r="CV332" s="124">
        <v>52.851108551025391</v>
      </c>
      <c r="CW332" s="125">
        <v>42</v>
      </c>
      <c r="CX332" s="123">
        <v>299</v>
      </c>
      <c r="CY332" s="123">
        <v>107.92227935791016</v>
      </c>
      <c r="CZ332" s="123">
        <v>53.006103515625</v>
      </c>
      <c r="DA332" s="123">
        <v>20.771379470825195</v>
      </c>
      <c r="DB332" s="123">
        <v>30.539793014526367</v>
      </c>
      <c r="DC332" s="123">
        <v>70.62957763671875</v>
      </c>
      <c r="DD332" s="123">
        <v>50</v>
      </c>
      <c r="DE332" s="123">
        <v>168</v>
      </c>
      <c r="DF332" s="123">
        <v>98.628059387207031</v>
      </c>
      <c r="DG332" s="123">
        <v>66.259773254394531</v>
      </c>
      <c r="DH332" s="123">
        <v>41.317302703857422</v>
      </c>
      <c r="DI332" s="128">
        <v>38.207298278808594</v>
      </c>
      <c r="DJ332" s="127">
        <v>216</v>
      </c>
      <c r="DK332" s="123">
        <v>110.69400024414063</v>
      </c>
      <c r="DL332" s="123">
        <v>27.256000518798828</v>
      </c>
      <c r="DM332" s="123">
        <v>25.976999282836914</v>
      </c>
      <c r="DN332" s="123">
        <v>52.484001159667969</v>
      </c>
      <c r="DO332" s="124">
        <v>114.52906799316406</v>
      </c>
      <c r="DP332" s="125">
        <v>15.833000183105469</v>
      </c>
      <c r="DQ332" s="123"/>
      <c r="DR332" s="125">
        <v>0</v>
      </c>
      <c r="DS332" s="128">
        <v>29.399999618530273</v>
      </c>
      <c r="DT332" s="127">
        <v>12</v>
      </c>
      <c r="DU332" s="123"/>
      <c r="DV332" s="123">
        <v>8</v>
      </c>
      <c r="DW332" s="123">
        <v>2.6291360855102539</v>
      </c>
      <c r="DX332" s="125">
        <v>11</v>
      </c>
      <c r="DY332" s="128"/>
      <c r="DZ332" s="127">
        <v>46</v>
      </c>
      <c r="EA332" s="123">
        <v>3</v>
      </c>
      <c r="EB332" s="123">
        <v>0</v>
      </c>
      <c r="EC332" s="123">
        <v>29</v>
      </c>
      <c r="ED332" s="123">
        <v>233.19999694824219</v>
      </c>
      <c r="EE332" s="129"/>
      <c r="EF332" s="129"/>
      <c r="EG332" s="129"/>
    </row>
    <row r="333" spans="1:137" x14ac:dyDescent="0.3">
      <c r="A333" s="226">
        <f t="shared" si="15"/>
        <v>46020.228472222967</v>
      </c>
      <c r="B333" s="123">
        <v>247</v>
      </c>
      <c r="C333" s="123">
        <v>55.983001708984375</v>
      </c>
      <c r="D333" s="123">
        <v>100.54299926757813</v>
      </c>
      <c r="E333" s="123">
        <v>20.131000518798828</v>
      </c>
      <c r="F333" s="123">
        <v>9.9391317367553711</v>
      </c>
      <c r="G333" s="124">
        <v>19</v>
      </c>
      <c r="H333" s="125">
        <v>332</v>
      </c>
      <c r="I333" s="123">
        <v>300</v>
      </c>
      <c r="J333" s="123">
        <v>63.673000335693359</v>
      </c>
      <c r="K333" s="123">
        <v>62.152446746826172</v>
      </c>
      <c r="L333" s="123">
        <v>50.009998321533203</v>
      </c>
      <c r="M333" s="123">
        <v>13.458000183105469</v>
      </c>
      <c r="N333" s="123">
        <v>17.684999465942383</v>
      </c>
      <c r="O333" s="123">
        <v>20</v>
      </c>
      <c r="P333" s="123">
        <v>0</v>
      </c>
      <c r="Q333" s="123">
        <v>20.275672912597656</v>
      </c>
      <c r="R333" s="123">
        <v>10.003125190734863</v>
      </c>
      <c r="S333" s="123">
        <v>11.288398742675781</v>
      </c>
      <c r="T333" s="123">
        <v>0</v>
      </c>
      <c r="U333" s="123">
        <v>0</v>
      </c>
      <c r="V333" s="125">
        <v>878</v>
      </c>
      <c r="W333" s="123">
        <v>30.644695281982422</v>
      </c>
      <c r="X333" s="123">
        <v>23.636999130249023</v>
      </c>
      <c r="Y333" s="123">
        <v>7.060999870300293</v>
      </c>
      <c r="Z333" s="123">
        <v>0</v>
      </c>
      <c r="AA333" s="123">
        <v>16.625</v>
      </c>
      <c r="AB333" s="123">
        <v>0</v>
      </c>
      <c r="AC333" s="123">
        <v>54.548107147216797</v>
      </c>
      <c r="AD333" s="123">
        <v>5.5980000495910645</v>
      </c>
      <c r="AE333" s="123">
        <v>0</v>
      </c>
      <c r="AF333" s="123">
        <v>82.965965270996094</v>
      </c>
      <c r="AG333" s="123">
        <v>0</v>
      </c>
      <c r="AH333" s="123">
        <v>66.224586486816406</v>
      </c>
      <c r="AI333" s="123">
        <v>16.922000885009766</v>
      </c>
      <c r="AJ333" s="123">
        <v>15.464839935302734</v>
      </c>
      <c r="AK333" s="123">
        <v>37.999656677246094</v>
      </c>
      <c r="AL333" s="123">
        <v>34.988998413085938</v>
      </c>
      <c r="AM333" s="126">
        <v>55.918998718261719</v>
      </c>
      <c r="AN333" s="125">
        <v>117.9375</v>
      </c>
      <c r="AO333" s="127">
        <v>60</v>
      </c>
      <c r="AP333" s="123">
        <v>61.269489288330078</v>
      </c>
      <c r="AQ333" s="123">
        <v>36.751358032226563</v>
      </c>
      <c r="AR333" s="123">
        <v>97</v>
      </c>
      <c r="AS333" s="123"/>
      <c r="AT333" s="123">
        <v>98</v>
      </c>
      <c r="AU333" s="123"/>
      <c r="AV333" s="123">
        <v>60</v>
      </c>
      <c r="AW333" s="123"/>
      <c r="AX333" s="123">
        <v>30</v>
      </c>
      <c r="AY333" s="123">
        <v>33.189208984375</v>
      </c>
      <c r="AZ333" s="123">
        <v>4</v>
      </c>
      <c r="BA333" s="123"/>
      <c r="BB333" s="123">
        <v>176</v>
      </c>
      <c r="BC333" s="123">
        <v>179.74598693847656</v>
      </c>
      <c r="BD333" s="123">
        <v>7.1999998092651367</v>
      </c>
      <c r="BE333" s="123">
        <v>7.2137627601623535</v>
      </c>
      <c r="BF333" s="123">
        <v>30</v>
      </c>
      <c r="BG333" s="123">
        <v>10</v>
      </c>
      <c r="BH333" s="123">
        <v>10.991067886352539</v>
      </c>
      <c r="BI333" s="123"/>
      <c r="BJ333" s="108">
        <f t="shared" si="16"/>
        <v>12</v>
      </c>
      <c r="BK333" s="123">
        <v>12</v>
      </c>
      <c r="BL333" s="123">
        <v>0</v>
      </c>
      <c r="BM333" s="126"/>
      <c r="BN333" s="108">
        <f t="shared" si="17"/>
        <v>121</v>
      </c>
      <c r="BO333" s="108">
        <v>72</v>
      </c>
      <c r="BP333" s="108">
        <v>49</v>
      </c>
      <c r="BQ333" s="108">
        <v>272</v>
      </c>
      <c r="BR333" s="123">
        <v>72.268997192382813</v>
      </c>
      <c r="BS333" s="123">
        <v>23.665000915527344</v>
      </c>
      <c r="BT333" s="123">
        <v>41.562999725341797</v>
      </c>
      <c r="BU333" s="123">
        <v>33.398998260498047</v>
      </c>
      <c r="BV333" s="123">
        <v>69.800003051757813</v>
      </c>
      <c r="BW333" s="123">
        <v>5.9000000953674316</v>
      </c>
      <c r="BX333" s="123">
        <v>13.800000190734863</v>
      </c>
      <c r="BY333" s="123">
        <v>28</v>
      </c>
      <c r="BZ333" s="123">
        <v>1.440114714205265E-2</v>
      </c>
      <c r="CA333" s="123">
        <v>0</v>
      </c>
      <c r="CB333" s="123">
        <v>29.395341873168945</v>
      </c>
      <c r="CC333" s="126"/>
      <c r="CD333" s="123">
        <v>352.47998046875</v>
      </c>
      <c r="CE333" s="123">
        <v>31.115819931030273</v>
      </c>
      <c r="CF333" s="123">
        <v>17.057252883911133</v>
      </c>
      <c r="CG333" s="123">
        <v>35.338191986083984</v>
      </c>
      <c r="CH333" s="123">
        <v>279.8466796875</v>
      </c>
      <c r="CI333" s="123">
        <v>83.289726257324219</v>
      </c>
      <c r="CJ333" s="123">
        <v>32.465152740478516</v>
      </c>
      <c r="CK333" s="123">
        <v>55.000629425048828</v>
      </c>
      <c r="CL333" s="124">
        <v>22.159885406494141</v>
      </c>
      <c r="CM333" s="125">
        <v>146.82470703125</v>
      </c>
      <c r="CN333" s="123">
        <v>38.433917999267578</v>
      </c>
      <c r="CO333" s="123">
        <v>48.204311370849609</v>
      </c>
      <c r="CP333" s="123">
        <v>55.804286956787109</v>
      </c>
      <c r="CQ333" s="123">
        <v>0</v>
      </c>
      <c r="CR333" s="123">
        <v>58.279754638671875</v>
      </c>
      <c r="CS333" s="123">
        <v>17.350418090820313</v>
      </c>
      <c r="CT333" s="123">
        <v>33.080154418945313</v>
      </c>
      <c r="CU333" s="123">
        <v>42.5146484375</v>
      </c>
      <c r="CV333" s="124">
        <v>56.796955108642578</v>
      </c>
      <c r="CW333" s="125">
        <v>42</v>
      </c>
      <c r="CX333" s="123">
        <v>299</v>
      </c>
      <c r="CY333" s="123">
        <v>110.406982421875</v>
      </c>
      <c r="CZ333" s="123">
        <v>53.753078460693359</v>
      </c>
      <c r="DA333" s="123">
        <v>20.551664352416992</v>
      </c>
      <c r="DB333" s="123">
        <v>30.843015670776367</v>
      </c>
      <c r="DC333" s="123">
        <v>69.610183715820313</v>
      </c>
      <c r="DD333" s="123">
        <v>44</v>
      </c>
      <c r="DE333" s="123">
        <v>167</v>
      </c>
      <c r="DF333" s="123">
        <v>99.941238403320313</v>
      </c>
      <c r="DG333" s="123">
        <v>65.374977111816406</v>
      </c>
      <c r="DH333" s="123">
        <v>40.33721923828125</v>
      </c>
      <c r="DI333" s="128">
        <v>41.570098876953125</v>
      </c>
      <c r="DJ333" s="127">
        <v>217</v>
      </c>
      <c r="DK333" s="123">
        <v>114.25599670410156</v>
      </c>
      <c r="DL333" s="123">
        <v>29.517999649047852</v>
      </c>
      <c r="DM333" s="123">
        <v>28.62700080871582</v>
      </c>
      <c r="DN333" s="123">
        <v>49.125999450683594</v>
      </c>
      <c r="DO333" s="124">
        <v>113.47538757324219</v>
      </c>
      <c r="DP333" s="125">
        <v>15.890000343322754</v>
      </c>
      <c r="DQ333" s="123"/>
      <c r="DR333" s="125">
        <v>0</v>
      </c>
      <c r="DS333" s="128">
        <v>30.700000762939453</v>
      </c>
      <c r="DT333" s="127">
        <v>12</v>
      </c>
      <c r="DU333" s="123"/>
      <c r="DV333" s="123">
        <v>8</v>
      </c>
      <c r="DW333" s="123">
        <v>2.6385228633880615</v>
      </c>
      <c r="DX333" s="125">
        <v>10</v>
      </c>
      <c r="DY333" s="128"/>
      <c r="DZ333" s="127">
        <v>46</v>
      </c>
      <c r="EA333" s="123">
        <v>3</v>
      </c>
      <c r="EB333" s="123">
        <v>0</v>
      </c>
      <c r="EC333" s="123">
        <v>29</v>
      </c>
      <c r="ED333" s="123">
        <v>234.5</v>
      </c>
      <c r="EE333" s="129"/>
      <c r="EF333" s="129"/>
      <c r="EG333" s="129"/>
    </row>
    <row r="334" spans="1:137" x14ac:dyDescent="0.3">
      <c r="A334" s="226">
        <f t="shared" si="15"/>
        <v>46020.229166667414</v>
      </c>
      <c r="B334" s="123">
        <v>249</v>
      </c>
      <c r="C334" s="123">
        <v>54.738998413085938</v>
      </c>
      <c r="D334" s="123">
        <v>99.185997009277344</v>
      </c>
      <c r="E334" s="123">
        <v>21.826999664306641</v>
      </c>
      <c r="F334" s="123">
        <v>8.7744569778442383</v>
      </c>
      <c r="G334" s="124">
        <v>19.451999664306641</v>
      </c>
      <c r="H334" s="125">
        <v>330</v>
      </c>
      <c r="I334" s="123">
        <v>298</v>
      </c>
      <c r="J334" s="123">
        <v>62.541999816894531</v>
      </c>
      <c r="K334" s="123">
        <v>62.067741394042969</v>
      </c>
      <c r="L334" s="123">
        <v>47.535999298095703</v>
      </c>
      <c r="M334" s="123">
        <v>13.119000434875488</v>
      </c>
      <c r="N334" s="123">
        <v>17.493999481201172</v>
      </c>
      <c r="O334" s="123">
        <v>18</v>
      </c>
      <c r="P334" s="123">
        <v>0</v>
      </c>
      <c r="Q334" s="123">
        <v>19.351692199707031</v>
      </c>
      <c r="R334" s="123">
        <v>10.996874809265137</v>
      </c>
      <c r="S334" s="123">
        <v>12.5479736328125</v>
      </c>
      <c r="T334" s="123">
        <v>0</v>
      </c>
      <c r="U334" s="123">
        <v>0</v>
      </c>
      <c r="V334" s="125">
        <v>877</v>
      </c>
      <c r="W334" s="123">
        <v>29.001546859741211</v>
      </c>
      <c r="X334" s="123">
        <v>23.97599983215332</v>
      </c>
      <c r="Y334" s="123">
        <v>6.4250001907348633</v>
      </c>
      <c r="Z334" s="123">
        <v>0</v>
      </c>
      <c r="AA334" s="123">
        <v>18.77400016784668</v>
      </c>
      <c r="AB334" s="123">
        <v>0</v>
      </c>
      <c r="AC334" s="123">
        <v>54.149875640869141</v>
      </c>
      <c r="AD334" s="123">
        <v>5.8520002365112305</v>
      </c>
      <c r="AE334" s="123">
        <v>0</v>
      </c>
      <c r="AF334" s="123">
        <v>82.109794616699219</v>
      </c>
      <c r="AG334" s="123">
        <v>0</v>
      </c>
      <c r="AH334" s="123">
        <v>68.648834228515625</v>
      </c>
      <c r="AI334" s="123">
        <v>14.059000015258789</v>
      </c>
      <c r="AJ334" s="123">
        <v>15.557205200195313</v>
      </c>
      <c r="AK334" s="123">
        <v>36.997177124023438</v>
      </c>
      <c r="AL334" s="123">
        <v>35.166000366210938</v>
      </c>
      <c r="AM334" s="126">
        <v>56.173999786376953</v>
      </c>
      <c r="AN334" s="125">
        <v>115.875</v>
      </c>
      <c r="AO334" s="127">
        <v>59</v>
      </c>
      <c r="AP334" s="123">
        <v>59.944923400878906</v>
      </c>
      <c r="AQ334" s="123">
        <v>36.315670013427734</v>
      </c>
      <c r="AR334" s="123">
        <v>96</v>
      </c>
      <c r="AS334" s="123"/>
      <c r="AT334" s="123">
        <v>98</v>
      </c>
      <c r="AU334" s="123"/>
      <c r="AV334" s="123">
        <v>60</v>
      </c>
      <c r="AW334" s="123"/>
      <c r="AX334" s="123">
        <v>31</v>
      </c>
      <c r="AY334" s="123">
        <v>33.074672698974609</v>
      </c>
      <c r="AZ334" s="123">
        <v>4</v>
      </c>
      <c r="BA334" s="123"/>
      <c r="BB334" s="123">
        <v>178</v>
      </c>
      <c r="BC334" s="123">
        <v>177.853271484375</v>
      </c>
      <c r="BD334" s="123">
        <v>7.1999998092651367</v>
      </c>
      <c r="BE334" s="123">
        <v>7.5280380249023438</v>
      </c>
      <c r="BF334" s="123">
        <v>30</v>
      </c>
      <c r="BG334" s="123">
        <v>10</v>
      </c>
      <c r="BH334" s="123">
        <v>10.979033470153809</v>
      </c>
      <c r="BI334" s="123"/>
      <c r="BJ334" s="108">
        <f t="shared" si="16"/>
        <v>11</v>
      </c>
      <c r="BK334" s="123">
        <v>11</v>
      </c>
      <c r="BL334" s="123">
        <v>0</v>
      </c>
      <c r="BM334" s="126"/>
      <c r="BN334" s="108">
        <f t="shared" si="17"/>
        <v>121</v>
      </c>
      <c r="BO334" s="108">
        <v>72</v>
      </c>
      <c r="BP334" s="108">
        <v>49</v>
      </c>
      <c r="BQ334" s="108">
        <v>273</v>
      </c>
      <c r="BR334" s="123">
        <v>70.346000671386719</v>
      </c>
      <c r="BS334" s="123">
        <v>24.937000274658203</v>
      </c>
      <c r="BT334" s="123">
        <v>40.869998931884766</v>
      </c>
      <c r="BU334" s="123">
        <v>34.924999237060547</v>
      </c>
      <c r="BV334" s="123">
        <v>70</v>
      </c>
      <c r="BW334" s="123">
        <v>6.1999998092651367</v>
      </c>
      <c r="BX334" s="123">
        <v>14.100000381469727</v>
      </c>
      <c r="BY334" s="123">
        <v>29</v>
      </c>
      <c r="BZ334" s="123">
        <v>1.5524552203714848E-2</v>
      </c>
      <c r="CA334" s="123">
        <v>0</v>
      </c>
      <c r="CB334" s="123">
        <v>29.621795654296875</v>
      </c>
      <c r="CC334" s="126"/>
      <c r="CD334" s="123">
        <v>351.60745239257813</v>
      </c>
      <c r="CE334" s="123">
        <v>32.224433898925781</v>
      </c>
      <c r="CF334" s="123">
        <v>17.007421493530273</v>
      </c>
      <c r="CG334" s="123">
        <v>35.338191986083984</v>
      </c>
      <c r="CH334" s="123">
        <v>280.16146850585938</v>
      </c>
      <c r="CI334" s="123">
        <v>84.272476196289063</v>
      </c>
      <c r="CJ334" s="123">
        <v>33.349140167236328</v>
      </c>
      <c r="CK334" s="123">
        <v>54.309890747070313</v>
      </c>
      <c r="CL334" s="124">
        <v>22.186895370483398</v>
      </c>
      <c r="CM334" s="125">
        <v>143.88200378417969</v>
      </c>
      <c r="CN334" s="123">
        <v>37.160133361816406</v>
      </c>
      <c r="CO334" s="123">
        <v>47.323711395263672</v>
      </c>
      <c r="CP334" s="123">
        <v>53.478271484375</v>
      </c>
      <c r="CQ334" s="123">
        <v>0</v>
      </c>
      <c r="CR334" s="123">
        <v>62.034934997558594</v>
      </c>
      <c r="CS334" s="123">
        <v>17.294391632080078</v>
      </c>
      <c r="CT334" s="123">
        <v>35.483440399169922</v>
      </c>
      <c r="CU334" s="123">
        <v>39.715530395507813</v>
      </c>
      <c r="CV334" s="124">
        <v>54.352531433105469</v>
      </c>
      <c r="CW334" s="125">
        <v>41</v>
      </c>
      <c r="CX334" s="123">
        <v>304</v>
      </c>
      <c r="CY334" s="123">
        <v>109.69300842285156</v>
      </c>
      <c r="CZ334" s="123">
        <v>54.992019653320313</v>
      </c>
      <c r="DA334" s="123">
        <v>20.497211456298828</v>
      </c>
      <c r="DB334" s="123">
        <v>30.74348258972168</v>
      </c>
      <c r="DC334" s="123">
        <v>70.446876525878906</v>
      </c>
      <c r="DD334" s="123">
        <v>52</v>
      </c>
      <c r="DE334" s="123">
        <v>168</v>
      </c>
      <c r="DF334" s="123">
        <v>97.781806945800781</v>
      </c>
      <c r="DG334" s="123">
        <v>62.993976593017578</v>
      </c>
      <c r="DH334" s="123">
        <v>41.069728851318359</v>
      </c>
      <c r="DI334" s="128">
        <v>39.888633728027344</v>
      </c>
      <c r="DJ334" s="127">
        <v>219</v>
      </c>
      <c r="DK334" s="123">
        <v>115.01899719238281</v>
      </c>
      <c r="DL334" s="123">
        <v>29.857000350952148</v>
      </c>
      <c r="DM334" s="123">
        <v>34.104999542236328</v>
      </c>
      <c r="DN334" s="123">
        <v>49.125999450683594</v>
      </c>
      <c r="DO334" s="124">
        <v>112.9002685546875</v>
      </c>
      <c r="DP334" s="125">
        <v>15.890000343322754</v>
      </c>
      <c r="DQ334" s="123"/>
      <c r="DR334" s="125">
        <v>0</v>
      </c>
      <c r="DS334" s="128">
        <v>27.799999237060547</v>
      </c>
      <c r="DT334" s="127">
        <v>12</v>
      </c>
      <c r="DU334" s="123"/>
      <c r="DV334" s="123">
        <v>9</v>
      </c>
      <c r="DW334" s="123">
        <v>2.6498205661773682</v>
      </c>
      <c r="DX334" s="125">
        <v>10</v>
      </c>
      <c r="DY334" s="128"/>
      <c r="DZ334" s="127">
        <v>47</v>
      </c>
      <c r="EA334" s="123">
        <v>3</v>
      </c>
      <c r="EB334" s="123">
        <v>0</v>
      </c>
      <c r="EC334" s="123">
        <v>29</v>
      </c>
      <c r="ED334" s="123">
        <v>232.30000305175781</v>
      </c>
      <c r="EE334" s="129"/>
      <c r="EF334" s="129"/>
      <c r="EG334" s="129"/>
    </row>
    <row r="335" spans="1:137" x14ac:dyDescent="0.3">
      <c r="A335" s="226">
        <f t="shared" si="15"/>
        <v>46020.22986111186</v>
      </c>
      <c r="B335" s="123">
        <v>248</v>
      </c>
      <c r="C335" s="123">
        <v>58.358001708984375</v>
      </c>
      <c r="D335" s="123">
        <v>98.167999267578125</v>
      </c>
      <c r="E335" s="123">
        <v>23.184000015258789</v>
      </c>
      <c r="F335" s="123">
        <v>0</v>
      </c>
      <c r="G335" s="124">
        <v>18.547000885009766</v>
      </c>
      <c r="H335" s="125">
        <v>330</v>
      </c>
      <c r="I335" s="123">
        <v>298</v>
      </c>
      <c r="J335" s="123">
        <v>60.846000671386719</v>
      </c>
      <c r="K335" s="123">
        <v>63.606369018554688</v>
      </c>
      <c r="L335" s="123">
        <v>46.298999786376953</v>
      </c>
      <c r="M335" s="123">
        <v>13.796999931335449</v>
      </c>
      <c r="N335" s="123">
        <v>17.493999481201172</v>
      </c>
      <c r="O335" s="123">
        <v>18</v>
      </c>
      <c r="P335" s="123">
        <v>0</v>
      </c>
      <c r="Q335" s="123">
        <v>19.861415863037109</v>
      </c>
      <c r="R335" s="123">
        <v>13.003125190734863</v>
      </c>
      <c r="S335" s="123">
        <v>11.847774505615234</v>
      </c>
      <c r="T335" s="123">
        <v>0</v>
      </c>
      <c r="U335" s="123">
        <v>0</v>
      </c>
      <c r="V335" s="125">
        <v>877</v>
      </c>
      <c r="W335" s="123">
        <v>28.632013320922852</v>
      </c>
      <c r="X335" s="123">
        <v>23.97599983215332</v>
      </c>
      <c r="Y335" s="123">
        <v>5.3429999351501465</v>
      </c>
      <c r="Z335" s="123">
        <v>0</v>
      </c>
      <c r="AA335" s="123">
        <v>18.320999145507813</v>
      </c>
      <c r="AB335" s="123">
        <v>0</v>
      </c>
      <c r="AC335" s="123">
        <v>53.790416717529297</v>
      </c>
      <c r="AD335" s="123">
        <v>6.1069998741149902</v>
      </c>
      <c r="AE335" s="123">
        <v>0</v>
      </c>
      <c r="AF335" s="123">
        <v>83.892608642578125</v>
      </c>
      <c r="AG335" s="123">
        <v>0</v>
      </c>
      <c r="AH335" s="123">
        <v>66.391342163085938</v>
      </c>
      <c r="AI335" s="123">
        <v>14.185999870300293</v>
      </c>
      <c r="AJ335" s="123">
        <v>16.725286483764648</v>
      </c>
      <c r="AK335" s="123">
        <v>36.967609405517578</v>
      </c>
      <c r="AL335" s="123">
        <v>39.229999542236328</v>
      </c>
      <c r="AM335" s="126">
        <v>55.791999816894531</v>
      </c>
      <c r="AN335" s="125">
        <v>112.4375</v>
      </c>
      <c r="AO335" s="127">
        <v>59</v>
      </c>
      <c r="AP335" s="123">
        <v>59.914333343505859</v>
      </c>
      <c r="AQ335" s="123">
        <v>35.322906494140625</v>
      </c>
      <c r="AR335" s="123">
        <v>98</v>
      </c>
      <c r="AS335" s="123"/>
      <c r="AT335" s="123">
        <v>99</v>
      </c>
      <c r="AU335" s="123"/>
      <c r="AV335" s="123">
        <v>61</v>
      </c>
      <c r="AW335" s="123"/>
      <c r="AX335" s="123">
        <v>30</v>
      </c>
      <c r="AY335" s="123">
        <v>33.074672698974609</v>
      </c>
      <c r="AZ335" s="123">
        <v>6</v>
      </c>
      <c r="BA335" s="123"/>
      <c r="BB335" s="123">
        <v>178</v>
      </c>
      <c r="BC335" s="123">
        <v>176.60282897949219</v>
      </c>
      <c r="BD335" s="123">
        <v>6.5</v>
      </c>
      <c r="BE335" s="123">
        <v>6.6354556083679199</v>
      </c>
      <c r="BF335" s="123">
        <v>30</v>
      </c>
      <c r="BG335" s="123">
        <v>10</v>
      </c>
      <c r="BH335" s="123">
        <v>10.965808868408203</v>
      </c>
      <c r="BI335" s="123"/>
      <c r="BJ335" s="108">
        <f t="shared" si="16"/>
        <v>11</v>
      </c>
      <c r="BK335" s="123">
        <v>11</v>
      </c>
      <c r="BL335" s="123">
        <v>0</v>
      </c>
      <c r="BM335" s="126"/>
      <c r="BN335" s="108">
        <f t="shared" si="17"/>
        <v>122.20000076293945</v>
      </c>
      <c r="BO335" s="108">
        <v>73</v>
      </c>
      <c r="BP335" s="108">
        <v>49.200000762939453</v>
      </c>
      <c r="BQ335" s="108">
        <v>273</v>
      </c>
      <c r="BR335" s="123">
        <v>75.43499755859375</v>
      </c>
      <c r="BS335" s="123">
        <v>24.429000854492188</v>
      </c>
      <c r="BT335" s="123">
        <v>40.869998931884766</v>
      </c>
      <c r="BU335" s="123">
        <v>35.943000793457031</v>
      </c>
      <c r="BV335" s="123">
        <v>69</v>
      </c>
      <c r="BW335" s="123">
        <v>6.1999998092651367</v>
      </c>
      <c r="BX335" s="123">
        <v>14.100000381469727</v>
      </c>
      <c r="BY335" s="123">
        <v>29</v>
      </c>
      <c r="BZ335" s="123">
        <v>1.5524552203714848E-2</v>
      </c>
      <c r="CA335" s="123">
        <v>0</v>
      </c>
      <c r="CB335" s="123">
        <v>30.028837203979492</v>
      </c>
      <c r="CC335" s="126"/>
      <c r="CD335" s="123">
        <v>347.99905395507813</v>
      </c>
      <c r="CE335" s="123">
        <v>34.876426696777344</v>
      </c>
      <c r="CF335" s="123">
        <v>17.1787109375</v>
      </c>
      <c r="CG335" s="123">
        <v>35.338191986083984</v>
      </c>
      <c r="CH335" s="123">
        <v>280.15719604492188</v>
      </c>
      <c r="CI335" s="123">
        <v>82.280258178710938</v>
      </c>
      <c r="CJ335" s="123">
        <v>33.506649017333984</v>
      </c>
      <c r="CK335" s="123">
        <v>52.109580993652344</v>
      </c>
      <c r="CL335" s="124">
        <v>23.624053955078125</v>
      </c>
      <c r="CM335" s="125">
        <v>146.09169006347656</v>
      </c>
      <c r="CN335" s="123">
        <v>37.912403106689453</v>
      </c>
      <c r="CO335" s="123">
        <v>47.820472717285156</v>
      </c>
      <c r="CP335" s="123">
        <v>55.501140594482422</v>
      </c>
      <c r="CQ335" s="123">
        <v>0</v>
      </c>
      <c r="CR335" s="123">
        <v>60.325534820556641</v>
      </c>
      <c r="CS335" s="123">
        <v>17.842546463012695</v>
      </c>
      <c r="CT335" s="123">
        <v>31.543136596679688</v>
      </c>
      <c r="CU335" s="123">
        <v>41.029735565185547</v>
      </c>
      <c r="CV335" s="124">
        <v>54.712562561035156</v>
      </c>
      <c r="CW335" s="125">
        <v>42</v>
      </c>
      <c r="CX335" s="123">
        <v>314</v>
      </c>
      <c r="CY335" s="123">
        <v>110.87250518798828</v>
      </c>
      <c r="CZ335" s="123">
        <v>53.342689514160156</v>
      </c>
      <c r="DA335" s="123">
        <v>19.80369758605957</v>
      </c>
      <c r="DB335" s="123">
        <v>30.646806716918945</v>
      </c>
      <c r="DC335" s="123">
        <v>72.859230041503906</v>
      </c>
      <c r="DD335" s="123">
        <v>46</v>
      </c>
      <c r="DE335" s="123">
        <v>168</v>
      </c>
      <c r="DF335" s="123">
        <v>98.196868896484375</v>
      </c>
      <c r="DG335" s="123">
        <v>63.340740203857422</v>
      </c>
      <c r="DH335" s="123">
        <v>40.535793304443359</v>
      </c>
      <c r="DI335" s="128">
        <v>38.597671508789063</v>
      </c>
      <c r="DJ335" s="127">
        <v>222</v>
      </c>
      <c r="DK335" s="123">
        <v>121.12699890136719</v>
      </c>
      <c r="DL335" s="123">
        <v>32.006000518798828</v>
      </c>
      <c r="DM335" s="123">
        <v>27.920000076293945</v>
      </c>
      <c r="DN335" s="123">
        <v>52.130001068115234</v>
      </c>
      <c r="DO335" s="124">
        <v>112.9002685546875</v>
      </c>
      <c r="DP335" s="125">
        <v>15.918000221252441</v>
      </c>
      <c r="DQ335" s="123"/>
      <c r="DR335" s="125">
        <v>0</v>
      </c>
      <c r="DS335" s="128">
        <v>29.100000381469727</v>
      </c>
      <c r="DT335" s="127">
        <v>12</v>
      </c>
      <c r="DU335" s="123"/>
      <c r="DV335" s="123">
        <v>8</v>
      </c>
      <c r="DW335" s="123">
        <v>2.6482563018798828</v>
      </c>
      <c r="DX335" s="125">
        <v>10</v>
      </c>
      <c r="DY335" s="128"/>
      <c r="DZ335" s="127">
        <v>46</v>
      </c>
      <c r="EA335" s="123">
        <v>3</v>
      </c>
      <c r="EB335" s="123">
        <v>0</v>
      </c>
      <c r="EC335" s="123">
        <v>29</v>
      </c>
      <c r="ED335" s="123">
        <v>231</v>
      </c>
      <c r="EE335" s="129"/>
      <c r="EF335" s="129"/>
      <c r="EG335" s="129"/>
    </row>
    <row r="336" spans="1:137" x14ac:dyDescent="0.3">
      <c r="A336" s="226">
        <f t="shared" si="15"/>
        <v>46020.230555556307</v>
      </c>
      <c r="B336" s="123">
        <v>245</v>
      </c>
      <c r="C336" s="123">
        <v>55.529998779296875</v>
      </c>
      <c r="D336" s="123">
        <v>98.167999267578125</v>
      </c>
      <c r="E336" s="123">
        <v>21.375</v>
      </c>
      <c r="F336" s="123">
        <v>9.2059249877929688</v>
      </c>
      <c r="G336" s="124">
        <v>18.886999130249023</v>
      </c>
      <c r="H336" s="125">
        <v>332</v>
      </c>
      <c r="I336" s="123">
        <v>301</v>
      </c>
      <c r="J336" s="123">
        <v>61.63800048828125</v>
      </c>
      <c r="K336" s="123">
        <v>63.513336181640625</v>
      </c>
      <c r="L336" s="123">
        <v>50.540000915527344</v>
      </c>
      <c r="M336" s="123">
        <v>13.571000099182129</v>
      </c>
      <c r="N336" s="123">
        <v>17.176000595092773</v>
      </c>
      <c r="O336" s="123">
        <v>19</v>
      </c>
      <c r="P336" s="123">
        <v>0</v>
      </c>
      <c r="Q336" s="123">
        <v>18.856948852539063</v>
      </c>
      <c r="R336" s="123">
        <v>12</v>
      </c>
      <c r="S336" s="123">
        <v>11.878766059875488</v>
      </c>
      <c r="T336" s="123">
        <v>0</v>
      </c>
      <c r="U336" s="123">
        <v>0</v>
      </c>
      <c r="V336" s="125">
        <v>875</v>
      </c>
      <c r="W336" s="123">
        <v>28.305910110473633</v>
      </c>
      <c r="X336" s="123">
        <v>24.201999664306641</v>
      </c>
      <c r="Y336" s="123">
        <v>6.2340002059936523</v>
      </c>
      <c r="Z336" s="123">
        <v>0</v>
      </c>
      <c r="AA336" s="123">
        <v>19.339000701904297</v>
      </c>
      <c r="AB336" s="123">
        <v>0</v>
      </c>
      <c r="AC336" s="123">
        <v>55.360893249511719</v>
      </c>
      <c r="AD336" s="123">
        <v>5.8520002365112305</v>
      </c>
      <c r="AE336" s="123">
        <v>0</v>
      </c>
      <c r="AF336" s="123">
        <v>84.513572692871094</v>
      </c>
      <c r="AG336" s="123">
        <v>0</v>
      </c>
      <c r="AH336" s="123">
        <v>66.478355407714844</v>
      </c>
      <c r="AI336" s="123">
        <v>14.503999710083008</v>
      </c>
      <c r="AJ336" s="123">
        <v>17.574174880981445</v>
      </c>
      <c r="AK336" s="123">
        <v>37.997867584228516</v>
      </c>
      <c r="AL336" s="123">
        <v>38.169998168945313</v>
      </c>
      <c r="AM336" s="126">
        <v>55.536998748779297</v>
      </c>
      <c r="AN336" s="125">
        <v>112.4375</v>
      </c>
      <c r="AO336" s="127">
        <v>57</v>
      </c>
      <c r="AP336" s="123">
        <v>60.809669494628906</v>
      </c>
      <c r="AQ336" s="123">
        <v>37.363151550292969</v>
      </c>
      <c r="AR336" s="123">
        <v>95</v>
      </c>
      <c r="AS336" s="123"/>
      <c r="AT336" s="123">
        <v>100</v>
      </c>
      <c r="AU336" s="123"/>
      <c r="AV336" s="123">
        <v>52</v>
      </c>
      <c r="AW336" s="123"/>
      <c r="AX336" s="123">
        <v>30</v>
      </c>
      <c r="AY336" s="123">
        <v>32.995567321777344</v>
      </c>
      <c r="AZ336" s="123">
        <v>5</v>
      </c>
      <c r="BA336" s="123"/>
      <c r="BB336" s="123">
        <v>178</v>
      </c>
      <c r="BC336" s="123">
        <v>179.01602172851563</v>
      </c>
      <c r="BD336" s="123">
        <v>6.5999999046325684</v>
      </c>
      <c r="BE336" s="123">
        <v>6.5922684669494629</v>
      </c>
      <c r="BF336" s="123">
        <v>31</v>
      </c>
      <c r="BG336" s="123">
        <v>10</v>
      </c>
      <c r="BH336" s="123">
        <v>10.94492244720459</v>
      </c>
      <c r="BI336" s="123"/>
      <c r="BJ336" s="108">
        <f t="shared" si="16"/>
        <v>11</v>
      </c>
      <c r="BK336" s="123">
        <v>11</v>
      </c>
      <c r="BL336" s="123">
        <v>0</v>
      </c>
      <c r="BM336" s="126"/>
      <c r="BN336" s="108">
        <f t="shared" si="17"/>
        <v>122</v>
      </c>
      <c r="BO336" s="108">
        <v>73</v>
      </c>
      <c r="BP336" s="108">
        <v>49</v>
      </c>
      <c r="BQ336" s="108">
        <v>274</v>
      </c>
      <c r="BR336" s="123">
        <v>72.833999633789063</v>
      </c>
      <c r="BS336" s="123">
        <v>23.665000915527344</v>
      </c>
      <c r="BT336" s="123">
        <v>40.523998260498047</v>
      </c>
      <c r="BU336" s="123">
        <v>36.325000762939453</v>
      </c>
      <c r="BV336" s="123">
        <v>70.5</v>
      </c>
      <c r="BW336" s="123">
        <v>6.5999999046325684</v>
      </c>
      <c r="BX336" s="123">
        <v>13.899999618530273</v>
      </c>
      <c r="BY336" s="123">
        <v>29</v>
      </c>
      <c r="BZ336" s="123">
        <v>1.4972405508160591E-2</v>
      </c>
      <c r="CA336" s="123">
        <v>0</v>
      </c>
      <c r="CB336" s="123">
        <v>29.619071960449219</v>
      </c>
      <c r="CC336" s="126"/>
      <c r="CD336" s="123">
        <v>346.42156982421875</v>
      </c>
      <c r="CE336" s="123">
        <v>32.382160186767578</v>
      </c>
      <c r="CF336" s="123">
        <v>17.031471252441406</v>
      </c>
      <c r="CG336" s="123">
        <v>35.338191986083984</v>
      </c>
      <c r="CH336" s="123">
        <v>280.78692626953125</v>
      </c>
      <c r="CI336" s="123">
        <v>81.649795532226563</v>
      </c>
      <c r="CJ336" s="123">
        <v>33.405838012695313</v>
      </c>
      <c r="CK336" s="123">
        <v>51.003696441650391</v>
      </c>
      <c r="CL336" s="124">
        <v>23.051559448242188</v>
      </c>
      <c r="CM336" s="125">
        <v>144.70133972167969</v>
      </c>
      <c r="CN336" s="123">
        <v>36.585983276367188</v>
      </c>
      <c r="CO336" s="123">
        <v>47.784652709960938</v>
      </c>
      <c r="CP336" s="123">
        <v>56.137992858886719</v>
      </c>
      <c r="CQ336" s="123">
        <v>0</v>
      </c>
      <c r="CR336" s="123">
        <v>61.638015747070313</v>
      </c>
      <c r="CS336" s="123">
        <v>17.127664566040039</v>
      </c>
      <c r="CT336" s="123">
        <v>32.621433258056641</v>
      </c>
      <c r="CU336" s="123">
        <v>40.537551879882813</v>
      </c>
      <c r="CV336" s="124">
        <v>55.854450225830078</v>
      </c>
      <c r="CW336" s="125">
        <v>13</v>
      </c>
      <c r="CX336" s="123">
        <v>303</v>
      </c>
      <c r="CY336" s="123">
        <v>114.33592224121094</v>
      </c>
      <c r="CZ336" s="123">
        <v>51.216758728027344</v>
      </c>
      <c r="DA336" s="123">
        <v>19.80369758605957</v>
      </c>
      <c r="DB336" s="123">
        <v>28.22871208190918</v>
      </c>
      <c r="DC336" s="123">
        <v>73.191192626953125</v>
      </c>
      <c r="DD336" s="123">
        <v>46</v>
      </c>
      <c r="DE336" s="123">
        <v>170</v>
      </c>
      <c r="DF336" s="123">
        <v>96.466339111328125</v>
      </c>
      <c r="DG336" s="123">
        <v>62.562549591064453</v>
      </c>
      <c r="DH336" s="123">
        <v>40.896743774414063</v>
      </c>
      <c r="DI336" s="128">
        <v>39.053443908691406</v>
      </c>
      <c r="DJ336" s="127">
        <v>223</v>
      </c>
      <c r="DK336" s="123">
        <v>117.30999755859375</v>
      </c>
      <c r="DL336" s="123">
        <v>26.916999816894531</v>
      </c>
      <c r="DM336" s="123">
        <v>29.156999588012695</v>
      </c>
      <c r="DN336" s="123">
        <v>53.896999359130859</v>
      </c>
      <c r="DO336" s="124">
        <v>116.05560302734375</v>
      </c>
      <c r="DP336" s="125">
        <v>15.946000099182129</v>
      </c>
      <c r="DQ336" s="123"/>
      <c r="DR336" s="125">
        <v>0</v>
      </c>
      <c r="DS336" s="128">
        <v>31.399999618530273</v>
      </c>
      <c r="DT336" s="127">
        <v>12</v>
      </c>
      <c r="DU336" s="123"/>
      <c r="DV336" s="123">
        <v>8</v>
      </c>
      <c r="DW336" s="123">
        <v>2.5413460731506348</v>
      </c>
      <c r="DX336" s="125">
        <v>10</v>
      </c>
      <c r="DY336" s="128"/>
      <c r="DZ336" s="127">
        <v>45</v>
      </c>
      <c r="EA336" s="123">
        <v>3</v>
      </c>
      <c r="EB336" s="123">
        <v>0</v>
      </c>
      <c r="EC336" s="123">
        <v>29</v>
      </c>
      <c r="ED336" s="123">
        <v>230.30000305175781</v>
      </c>
      <c r="EE336" s="129"/>
      <c r="EF336" s="129"/>
      <c r="EG336" s="129"/>
    </row>
    <row r="337" spans="1:137" x14ac:dyDescent="0.3">
      <c r="A337" s="226">
        <f t="shared" si="15"/>
        <v>46020.231250000754</v>
      </c>
      <c r="B337" s="123">
        <v>246</v>
      </c>
      <c r="C337" s="123">
        <v>55.191001892089844</v>
      </c>
      <c r="D337" s="123">
        <v>98.847000122070313</v>
      </c>
      <c r="E337" s="123">
        <v>18.886999130249023</v>
      </c>
      <c r="F337" s="123">
        <v>0</v>
      </c>
      <c r="G337" s="124">
        <v>18.208000183105469</v>
      </c>
      <c r="H337" s="125">
        <v>333</v>
      </c>
      <c r="I337" s="123">
        <v>303</v>
      </c>
      <c r="J337" s="123">
        <v>59.827999114990234</v>
      </c>
      <c r="K337" s="123">
        <v>63.143119812011719</v>
      </c>
      <c r="L337" s="123">
        <v>48.243000030517578</v>
      </c>
      <c r="M337" s="123">
        <v>13.005999565124512</v>
      </c>
      <c r="N337" s="123">
        <v>17.430999755859375</v>
      </c>
      <c r="O337" s="123">
        <v>20</v>
      </c>
      <c r="P337" s="123">
        <v>0</v>
      </c>
      <c r="Q337" s="123">
        <v>21.263263702392578</v>
      </c>
      <c r="R337" s="123">
        <v>16.003124237060547</v>
      </c>
      <c r="S337" s="123">
        <v>12.362378120422363</v>
      </c>
      <c r="T337" s="123">
        <v>0</v>
      </c>
      <c r="U337" s="123">
        <v>0</v>
      </c>
      <c r="V337" s="125">
        <v>878</v>
      </c>
      <c r="W337" s="123">
        <v>26.479129791259766</v>
      </c>
      <c r="X337" s="123">
        <v>24.429000854492188</v>
      </c>
      <c r="Y337" s="123">
        <v>7.4429998397827148</v>
      </c>
      <c r="Z337" s="123">
        <v>0</v>
      </c>
      <c r="AA337" s="123">
        <v>17.982000350952148</v>
      </c>
      <c r="AB337" s="123">
        <v>0</v>
      </c>
      <c r="AC337" s="123">
        <v>55.521823883056641</v>
      </c>
      <c r="AD337" s="123">
        <v>5.5980000495910645</v>
      </c>
      <c r="AE337" s="123">
        <v>0</v>
      </c>
      <c r="AF337" s="123">
        <v>84.098709106445313</v>
      </c>
      <c r="AG337" s="123">
        <v>0</v>
      </c>
      <c r="AH337" s="123">
        <v>63.2578125</v>
      </c>
      <c r="AI337" s="123">
        <v>15.904000282287598</v>
      </c>
      <c r="AJ337" s="123">
        <v>20.214019775390625</v>
      </c>
      <c r="AK337" s="123">
        <v>40.183193206787109</v>
      </c>
      <c r="AL337" s="123">
        <v>37.639999389648438</v>
      </c>
      <c r="AM337" s="126">
        <v>56.492000579833984</v>
      </c>
      <c r="AN337" s="125">
        <v>119.875</v>
      </c>
      <c r="AO337" s="127">
        <v>62</v>
      </c>
      <c r="AP337" s="123">
        <v>60.684841156005859</v>
      </c>
      <c r="AQ337" s="123">
        <v>40.178115844726563</v>
      </c>
      <c r="AR337" s="123">
        <v>94</v>
      </c>
      <c r="AS337" s="123"/>
      <c r="AT337" s="123">
        <v>100</v>
      </c>
      <c r="AU337" s="123"/>
      <c r="AV337" s="123">
        <v>53</v>
      </c>
      <c r="AW337" s="123"/>
      <c r="AX337" s="123">
        <v>30</v>
      </c>
      <c r="AY337" s="123">
        <v>33.874126434326172</v>
      </c>
      <c r="AZ337" s="123">
        <v>5</v>
      </c>
      <c r="BA337" s="123"/>
      <c r="BB337" s="123">
        <v>178</v>
      </c>
      <c r="BC337" s="123">
        <v>177.30764770507813</v>
      </c>
      <c r="BD337" s="123">
        <v>6.6999998092651367</v>
      </c>
      <c r="BE337" s="123">
        <v>6.5350728034973145</v>
      </c>
      <c r="BF337" s="123">
        <v>31</v>
      </c>
      <c r="BG337" s="123">
        <v>10</v>
      </c>
      <c r="BH337" s="123">
        <v>11.034700393676758</v>
      </c>
      <c r="BI337" s="123"/>
      <c r="BJ337" s="108">
        <f t="shared" si="16"/>
        <v>11</v>
      </c>
      <c r="BK337" s="123">
        <v>11</v>
      </c>
      <c r="BL337" s="123">
        <v>0</v>
      </c>
      <c r="BM337" s="126"/>
      <c r="BN337" s="108">
        <f t="shared" si="17"/>
        <v>121</v>
      </c>
      <c r="BO337" s="108">
        <v>72</v>
      </c>
      <c r="BP337" s="108">
        <v>49</v>
      </c>
      <c r="BQ337" s="108">
        <v>277</v>
      </c>
      <c r="BR337" s="123">
        <v>68.422996520996094</v>
      </c>
      <c r="BS337" s="123">
        <v>23.920000076293945</v>
      </c>
      <c r="BT337" s="123">
        <v>40.869998931884766</v>
      </c>
      <c r="BU337" s="123">
        <v>42.050998687744141</v>
      </c>
      <c r="BV337" s="123">
        <v>70.5</v>
      </c>
      <c r="BW337" s="123">
        <v>6.1999998092651367</v>
      </c>
      <c r="BX337" s="123">
        <v>13.600000381469727</v>
      </c>
      <c r="BY337" s="123">
        <v>29</v>
      </c>
      <c r="BZ337" s="123">
        <v>1.4088334515690804E-2</v>
      </c>
      <c r="CA337" s="123">
        <v>1</v>
      </c>
      <c r="CB337" s="123">
        <v>29.664430618286133</v>
      </c>
      <c r="CC337" s="126"/>
      <c r="CD337" s="123">
        <v>357.6607666015625</v>
      </c>
      <c r="CE337" s="123">
        <v>32.007343292236328</v>
      </c>
      <c r="CF337" s="123">
        <v>15.963688850402832</v>
      </c>
      <c r="CG337" s="123">
        <v>35.338191986083984</v>
      </c>
      <c r="CH337" s="123">
        <v>281.10879516601563</v>
      </c>
      <c r="CI337" s="123">
        <v>82.15911865234375</v>
      </c>
      <c r="CJ337" s="123">
        <v>34.831043243408203</v>
      </c>
      <c r="CK337" s="123">
        <v>51.512325286865234</v>
      </c>
      <c r="CL337" s="124">
        <v>23.262447357177734</v>
      </c>
      <c r="CM337" s="125">
        <v>152.20085144042969</v>
      </c>
      <c r="CN337" s="123">
        <v>41.972087860107422</v>
      </c>
      <c r="CO337" s="123">
        <v>49.092529296875</v>
      </c>
      <c r="CP337" s="123">
        <v>57.428073883056641</v>
      </c>
      <c r="CQ337" s="123">
        <v>0</v>
      </c>
      <c r="CR337" s="123">
        <v>62.360118865966797</v>
      </c>
      <c r="CS337" s="123">
        <v>17.15574836730957</v>
      </c>
      <c r="CT337" s="123">
        <v>34.608997344970703</v>
      </c>
      <c r="CU337" s="123">
        <v>38.746379852294922</v>
      </c>
      <c r="CV337" s="124">
        <v>56.602455139160156</v>
      </c>
      <c r="CW337" s="125">
        <v>5</v>
      </c>
      <c r="CX337" s="123">
        <v>304</v>
      </c>
      <c r="CY337" s="123">
        <v>109.44814300537109</v>
      </c>
      <c r="CZ337" s="123">
        <v>52.639102935791016</v>
      </c>
      <c r="DA337" s="123">
        <v>19.795372009277344</v>
      </c>
      <c r="DB337" s="123">
        <v>30.661138534545898</v>
      </c>
      <c r="DC337" s="123">
        <v>73.636680603027344</v>
      </c>
      <c r="DD337" s="123">
        <v>52</v>
      </c>
      <c r="DE337" s="123">
        <v>171</v>
      </c>
      <c r="DF337" s="123">
        <v>100.4921875</v>
      </c>
      <c r="DG337" s="123">
        <v>64.17938232421875</v>
      </c>
      <c r="DH337" s="123">
        <v>41.088539123535156</v>
      </c>
      <c r="DI337" s="128">
        <v>39.486171722412109</v>
      </c>
      <c r="DJ337" s="127">
        <v>230</v>
      </c>
      <c r="DK337" s="123">
        <v>122.39900207519531</v>
      </c>
      <c r="DL337" s="123">
        <v>30.195999145507813</v>
      </c>
      <c r="DM337" s="123">
        <v>33.222000122070313</v>
      </c>
      <c r="DN337" s="123">
        <v>53.721000671386719</v>
      </c>
      <c r="DO337" s="124">
        <v>116.49556732177734</v>
      </c>
      <c r="DP337" s="125">
        <v>16.08799934387207</v>
      </c>
      <c r="DQ337" s="123"/>
      <c r="DR337" s="125">
        <v>0</v>
      </c>
      <c r="DS337" s="128">
        <v>31.299999237060547</v>
      </c>
      <c r="DT337" s="127">
        <v>12</v>
      </c>
      <c r="DU337" s="123"/>
      <c r="DV337" s="123">
        <v>10</v>
      </c>
      <c r="DW337" s="123">
        <v>2.4394543170928955</v>
      </c>
      <c r="DX337" s="125">
        <v>10</v>
      </c>
      <c r="DY337" s="128"/>
      <c r="DZ337" s="127">
        <v>45</v>
      </c>
      <c r="EA337" s="123">
        <v>3</v>
      </c>
      <c r="EB337" s="123">
        <v>0</v>
      </c>
      <c r="EC337" s="123">
        <v>29</v>
      </c>
      <c r="ED337" s="123">
        <v>234.5</v>
      </c>
      <c r="EE337" s="129"/>
      <c r="EF337" s="129"/>
      <c r="EG337" s="129"/>
    </row>
    <row r="338" spans="1:137" x14ac:dyDescent="0.3">
      <c r="A338" s="226">
        <f t="shared" si="15"/>
        <v>46020.2319444452</v>
      </c>
      <c r="B338" s="123">
        <v>246</v>
      </c>
      <c r="C338" s="123">
        <v>53.833999633789063</v>
      </c>
      <c r="D338" s="123">
        <v>99.412002563476563</v>
      </c>
      <c r="E338" s="123">
        <v>21.261999130249023</v>
      </c>
      <c r="F338" s="123">
        <v>7.9470853805541992</v>
      </c>
      <c r="G338" s="124">
        <v>19.905000686645508</v>
      </c>
      <c r="H338" s="125">
        <v>333</v>
      </c>
      <c r="I338" s="123">
        <v>299</v>
      </c>
      <c r="J338" s="123">
        <v>59.035999298095703</v>
      </c>
      <c r="K338" s="123">
        <v>62.290851593017578</v>
      </c>
      <c r="L338" s="123">
        <v>50.186000823974609</v>
      </c>
      <c r="M338" s="123">
        <v>13.345000267028809</v>
      </c>
      <c r="N338" s="123">
        <v>17.176000595092773</v>
      </c>
      <c r="O338" s="123">
        <v>22</v>
      </c>
      <c r="P338" s="123">
        <v>0</v>
      </c>
      <c r="Q338" s="123">
        <v>21.790258407592773</v>
      </c>
      <c r="R338" s="123">
        <v>12</v>
      </c>
      <c r="S338" s="123">
        <v>10.668832778930664</v>
      </c>
      <c r="T338" s="123">
        <v>0</v>
      </c>
      <c r="U338" s="123">
        <v>0</v>
      </c>
      <c r="V338" s="125">
        <v>876</v>
      </c>
      <c r="W338" s="123">
        <v>26.024028778076172</v>
      </c>
      <c r="X338" s="123">
        <v>24.655000686645508</v>
      </c>
      <c r="Y338" s="123">
        <v>7.125</v>
      </c>
      <c r="Z338" s="123">
        <v>0</v>
      </c>
      <c r="AA338" s="123">
        <v>20.017999649047852</v>
      </c>
      <c r="AB338" s="123">
        <v>0</v>
      </c>
      <c r="AC338" s="123">
        <v>55.545318603515625</v>
      </c>
      <c r="AD338" s="123">
        <v>5.5980000495910645</v>
      </c>
      <c r="AE338" s="123">
        <v>0</v>
      </c>
      <c r="AF338" s="123">
        <v>81.943305969238281</v>
      </c>
      <c r="AG338" s="123">
        <v>0</v>
      </c>
      <c r="AH338" s="123">
        <v>63.415115356445313</v>
      </c>
      <c r="AI338" s="123">
        <v>15.012999534606934</v>
      </c>
      <c r="AJ338" s="123">
        <v>21.318458557128906</v>
      </c>
      <c r="AK338" s="123">
        <v>37.635723114013672</v>
      </c>
      <c r="AL338" s="123">
        <v>35.519001007080078</v>
      </c>
      <c r="AM338" s="126">
        <v>53.374000549316406</v>
      </c>
      <c r="AN338" s="125">
        <v>121.875</v>
      </c>
      <c r="AO338" s="127">
        <v>61</v>
      </c>
      <c r="AP338" s="123">
        <v>61.066787719726563</v>
      </c>
      <c r="AQ338" s="123">
        <v>37.185928344726563</v>
      </c>
      <c r="AR338" s="123">
        <v>94</v>
      </c>
      <c r="AS338" s="123"/>
      <c r="AT338" s="123">
        <v>99</v>
      </c>
      <c r="AU338" s="123"/>
      <c r="AV338" s="123">
        <v>52</v>
      </c>
      <c r="AW338" s="123"/>
      <c r="AX338" s="123">
        <v>31</v>
      </c>
      <c r="AY338" s="123">
        <v>33.874126434326172</v>
      </c>
      <c r="AZ338" s="123">
        <v>5</v>
      </c>
      <c r="BA338" s="123"/>
      <c r="BB338" s="123">
        <v>177</v>
      </c>
      <c r="BC338" s="123">
        <v>176.80645751953125</v>
      </c>
      <c r="BD338" s="123">
        <v>6.6999998092651367</v>
      </c>
      <c r="BE338" s="123">
        <v>6.89794921875</v>
      </c>
      <c r="BF338" s="123">
        <v>31</v>
      </c>
      <c r="BG338" s="123">
        <v>10</v>
      </c>
      <c r="BH338" s="123">
        <v>11.069966316223145</v>
      </c>
      <c r="BI338" s="123"/>
      <c r="BJ338" s="108">
        <f t="shared" si="16"/>
        <v>10</v>
      </c>
      <c r="BK338" s="123">
        <v>10</v>
      </c>
      <c r="BL338" s="123">
        <v>0</v>
      </c>
      <c r="BM338" s="126"/>
      <c r="BN338" s="108">
        <f t="shared" si="17"/>
        <v>121</v>
      </c>
      <c r="BO338" s="108">
        <v>72</v>
      </c>
      <c r="BP338" s="108">
        <v>49</v>
      </c>
      <c r="BQ338" s="108">
        <v>277</v>
      </c>
      <c r="BR338" s="123">
        <v>75.208999633789063</v>
      </c>
      <c r="BS338" s="123">
        <v>24.429000854492188</v>
      </c>
      <c r="BT338" s="123">
        <v>40.869998931884766</v>
      </c>
      <c r="BU338" s="123">
        <v>42.050998687744141</v>
      </c>
      <c r="BV338" s="123">
        <v>69.599998474121094</v>
      </c>
      <c r="BW338" s="123">
        <v>6.1999998092651367</v>
      </c>
      <c r="BX338" s="123">
        <v>13.600000381469727</v>
      </c>
      <c r="BY338" s="123">
        <v>29</v>
      </c>
      <c r="BZ338" s="123">
        <v>1.5047978609800339E-2</v>
      </c>
      <c r="CA338" s="123">
        <v>0</v>
      </c>
      <c r="CB338" s="123">
        <v>29.374713897705078</v>
      </c>
      <c r="CC338" s="126"/>
      <c r="CD338" s="123">
        <v>346.4757080078125</v>
      </c>
      <c r="CE338" s="123">
        <v>32.215068817138672</v>
      </c>
      <c r="CF338" s="123">
        <v>17.886983871459961</v>
      </c>
      <c r="CG338" s="123">
        <v>35.338191986083984</v>
      </c>
      <c r="CH338" s="123">
        <v>279.97116088867188</v>
      </c>
      <c r="CI338" s="123">
        <v>85.200279235839844</v>
      </c>
      <c r="CJ338" s="123">
        <v>34.717247009277344</v>
      </c>
      <c r="CK338" s="123">
        <v>50.909038543701172</v>
      </c>
      <c r="CL338" s="124">
        <v>22.768718719482422</v>
      </c>
      <c r="CM338" s="125">
        <v>148.42738342285156</v>
      </c>
      <c r="CN338" s="123">
        <v>43.327655792236328</v>
      </c>
      <c r="CO338" s="123">
        <v>47.934326171875</v>
      </c>
      <c r="CP338" s="123">
        <v>53.462615966796875</v>
      </c>
      <c r="CQ338" s="123">
        <v>0</v>
      </c>
      <c r="CR338" s="123">
        <v>63.11279296875</v>
      </c>
      <c r="CS338" s="123">
        <v>16.643865585327148</v>
      </c>
      <c r="CT338" s="123">
        <v>36.0093994140625</v>
      </c>
      <c r="CU338" s="123">
        <v>42.674861907958984</v>
      </c>
      <c r="CV338" s="124">
        <v>57.012886047363281</v>
      </c>
      <c r="CW338" s="125">
        <v>5</v>
      </c>
      <c r="CX338" s="123">
        <v>300</v>
      </c>
      <c r="CY338" s="123">
        <v>108.36827850341797</v>
      </c>
      <c r="CZ338" s="123">
        <v>52.937847137451172</v>
      </c>
      <c r="DA338" s="123">
        <v>19.694320678710938</v>
      </c>
      <c r="DB338" s="123">
        <v>29.129756927490234</v>
      </c>
      <c r="DC338" s="123">
        <v>72.352142333984375</v>
      </c>
      <c r="DD338" s="123">
        <v>52</v>
      </c>
      <c r="DE338" s="123">
        <v>169</v>
      </c>
      <c r="DF338" s="123">
        <v>101.30693054199219</v>
      </c>
      <c r="DG338" s="123">
        <v>64.139846801757813</v>
      </c>
      <c r="DH338" s="123">
        <v>42.995151519775391</v>
      </c>
      <c r="DI338" s="128">
        <v>41.046596527099609</v>
      </c>
      <c r="DJ338" s="127">
        <v>221</v>
      </c>
      <c r="DK338" s="123">
        <v>113.49299621582031</v>
      </c>
      <c r="DL338" s="123">
        <v>29.405000686645508</v>
      </c>
      <c r="DM338" s="123">
        <v>30.218000411987305</v>
      </c>
      <c r="DN338" s="123">
        <v>52.130001068115234</v>
      </c>
      <c r="DO338" s="124">
        <v>116.79178619384766</v>
      </c>
      <c r="DP338" s="125">
        <v>16.08799934387207</v>
      </c>
      <c r="DQ338" s="123"/>
      <c r="DR338" s="125">
        <v>0</v>
      </c>
      <c r="DS338" s="128">
        <v>30.399999618530273</v>
      </c>
      <c r="DT338" s="127">
        <v>12</v>
      </c>
      <c r="DU338" s="123"/>
      <c r="DV338" s="123">
        <v>7</v>
      </c>
      <c r="DW338" s="123">
        <v>2.1753144264221191</v>
      </c>
      <c r="DX338" s="125">
        <v>10</v>
      </c>
      <c r="DY338" s="128"/>
      <c r="DZ338" s="127">
        <v>45</v>
      </c>
      <c r="EA338" s="123">
        <v>3</v>
      </c>
      <c r="EB338" s="123">
        <v>0</v>
      </c>
      <c r="EC338" s="123">
        <v>29</v>
      </c>
      <c r="ED338" s="123">
        <v>239.19999694824219</v>
      </c>
      <c r="EE338" s="129"/>
      <c r="EF338" s="129"/>
      <c r="EG338" s="129"/>
    </row>
    <row r="339" spans="1:137" x14ac:dyDescent="0.3">
      <c r="A339" s="226">
        <f t="shared" si="15"/>
        <v>46020.232638889647</v>
      </c>
      <c r="B339" s="123">
        <v>246</v>
      </c>
      <c r="C339" s="123">
        <v>50.779998779296875</v>
      </c>
      <c r="D339" s="123">
        <v>99.412002563476563</v>
      </c>
      <c r="E339" s="123">
        <v>22.732000350952148</v>
      </c>
      <c r="F339" s="123">
        <v>11.61210823059082</v>
      </c>
      <c r="G339" s="124">
        <v>20.243999481201172</v>
      </c>
      <c r="H339" s="125">
        <v>336</v>
      </c>
      <c r="I339" s="123">
        <v>299</v>
      </c>
      <c r="J339" s="123">
        <v>58.810001373291016</v>
      </c>
      <c r="K339" s="123">
        <v>66.493881225585938</v>
      </c>
      <c r="L339" s="123">
        <v>51.247001647949219</v>
      </c>
      <c r="M339" s="123">
        <v>13.571000099182129</v>
      </c>
      <c r="N339" s="123">
        <v>17.176000595092773</v>
      </c>
      <c r="O339" s="123">
        <v>22</v>
      </c>
      <c r="P339" s="123">
        <v>0</v>
      </c>
      <c r="Q339" s="123">
        <v>21.790258407592773</v>
      </c>
      <c r="R339" s="123">
        <v>10.996874809265137</v>
      </c>
      <c r="S339" s="123">
        <v>9.6592769622802734</v>
      </c>
      <c r="T339" s="123">
        <v>3</v>
      </c>
      <c r="U339" s="123">
        <v>3</v>
      </c>
      <c r="V339" s="125">
        <v>865</v>
      </c>
      <c r="W339" s="123">
        <v>27.094236373901367</v>
      </c>
      <c r="X339" s="123">
        <v>24.655000686645508</v>
      </c>
      <c r="Y339" s="123">
        <v>7.9520001411437988</v>
      </c>
      <c r="Z339" s="123">
        <v>0</v>
      </c>
      <c r="AA339" s="123">
        <v>19.22599983215332</v>
      </c>
      <c r="AB339" s="123">
        <v>0</v>
      </c>
      <c r="AC339" s="123">
        <v>55.304004669189453</v>
      </c>
      <c r="AD339" s="123">
        <v>5.8520002365112305</v>
      </c>
      <c r="AE339" s="123">
        <v>0</v>
      </c>
      <c r="AF339" s="123">
        <v>81.469528198242188</v>
      </c>
      <c r="AG339" s="123">
        <v>0</v>
      </c>
      <c r="AH339" s="123">
        <v>60.983928680419922</v>
      </c>
      <c r="AI339" s="123">
        <v>14.503999710083008</v>
      </c>
      <c r="AJ339" s="123">
        <v>18.231689453125</v>
      </c>
      <c r="AK339" s="123">
        <v>38.335872650146484</v>
      </c>
      <c r="AL339" s="123">
        <v>36.578998565673828</v>
      </c>
      <c r="AM339" s="126">
        <v>52.484001159667969</v>
      </c>
      <c r="AN339" s="125">
        <v>117.8125</v>
      </c>
      <c r="AO339" s="127">
        <v>59</v>
      </c>
      <c r="AP339" s="123">
        <v>61.878868103027344</v>
      </c>
      <c r="AQ339" s="123">
        <v>36.620826721191406</v>
      </c>
      <c r="AR339" s="123">
        <v>93</v>
      </c>
      <c r="AS339" s="123"/>
      <c r="AT339" s="123">
        <v>100</v>
      </c>
      <c r="AU339" s="123"/>
      <c r="AV339" s="123">
        <v>53</v>
      </c>
      <c r="AW339" s="123"/>
      <c r="AX339" s="123">
        <v>29</v>
      </c>
      <c r="AY339" s="123">
        <v>34.021175384521484</v>
      </c>
      <c r="AZ339" s="123">
        <v>5</v>
      </c>
      <c r="BA339" s="123"/>
      <c r="BB339" s="123">
        <v>177</v>
      </c>
      <c r="BC339" s="123">
        <v>176.15376281738281</v>
      </c>
      <c r="BD339" s="123">
        <v>6.4000000953674316</v>
      </c>
      <c r="BE339" s="123">
        <v>6.5376400947570801</v>
      </c>
      <c r="BF339" s="123">
        <v>31</v>
      </c>
      <c r="BG339" s="123">
        <v>10</v>
      </c>
      <c r="BH339" s="123">
        <v>10.967254638671875</v>
      </c>
      <c r="BI339" s="123"/>
      <c r="BJ339" s="108">
        <f t="shared" si="16"/>
        <v>10</v>
      </c>
      <c r="BK339" s="123">
        <v>10</v>
      </c>
      <c r="BL339" s="123">
        <v>0</v>
      </c>
      <c r="BM339" s="126"/>
      <c r="BN339" s="108">
        <f t="shared" si="17"/>
        <v>122</v>
      </c>
      <c r="BO339" s="108">
        <v>73</v>
      </c>
      <c r="BP339" s="108">
        <v>49</v>
      </c>
      <c r="BQ339" s="108">
        <v>280</v>
      </c>
      <c r="BR339" s="123">
        <v>75.662002563476563</v>
      </c>
      <c r="BS339" s="123">
        <v>23.410999298095703</v>
      </c>
      <c r="BT339" s="123">
        <v>40.523998260498047</v>
      </c>
      <c r="BU339" s="123">
        <v>43.258998870849609</v>
      </c>
      <c r="BV339" s="123">
        <v>70.099998474121094</v>
      </c>
      <c r="BW339" s="123">
        <v>6.3000001907348633</v>
      </c>
      <c r="BX339" s="123">
        <v>13.699999809265137</v>
      </c>
      <c r="BY339" s="123">
        <v>28</v>
      </c>
      <c r="BZ339" s="123">
        <v>1.6363177448511124E-2</v>
      </c>
      <c r="CA339" s="123">
        <v>0</v>
      </c>
      <c r="CB339" s="123">
        <v>29.26276969909668</v>
      </c>
      <c r="CC339" s="126"/>
      <c r="CD339" s="123">
        <v>347.81289672851563</v>
      </c>
      <c r="CE339" s="123">
        <v>30.540067672729492</v>
      </c>
      <c r="CF339" s="123">
        <v>17.436740875244141</v>
      </c>
      <c r="CG339" s="123">
        <v>35.338191986083984</v>
      </c>
      <c r="CH339" s="123">
        <v>279.86447143554688</v>
      </c>
      <c r="CI339" s="123">
        <v>82.54779052734375</v>
      </c>
      <c r="CJ339" s="123">
        <v>33.398719787597656</v>
      </c>
      <c r="CK339" s="123">
        <v>51.667873382568359</v>
      </c>
      <c r="CL339" s="124">
        <v>24.03108024597168</v>
      </c>
      <c r="CM339" s="125">
        <v>151.78756713867188</v>
      </c>
      <c r="CN339" s="123">
        <v>46.152896881103516</v>
      </c>
      <c r="CO339" s="123">
        <v>49.945716857910156</v>
      </c>
      <c r="CP339" s="123">
        <v>52.097137451171875</v>
      </c>
      <c r="CQ339" s="123">
        <v>0</v>
      </c>
      <c r="CR339" s="123">
        <v>59.847480773925781</v>
      </c>
      <c r="CS339" s="123">
        <v>18.79693603515625</v>
      </c>
      <c r="CT339" s="123">
        <v>39.40057373046875</v>
      </c>
      <c r="CU339" s="123">
        <v>38.191482543945313</v>
      </c>
      <c r="CV339" s="124">
        <v>57.609020233154297</v>
      </c>
      <c r="CW339" s="125">
        <v>39</v>
      </c>
      <c r="CX339" s="123">
        <v>307</v>
      </c>
      <c r="CY339" s="123">
        <v>110.08236694335938</v>
      </c>
      <c r="CZ339" s="123">
        <v>52.023460388183594</v>
      </c>
      <c r="DA339" s="123">
        <v>19.120386123657227</v>
      </c>
      <c r="DB339" s="123">
        <v>30.928457260131836</v>
      </c>
      <c r="DC339" s="123">
        <v>74.95928955078125</v>
      </c>
      <c r="DD339" s="123">
        <v>60</v>
      </c>
      <c r="DE339" s="123">
        <v>170</v>
      </c>
      <c r="DF339" s="123">
        <v>102.21452331542969</v>
      </c>
      <c r="DG339" s="123">
        <v>63.219036102294922</v>
      </c>
      <c r="DH339" s="123">
        <v>44.913135528564453</v>
      </c>
      <c r="DI339" s="128">
        <v>38.370563507080078</v>
      </c>
      <c r="DJ339" s="127">
        <v>219</v>
      </c>
      <c r="DK339" s="123">
        <v>114.00199890136719</v>
      </c>
      <c r="DL339" s="123">
        <v>27.934999465942383</v>
      </c>
      <c r="DM339" s="123">
        <v>30.218000411987305</v>
      </c>
      <c r="DN339" s="123">
        <v>50.893001556396484</v>
      </c>
      <c r="DO339" s="124">
        <v>118.11949920654297</v>
      </c>
      <c r="DP339" s="125">
        <v>16.766000747680664</v>
      </c>
      <c r="DQ339" s="123"/>
      <c r="DR339" s="125">
        <v>0</v>
      </c>
      <c r="DS339" s="128">
        <v>29.299999237060547</v>
      </c>
      <c r="DT339" s="127">
        <v>12</v>
      </c>
      <c r="DU339" s="123"/>
      <c r="DV339" s="123">
        <v>9</v>
      </c>
      <c r="DW339" s="123">
        <v>2.1753144264221191</v>
      </c>
      <c r="DX339" s="125">
        <v>11</v>
      </c>
      <c r="DY339" s="128"/>
      <c r="DZ339" s="127">
        <v>45</v>
      </c>
      <c r="EA339" s="123">
        <v>3</v>
      </c>
      <c r="EB339" s="123">
        <v>0</v>
      </c>
      <c r="EC339" s="123">
        <v>29</v>
      </c>
      <c r="ED339" s="123">
        <v>236.89999389648438</v>
      </c>
      <c r="EE339" s="129"/>
      <c r="EF339" s="129"/>
      <c r="EG339" s="129"/>
    </row>
    <row r="340" spans="1:137" x14ac:dyDescent="0.3">
      <c r="A340" s="226">
        <f t="shared" si="15"/>
        <v>46020.233333334094</v>
      </c>
      <c r="B340" s="123">
        <v>246</v>
      </c>
      <c r="C340" s="123">
        <v>53.268001556396484</v>
      </c>
      <c r="D340" s="123">
        <v>99.299003601074219</v>
      </c>
      <c r="E340" s="123">
        <v>23.52400016784668</v>
      </c>
      <c r="F340" s="123">
        <v>13.971109390258789</v>
      </c>
      <c r="G340" s="124">
        <v>20.583000183105469</v>
      </c>
      <c r="H340" s="125">
        <v>336</v>
      </c>
      <c r="I340" s="123">
        <v>303</v>
      </c>
      <c r="J340" s="123">
        <v>59.827999114990234</v>
      </c>
      <c r="K340" s="123">
        <v>66.274810791015625</v>
      </c>
      <c r="L340" s="123">
        <v>50.362998962402344</v>
      </c>
      <c r="M340" s="123">
        <v>13.571000099182129</v>
      </c>
      <c r="N340" s="123">
        <v>16.540000915527344</v>
      </c>
      <c r="O340" s="123">
        <v>21</v>
      </c>
      <c r="P340" s="123">
        <v>0</v>
      </c>
      <c r="Q340" s="123">
        <v>20.668350219726563</v>
      </c>
      <c r="R340" s="123">
        <v>12</v>
      </c>
      <c r="S340" s="123">
        <v>11.870232582092285</v>
      </c>
      <c r="T340" s="123">
        <v>9</v>
      </c>
      <c r="U340" s="123">
        <v>9</v>
      </c>
      <c r="V340" s="125">
        <v>866</v>
      </c>
      <c r="W340" s="123">
        <v>26.117204666137695</v>
      </c>
      <c r="X340" s="123">
        <v>24.993999481201172</v>
      </c>
      <c r="Y340" s="123">
        <v>6.2979998588562012</v>
      </c>
      <c r="Z340" s="123">
        <v>0</v>
      </c>
      <c r="AA340" s="123">
        <v>20.695999145507813</v>
      </c>
      <c r="AB340" s="123">
        <v>0</v>
      </c>
      <c r="AC340" s="123">
        <v>54.417274475097656</v>
      </c>
      <c r="AD340" s="123">
        <v>6.1069998741149902</v>
      </c>
      <c r="AE340" s="123">
        <v>0</v>
      </c>
      <c r="AF340" s="123">
        <v>81.033004760742188</v>
      </c>
      <c r="AG340" s="123">
        <v>0</v>
      </c>
      <c r="AH340" s="123">
        <v>66.300178527832031</v>
      </c>
      <c r="AI340" s="123">
        <v>14.376999855041504</v>
      </c>
      <c r="AJ340" s="123">
        <v>19.54888916015625</v>
      </c>
      <c r="AK340" s="123">
        <v>37.20550537109375</v>
      </c>
      <c r="AL340" s="123">
        <v>40.820999145507813</v>
      </c>
      <c r="AM340" s="126">
        <v>55.091999053955078</v>
      </c>
      <c r="AN340" s="125">
        <v>117.8125</v>
      </c>
      <c r="AO340" s="127">
        <v>59</v>
      </c>
      <c r="AP340" s="123">
        <v>63.001655578613281</v>
      </c>
      <c r="AQ340" s="123">
        <v>37.503307342529297</v>
      </c>
      <c r="AR340" s="123">
        <v>94</v>
      </c>
      <c r="AS340" s="123"/>
      <c r="AT340" s="123">
        <v>100</v>
      </c>
      <c r="AU340" s="123"/>
      <c r="AV340" s="123">
        <v>60</v>
      </c>
      <c r="AW340" s="123"/>
      <c r="AX340" s="123">
        <v>29</v>
      </c>
      <c r="AY340" s="123">
        <v>33.05419921875</v>
      </c>
      <c r="AZ340" s="123">
        <v>7</v>
      </c>
      <c r="BA340" s="123"/>
      <c r="BB340" s="123">
        <v>178</v>
      </c>
      <c r="BC340" s="123">
        <v>180.55082702636719</v>
      </c>
      <c r="BD340" s="123">
        <v>7</v>
      </c>
      <c r="BE340" s="123">
        <v>6.9079432487487793</v>
      </c>
      <c r="BF340" s="123">
        <v>30</v>
      </c>
      <c r="BG340" s="123">
        <v>10</v>
      </c>
      <c r="BH340" s="123">
        <v>10.967254638671875</v>
      </c>
      <c r="BI340" s="123"/>
      <c r="BJ340" s="108">
        <f t="shared" si="16"/>
        <v>10</v>
      </c>
      <c r="BK340" s="123">
        <v>10</v>
      </c>
      <c r="BL340" s="123">
        <v>0</v>
      </c>
      <c r="BM340" s="126"/>
      <c r="BN340" s="108">
        <f t="shared" si="17"/>
        <v>121</v>
      </c>
      <c r="BO340" s="108">
        <v>72</v>
      </c>
      <c r="BP340" s="108">
        <v>49</v>
      </c>
      <c r="BQ340" s="108">
        <v>282</v>
      </c>
      <c r="BR340" s="123">
        <v>74.757003784179688</v>
      </c>
      <c r="BS340" s="123">
        <v>25.445999145507813</v>
      </c>
      <c r="BT340" s="123">
        <v>40.869998931884766</v>
      </c>
      <c r="BU340" s="123">
        <v>43.958999633789063</v>
      </c>
      <c r="BV340" s="123">
        <v>70.699996948242188</v>
      </c>
      <c r="BW340" s="123">
        <v>6.1999998092651367</v>
      </c>
      <c r="BX340" s="123">
        <v>13.699999809265137</v>
      </c>
      <c r="BY340" s="123">
        <v>29</v>
      </c>
      <c r="BZ340" s="123">
        <v>1.5597110614180565E-2</v>
      </c>
      <c r="CA340" s="123">
        <v>0</v>
      </c>
      <c r="CB340" s="123">
        <v>29.451179504394531</v>
      </c>
      <c r="CC340" s="126"/>
      <c r="CD340" s="123">
        <v>348.5880126953125</v>
      </c>
      <c r="CE340" s="123">
        <v>33.617431640625</v>
      </c>
      <c r="CF340" s="123">
        <v>17.58271598815918</v>
      </c>
      <c r="CG340" s="123">
        <v>35.338191986083984</v>
      </c>
      <c r="CH340" s="123">
        <v>278.61196899414063</v>
      </c>
      <c r="CI340" s="123">
        <v>83.767974853515625</v>
      </c>
      <c r="CJ340" s="123">
        <v>35.746795654296875</v>
      </c>
      <c r="CK340" s="123">
        <v>50.251323699951172</v>
      </c>
      <c r="CL340" s="124">
        <v>23.591350555419922</v>
      </c>
      <c r="CM340" s="125">
        <v>153.94328308105469</v>
      </c>
      <c r="CN340" s="123">
        <v>45.261890411376953</v>
      </c>
      <c r="CO340" s="123">
        <v>50.923740386962891</v>
      </c>
      <c r="CP340" s="123">
        <v>54.234748840332031</v>
      </c>
      <c r="CQ340" s="123">
        <v>0</v>
      </c>
      <c r="CR340" s="123">
        <v>59.867649078369141</v>
      </c>
      <c r="CS340" s="123">
        <v>16.822261810302734</v>
      </c>
      <c r="CT340" s="123">
        <v>34.673019409179688</v>
      </c>
      <c r="CU340" s="123">
        <v>38.430385589599609</v>
      </c>
      <c r="CV340" s="124">
        <v>57.003955841064453</v>
      </c>
      <c r="CW340" s="125">
        <v>45</v>
      </c>
      <c r="CX340" s="123">
        <v>302</v>
      </c>
      <c r="CY340" s="123">
        <v>110.10076904296875</v>
      </c>
      <c r="CZ340" s="123">
        <v>52.498672485351563</v>
      </c>
      <c r="DA340" s="123">
        <v>18.716035842895508</v>
      </c>
      <c r="DB340" s="123">
        <v>33.135246276855469</v>
      </c>
      <c r="DC340" s="123">
        <v>73.618637084960938</v>
      </c>
      <c r="DD340" s="123">
        <v>55</v>
      </c>
      <c r="DE340" s="123">
        <v>170</v>
      </c>
      <c r="DF340" s="123">
        <v>100.85961151123047</v>
      </c>
      <c r="DG340" s="123">
        <v>63.485607147216797</v>
      </c>
      <c r="DH340" s="123">
        <v>43.680751800537109</v>
      </c>
      <c r="DI340" s="128">
        <v>38.090656280517578</v>
      </c>
      <c r="DJ340" s="127">
        <v>226</v>
      </c>
      <c r="DK340" s="123">
        <v>116.80100250244141</v>
      </c>
      <c r="DL340" s="123">
        <v>26.690000534057617</v>
      </c>
      <c r="DM340" s="123">
        <v>32.514999389648438</v>
      </c>
      <c r="DN340" s="123">
        <v>52.306999206542969</v>
      </c>
      <c r="DO340" s="124">
        <v>119.13916778564453</v>
      </c>
      <c r="DP340" s="125">
        <v>16.680999755859375</v>
      </c>
      <c r="DQ340" s="123"/>
      <c r="DR340" s="125">
        <v>0</v>
      </c>
      <c r="DS340" s="128">
        <v>31.200000762939453</v>
      </c>
      <c r="DT340" s="127">
        <v>12</v>
      </c>
      <c r="DU340" s="123"/>
      <c r="DV340" s="123">
        <v>9</v>
      </c>
      <c r="DW340" s="123">
        <v>2.2052028179168701</v>
      </c>
      <c r="DX340" s="125">
        <v>10</v>
      </c>
      <c r="DY340" s="128"/>
      <c r="DZ340" s="127">
        <v>45</v>
      </c>
      <c r="EA340" s="123">
        <v>3</v>
      </c>
      <c r="EB340" s="123">
        <v>0</v>
      </c>
      <c r="EC340" s="123">
        <v>29</v>
      </c>
      <c r="ED340" s="123">
        <v>236.69999694824219</v>
      </c>
      <c r="EE340" s="129"/>
      <c r="EF340" s="129"/>
      <c r="EG340" s="129"/>
    </row>
    <row r="341" spans="1:137" x14ac:dyDescent="0.3">
      <c r="A341" s="226">
        <f t="shared" si="15"/>
        <v>46020.234027778541</v>
      </c>
      <c r="B341" s="123">
        <v>252</v>
      </c>
      <c r="C341" s="123">
        <v>51.910999298095703</v>
      </c>
      <c r="D341" s="123">
        <v>97.488998413085938</v>
      </c>
      <c r="E341" s="123">
        <v>22.166999816894531</v>
      </c>
      <c r="F341" s="123">
        <v>3.8414726257324219</v>
      </c>
      <c r="G341" s="124">
        <v>19.791999816894531</v>
      </c>
      <c r="H341" s="125">
        <v>339</v>
      </c>
      <c r="I341" s="123">
        <v>300</v>
      </c>
      <c r="J341" s="123">
        <v>57.904998779296875</v>
      </c>
      <c r="K341" s="123">
        <v>63.752658843994141</v>
      </c>
      <c r="L341" s="123">
        <v>50.716999053955078</v>
      </c>
      <c r="M341" s="123">
        <v>14.701999664306641</v>
      </c>
      <c r="N341" s="123">
        <v>16.540000915527344</v>
      </c>
      <c r="O341" s="123">
        <v>19</v>
      </c>
      <c r="P341" s="123">
        <v>0</v>
      </c>
      <c r="Q341" s="123">
        <v>20.585906982421875</v>
      </c>
      <c r="R341" s="123">
        <v>10.003125190734863</v>
      </c>
      <c r="S341" s="123">
        <v>10.734031677246094</v>
      </c>
      <c r="T341" s="123">
        <v>9</v>
      </c>
      <c r="U341" s="123">
        <v>9</v>
      </c>
      <c r="V341" s="125">
        <v>883</v>
      </c>
      <c r="W341" s="123">
        <v>27.070384979248047</v>
      </c>
      <c r="X341" s="123">
        <v>25.333000183105469</v>
      </c>
      <c r="Y341" s="123">
        <v>7.060999870300293</v>
      </c>
      <c r="Z341" s="123">
        <v>0</v>
      </c>
      <c r="AA341" s="123">
        <v>21.261999130249023</v>
      </c>
      <c r="AB341" s="123">
        <v>0</v>
      </c>
      <c r="AC341" s="123">
        <v>53.812442779541016</v>
      </c>
      <c r="AD341" s="123">
        <v>6.1069998741149902</v>
      </c>
      <c r="AE341" s="123">
        <v>0</v>
      </c>
      <c r="AF341" s="123">
        <v>80.868415832519531</v>
      </c>
      <c r="AG341" s="123">
        <v>0</v>
      </c>
      <c r="AH341" s="123">
        <v>64.844932556152344</v>
      </c>
      <c r="AI341" s="123">
        <v>14.567999839782715</v>
      </c>
      <c r="AJ341" s="123">
        <v>18.366270065307617</v>
      </c>
      <c r="AK341" s="123">
        <v>37.573295593261719</v>
      </c>
      <c r="AL341" s="123">
        <v>34.988998413085938</v>
      </c>
      <c r="AM341" s="126">
        <v>56.363998413085938</v>
      </c>
      <c r="AN341" s="125">
        <v>118.875</v>
      </c>
      <c r="AO341" s="127">
        <v>61</v>
      </c>
      <c r="AP341" s="123">
        <v>64.482582092285156</v>
      </c>
      <c r="AQ341" s="123">
        <v>38.798435211181641</v>
      </c>
      <c r="AR341" s="123">
        <v>93</v>
      </c>
      <c r="AS341" s="123"/>
      <c r="AT341" s="123">
        <v>100</v>
      </c>
      <c r="AU341" s="123"/>
      <c r="AV341" s="123">
        <v>60</v>
      </c>
      <c r="AW341" s="123"/>
      <c r="AX341" s="123">
        <v>31</v>
      </c>
      <c r="AY341" s="123">
        <v>33.782863616943359</v>
      </c>
      <c r="AZ341" s="123">
        <v>8</v>
      </c>
      <c r="BA341" s="123"/>
      <c r="BB341" s="123">
        <v>178</v>
      </c>
      <c r="BC341" s="123">
        <v>177.02854919433594</v>
      </c>
      <c r="BD341" s="123">
        <v>7.0999999046325684</v>
      </c>
      <c r="BE341" s="123">
        <v>6.9079432487487793</v>
      </c>
      <c r="BF341" s="123">
        <v>30</v>
      </c>
      <c r="BG341" s="123">
        <v>11</v>
      </c>
      <c r="BH341" s="123">
        <v>11.587517738342285</v>
      </c>
      <c r="BI341" s="123"/>
      <c r="BJ341" s="108">
        <f t="shared" si="16"/>
        <v>10</v>
      </c>
      <c r="BK341" s="123">
        <v>10</v>
      </c>
      <c r="BL341" s="123">
        <v>0</v>
      </c>
      <c r="BM341" s="126"/>
      <c r="BN341" s="108">
        <f t="shared" si="17"/>
        <v>122</v>
      </c>
      <c r="BO341" s="108">
        <v>73</v>
      </c>
      <c r="BP341" s="108">
        <v>49</v>
      </c>
      <c r="BQ341" s="108">
        <v>288</v>
      </c>
      <c r="BR341" s="123">
        <v>82.787002563476563</v>
      </c>
      <c r="BS341" s="123">
        <v>23.920000076293945</v>
      </c>
      <c r="BT341" s="123">
        <v>43.640998840332031</v>
      </c>
      <c r="BU341" s="123">
        <v>42.305000305175781</v>
      </c>
      <c r="BV341" s="123">
        <v>70.5</v>
      </c>
      <c r="BW341" s="123">
        <v>6.1999998092651367</v>
      </c>
      <c r="BX341" s="123">
        <v>13.600000381469727</v>
      </c>
      <c r="BY341" s="123">
        <v>29</v>
      </c>
      <c r="BZ341" s="123">
        <v>1.4454243704676628E-2</v>
      </c>
      <c r="CA341" s="123">
        <v>0</v>
      </c>
      <c r="CB341" s="123">
        <v>30.115224838256836</v>
      </c>
      <c r="CC341" s="126"/>
      <c r="CD341" s="123">
        <v>343.0955810546875</v>
      </c>
      <c r="CE341" s="123">
        <v>34.723155975341797</v>
      </c>
      <c r="CF341" s="123">
        <v>16.289087295532227</v>
      </c>
      <c r="CG341" s="123">
        <v>35.338191986083984</v>
      </c>
      <c r="CH341" s="123">
        <v>280.24203491210938</v>
      </c>
      <c r="CI341" s="123">
        <v>83.944145202636719</v>
      </c>
      <c r="CJ341" s="123">
        <v>38.544994354248047</v>
      </c>
      <c r="CK341" s="123">
        <v>48.874111175537109</v>
      </c>
      <c r="CL341" s="124">
        <v>22.507541656494141</v>
      </c>
      <c r="CM341" s="125">
        <v>155.02999877929688</v>
      </c>
      <c r="CN341" s="123">
        <v>45.070743560791016</v>
      </c>
      <c r="CO341" s="123">
        <v>50.242591857910156</v>
      </c>
      <c r="CP341" s="123">
        <v>56.326026916503906</v>
      </c>
      <c r="CQ341" s="123">
        <v>0</v>
      </c>
      <c r="CR341" s="123">
        <v>60.979942321777344</v>
      </c>
      <c r="CS341" s="123">
        <v>16.822261810302734</v>
      </c>
      <c r="CT341" s="123">
        <v>34.146575927734375</v>
      </c>
      <c r="CU341" s="123">
        <v>38.891395568847656</v>
      </c>
      <c r="CV341" s="124">
        <v>56.783794403076172</v>
      </c>
      <c r="CW341" s="125">
        <v>41</v>
      </c>
      <c r="CX341" s="123">
        <v>310</v>
      </c>
      <c r="CY341" s="123">
        <v>113.40105438232422</v>
      </c>
      <c r="CZ341" s="123">
        <v>54.905498504638672</v>
      </c>
      <c r="DA341" s="123">
        <v>22.086456298828125</v>
      </c>
      <c r="DB341" s="123">
        <v>33.170627593994141</v>
      </c>
      <c r="DC341" s="123">
        <v>74.2626953125</v>
      </c>
      <c r="DD341" s="123">
        <v>59</v>
      </c>
      <c r="DE341" s="123">
        <v>172</v>
      </c>
      <c r="DF341" s="123">
        <v>102.35462188720703</v>
      </c>
      <c r="DG341" s="123">
        <v>68.821098327636719</v>
      </c>
      <c r="DH341" s="123">
        <v>43.35162353515625</v>
      </c>
      <c r="DI341" s="128">
        <v>38.400680541992188</v>
      </c>
      <c r="DJ341" s="127">
        <v>230</v>
      </c>
      <c r="DK341" s="123">
        <v>122.39900207519531</v>
      </c>
      <c r="DL341" s="123">
        <v>30.083000183105469</v>
      </c>
      <c r="DM341" s="123">
        <v>36.402999877929688</v>
      </c>
      <c r="DN341" s="123">
        <v>52.306999206542969</v>
      </c>
      <c r="DO341" s="124">
        <v>113.25788879394531</v>
      </c>
      <c r="DP341" s="125">
        <v>16.680999755859375</v>
      </c>
      <c r="DQ341" s="123"/>
      <c r="DR341" s="125">
        <v>0</v>
      </c>
      <c r="DS341" s="128">
        <v>31.899999618530273</v>
      </c>
      <c r="DT341" s="127">
        <v>12</v>
      </c>
      <c r="DU341" s="123"/>
      <c r="DV341" s="123">
        <v>9</v>
      </c>
      <c r="DW341" s="123">
        <v>2.1749706268310547</v>
      </c>
      <c r="DX341" s="125">
        <v>10</v>
      </c>
      <c r="DY341" s="128"/>
      <c r="DZ341" s="127">
        <v>48</v>
      </c>
      <c r="EA341" s="123">
        <v>3</v>
      </c>
      <c r="EB341" s="123">
        <v>0</v>
      </c>
      <c r="EC341" s="123">
        <v>29</v>
      </c>
      <c r="ED341" s="123">
        <v>240.60000610351563</v>
      </c>
      <c r="EE341" s="129"/>
      <c r="EF341" s="129"/>
      <c r="EG341" s="129"/>
    </row>
    <row r="342" spans="1:137" x14ac:dyDescent="0.3">
      <c r="A342" s="226">
        <f t="shared" si="15"/>
        <v>46020.234722222987</v>
      </c>
      <c r="B342" s="123">
        <v>245</v>
      </c>
      <c r="C342" s="123">
        <v>55.416999816894531</v>
      </c>
      <c r="D342" s="123">
        <v>97.602996826171875</v>
      </c>
      <c r="E342" s="123">
        <v>21.14900016784668</v>
      </c>
      <c r="F342" s="123">
        <v>13.842021942138672</v>
      </c>
      <c r="G342" s="124">
        <v>19.677999496459961</v>
      </c>
      <c r="H342" s="125">
        <v>333</v>
      </c>
      <c r="I342" s="123">
        <v>301</v>
      </c>
      <c r="J342" s="123">
        <v>60.506999969482422</v>
      </c>
      <c r="K342" s="123">
        <v>63.106296539306641</v>
      </c>
      <c r="L342" s="123">
        <v>48.418998718261719</v>
      </c>
      <c r="M342" s="123">
        <v>14.02400016784668</v>
      </c>
      <c r="N342" s="123">
        <v>16.540000915527344</v>
      </c>
      <c r="O342" s="123">
        <v>20</v>
      </c>
      <c r="P342" s="123">
        <v>0</v>
      </c>
      <c r="Q342" s="123">
        <v>19.474052429199219</v>
      </c>
      <c r="R342" s="123">
        <v>10.996874809265137</v>
      </c>
      <c r="S342" s="123">
        <v>9.7552328109741211</v>
      </c>
      <c r="T342" s="123">
        <v>9</v>
      </c>
      <c r="U342" s="123">
        <v>9</v>
      </c>
      <c r="V342" s="125">
        <v>882</v>
      </c>
      <c r="W342" s="123">
        <v>28.578330993652344</v>
      </c>
      <c r="X342" s="123">
        <v>26.011999130249023</v>
      </c>
      <c r="Y342" s="123">
        <v>7.315000057220459</v>
      </c>
      <c r="Z342" s="123">
        <v>0</v>
      </c>
      <c r="AA342" s="123">
        <v>21.14900016784668</v>
      </c>
      <c r="AB342" s="123">
        <v>0</v>
      </c>
      <c r="AC342" s="123">
        <v>53.812442779541016</v>
      </c>
      <c r="AD342" s="123">
        <v>6.1069998741149902</v>
      </c>
      <c r="AE342" s="123">
        <v>0</v>
      </c>
      <c r="AF342" s="123">
        <v>80.7257080078125</v>
      </c>
      <c r="AG342" s="123">
        <v>0</v>
      </c>
      <c r="AH342" s="123">
        <v>65.676559448242188</v>
      </c>
      <c r="AI342" s="123">
        <v>14.312999725341797</v>
      </c>
      <c r="AJ342" s="123">
        <v>19.958219528198242</v>
      </c>
      <c r="AK342" s="123">
        <v>36.923805236816406</v>
      </c>
      <c r="AL342" s="123">
        <v>37.993000030517578</v>
      </c>
      <c r="AM342" s="126">
        <v>55.091999053955078</v>
      </c>
      <c r="AN342" s="125">
        <v>123.1875</v>
      </c>
      <c r="AO342" s="127">
        <v>63</v>
      </c>
      <c r="AP342" s="123">
        <v>63.467933654785156</v>
      </c>
      <c r="AQ342" s="123">
        <v>39.373622894287109</v>
      </c>
      <c r="AR342" s="123">
        <v>94</v>
      </c>
      <c r="AS342" s="123"/>
      <c r="AT342" s="123">
        <v>100</v>
      </c>
      <c r="AU342" s="123"/>
      <c r="AV342" s="123">
        <v>60</v>
      </c>
      <c r="AW342" s="123"/>
      <c r="AX342" s="123">
        <v>31</v>
      </c>
      <c r="AY342" s="123">
        <v>34.209827423095703</v>
      </c>
      <c r="AZ342" s="123">
        <v>5</v>
      </c>
      <c r="BA342" s="123"/>
      <c r="BB342" s="123">
        <v>179</v>
      </c>
      <c r="BC342" s="123">
        <v>182.89741516113281</v>
      </c>
      <c r="BD342" s="123">
        <v>7.0999999046325684</v>
      </c>
      <c r="BE342" s="123">
        <v>7.1251516342163086</v>
      </c>
      <c r="BF342" s="123">
        <v>29</v>
      </c>
      <c r="BG342" s="123">
        <v>10</v>
      </c>
      <c r="BH342" s="123">
        <v>11.202753067016602</v>
      </c>
      <c r="BI342" s="123"/>
      <c r="BJ342" s="108">
        <f t="shared" si="16"/>
        <v>10</v>
      </c>
      <c r="BK342" s="123">
        <v>10</v>
      </c>
      <c r="BL342" s="123">
        <v>0</v>
      </c>
      <c r="BM342" s="126"/>
      <c r="BN342" s="108">
        <f t="shared" si="17"/>
        <v>120.20000076293945</v>
      </c>
      <c r="BO342" s="108">
        <v>72</v>
      </c>
      <c r="BP342" s="108">
        <v>48.200000762939453</v>
      </c>
      <c r="BQ342" s="108">
        <v>290</v>
      </c>
      <c r="BR342" s="123">
        <v>73.738998413085938</v>
      </c>
      <c r="BS342" s="123">
        <v>24.173999786376953</v>
      </c>
      <c r="BT342" s="123">
        <v>41.562999725341797</v>
      </c>
      <c r="BU342" s="123">
        <v>38.105998992919922</v>
      </c>
      <c r="BV342" s="123">
        <v>70.5</v>
      </c>
      <c r="BW342" s="123">
        <v>6.0999999046325684</v>
      </c>
      <c r="BX342" s="123">
        <v>13.600000381469727</v>
      </c>
      <c r="BY342" s="123">
        <v>29</v>
      </c>
      <c r="BZ342" s="123">
        <v>1.4761015772819519E-2</v>
      </c>
      <c r="CA342" s="123">
        <v>0</v>
      </c>
      <c r="CB342" s="123">
        <v>30.316299438476563</v>
      </c>
      <c r="CC342" s="126"/>
      <c r="CD342" s="123">
        <v>343.11776733398438</v>
      </c>
      <c r="CE342" s="123">
        <v>32.379959106445313</v>
      </c>
      <c r="CF342" s="123">
        <v>15.87442684173584</v>
      </c>
      <c r="CG342" s="123">
        <v>35.338191986083984</v>
      </c>
      <c r="CH342" s="123">
        <v>281.66134643554688</v>
      </c>
      <c r="CI342" s="123">
        <v>85.18597412109375</v>
      </c>
      <c r="CJ342" s="123">
        <v>37.657356262207031</v>
      </c>
      <c r="CK342" s="123">
        <v>48.833572387695313</v>
      </c>
      <c r="CL342" s="124">
        <v>22.99702262878418</v>
      </c>
      <c r="CM342" s="125">
        <v>162.87107849121094</v>
      </c>
      <c r="CN342" s="123">
        <v>50.876731872558594</v>
      </c>
      <c r="CO342" s="123">
        <v>49.750537872314453</v>
      </c>
      <c r="CP342" s="123">
        <v>58.206993103027344</v>
      </c>
      <c r="CQ342" s="123">
        <v>0</v>
      </c>
      <c r="CR342" s="123">
        <v>62.679065704345703</v>
      </c>
      <c r="CS342" s="123">
        <v>18.11277961730957</v>
      </c>
      <c r="CT342" s="123">
        <v>33.857540130615234</v>
      </c>
      <c r="CU342" s="123">
        <v>42.766494750976563</v>
      </c>
      <c r="CV342" s="124">
        <v>56.564655303955078</v>
      </c>
      <c r="CW342" s="125">
        <v>42</v>
      </c>
      <c r="CX342" s="123">
        <v>317</v>
      </c>
      <c r="CY342" s="123">
        <v>115.328857421875</v>
      </c>
      <c r="CZ342" s="123">
        <v>52.533737182617188</v>
      </c>
      <c r="DA342" s="123">
        <v>22.667276382446289</v>
      </c>
      <c r="DB342" s="123">
        <v>32.912151336669922</v>
      </c>
      <c r="DC342" s="123">
        <v>75.835342407226563</v>
      </c>
      <c r="DD342" s="123">
        <v>61</v>
      </c>
      <c r="DE342" s="123">
        <v>171</v>
      </c>
      <c r="DF342" s="123">
        <v>104.45233917236328</v>
      </c>
      <c r="DG342" s="123">
        <v>67.562568664550781</v>
      </c>
      <c r="DH342" s="123">
        <v>43.236618041992188</v>
      </c>
      <c r="DI342" s="128">
        <v>40.619094848632813</v>
      </c>
      <c r="DJ342" s="127">
        <v>222</v>
      </c>
      <c r="DK342" s="123">
        <v>121.63600158691406</v>
      </c>
      <c r="DL342" s="123">
        <v>30.309999465942383</v>
      </c>
      <c r="DM342" s="123">
        <v>35.873001098632813</v>
      </c>
      <c r="DN342" s="123">
        <v>53.721000671386719</v>
      </c>
      <c r="DO342" s="124">
        <v>113.641845703125</v>
      </c>
      <c r="DP342" s="125">
        <v>16.313999176025391</v>
      </c>
      <c r="DQ342" s="123"/>
      <c r="DR342" s="125">
        <v>0</v>
      </c>
      <c r="DS342" s="128">
        <v>33.5</v>
      </c>
      <c r="DT342" s="127">
        <v>12</v>
      </c>
      <c r="DU342" s="123"/>
      <c r="DV342" s="123">
        <v>5</v>
      </c>
      <c r="DW342" s="123">
        <v>2.1284067630767822</v>
      </c>
      <c r="DX342" s="125">
        <v>13</v>
      </c>
      <c r="DY342" s="128"/>
      <c r="DZ342" s="127">
        <v>48</v>
      </c>
      <c r="EA342" s="123">
        <v>3</v>
      </c>
      <c r="EB342" s="123">
        <v>0</v>
      </c>
      <c r="EC342" s="123">
        <v>29</v>
      </c>
      <c r="ED342" s="123">
        <v>246.19999694824219</v>
      </c>
      <c r="EE342" s="129"/>
      <c r="EF342" s="129"/>
      <c r="EG342" s="129"/>
    </row>
    <row r="343" spans="1:137" x14ac:dyDescent="0.3">
      <c r="A343" s="226">
        <f t="shared" si="15"/>
        <v>46020.235416667434</v>
      </c>
      <c r="B343" s="123">
        <v>254</v>
      </c>
      <c r="C343" s="123">
        <v>55.304000854492188</v>
      </c>
      <c r="D343" s="123">
        <v>98.847000122070313</v>
      </c>
      <c r="E343" s="123">
        <v>21.035999298095703</v>
      </c>
      <c r="F343" s="123">
        <v>8.7292919158935547</v>
      </c>
      <c r="G343" s="124">
        <v>18.660999298095703</v>
      </c>
      <c r="H343" s="125">
        <v>335</v>
      </c>
      <c r="I343" s="123">
        <v>300</v>
      </c>
      <c r="J343" s="123">
        <v>61.410999298095703</v>
      </c>
      <c r="K343" s="123">
        <v>62.222324371337891</v>
      </c>
      <c r="L343" s="123">
        <v>49.303001403808594</v>
      </c>
      <c r="M343" s="123">
        <v>14.13700008392334</v>
      </c>
      <c r="N343" s="123">
        <v>16.794000625610352</v>
      </c>
      <c r="O343" s="123">
        <v>18</v>
      </c>
      <c r="P343" s="123">
        <v>0</v>
      </c>
      <c r="Q343" s="123">
        <v>19.16009521484375</v>
      </c>
      <c r="R343" s="123">
        <v>7.9968748092651367</v>
      </c>
      <c r="S343" s="123">
        <v>8.7596635818481445</v>
      </c>
      <c r="T343" s="123">
        <v>9</v>
      </c>
      <c r="U343" s="123">
        <v>9</v>
      </c>
      <c r="V343" s="125">
        <v>882</v>
      </c>
      <c r="W343" s="123">
        <v>29.455364227294922</v>
      </c>
      <c r="X343" s="123">
        <v>26.35099983215332</v>
      </c>
      <c r="Y343" s="123">
        <v>7.6970000267028809</v>
      </c>
      <c r="Z343" s="123">
        <v>0</v>
      </c>
      <c r="AA343" s="123">
        <v>20.695999145507813</v>
      </c>
      <c r="AB343" s="123">
        <v>0</v>
      </c>
      <c r="AC343" s="123">
        <v>55.631885528564453</v>
      </c>
      <c r="AD343" s="123">
        <v>6.1069998741149902</v>
      </c>
      <c r="AE343" s="123">
        <v>0</v>
      </c>
      <c r="AF343" s="123">
        <v>84.236137390136719</v>
      </c>
      <c r="AG343" s="123">
        <v>0</v>
      </c>
      <c r="AH343" s="123">
        <v>65.000709533691406</v>
      </c>
      <c r="AI343" s="123">
        <v>13.295999526977539</v>
      </c>
      <c r="AJ343" s="123">
        <v>18.140409469604492</v>
      </c>
      <c r="AK343" s="123">
        <v>37.894527435302734</v>
      </c>
      <c r="AL343" s="123">
        <v>38.169998168945313</v>
      </c>
      <c r="AM343" s="126">
        <v>52.929000854492188</v>
      </c>
      <c r="AN343" s="125">
        <v>120.5</v>
      </c>
      <c r="AO343" s="127">
        <v>60</v>
      </c>
      <c r="AP343" s="123">
        <v>61.570831298828125</v>
      </c>
      <c r="AQ343" s="123">
        <v>38.607608795166016</v>
      </c>
      <c r="AR343" s="123">
        <v>94</v>
      </c>
      <c r="AS343" s="123"/>
      <c r="AT343" s="123">
        <v>101</v>
      </c>
      <c r="AU343" s="123"/>
      <c r="AV343" s="123">
        <v>60</v>
      </c>
      <c r="AW343" s="123"/>
      <c r="AX343" s="123">
        <v>32</v>
      </c>
      <c r="AY343" s="123">
        <v>34.149696350097656</v>
      </c>
      <c r="AZ343" s="123">
        <v>4</v>
      </c>
      <c r="BA343" s="123"/>
      <c r="BB343" s="123">
        <v>178</v>
      </c>
      <c r="BC343" s="123">
        <v>183.88575744628906</v>
      </c>
      <c r="BD343" s="123">
        <v>6.5</v>
      </c>
      <c r="BE343" s="123">
        <v>6.548126220703125</v>
      </c>
      <c r="BF343" s="123">
        <v>29</v>
      </c>
      <c r="BG343" s="123">
        <v>10</v>
      </c>
      <c r="BH343" s="123">
        <v>11.196259498596191</v>
      </c>
      <c r="BI343" s="123"/>
      <c r="BJ343" s="108">
        <f t="shared" si="16"/>
        <v>10</v>
      </c>
      <c r="BK343" s="123">
        <v>10</v>
      </c>
      <c r="BL343" s="123">
        <v>0</v>
      </c>
      <c r="BM343" s="126"/>
      <c r="BN343" s="108">
        <f t="shared" si="17"/>
        <v>120.20000076293945</v>
      </c>
      <c r="BO343" s="108">
        <v>72</v>
      </c>
      <c r="BP343" s="108">
        <v>48.200000762939453</v>
      </c>
      <c r="BQ343" s="108">
        <v>277</v>
      </c>
      <c r="BR343" s="123">
        <v>74.530998229980469</v>
      </c>
      <c r="BS343" s="123">
        <v>24.683000564575195</v>
      </c>
      <c r="BT343" s="123">
        <v>40.869998931884766</v>
      </c>
      <c r="BU343" s="123">
        <v>37.724998474121094</v>
      </c>
      <c r="BV343" s="123">
        <v>71.5</v>
      </c>
      <c r="BW343" s="123">
        <v>6.3000001907348633</v>
      </c>
      <c r="BX343" s="123">
        <v>13.699999809265137</v>
      </c>
      <c r="BY343" s="123">
        <v>29</v>
      </c>
      <c r="BZ343" s="123">
        <v>1.4197351410984993E-2</v>
      </c>
      <c r="CA343" s="123">
        <v>0</v>
      </c>
      <c r="CB343" s="123">
        <v>30.54844856262207</v>
      </c>
      <c r="CC343" s="126"/>
      <c r="CD343" s="123">
        <v>352.88409423828125</v>
      </c>
      <c r="CE343" s="123">
        <v>34.529964447021484</v>
      </c>
      <c r="CF343" s="123">
        <v>16.33171272277832</v>
      </c>
      <c r="CG343" s="123">
        <v>35.338191986083984</v>
      </c>
      <c r="CH343" s="123">
        <v>283.66793823242188</v>
      </c>
      <c r="CI343" s="123">
        <v>82.85430908203125</v>
      </c>
      <c r="CJ343" s="123">
        <v>35.198902130126953</v>
      </c>
      <c r="CK343" s="123">
        <v>52.008720397949219</v>
      </c>
      <c r="CL343" s="124">
        <v>22.545177459716797</v>
      </c>
      <c r="CM343" s="125">
        <v>162.6337890625</v>
      </c>
      <c r="CN343" s="123">
        <v>51.230010986328125</v>
      </c>
      <c r="CO343" s="123">
        <v>50.100643157958984</v>
      </c>
      <c r="CP343" s="123">
        <v>57.104637145996094</v>
      </c>
      <c r="CQ343" s="123">
        <v>0</v>
      </c>
      <c r="CR343" s="123">
        <v>64.96954345703125</v>
      </c>
      <c r="CS343" s="123">
        <v>18.653976440429688</v>
      </c>
      <c r="CT343" s="123">
        <v>34.318405151367188</v>
      </c>
      <c r="CU343" s="123">
        <v>43.685146331787109</v>
      </c>
      <c r="CV343" s="124">
        <v>58.402572631835938</v>
      </c>
      <c r="CW343" s="125">
        <v>17</v>
      </c>
      <c r="CX343" s="123">
        <v>321</v>
      </c>
      <c r="CY343" s="123">
        <v>114.45796966552734</v>
      </c>
      <c r="CZ343" s="123">
        <v>52.897361755371094</v>
      </c>
      <c r="DA343" s="123">
        <v>23.620128631591797</v>
      </c>
      <c r="DB343" s="123">
        <v>31.447093963623047</v>
      </c>
      <c r="DC343" s="123">
        <v>72.988044738769531</v>
      </c>
      <c r="DD343" s="123">
        <v>61</v>
      </c>
      <c r="DE343" s="123">
        <v>172</v>
      </c>
      <c r="DF343" s="123">
        <v>104.05224609375</v>
      </c>
      <c r="DG343" s="123">
        <v>69.954673767089844</v>
      </c>
      <c r="DH343" s="123">
        <v>42.755329132080078</v>
      </c>
      <c r="DI343" s="128">
        <v>41.219669342041016</v>
      </c>
      <c r="DJ343" s="127">
        <v>226</v>
      </c>
      <c r="DK343" s="123">
        <v>122.90799713134766</v>
      </c>
      <c r="DL343" s="123">
        <v>27.820999145507813</v>
      </c>
      <c r="DM343" s="123">
        <v>33.575000762939453</v>
      </c>
      <c r="DN343" s="123">
        <v>53.721000671386719</v>
      </c>
      <c r="DO343" s="124">
        <v>117.2550048828125</v>
      </c>
      <c r="DP343" s="125">
        <v>15.918000221252441</v>
      </c>
      <c r="DQ343" s="123"/>
      <c r="DR343" s="125">
        <v>0</v>
      </c>
      <c r="DS343" s="128">
        <v>34.599998474121094</v>
      </c>
      <c r="DT343" s="127">
        <v>12</v>
      </c>
      <c r="DU343" s="123"/>
      <c r="DV343" s="123">
        <v>9</v>
      </c>
      <c r="DW343" s="123">
        <v>2.4246678352355957</v>
      </c>
      <c r="DX343" s="125">
        <v>11</v>
      </c>
      <c r="DY343" s="128"/>
      <c r="DZ343" s="127">
        <v>43</v>
      </c>
      <c r="EA343" s="123">
        <v>3</v>
      </c>
      <c r="EB343" s="123">
        <v>0</v>
      </c>
      <c r="EC343" s="123">
        <v>29</v>
      </c>
      <c r="ED343" s="123">
        <v>242.89999389648438</v>
      </c>
      <c r="EE343" s="129"/>
      <c r="EF343" s="129"/>
      <c r="EG343" s="129"/>
    </row>
    <row r="344" spans="1:137" x14ac:dyDescent="0.3">
      <c r="A344" s="226">
        <f t="shared" si="15"/>
        <v>46020.236111111881</v>
      </c>
      <c r="B344" s="123">
        <v>253</v>
      </c>
      <c r="C344" s="123">
        <v>52.702999114990234</v>
      </c>
      <c r="D344" s="123">
        <v>97.71600341796875</v>
      </c>
      <c r="E344" s="123">
        <v>21.14900016784668</v>
      </c>
      <c r="F344" s="123">
        <v>16.391590118408203</v>
      </c>
      <c r="G344" s="124">
        <v>19.451999664306641</v>
      </c>
      <c r="H344" s="125">
        <v>338</v>
      </c>
      <c r="I344" s="123">
        <v>300</v>
      </c>
      <c r="J344" s="123">
        <v>59.148998260498047</v>
      </c>
      <c r="K344" s="123">
        <v>62.707958221435547</v>
      </c>
      <c r="L344" s="123">
        <v>50.186000823974609</v>
      </c>
      <c r="M344" s="123">
        <v>13.684000015258789</v>
      </c>
      <c r="N344" s="123">
        <v>16.47599983215332</v>
      </c>
      <c r="O344" s="123">
        <v>18</v>
      </c>
      <c r="P344" s="123">
        <v>0</v>
      </c>
      <c r="Q344" s="123">
        <v>18.753965377807617</v>
      </c>
      <c r="R344" s="123">
        <v>7.0031251907348633</v>
      </c>
      <c r="S344" s="123">
        <v>7.4103469848632813</v>
      </c>
      <c r="T344" s="123">
        <v>9</v>
      </c>
      <c r="U344" s="123">
        <v>9</v>
      </c>
      <c r="V344" s="125">
        <v>882</v>
      </c>
      <c r="W344" s="123">
        <v>25.789211273193359</v>
      </c>
      <c r="X344" s="123">
        <v>25.107000350952148</v>
      </c>
      <c r="Y344" s="123">
        <v>7.8239998817443848</v>
      </c>
      <c r="Z344" s="123">
        <v>0</v>
      </c>
      <c r="AA344" s="123">
        <v>22.052999496459961</v>
      </c>
      <c r="AB344" s="123">
        <v>0</v>
      </c>
      <c r="AC344" s="123">
        <v>56.063671112060547</v>
      </c>
      <c r="AD344" s="123">
        <v>5.8520002365112305</v>
      </c>
      <c r="AE344" s="123">
        <v>0</v>
      </c>
      <c r="AF344" s="123">
        <v>82.749130249023438</v>
      </c>
      <c r="AG344" s="123">
        <v>0</v>
      </c>
      <c r="AH344" s="123">
        <v>65.273605346679688</v>
      </c>
      <c r="AI344" s="123">
        <v>15.713000297546387</v>
      </c>
      <c r="AJ344" s="123">
        <v>18.140409469604492</v>
      </c>
      <c r="AK344" s="123">
        <v>36.477138519287109</v>
      </c>
      <c r="AL344" s="123">
        <v>38.700000762939453</v>
      </c>
      <c r="AM344" s="126">
        <v>53.119998931884766</v>
      </c>
      <c r="AN344" s="125">
        <v>120.5625</v>
      </c>
      <c r="AO344" s="127">
        <v>60</v>
      </c>
      <c r="AP344" s="123">
        <v>61.076313018798828</v>
      </c>
      <c r="AQ344" s="123">
        <v>39.152099609375</v>
      </c>
      <c r="AR344" s="123">
        <v>93</v>
      </c>
      <c r="AS344" s="123"/>
      <c r="AT344" s="123">
        <v>101</v>
      </c>
      <c r="AU344" s="123"/>
      <c r="AV344" s="123">
        <v>51</v>
      </c>
      <c r="AW344" s="123"/>
      <c r="AX344" s="123">
        <v>31</v>
      </c>
      <c r="AY344" s="123">
        <v>32.996147155761719</v>
      </c>
      <c r="AZ344" s="123">
        <v>4</v>
      </c>
      <c r="BA344" s="123"/>
      <c r="BB344" s="123">
        <v>178</v>
      </c>
      <c r="BC344" s="123">
        <v>182.88606262207031</v>
      </c>
      <c r="BD344" s="123">
        <v>6.5</v>
      </c>
      <c r="BE344" s="123">
        <v>6.548126220703125</v>
      </c>
      <c r="BF344" s="123">
        <v>30</v>
      </c>
      <c r="BG344" s="123">
        <v>10</v>
      </c>
      <c r="BH344" s="123">
        <v>11.196259498596191</v>
      </c>
      <c r="BI344" s="123"/>
      <c r="BJ344" s="108">
        <f t="shared" si="16"/>
        <v>10</v>
      </c>
      <c r="BK344" s="123">
        <v>10</v>
      </c>
      <c r="BL344" s="123">
        <v>0</v>
      </c>
      <c r="BM344" s="126"/>
      <c r="BN344" s="108">
        <f t="shared" si="17"/>
        <v>120.20000076293945</v>
      </c>
      <c r="BO344" s="108">
        <v>72</v>
      </c>
      <c r="BP344" s="108">
        <v>48.200000762939453</v>
      </c>
      <c r="BQ344" s="108">
        <v>285</v>
      </c>
      <c r="BR344" s="123">
        <v>81.542999267578125</v>
      </c>
      <c r="BS344" s="123">
        <v>24.683000564575195</v>
      </c>
      <c r="BT344" s="123">
        <v>42.255001068115234</v>
      </c>
      <c r="BU344" s="123">
        <v>37.405998229980469</v>
      </c>
      <c r="BV344" s="123">
        <v>71.099998474121094</v>
      </c>
      <c r="BW344" s="123">
        <v>6.3000001907348633</v>
      </c>
      <c r="BX344" s="123">
        <v>13.699999809265137</v>
      </c>
      <c r="BY344" s="123">
        <v>30</v>
      </c>
      <c r="BZ344" s="123">
        <v>1.4197351410984993E-2</v>
      </c>
      <c r="CA344" s="123">
        <v>0</v>
      </c>
      <c r="CB344" s="123">
        <v>30.839265823364258</v>
      </c>
      <c r="CC344" s="126"/>
      <c r="CD344" s="123">
        <v>349.08380126953125</v>
      </c>
      <c r="CE344" s="123">
        <v>33.283531188964844</v>
      </c>
      <c r="CF344" s="123">
        <v>15.807753562927246</v>
      </c>
      <c r="CG344" s="123">
        <v>35.338191986083984</v>
      </c>
      <c r="CH344" s="123">
        <v>282.55511474609375</v>
      </c>
      <c r="CI344" s="123">
        <v>84.835906982421875</v>
      </c>
      <c r="CJ344" s="123">
        <v>37.494770050048828</v>
      </c>
      <c r="CK344" s="123">
        <v>51.763111114501953</v>
      </c>
      <c r="CL344" s="124">
        <v>23.171260833740234</v>
      </c>
      <c r="CM344" s="125">
        <v>157.5458984375</v>
      </c>
      <c r="CN344" s="123">
        <v>47.536388397216797</v>
      </c>
      <c r="CO344" s="123">
        <v>48.386425018310547</v>
      </c>
      <c r="CP344" s="123">
        <v>56.294204711914063</v>
      </c>
      <c r="CQ344" s="123">
        <v>0</v>
      </c>
      <c r="CR344" s="123">
        <v>64.510345458984375</v>
      </c>
      <c r="CS344" s="123">
        <v>17.645776748657227</v>
      </c>
      <c r="CT344" s="123">
        <v>34.887672424316406</v>
      </c>
      <c r="CU344" s="123">
        <v>43.056686401367188</v>
      </c>
      <c r="CV344" s="124">
        <v>55.556377410888672</v>
      </c>
      <c r="CW344" s="125">
        <v>2</v>
      </c>
      <c r="CX344" s="123">
        <v>312</v>
      </c>
      <c r="CY344" s="123">
        <v>113.88310241699219</v>
      </c>
      <c r="CZ344" s="123">
        <v>52.020988464355469</v>
      </c>
      <c r="DA344" s="123">
        <v>22.891571044921875</v>
      </c>
      <c r="DB344" s="123">
        <v>34.050529479980469</v>
      </c>
      <c r="DC344" s="123">
        <v>72.214996337890625</v>
      </c>
      <c r="DD344" s="123">
        <v>56</v>
      </c>
      <c r="DE344" s="123">
        <v>172</v>
      </c>
      <c r="DF344" s="123">
        <v>104.35160827636719</v>
      </c>
      <c r="DG344" s="123">
        <v>65.972724914550781</v>
      </c>
      <c r="DH344" s="123">
        <v>41.458946228027344</v>
      </c>
      <c r="DI344" s="128">
        <v>40.29339599609375</v>
      </c>
      <c r="DJ344" s="127">
        <v>224</v>
      </c>
      <c r="DK344" s="123">
        <v>122.14499664306641</v>
      </c>
      <c r="DL344" s="123">
        <v>27.820999145507813</v>
      </c>
      <c r="DM344" s="123">
        <v>31.454999923706055</v>
      </c>
      <c r="DN344" s="123">
        <v>50.540000915527344</v>
      </c>
      <c r="DO344" s="124">
        <v>114.37151336669922</v>
      </c>
      <c r="DP344" s="125">
        <v>15.777000427246094</v>
      </c>
      <c r="DQ344" s="123"/>
      <c r="DR344" s="125">
        <v>0</v>
      </c>
      <c r="DS344" s="128">
        <v>36.700000762939453</v>
      </c>
      <c r="DT344" s="127">
        <v>12</v>
      </c>
      <c r="DU344" s="123"/>
      <c r="DV344" s="123">
        <v>7</v>
      </c>
      <c r="DW344" s="123">
        <v>2.7198545932769775</v>
      </c>
      <c r="DX344" s="125">
        <v>11</v>
      </c>
      <c r="DY344" s="128"/>
      <c r="DZ344" s="127">
        <v>44</v>
      </c>
      <c r="EA344" s="123">
        <v>3</v>
      </c>
      <c r="EB344" s="123">
        <v>0</v>
      </c>
      <c r="EC344" s="123">
        <v>29</v>
      </c>
      <c r="ED344" s="123">
        <v>241.80000305175781</v>
      </c>
      <c r="EE344" s="129"/>
      <c r="EF344" s="129"/>
      <c r="EG344" s="129"/>
    </row>
    <row r="345" spans="1:137" x14ac:dyDescent="0.3">
      <c r="A345" s="226">
        <f t="shared" ref="A345:A363" si="18">A344 + TIME(,1,)</f>
        <v>46020.236805556327</v>
      </c>
      <c r="B345" s="123">
        <v>253</v>
      </c>
      <c r="C345" s="123">
        <v>54.738998413085938</v>
      </c>
      <c r="D345" s="123">
        <v>99.412002563476563</v>
      </c>
      <c r="E345" s="123">
        <v>22.166999816894531</v>
      </c>
      <c r="F345" s="123">
        <v>8.7661399841308594</v>
      </c>
      <c r="G345" s="124">
        <v>20.131000518798828</v>
      </c>
      <c r="H345" s="125">
        <v>339</v>
      </c>
      <c r="I345" s="123">
        <v>305</v>
      </c>
      <c r="J345" s="123">
        <v>60.733001708984375</v>
      </c>
      <c r="K345" s="123">
        <v>63.286277770996094</v>
      </c>
      <c r="L345" s="123">
        <v>51.777000427246094</v>
      </c>
      <c r="M345" s="123">
        <v>13.909999847412109</v>
      </c>
      <c r="N345" s="123">
        <v>16.094999313354492</v>
      </c>
      <c r="O345" s="123">
        <v>20</v>
      </c>
      <c r="P345" s="123">
        <v>0</v>
      </c>
      <c r="Q345" s="123">
        <v>20.609197616577148</v>
      </c>
      <c r="R345" s="123">
        <v>7.0031251907348633</v>
      </c>
      <c r="S345" s="123">
        <v>7.4103469848632813</v>
      </c>
      <c r="T345" s="123">
        <v>9</v>
      </c>
      <c r="U345" s="123">
        <v>9</v>
      </c>
      <c r="V345" s="125">
        <v>893</v>
      </c>
      <c r="W345" s="123">
        <v>27.784931182861328</v>
      </c>
      <c r="X345" s="123">
        <v>25.107000350952148</v>
      </c>
      <c r="Y345" s="123">
        <v>7.7610001564025879</v>
      </c>
      <c r="Z345" s="123">
        <v>0</v>
      </c>
      <c r="AA345" s="123">
        <v>20.809000015258789</v>
      </c>
      <c r="AB345" s="123">
        <v>0</v>
      </c>
      <c r="AC345" s="123">
        <v>54.35491943359375</v>
      </c>
      <c r="AD345" s="123">
        <v>5.8520002365112305</v>
      </c>
      <c r="AE345" s="123">
        <v>0</v>
      </c>
      <c r="AF345" s="123">
        <v>83.175529479980469</v>
      </c>
      <c r="AG345" s="123">
        <v>0</v>
      </c>
      <c r="AH345" s="123">
        <v>64.222427368164063</v>
      </c>
      <c r="AI345" s="123">
        <v>15.64900016784668</v>
      </c>
      <c r="AJ345" s="123">
        <v>16.468133926391602</v>
      </c>
      <c r="AK345" s="123">
        <v>36.64453125</v>
      </c>
      <c r="AL345" s="123">
        <v>35.341999053955078</v>
      </c>
      <c r="AM345" s="126">
        <v>55.155998229980469</v>
      </c>
      <c r="AN345" s="125">
        <v>118.4375</v>
      </c>
      <c r="AO345" s="127">
        <v>59</v>
      </c>
      <c r="AP345" s="123">
        <v>60.602291107177734</v>
      </c>
      <c r="AQ345" s="123">
        <v>36.278247833251953</v>
      </c>
      <c r="AR345" s="123">
        <v>92</v>
      </c>
      <c r="AS345" s="123"/>
      <c r="AT345" s="123">
        <v>101</v>
      </c>
      <c r="AU345" s="123"/>
      <c r="AV345" s="123">
        <v>52</v>
      </c>
      <c r="AW345" s="123"/>
      <c r="AX345" s="123">
        <v>31</v>
      </c>
      <c r="AY345" s="123">
        <v>32.996147155761719</v>
      </c>
      <c r="AZ345" s="123">
        <v>5</v>
      </c>
      <c r="BA345" s="123"/>
      <c r="BB345" s="123">
        <v>178</v>
      </c>
      <c r="BC345" s="123">
        <v>183.87380981445313</v>
      </c>
      <c r="BD345" s="123">
        <v>6.5</v>
      </c>
      <c r="BE345" s="123">
        <v>6.5826702117919922</v>
      </c>
      <c r="BF345" s="123">
        <v>30</v>
      </c>
      <c r="BG345" s="123">
        <v>10</v>
      </c>
      <c r="BH345" s="123">
        <v>11.018675804138184</v>
      </c>
      <c r="BI345" s="123"/>
      <c r="BJ345" s="108">
        <f t="shared" si="16"/>
        <v>11</v>
      </c>
      <c r="BK345" s="123">
        <v>11</v>
      </c>
      <c r="BL345" s="123">
        <v>0</v>
      </c>
      <c r="BM345" s="126"/>
      <c r="BN345" s="108">
        <f t="shared" si="17"/>
        <v>120</v>
      </c>
      <c r="BO345" s="108">
        <v>72</v>
      </c>
      <c r="BP345" s="108">
        <v>48</v>
      </c>
      <c r="BQ345" s="108">
        <v>284</v>
      </c>
      <c r="BR345" s="123">
        <v>82.108001708984375</v>
      </c>
      <c r="BS345" s="123">
        <v>24.937000274658203</v>
      </c>
      <c r="BT345" s="123">
        <v>42.255001068115234</v>
      </c>
      <c r="BU345" s="123">
        <v>35.116001129150391</v>
      </c>
      <c r="BV345" s="123">
        <v>70.400001525878906</v>
      </c>
      <c r="BW345" s="123">
        <v>6.3000001907348633</v>
      </c>
      <c r="BX345" s="123">
        <v>13.600000381469727</v>
      </c>
      <c r="BY345" s="123">
        <v>30</v>
      </c>
      <c r="BZ345" s="123">
        <v>1.4352220110595226E-2</v>
      </c>
      <c r="CA345" s="123">
        <v>0</v>
      </c>
      <c r="CB345" s="123">
        <v>30.989791870117188</v>
      </c>
      <c r="CC345" s="126"/>
      <c r="CD345" s="123">
        <v>352.04879760742188</v>
      </c>
      <c r="CE345" s="123">
        <v>35.409183502197266</v>
      </c>
      <c r="CF345" s="123">
        <v>15.744143486022949</v>
      </c>
      <c r="CG345" s="123">
        <v>35.338191986083984</v>
      </c>
      <c r="CH345" s="123">
        <v>282.85504150390625</v>
      </c>
      <c r="CI345" s="123">
        <v>85.277053833007813</v>
      </c>
      <c r="CJ345" s="123">
        <v>39.417781829833984</v>
      </c>
      <c r="CK345" s="123">
        <v>49.815654754638672</v>
      </c>
      <c r="CL345" s="124">
        <v>22.088516235351563</v>
      </c>
      <c r="CM345" s="125">
        <v>158.63302612304688</v>
      </c>
      <c r="CN345" s="123">
        <v>49.823619842529297</v>
      </c>
      <c r="CO345" s="123">
        <v>49.826972961425781</v>
      </c>
      <c r="CP345" s="123">
        <v>53.268089294433594</v>
      </c>
      <c r="CQ345" s="123">
        <v>0</v>
      </c>
      <c r="CR345" s="123">
        <v>64.266197204589844</v>
      </c>
      <c r="CS345" s="123">
        <v>17.622695922851563</v>
      </c>
      <c r="CT345" s="123">
        <v>34.725082397460938</v>
      </c>
      <c r="CU345" s="123">
        <v>39.927623748779297</v>
      </c>
      <c r="CV345" s="124">
        <v>54.143699645996094</v>
      </c>
      <c r="CW345" s="125">
        <v>3</v>
      </c>
      <c r="CX345" s="123">
        <v>318</v>
      </c>
      <c r="CY345" s="123">
        <v>112.61164855957031</v>
      </c>
      <c r="CZ345" s="123">
        <v>55.068107604980469</v>
      </c>
      <c r="DA345" s="123">
        <v>23.403491973876953</v>
      </c>
      <c r="DB345" s="123">
        <v>32.506458282470703</v>
      </c>
      <c r="DC345" s="123">
        <v>71.667549133300781</v>
      </c>
      <c r="DD345" s="123">
        <v>60</v>
      </c>
      <c r="DE345" s="123">
        <v>171</v>
      </c>
      <c r="DF345" s="123">
        <v>99.730339050292969</v>
      </c>
      <c r="DG345" s="123">
        <v>64.8843994140625</v>
      </c>
      <c r="DH345" s="123">
        <v>41.509113311767578</v>
      </c>
      <c r="DI345" s="128">
        <v>41.462764739990234</v>
      </c>
      <c r="DJ345" s="127">
        <v>224</v>
      </c>
      <c r="DK345" s="123">
        <v>119.59999847412109</v>
      </c>
      <c r="DL345" s="123">
        <v>29.291999816894531</v>
      </c>
      <c r="DM345" s="123">
        <v>31.454999923706055</v>
      </c>
      <c r="DN345" s="123">
        <v>51.953998565673828</v>
      </c>
      <c r="DO345" s="124">
        <v>114.29193115234375</v>
      </c>
      <c r="DP345" s="125">
        <v>15.777000427246094</v>
      </c>
      <c r="DQ345" s="123"/>
      <c r="DR345" s="125">
        <v>0</v>
      </c>
      <c r="DS345" s="128">
        <v>38.5</v>
      </c>
      <c r="DT345" s="127">
        <v>13</v>
      </c>
      <c r="DU345" s="123"/>
      <c r="DV345" s="123">
        <v>7</v>
      </c>
      <c r="DW345" s="123">
        <v>2.6851656436920166</v>
      </c>
      <c r="DX345" s="125">
        <v>10</v>
      </c>
      <c r="DY345" s="128"/>
      <c r="DZ345" s="127">
        <v>43</v>
      </c>
      <c r="EA345" s="123">
        <v>3</v>
      </c>
      <c r="EB345" s="123">
        <v>0</v>
      </c>
      <c r="EC345" s="123">
        <v>29</v>
      </c>
      <c r="ED345" s="123">
        <v>240.30000305175781</v>
      </c>
      <c r="EE345" s="129"/>
      <c r="EF345" s="129"/>
      <c r="EG345" s="129"/>
    </row>
    <row r="346" spans="1:137" x14ac:dyDescent="0.3">
      <c r="A346" s="226">
        <f t="shared" si="18"/>
        <v>46020.237500000774</v>
      </c>
      <c r="B346" s="123">
        <v>254</v>
      </c>
      <c r="C346" s="123">
        <v>50.666999816894531</v>
      </c>
      <c r="D346" s="123">
        <v>97.71600341796875</v>
      </c>
      <c r="E346" s="123">
        <v>22.844999313354492</v>
      </c>
      <c r="F346" s="123">
        <v>15.565121650695801</v>
      </c>
      <c r="G346" s="124">
        <v>19</v>
      </c>
      <c r="H346" s="125">
        <v>323</v>
      </c>
      <c r="I346" s="123">
        <v>290</v>
      </c>
      <c r="J346" s="123">
        <v>60.166999816894531</v>
      </c>
      <c r="K346" s="123">
        <v>65.721382141113281</v>
      </c>
      <c r="L346" s="123">
        <v>48.418998718261719</v>
      </c>
      <c r="M346" s="123">
        <v>14.58899974822998</v>
      </c>
      <c r="N346" s="123">
        <v>17.558000564575195</v>
      </c>
      <c r="O346" s="123">
        <v>20</v>
      </c>
      <c r="P346" s="123">
        <v>0</v>
      </c>
      <c r="Q346" s="123">
        <v>20.281097412109375</v>
      </c>
      <c r="R346" s="123">
        <v>10.996874809265137</v>
      </c>
      <c r="S346" s="123">
        <v>11.734843254089355</v>
      </c>
      <c r="T346" s="123">
        <v>9</v>
      </c>
      <c r="U346" s="123">
        <v>9</v>
      </c>
      <c r="V346" s="125">
        <v>886</v>
      </c>
      <c r="W346" s="123">
        <v>29.301380157470703</v>
      </c>
      <c r="X346" s="123">
        <v>24.201999664306641</v>
      </c>
      <c r="Y346" s="123">
        <v>8.1429996490478516</v>
      </c>
      <c r="Z346" s="123">
        <v>0</v>
      </c>
      <c r="AA346" s="123">
        <v>20.583000183105469</v>
      </c>
      <c r="AB346" s="123">
        <v>0</v>
      </c>
      <c r="AC346" s="123">
        <v>54.724327087402344</v>
      </c>
      <c r="AD346" s="123">
        <v>5.8520002365112305</v>
      </c>
      <c r="AE346" s="123">
        <v>0</v>
      </c>
      <c r="AF346" s="123">
        <v>82.656951904296875</v>
      </c>
      <c r="AG346" s="123">
        <v>0</v>
      </c>
      <c r="AH346" s="123">
        <v>64.039535522460938</v>
      </c>
      <c r="AI346" s="123">
        <v>14.630999565124512</v>
      </c>
      <c r="AJ346" s="123">
        <v>19.062641143798828</v>
      </c>
      <c r="AK346" s="123">
        <v>37.963771820068359</v>
      </c>
      <c r="AL346" s="123">
        <v>38.522998809814453</v>
      </c>
      <c r="AM346" s="126">
        <v>54.13800048828125</v>
      </c>
      <c r="AN346" s="125">
        <v>118.4375</v>
      </c>
      <c r="AO346" s="127">
        <v>59</v>
      </c>
      <c r="AP346" s="123">
        <v>60.786479949951172</v>
      </c>
      <c r="AQ346" s="123">
        <v>38.433025360107422</v>
      </c>
      <c r="AR346" s="123">
        <v>92</v>
      </c>
      <c r="AS346" s="123"/>
      <c r="AT346" s="123">
        <v>102</v>
      </c>
      <c r="AU346" s="123"/>
      <c r="AV346" s="123">
        <v>52</v>
      </c>
      <c r="AW346" s="123"/>
      <c r="AX346" s="123">
        <v>31</v>
      </c>
      <c r="AY346" s="123">
        <v>34.064620971679688</v>
      </c>
      <c r="AZ346" s="123">
        <v>4</v>
      </c>
      <c r="BA346" s="123"/>
      <c r="BB346" s="123">
        <v>178</v>
      </c>
      <c r="BC346" s="123">
        <v>183.27340698242188</v>
      </c>
      <c r="BD346" s="123">
        <v>6.5</v>
      </c>
      <c r="BE346" s="123">
        <v>6.5748081207275391</v>
      </c>
      <c r="BF346" s="123">
        <v>31</v>
      </c>
      <c r="BG346" s="123">
        <v>10</v>
      </c>
      <c r="BH346" s="123">
        <v>10.891427993774414</v>
      </c>
      <c r="BI346" s="123"/>
      <c r="BJ346" s="108">
        <f t="shared" si="16"/>
        <v>11</v>
      </c>
      <c r="BK346" s="123">
        <v>11</v>
      </c>
      <c r="BL346" s="123">
        <v>0</v>
      </c>
      <c r="BM346" s="126"/>
      <c r="BN346" s="108">
        <f t="shared" si="17"/>
        <v>122</v>
      </c>
      <c r="BO346" s="108">
        <v>73</v>
      </c>
      <c r="BP346" s="108">
        <v>49</v>
      </c>
      <c r="BQ346" s="108">
        <v>279</v>
      </c>
      <c r="BR346" s="123">
        <v>77.245002746582031</v>
      </c>
      <c r="BS346" s="123">
        <v>23.156000137329102</v>
      </c>
      <c r="BT346" s="123">
        <v>41.909000396728516</v>
      </c>
      <c r="BU346" s="123">
        <v>36.325000762939453</v>
      </c>
      <c r="BV346" s="123">
        <v>71</v>
      </c>
      <c r="BW346" s="123">
        <v>6.4000000953674316</v>
      </c>
      <c r="BX346" s="123">
        <v>13.600000381469727</v>
      </c>
      <c r="BY346" s="123">
        <v>30</v>
      </c>
      <c r="BZ346" s="123">
        <v>1.5212468802928925E-2</v>
      </c>
      <c r="CA346" s="123">
        <v>0</v>
      </c>
      <c r="CB346" s="123">
        <v>31.052005767822266</v>
      </c>
      <c r="CC346" s="126"/>
      <c r="CD346" s="123">
        <v>350.87542724609375</v>
      </c>
      <c r="CE346" s="123">
        <v>34.158313751220703</v>
      </c>
      <c r="CF346" s="123">
        <v>16.024387359619141</v>
      </c>
      <c r="CG346" s="123">
        <v>35.338191986083984</v>
      </c>
      <c r="CH346" s="123">
        <v>282.79931640625</v>
      </c>
      <c r="CI346" s="123">
        <v>87.946403503417969</v>
      </c>
      <c r="CJ346" s="123">
        <v>39.600425720214844</v>
      </c>
      <c r="CK346" s="123">
        <v>52.302207946777344</v>
      </c>
      <c r="CL346" s="124">
        <v>22.328447341918945</v>
      </c>
      <c r="CM346" s="125">
        <v>163.53965759277344</v>
      </c>
      <c r="CN346" s="123">
        <v>53.820018768310547</v>
      </c>
      <c r="CO346" s="123">
        <v>50.384456634521484</v>
      </c>
      <c r="CP346" s="123">
        <v>54.878578186035156</v>
      </c>
      <c r="CQ346" s="123">
        <v>0</v>
      </c>
      <c r="CR346" s="123">
        <v>67.221916198730469</v>
      </c>
      <c r="CS346" s="123">
        <v>15.69741153717041</v>
      </c>
      <c r="CT346" s="123">
        <v>37.373764038085938</v>
      </c>
      <c r="CU346" s="123">
        <v>38.819713592529297</v>
      </c>
      <c r="CV346" s="124">
        <v>54.484546661376953</v>
      </c>
      <c r="CW346" s="125">
        <v>3</v>
      </c>
      <c r="CX346" s="123">
        <v>306</v>
      </c>
      <c r="CY346" s="123">
        <v>113.63420104980469</v>
      </c>
      <c r="CZ346" s="123">
        <v>56.942642211914063</v>
      </c>
      <c r="DA346" s="123">
        <v>22.878776550292969</v>
      </c>
      <c r="DB346" s="123">
        <v>32.442035675048828</v>
      </c>
      <c r="DC346" s="123">
        <v>71.667549133300781</v>
      </c>
      <c r="DD346" s="123">
        <v>55</v>
      </c>
      <c r="DE346" s="123">
        <v>170</v>
      </c>
      <c r="DF346" s="123">
        <v>100.77472686767578</v>
      </c>
      <c r="DG346" s="123">
        <v>70.029624938964844</v>
      </c>
      <c r="DH346" s="123">
        <v>41.819580078125</v>
      </c>
      <c r="DI346" s="128">
        <v>41.361572265625</v>
      </c>
      <c r="DJ346" s="127">
        <v>221</v>
      </c>
      <c r="DK346" s="123">
        <v>115.78299713134766</v>
      </c>
      <c r="DL346" s="123">
        <v>27.482000350952148</v>
      </c>
      <c r="DM346" s="123">
        <v>29.86400032043457</v>
      </c>
      <c r="DN346" s="123">
        <v>51.777000427246094</v>
      </c>
      <c r="DO346" s="124">
        <v>116.81893157958984</v>
      </c>
      <c r="DP346" s="125">
        <v>15.579000473022461</v>
      </c>
      <c r="DQ346" s="123"/>
      <c r="DR346" s="125">
        <v>67</v>
      </c>
      <c r="DS346" s="128">
        <v>38.5</v>
      </c>
      <c r="DT346" s="127">
        <v>14</v>
      </c>
      <c r="DU346" s="123"/>
      <c r="DV346" s="123">
        <v>6</v>
      </c>
      <c r="DW346" s="123">
        <v>2.8259124755859375</v>
      </c>
      <c r="DX346" s="125">
        <v>10</v>
      </c>
      <c r="DY346" s="128"/>
      <c r="DZ346" s="127">
        <v>44</v>
      </c>
      <c r="EA346" s="123">
        <v>3</v>
      </c>
      <c r="EB346" s="123">
        <v>0</v>
      </c>
      <c r="EC346" s="123">
        <v>29</v>
      </c>
      <c r="ED346" s="123">
        <v>240</v>
      </c>
      <c r="EE346" s="129"/>
      <c r="EF346" s="129"/>
      <c r="EG346" s="129"/>
    </row>
    <row r="347" spans="1:137" x14ac:dyDescent="0.3">
      <c r="A347" s="226">
        <f t="shared" si="18"/>
        <v>46020.238194445221</v>
      </c>
      <c r="B347" s="123">
        <v>250</v>
      </c>
      <c r="C347" s="123">
        <v>53.381000518798828</v>
      </c>
      <c r="D347" s="123">
        <v>96.810997009277344</v>
      </c>
      <c r="E347" s="123">
        <v>19.905000686645508</v>
      </c>
      <c r="F347" s="123">
        <v>15.782780647277832</v>
      </c>
      <c r="G347" s="124">
        <v>20.017999649047852</v>
      </c>
      <c r="H347" s="125">
        <v>323</v>
      </c>
      <c r="I347" s="123">
        <v>293</v>
      </c>
      <c r="J347" s="123">
        <v>60.393001556396484</v>
      </c>
      <c r="K347" s="123">
        <v>66.539192199707031</v>
      </c>
      <c r="L347" s="123">
        <v>50.362998962402344</v>
      </c>
      <c r="M347" s="123">
        <v>14.13700008392334</v>
      </c>
      <c r="N347" s="123">
        <v>17.940000534057617</v>
      </c>
      <c r="O347" s="123">
        <v>21</v>
      </c>
      <c r="P347" s="123">
        <v>0</v>
      </c>
      <c r="Q347" s="123">
        <v>21.079963684082031</v>
      </c>
      <c r="R347" s="123">
        <v>15</v>
      </c>
      <c r="S347" s="123">
        <v>14.522380828857422</v>
      </c>
      <c r="T347" s="123">
        <v>9</v>
      </c>
      <c r="U347" s="123">
        <v>9</v>
      </c>
      <c r="V347" s="125">
        <v>888</v>
      </c>
      <c r="W347" s="123">
        <v>31.713550567626953</v>
      </c>
      <c r="X347" s="123">
        <v>24.089000701904297</v>
      </c>
      <c r="Y347" s="123">
        <v>7.5060000419616699</v>
      </c>
      <c r="Z347" s="123">
        <v>0</v>
      </c>
      <c r="AA347" s="123">
        <v>20.357000350952148</v>
      </c>
      <c r="AB347" s="123">
        <v>0</v>
      </c>
      <c r="AC347" s="123">
        <v>53.865299224853516</v>
      </c>
      <c r="AD347" s="123">
        <v>5.8520002365112305</v>
      </c>
      <c r="AE347" s="123">
        <v>0</v>
      </c>
      <c r="AF347" s="123">
        <v>87.105674743652344</v>
      </c>
      <c r="AG347" s="123">
        <v>0</v>
      </c>
      <c r="AH347" s="123">
        <v>62.072612762451172</v>
      </c>
      <c r="AI347" s="123">
        <v>16.158000946044922</v>
      </c>
      <c r="AJ347" s="123">
        <v>20.520336151123047</v>
      </c>
      <c r="AK347" s="123">
        <v>39.280113220214844</v>
      </c>
      <c r="AL347" s="123">
        <v>37.463001251220703</v>
      </c>
      <c r="AM347" s="126">
        <v>51.083999633789063</v>
      </c>
      <c r="AN347" s="125">
        <v>121.5625</v>
      </c>
      <c r="AO347" s="127">
        <v>61</v>
      </c>
      <c r="AP347" s="123">
        <v>60.341869354248047</v>
      </c>
      <c r="AQ347" s="123">
        <v>39.024154663085938</v>
      </c>
      <c r="AR347" s="123">
        <v>91</v>
      </c>
      <c r="AS347" s="123"/>
      <c r="AT347" s="123">
        <v>102</v>
      </c>
      <c r="AU347" s="123"/>
      <c r="AV347" s="123">
        <v>53</v>
      </c>
      <c r="AW347" s="123"/>
      <c r="AX347" s="123">
        <v>31</v>
      </c>
      <c r="AY347" s="123">
        <v>34.641036987304688</v>
      </c>
      <c r="AZ347" s="123">
        <v>4</v>
      </c>
      <c r="BA347" s="123"/>
      <c r="BB347" s="123">
        <v>181</v>
      </c>
      <c r="BC347" s="123">
        <v>186.52627563476563</v>
      </c>
      <c r="BD347" s="123">
        <v>6.5</v>
      </c>
      <c r="BE347" s="123">
        <v>6.7128195762634277</v>
      </c>
      <c r="BF347" s="123">
        <v>31</v>
      </c>
      <c r="BG347" s="123">
        <v>10</v>
      </c>
      <c r="BH347" s="123">
        <v>11.085675239562988</v>
      </c>
      <c r="BI347" s="123"/>
      <c r="BJ347" s="108">
        <f t="shared" si="16"/>
        <v>12</v>
      </c>
      <c r="BK347" s="123">
        <v>12</v>
      </c>
      <c r="BL347" s="123">
        <v>0</v>
      </c>
      <c r="BM347" s="126"/>
      <c r="BN347" s="108">
        <f t="shared" si="17"/>
        <v>121</v>
      </c>
      <c r="BO347" s="108">
        <v>72</v>
      </c>
      <c r="BP347" s="108">
        <v>49</v>
      </c>
      <c r="BQ347" s="108">
        <v>280</v>
      </c>
      <c r="BR347" s="123">
        <v>81.655998229980469</v>
      </c>
      <c r="BS347" s="123">
        <v>23.410999298095703</v>
      </c>
      <c r="BT347" s="123">
        <v>40.869998931884766</v>
      </c>
      <c r="BU347" s="123">
        <v>35.306999206542969</v>
      </c>
      <c r="BV347" s="123">
        <v>70</v>
      </c>
      <c r="BW347" s="123">
        <v>6.3000001907348633</v>
      </c>
      <c r="BX347" s="123">
        <v>13.699999809265137</v>
      </c>
      <c r="BY347" s="123">
        <v>30</v>
      </c>
      <c r="BZ347" s="123">
        <v>1.6401965171098709E-2</v>
      </c>
      <c r="CA347" s="123">
        <v>0</v>
      </c>
      <c r="CB347" s="123">
        <v>31.07159423828125</v>
      </c>
      <c r="CC347" s="126"/>
      <c r="CD347" s="123">
        <v>344.34194946289063</v>
      </c>
      <c r="CE347" s="123">
        <v>29.639614105224609</v>
      </c>
      <c r="CF347" s="123">
        <v>16.317838668823242</v>
      </c>
      <c r="CG347" s="123">
        <v>35.338191986083984</v>
      </c>
      <c r="CH347" s="123">
        <v>284.3602294921875</v>
      </c>
      <c r="CI347" s="123">
        <v>86.846107482910156</v>
      </c>
      <c r="CJ347" s="123">
        <v>36.838722229003906</v>
      </c>
      <c r="CK347" s="123">
        <v>53.664463043212891</v>
      </c>
      <c r="CL347" s="124">
        <v>24.402305603027344</v>
      </c>
      <c r="CM347" s="125">
        <v>166.63658142089844</v>
      </c>
      <c r="CN347" s="123">
        <v>52.120315551757813</v>
      </c>
      <c r="CO347" s="123">
        <v>51.387241363525391</v>
      </c>
      <c r="CP347" s="123">
        <v>57.184562683105469</v>
      </c>
      <c r="CQ347" s="123">
        <v>0</v>
      </c>
      <c r="CR347" s="123">
        <v>66.764411926269531</v>
      </c>
      <c r="CS347" s="123">
        <v>9.2233104705810547</v>
      </c>
      <c r="CT347" s="123">
        <v>37.972919464111328</v>
      </c>
      <c r="CU347" s="123">
        <v>41.760631561279297</v>
      </c>
      <c r="CV347" s="124">
        <v>56.875465393066406</v>
      </c>
      <c r="CW347" s="125">
        <v>3</v>
      </c>
      <c r="CX347" s="123">
        <v>310</v>
      </c>
      <c r="CY347" s="123">
        <v>110.33974456787109</v>
      </c>
      <c r="CZ347" s="123">
        <v>55.968074798583984</v>
      </c>
      <c r="DA347" s="123">
        <v>21.218605041503906</v>
      </c>
      <c r="DB347" s="123">
        <v>34.648006439208984</v>
      </c>
      <c r="DC347" s="123">
        <v>73.200599670410156</v>
      </c>
      <c r="DD347" s="123">
        <v>54</v>
      </c>
      <c r="DE347" s="123">
        <v>171</v>
      </c>
      <c r="DF347" s="123">
        <v>99.992500305175781</v>
      </c>
      <c r="DG347" s="123">
        <v>64.570465087890625</v>
      </c>
      <c r="DH347" s="123">
        <v>41.239376068115234</v>
      </c>
      <c r="DI347" s="128">
        <v>42.100162506103516</v>
      </c>
      <c r="DJ347" s="127">
        <v>215</v>
      </c>
      <c r="DK347" s="123">
        <v>112.72899627685547</v>
      </c>
      <c r="DL347" s="123">
        <v>28.048000335693359</v>
      </c>
      <c r="DM347" s="123">
        <v>32.868000030517578</v>
      </c>
      <c r="DN347" s="123">
        <v>48.066001892089844</v>
      </c>
      <c r="DO347" s="124">
        <v>114.99293518066406</v>
      </c>
      <c r="DP347" s="125">
        <v>15.861000061035156</v>
      </c>
      <c r="DQ347" s="123"/>
      <c r="DR347" s="125">
        <v>68</v>
      </c>
      <c r="DS347" s="128">
        <v>37.099998474121094</v>
      </c>
      <c r="DT347" s="127">
        <v>13</v>
      </c>
      <c r="DU347" s="123"/>
      <c r="DV347" s="123">
        <v>6</v>
      </c>
      <c r="DW347" s="123">
        <v>2.7466833591461182</v>
      </c>
      <c r="DX347" s="125">
        <v>11</v>
      </c>
      <c r="DY347" s="128"/>
      <c r="DZ347" s="127">
        <v>44</v>
      </c>
      <c r="EA347" s="123">
        <v>3</v>
      </c>
      <c r="EB347" s="123">
        <v>0</v>
      </c>
      <c r="EC347" s="123">
        <v>12</v>
      </c>
      <c r="ED347" s="123">
        <v>241</v>
      </c>
      <c r="EE347" s="129"/>
      <c r="EF347" s="129"/>
      <c r="EG347" s="129"/>
    </row>
    <row r="348" spans="1:137" x14ac:dyDescent="0.3">
      <c r="A348" s="226">
        <f t="shared" si="18"/>
        <v>46020.238888889668</v>
      </c>
      <c r="B348" s="123">
        <v>259</v>
      </c>
      <c r="C348" s="123">
        <v>55.869998931884766</v>
      </c>
      <c r="D348" s="123">
        <v>98.959999084472656</v>
      </c>
      <c r="E348" s="123">
        <v>21.826999664306641</v>
      </c>
      <c r="F348" s="123">
        <v>16.992607116699219</v>
      </c>
      <c r="G348" s="124">
        <v>19.22599983215332</v>
      </c>
      <c r="H348" s="125">
        <v>321</v>
      </c>
      <c r="I348" s="123">
        <v>288</v>
      </c>
      <c r="J348" s="123">
        <v>60.846000671386719</v>
      </c>
      <c r="K348" s="123">
        <v>63.221515655517578</v>
      </c>
      <c r="L348" s="123">
        <v>47.181999206542969</v>
      </c>
      <c r="M348" s="123">
        <v>13.005999565124512</v>
      </c>
      <c r="N348" s="123">
        <v>17.367000579833984</v>
      </c>
      <c r="O348" s="123">
        <v>21</v>
      </c>
      <c r="P348" s="123">
        <v>0</v>
      </c>
      <c r="Q348" s="123">
        <v>22.335184097290039</v>
      </c>
      <c r="R348" s="123">
        <v>16.003124237060547</v>
      </c>
      <c r="S348" s="123">
        <v>13.677734375</v>
      </c>
      <c r="T348" s="123">
        <v>9</v>
      </c>
      <c r="U348" s="123">
        <v>9</v>
      </c>
      <c r="V348" s="125">
        <v>899</v>
      </c>
      <c r="W348" s="123">
        <v>27.308855056762695</v>
      </c>
      <c r="X348" s="123">
        <v>24.315000534057617</v>
      </c>
      <c r="Y348" s="123">
        <v>6.869999885559082</v>
      </c>
      <c r="Z348" s="123">
        <v>0</v>
      </c>
      <c r="AA348" s="123">
        <v>20.469999313354492</v>
      </c>
      <c r="AB348" s="123">
        <v>0</v>
      </c>
      <c r="AC348" s="123">
        <v>53.017803192138672</v>
      </c>
      <c r="AD348" s="123">
        <v>5.5980000495910645</v>
      </c>
      <c r="AE348" s="123">
        <v>0</v>
      </c>
      <c r="AF348" s="123">
        <v>86.774848937988281</v>
      </c>
      <c r="AG348" s="123">
        <v>0</v>
      </c>
      <c r="AH348" s="123">
        <v>62.189674377441406</v>
      </c>
      <c r="AI348" s="123">
        <v>17.239999771118164</v>
      </c>
      <c r="AJ348" s="123">
        <v>18.763618469238281</v>
      </c>
      <c r="AK348" s="123">
        <v>39.095470428466797</v>
      </c>
      <c r="AL348" s="123">
        <v>40.466999053955078</v>
      </c>
      <c r="AM348" s="126">
        <v>55.091999053955078</v>
      </c>
      <c r="AN348" s="125">
        <v>121.4375</v>
      </c>
      <c r="AO348" s="127">
        <v>61</v>
      </c>
      <c r="AP348" s="123">
        <v>60.757400512695313</v>
      </c>
      <c r="AQ348" s="123">
        <v>38.427040100097656</v>
      </c>
      <c r="AR348" s="123">
        <v>91</v>
      </c>
      <c r="AS348" s="123"/>
      <c r="AT348" s="123">
        <v>102</v>
      </c>
      <c r="AU348" s="123"/>
      <c r="AV348" s="123">
        <v>53</v>
      </c>
      <c r="AW348" s="123"/>
      <c r="AX348" s="123">
        <v>30</v>
      </c>
      <c r="AY348" s="123">
        <v>34.084327697753906</v>
      </c>
      <c r="AZ348" s="123">
        <v>6</v>
      </c>
      <c r="BA348" s="123"/>
      <c r="BB348" s="123">
        <v>179</v>
      </c>
      <c r="BC348" s="123">
        <v>185.75022888183594</v>
      </c>
      <c r="BD348" s="123">
        <v>6.5</v>
      </c>
      <c r="BE348" s="123">
        <v>6.9648194313049316</v>
      </c>
      <c r="BF348" s="123">
        <v>31</v>
      </c>
      <c r="BG348" s="123">
        <v>11</v>
      </c>
      <c r="BH348" s="123">
        <v>11.297311782836914</v>
      </c>
      <c r="BI348" s="123"/>
      <c r="BJ348" s="108">
        <f t="shared" si="16"/>
        <v>12</v>
      </c>
      <c r="BK348" s="123">
        <v>12</v>
      </c>
      <c r="BL348" s="123">
        <v>0</v>
      </c>
      <c r="BM348" s="126"/>
      <c r="BN348" s="108">
        <f t="shared" si="17"/>
        <v>121.20000076293945</v>
      </c>
      <c r="BO348" s="108">
        <v>72</v>
      </c>
      <c r="BP348" s="108">
        <v>49.200000762939453</v>
      </c>
      <c r="BQ348" s="108">
        <v>280</v>
      </c>
      <c r="BR348" s="123">
        <v>80.63800048828125</v>
      </c>
      <c r="BS348" s="123">
        <v>24.937000274658203</v>
      </c>
      <c r="BT348" s="123">
        <v>41.562999725341797</v>
      </c>
      <c r="BU348" s="123">
        <v>35.625</v>
      </c>
      <c r="BV348" s="123">
        <v>70.599998474121094</v>
      </c>
      <c r="BW348" s="123">
        <v>6.3000001907348633</v>
      </c>
      <c r="BX348" s="123">
        <v>13.800000190734863</v>
      </c>
      <c r="BY348" s="123">
        <v>30</v>
      </c>
      <c r="BZ348" s="123">
        <v>1.4060944318771362E-2</v>
      </c>
      <c r="CA348" s="123">
        <v>0</v>
      </c>
      <c r="CB348" s="123">
        <v>31.657537460327148</v>
      </c>
      <c r="CC348" s="126"/>
      <c r="CD348" s="123">
        <v>353.66390991210938</v>
      </c>
      <c r="CE348" s="123">
        <v>31.319185256958008</v>
      </c>
      <c r="CF348" s="123">
        <v>16.369514465332031</v>
      </c>
      <c r="CG348" s="123">
        <v>35.338191986083984</v>
      </c>
      <c r="CH348" s="123">
        <v>285.80987548828125</v>
      </c>
      <c r="CI348" s="123">
        <v>86.908645629882813</v>
      </c>
      <c r="CJ348" s="123">
        <v>33.535335540771484</v>
      </c>
      <c r="CK348" s="123">
        <v>54.057029724121094</v>
      </c>
      <c r="CL348" s="124">
        <v>25.118383407592773</v>
      </c>
      <c r="CM348" s="125">
        <v>170.88751220703125</v>
      </c>
      <c r="CN348" s="123">
        <v>52.216285705566406</v>
      </c>
      <c r="CO348" s="123">
        <v>51.238140106201172</v>
      </c>
      <c r="CP348" s="123">
        <v>57.433639526367188</v>
      </c>
      <c r="CQ348" s="123">
        <v>0</v>
      </c>
      <c r="CR348" s="123">
        <v>65.23431396484375</v>
      </c>
      <c r="CS348" s="123">
        <v>8.8512744903564453</v>
      </c>
      <c r="CT348" s="123">
        <v>33.084949493408203</v>
      </c>
      <c r="CU348" s="123">
        <v>40.196666717529297</v>
      </c>
      <c r="CV348" s="124">
        <v>55.992210388183594</v>
      </c>
      <c r="CW348" s="125">
        <v>3</v>
      </c>
      <c r="CX348" s="123">
        <v>310</v>
      </c>
      <c r="CY348" s="123">
        <v>110.33974456787109</v>
      </c>
      <c r="CZ348" s="123">
        <v>57.172359466552734</v>
      </c>
      <c r="DA348" s="123">
        <v>21.218605041503906</v>
      </c>
      <c r="DB348" s="123">
        <v>33.691181182861328</v>
      </c>
      <c r="DC348" s="123">
        <v>77.804328918457031</v>
      </c>
      <c r="DD348" s="123">
        <v>58</v>
      </c>
      <c r="DE348" s="123">
        <v>171</v>
      </c>
      <c r="DF348" s="123">
        <v>100.37500762939453</v>
      </c>
      <c r="DG348" s="123">
        <v>68.610992431640625</v>
      </c>
      <c r="DH348" s="123">
        <v>43.115402221679688</v>
      </c>
      <c r="DI348" s="128">
        <v>44.038341522216797</v>
      </c>
      <c r="DJ348" s="127">
        <v>224</v>
      </c>
      <c r="DK348" s="123">
        <v>117.56400299072266</v>
      </c>
      <c r="DL348" s="123">
        <v>25.559000015258789</v>
      </c>
      <c r="DM348" s="123">
        <v>33.751998901367188</v>
      </c>
      <c r="DN348" s="123">
        <v>51.953998565673828</v>
      </c>
      <c r="DO348" s="124">
        <v>115.85497283935547</v>
      </c>
      <c r="DP348" s="125">
        <v>15.437000274658203</v>
      </c>
      <c r="DQ348" s="123"/>
      <c r="DR348" s="125">
        <v>68</v>
      </c>
      <c r="DS348" s="128">
        <v>36.900001525878906</v>
      </c>
      <c r="DT348" s="127">
        <v>13</v>
      </c>
      <c r="DU348" s="123"/>
      <c r="DV348" s="123">
        <v>9</v>
      </c>
      <c r="DW348" s="123">
        <v>2.8181831836700439</v>
      </c>
      <c r="DX348" s="125">
        <v>12</v>
      </c>
      <c r="DY348" s="128"/>
      <c r="DZ348" s="127">
        <v>44</v>
      </c>
      <c r="EA348" s="123">
        <v>3</v>
      </c>
      <c r="EB348" s="123">
        <v>0</v>
      </c>
      <c r="EC348" s="123">
        <v>1</v>
      </c>
      <c r="ED348" s="123">
        <v>241.89999389648438</v>
      </c>
      <c r="EE348" s="129"/>
      <c r="EF348" s="129"/>
      <c r="EG348" s="129"/>
    </row>
    <row r="349" spans="1:137" x14ac:dyDescent="0.3">
      <c r="A349" s="226">
        <f t="shared" si="18"/>
        <v>46020.239583334114</v>
      </c>
      <c r="B349" s="123">
        <v>260</v>
      </c>
      <c r="C349" s="123">
        <v>56.773998260498047</v>
      </c>
      <c r="D349" s="123">
        <v>97.602996826171875</v>
      </c>
      <c r="E349" s="123">
        <v>21.826999664306641</v>
      </c>
      <c r="F349" s="123">
        <v>1.0733890533447266</v>
      </c>
      <c r="G349" s="124">
        <v>18.886999130249023</v>
      </c>
      <c r="H349" s="125">
        <v>317</v>
      </c>
      <c r="I349" s="123">
        <v>281</v>
      </c>
      <c r="J349" s="123">
        <v>60.393001556396484</v>
      </c>
      <c r="K349" s="123">
        <v>61.097148895263672</v>
      </c>
      <c r="L349" s="123">
        <v>49.479999542236328</v>
      </c>
      <c r="M349" s="123">
        <v>13.345000267028809</v>
      </c>
      <c r="N349" s="123">
        <v>16.857999801635742</v>
      </c>
      <c r="O349" s="123">
        <v>20</v>
      </c>
      <c r="P349" s="123">
        <v>0</v>
      </c>
      <c r="Q349" s="123">
        <v>19.576732635498047</v>
      </c>
      <c r="R349" s="123">
        <v>13.003125190734863</v>
      </c>
      <c r="S349" s="123">
        <v>12.628965377807617</v>
      </c>
      <c r="T349" s="123">
        <v>9</v>
      </c>
      <c r="U349" s="123">
        <v>9</v>
      </c>
      <c r="V349" s="125">
        <v>893</v>
      </c>
      <c r="W349" s="123">
        <v>28.847700119018555</v>
      </c>
      <c r="X349" s="123">
        <v>24.315000534057617</v>
      </c>
      <c r="Y349" s="123">
        <v>6.2340002059936523</v>
      </c>
      <c r="Z349" s="123">
        <v>0</v>
      </c>
      <c r="AA349" s="123">
        <v>19.905000686645508</v>
      </c>
      <c r="AB349" s="123">
        <v>0</v>
      </c>
      <c r="AC349" s="123">
        <v>52.644680023193359</v>
      </c>
      <c r="AD349" s="123">
        <v>5.8520002365112305</v>
      </c>
      <c r="AE349" s="123">
        <v>0</v>
      </c>
      <c r="AF349" s="123">
        <v>87.076683044433594</v>
      </c>
      <c r="AG349" s="123">
        <v>0</v>
      </c>
      <c r="AH349" s="123">
        <v>62.189674377441406</v>
      </c>
      <c r="AI349" s="123">
        <v>14.440999984741211</v>
      </c>
      <c r="AJ349" s="123">
        <v>18.764972686767578</v>
      </c>
      <c r="AK349" s="123">
        <v>39.472316741943359</v>
      </c>
      <c r="AL349" s="123">
        <v>36.226001739501953</v>
      </c>
      <c r="AM349" s="126">
        <v>55.155998229980469</v>
      </c>
      <c r="AN349" s="125">
        <v>120.6875</v>
      </c>
      <c r="AO349" s="127">
        <v>61</v>
      </c>
      <c r="AP349" s="123">
        <v>61.538101196289063</v>
      </c>
      <c r="AQ349" s="123">
        <v>38.591224670410156</v>
      </c>
      <c r="AR349" s="123">
        <v>91</v>
      </c>
      <c r="AS349" s="123"/>
      <c r="AT349" s="123">
        <v>102</v>
      </c>
      <c r="AU349" s="123"/>
      <c r="AV349" s="123">
        <v>60</v>
      </c>
      <c r="AW349" s="123"/>
      <c r="AX349" s="123">
        <v>31</v>
      </c>
      <c r="AY349" s="123">
        <v>33.003311157226563</v>
      </c>
      <c r="AZ349" s="123">
        <v>5</v>
      </c>
      <c r="BA349" s="123"/>
      <c r="BB349" s="123">
        <v>181</v>
      </c>
      <c r="BC349" s="123">
        <v>185.29006958007813</v>
      </c>
      <c r="BD349" s="123">
        <v>7.4000000953674316</v>
      </c>
      <c r="BE349" s="123">
        <v>7.214719295501709</v>
      </c>
      <c r="BF349" s="123">
        <v>31</v>
      </c>
      <c r="BG349" s="123">
        <v>10</v>
      </c>
      <c r="BH349" s="123">
        <v>11.152318000793457</v>
      </c>
      <c r="BI349" s="123"/>
      <c r="BJ349" s="108">
        <f t="shared" si="16"/>
        <v>12</v>
      </c>
      <c r="BK349" s="123">
        <v>12</v>
      </c>
      <c r="BL349" s="123">
        <v>0</v>
      </c>
      <c r="BM349" s="126"/>
      <c r="BN349" s="108">
        <f t="shared" si="17"/>
        <v>121</v>
      </c>
      <c r="BO349" s="108">
        <v>72</v>
      </c>
      <c r="BP349" s="108">
        <v>49</v>
      </c>
      <c r="BQ349" s="108">
        <v>284</v>
      </c>
      <c r="BR349" s="123">
        <v>79.507003784179688</v>
      </c>
      <c r="BS349" s="123">
        <v>25.191999435424805</v>
      </c>
      <c r="BT349" s="123">
        <v>43.98699951171875</v>
      </c>
      <c r="BU349" s="123">
        <v>34.28900146484375</v>
      </c>
      <c r="BV349" s="123">
        <v>71.599998474121094</v>
      </c>
      <c r="BW349" s="123">
        <v>6.4000000953674316</v>
      </c>
      <c r="BX349" s="123">
        <v>13.699999809265137</v>
      </c>
      <c r="BY349" s="123">
        <v>31</v>
      </c>
      <c r="BZ349" s="123">
        <v>1.4072935096919537E-2</v>
      </c>
      <c r="CA349" s="123">
        <v>0</v>
      </c>
      <c r="CB349" s="123">
        <v>31.638814926147461</v>
      </c>
      <c r="CC349" s="126"/>
      <c r="CD349" s="123">
        <v>354.06295776367188</v>
      </c>
      <c r="CE349" s="123">
        <v>33.621646881103516</v>
      </c>
      <c r="CF349" s="123">
        <v>17.049480438232422</v>
      </c>
      <c r="CG349" s="123">
        <v>35.338191986083984</v>
      </c>
      <c r="CH349" s="123">
        <v>285.1549072265625</v>
      </c>
      <c r="CI349" s="123">
        <v>86.863090515136719</v>
      </c>
      <c r="CJ349" s="123">
        <v>33.639675140380859</v>
      </c>
      <c r="CK349" s="123">
        <v>54.189773559570313</v>
      </c>
      <c r="CL349" s="124">
        <v>24.871332168579102</v>
      </c>
      <c r="CM349" s="125">
        <v>164.98330688476563</v>
      </c>
      <c r="CN349" s="123">
        <v>54.157337188720703</v>
      </c>
      <c r="CO349" s="123">
        <v>51.388065338134766</v>
      </c>
      <c r="CP349" s="123">
        <v>54.183383941650391</v>
      </c>
      <c r="CQ349" s="123">
        <v>0</v>
      </c>
      <c r="CR349" s="123">
        <v>61.672863006591797</v>
      </c>
      <c r="CS349" s="123">
        <v>8.9236087799072266</v>
      </c>
      <c r="CT349" s="123">
        <v>32.696498870849609</v>
      </c>
      <c r="CU349" s="123">
        <v>37.292270660400391</v>
      </c>
      <c r="CV349" s="124">
        <v>56.418495178222656</v>
      </c>
      <c r="CW349" s="125">
        <v>6</v>
      </c>
      <c r="CX349" s="123">
        <v>319</v>
      </c>
      <c r="CY349" s="123">
        <v>115.53112030029297</v>
      </c>
      <c r="CZ349" s="123">
        <v>53.973251342773438</v>
      </c>
      <c r="DA349" s="123">
        <v>19.91441535949707</v>
      </c>
      <c r="DB349" s="123">
        <v>30.422880172729492</v>
      </c>
      <c r="DC349" s="123">
        <v>77.337356567382813</v>
      </c>
      <c r="DD349" s="123">
        <v>56</v>
      </c>
      <c r="DE349" s="123">
        <v>171</v>
      </c>
      <c r="DF349" s="123">
        <v>99.831497192382813</v>
      </c>
      <c r="DG349" s="123">
        <v>68.028793334960938</v>
      </c>
      <c r="DH349" s="123">
        <v>43.183780670166016</v>
      </c>
      <c r="DI349" s="128">
        <v>44.076736450195313</v>
      </c>
      <c r="DJ349" s="127">
        <v>224</v>
      </c>
      <c r="DK349" s="123">
        <v>117.56400299072266</v>
      </c>
      <c r="DL349" s="123">
        <v>25.559000015258789</v>
      </c>
      <c r="DM349" s="123">
        <v>33.222000122070313</v>
      </c>
      <c r="DN349" s="123">
        <v>51.953998565673828</v>
      </c>
      <c r="DO349" s="124">
        <v>112.620361328125</v>
      </c>
      <c r="DP349" s="125">
        <v>16.454999923706055</v>
      </c>
      <c r="DQ349" s="123"/>
      <c r="DR349" s="125">
        <v>68</v>
      </c>
      <c r="DS349" s="128">
        <v>33.700000762939453</v>
      </c>
      <c r="DT349" s="127">
        <v>13</v>
      </c>
      <c r="DU349" s="123"/>
      <c r="DV349" s="123">
        <v>16</v>
      </c>
      <c r="DW349" s="123">
        <v>2.6819689273834229</v>
      </c>
      <c r="DX349" s="125">
        <v>10</v>
      </c>
      <c r="DY349" s="128"/>
      <c r="DZ349" s="127">
        <v>44</v>
      </c>
      <c r="EA349" s="123">
        <v>3</v>
      </c>
      <c r="EB349" s="123">
        <v>0</v>
      </c>
      <c r="EC349" s="123">
        <v>29</v>
      </c>
      <c r="ED349" s="123">
        <v>245.69999694824219</v>
      </c>
      <c r="EE349" s="129"/>
      <c r="EF349" s="129"/>
      <c r="EG349" s="129"/>
    </row>
    <row r="350" spans="1:137" x14ac:dyDescent="0.3">
      <c r="A350" s="226">
        <f t="shared" si="18"/>
        <v>46020.240277778561</v>
      </c>
      <c r="B350" s="123">
        <v>254</v>
      </c>
      <c r="C350" s="123">
        <v>55.077999114990234</v>
      </c>
      <c r="D350" s="123">
        <v>99.412002563476563</v>
      </c>
      <c r="E350" s="123">
        <v>20.131000518798828</v>
      </c>
      <c r="F350" s="123">
        <v>14.653683662414551</v>
      </c>
      <c r="G350" s="124">
        <v>19.791999816894531</v>
      </c>
      <c r="H350" s="125">
        <v>328</v>
      </c>
      <c r="I350" s="123">
        <v>292</v>
      </c>
      <c r="J350" s="123">
        <v>67.179000854492188</v>
      </c>
      <c r="K350" s="123">
        <v>61.019695281982422</v>
      </c>
      <c r="L350" s="123">
        <v>48.066001892089844</v>
      </c>
      <c r="M350" s="123">
        <v>13.571000099182129</v>
      </c>
      <c r="N350" s="123">
        <v>17.239999771118164</v>
      </c>
      <c r="O350" s="123">
        <v>20</v>
      </c>
      <c r="P350" s="123">
        <v>0</v>
      </c>
      <c r="Q350" s="123">
        <v>20.731731414794922</v>
      </c>
      <c r="R350" s="123">
        <v>13.003125190734863</v>
      </c>
      <c r="S350" s="123">
        <v>13.792016983032227</v>
      </c>
      <c r="T350" s="123">
        <v>9</v>
      </c>
      <c r="U350" s="123">
        <v>9</v>
      </c>
      <c r="V350" s="125">
        <v>893</v>
      </c>
      <c r="W350" s="123">
        <v>29.196395874023438</v>
      </c>
      <c r="X350" s="123">
        <v>23.636999130249023</v>
      </c>
      <c r="Y350" s="123">
        <v>5.7249999046325684</v>
      </c>
      <c r="Z350" s="123">
        <v>0</v>
      </c>
      <c r="AA350" s="123">
        <v>20.923000335693359</v>
      </c>
      <c r="AB350" s="123">
        <v>0</v>
      </c>
      <c r="AC350" s="123">
        <v>54.186779022216797</v>
      </c>
      <c r="AD350" s="123">
        <v>5.8520002365112305</v>
      </c>
      <c r="AE350" s="123">
        <v>0</v>
      </c>
      <c r="AF350" s="123">
        <v>88.638053894042969</v>
      </c>
      <c r="AG350" s="123">
        <v>0</v>
      </c>
      <c r="AH350" s="123">
        <v>64.102294921875</v>
      </c>
      <c r="AI350" s="123">
        <v>15.331000328063965</v>
      </c>
      <c r="AJ350" s="123">
        <v>20.207233428955078</v>
      </c>
      <c r="AK350" s="123">
        <v>40.495918273925781</v>
      </c>
      <c r="AL350" s="123">
        <v>36.048999786376953</v>
      </c>
      <c r="AM350" s="126">
        <v>55.918998718261719</v>
      </c>
      <c r="AN350" s="125">
        <v>119.75</v>
      </c>
      <c r="AO350" s="127">
        <v>61</v>
      </c>
      <c r="AP350" s="123">
        <v>61.413204193115234</v>
      </c>
      <c r="AQ350" s="123">
        <v>36.214984893798828</v>
      </c>
      <c r="AR350" s="123">
        <v>92</v>
      </c>
      <c r="AS350" s="123"/>
      <c r="AT350" s="123">
        <v>102</v>
      </c>
      <c r="AU350" s="123"/>
      <c r="AV350" s="123">
        <v>60</v>
      </c>
      <c r="AW350" s="123"/>
      <c r="AX350" s="123">
        <v>30</v>
      </c>
      <c r="AY350" s="123">
        <v>32.849029541015625</v>
      </c>
      <c r="AZ350" s="123">
        <v>5</v>
      </c>
      <c r="BA350" s="123"/>
      <c r="BB350" s="123">
        <v>182</v>
      </c>
      <c r="BC350" s="123">
        <v>185.29006958007813</v>
      </c>
      <c r="BD350" s="123">
        <v>7.0999999046325684</v>
      </c>
      <c r="BE350" s="123">
        <v>7.0338306427001953</v>
      </c>
      <c r="BF350" s="123">
        <v>31</v>
      </c>
      <c r="BG350" s="123">
        <v>10</v>
      </c>
      <c r="BH350" s="123">
        <v>11.021975517272949</v>
      </c>
      <c r="BI350" s="123"/>
      <c r="BJ350" s="108">
        <f t="shared" si="16"/>
        <v>12</v>
      </c>
      <c r="BK350" s="123">
        <v>12</v>
      </c>
      <c r="BL350" s="123">
        <v>0</v>
      </c>
      <c r="BM350" s="126"/>
      <c r="BN350" s="108">
        <f t="shared" si="17"/>
        <v>121</v>
      </c>
      <c r="BO350" s="108">
        <v>72</v>
      </c>
      <c r="BP350" s="108">
        <v>49</v>
      </c>
      <c r="BQ350" s="108">
        <v>287</v>
      </c>
      <c r="BR350" s="123">
        <v>84.370002746582031</v>
      </c>
      <c r="BS350" s="123">
        <v>22.646999359130859</v>
      </c>
      <c r="BT350" s="123">
        <v>43.294998168945313</v>
      </c>
      <c r="BU350" s="123">
        <v>34.671001434326172</v>
      </c>
      <c r="BV350" s="123">
        <v>69.900001525878906</v>
      </c>
      <c r="BW350" s="123">
        <v>6.4000000953674316</v>
      </c>
      <c r="BX350" s="123">
        <v>13.600000381469727</v>
      </c>
      <c r="BY350" s="123">
        <v>30</v>
      </c>
      <c r="BZ350" s="123">
        <v>1.3171190395951271E-2</v>
      </c>
      <c r="CA350" s="123">
        <v>0</v>
      </c>
      <c r="CB350" s="123">
        <v>31.435766220092773</v>
      </c>
      <c r="CC350" s="126"/>
      <c r="CD350" s="123">
        <v>348.74249267578125</v>
      </c>
      <c r="CE350" s="123">
        <v>33.975254058837891</v>
      </c>
      <c r="CF350" s="123">
        <v>16.909084320068359</v>
      </c>
      <c r="CG350" s="123">
        <v>35.338191986083984</v>
      </c>
      <c r="CH350" s="123">
        <v>284.48965454101563</v>
      </c>
      <c r="CI350" s="123">
        <v>82.578376770019531</v>
      </c>
      <c r="CJ350" s="123">
        <v>34.887889862060547</v>
      </c>
      <c r="CK350" s="123">
        <v>49.88226318359375</v>
      </c>
      <c r="CL350" s="124">
        <v>25.381908416748047</v>
      </c>
      <c r="CM350" s="125">
        <v>164.80780029296875</v>
      </c>
      <c r="CN350" s="123">
        <v>54.352584838867188</v>
      </c>
      <c r="CO350" s="123">
        <v>51.366966247558594</v>
      </c>
      <c r="CP350" s="123">
        <v>54.021949768066406</v>
      </c>
      <c r="CQ350" s="123">
        <v>0</v>
      </c>
      <c r="CR350" s="123">
        <v>57.389396667480469</v>
      </c>
      <c r="CS350" s="123">
        <v>10.436365127563477</v>
      </c>
      <c r="CT350" s="123">
        <v>35.002212524414063</v>
      </c>
      <c r="CU350" s="123">
        <v>38.175590515136719</v>
      </c>
      <c r="CV350" s="124">
        <v>58.033420562744141</v>
      </c>
      <c r="CW350" s="125">
        <v>3</v>
      </c>
      <c r="CX350" s="123">
        <v>315</v>
      </c>
      <c r="CY350" s="123">
        <v>114.63775634765625</v>
      </c>
      <c r="CZ350" s="123">
        <v>52.073490142822266</v>
      </c>
      <c r="DA350" s="123">
        <v>19.703914642333984</v>
      </c>
      <c r="DB350" s="123">
        <v>32.968975067138672</v>
      </c>
      <c r="DC350" s="123">
        <v>77.337356567382813</v>
      </c>
      <c r="DD350" s="123">
        <v>61</v>
      </c>
      <c r="DE350" s="123">
        <v>171</v>
      </c>
      <c r="DF350" s="123">
        <v>100.49245452880859</v>
      </c>
      <c r="DG350" s="123">
        <v>69.84783935546875</v>
      </c>
      <c r="DH350" s="123">
        <v>41.527938842773438</v>
      </c>
      <c r="DI350" s="128">
        <v>43.606929779052734</v>
      </c>
      <c r="DJ350" s="127">
        <v>219</v>
      </c>
      <c r="DK350" s="123">
        <v>118.072998046875</v>
      </c>
      <c r="DL350" s="123">
        <v>27.708000183105469</v>
      </c>
      <c r="DM350" s="123">
        <v>29.687999725341797</v>
      </c>
      <c r="DN350" s="123">
        <v>53.013999938964844</v>
      </c>
      <c r="DO350" s="124">
        <v>112.35503387451172</v>
      </c>
      <c r="DP350" s="125">
        <v>16.540000915527344</v>
      </c>
      <c r="DQ350" s="123"/>
      <c r="DR350" s="125">
        <v>68</v>
      </c>
      <c r="DS350" s="128">
        <v>33.700000762939453</v>
      </c>
      <c r="DT350" s="127">
        <v>13</v>
      </c>
      <c r="DU350" s="123"/>
      <c r="DV350" s="123">
        <v>0</v>
      </c>
      <c r="DW350" s="123">
        <v>2.8635492324829102</v>
      </c>
      <c r="DX350" s="125">
        <v>10</v>
      </c>
      <c r="DY350" s="128"/>
      <c r="DZ350" s="127">
        <v>44</v>
      </c>
      <c r="EA350" s="123">
        <v>3</v>
      </c>
      <c r="EB350" s="123">
        <v>0</v>
      </c>
      <c r="EC350" s="123">
        <v>29</v>
      </c>
      <c r="ED350" s="123">
        <v>243.39999389648438</v>
      </c>
      <c r="EE350" s="129"/>
      <c r="EF350" s="129"/>
      <c r="EG350" s="129"/>
    </row>
    <row r="351" spans="1:137" x14ac:dyDescent="0.3">
      <c r="A351" s="226">
        <f t="shared" si="18"/>
        <v>46020.240972223008</v>
      </c>
      <c r="B351" s="123">
        <v>261</v>
      </c>
      <c r="C351" s="123">
        <v>57.679000854492188</v>
      </c>
      <c r="D351" s="123">
        <v>99.412002563476563</v>
      </c>
      <c r="E351" s="123">
        <v>20.357000350952148</v>
      </c>
      <c r="F351" s="123">
        <v>13.898662567138672</v>
      </c>
      <c r="G351" s="124">
        <v>20.357000350952148</v>
      </c>
      <c r="H351" s="125">
        <v>318</v>
      </c>
      <c r="I351" s="123">
        <v>288</v>
      </c>
      <c r="J351" s="123">
        <v>58.810001373291016</v>
      </c>
      <c r="K351" s="123">
        <v>60.857391357421875</v>
      </c>
      <c r="L351" s="123">
        <v>50.362998962402344</v>
      </c>
      <c r="M351" s="123">
        <v>13.684000015258789</v>
      </c>
      <c r="N351" s="123">
        <v>16.413000106811523</v>
      </c>
      <c r="O351" s="123">
        <v>18</v>
      </c>
      <c r="P351" s="123">
        <v>0</v>
      </c>
      <c r="Q351" s="123">
        <v>18.460214614868164</v>
      </c>
      <c r="R351" s="123">
        <v>10.996874809265137</v>
      </c>
      <c r="S351" s="123">
        <v>10.405009269714355</v>
      </c>
      <c r="T351" s="123">
        <v>9</v>
      </c>
      <c r="U351" s="123">
        <v>9</v>
      </c>
      <c r="V351" s="125">
        <v>905</v>
      </c>
      <c r="W351" s="123">
        <v>29.289009094238281</v>
      </c>
      <c r="X351" s="123">
        <v>23.636999130249023</v>
      </c>
      <c r="Y351" s="123">
        <v>6.869999885559082</v>
      </c>
      <c r="Z351" s="123">
        <v>0</v>
      </c>
      <c r="AA351" s="123">
        <v>18.547000885009766</v>
      </c>
      <c r="AB351" s="123">
        <v>0</v>
      </c>
      <c r="AC351" s="123">
        <v>56.059459686279297</v>
      </c>
      <c r="AD351" s="123">
        <v>5.8520002365112305</v>
      </c>
      <c r="AE351" s="123">
        <v>0</v>
      </c>
      <c r="AF351" s="123">
        <v>89.336349487304688</v>
      </c>
      <c r="AG351" s="123">
        <v>0</v>
      </c>
      <c r="AH351" s="123">
        <v>65.753799438476563</v>
      </c>
      <c r="AI351" s="123">
        <v>17.684999465942383</v>
      </c>
      <c r="AJ351" s="123">
        <v>16.992376327514648</v>
      </c>
      <c r="AK351" s="123">
        <v>40.372829437255859</v>
      </c>
      <c r="AL351" s="123">
        <v>36.402999877929688</v>
      </c>
      <c r="AM351" s="126">
        <v>53.501998901367188</v>
      </c>
      <c r="AN351" s="125">
        <v>121</v>
      </c>
      <c r="AO351" s="127">
        <v>63</v>
      </c>
      <c r="AP351" s="123">
        <v>64.008201599121094</v>
      </c>
      <c r="AQ351" s="123">
        <v>39.463088989257813</v>
      </c>
      <c r="AR351" s="123">
        <v>92</v>
      </c>
      <c r="AS351" s="123"/>
      <c r="AT351" s="123">
        <v>102</v>
      </c>
      <c r="AU351" s="123"/>
      <c r="AV351" s="123">
        <v>60</v>
      </c>
      <c r="AW351" s="123"/>
      <c r="AX351" s="123">
        <v>30</v>
      </c>
      <c r="AY351" s="123">
        <v>33.632575988769531</v>
      </c>
      <c r="AZ351" s="123">
        <v>5</v>
      </c>
      <c r="BA351" s="123"/>
      <c r="BB351" s="123">
        <v>182</v>
      </c>
      <c r="BC351" s="123">
        <v>187.05712890625</v>
      </c>
      <c r="BD351" s="123">
        <v>7.3000001907348633</v>
      </c>
      <c r="BE351" s="123">
        <v>7.1934633255004883</v>
      </c>
      <c r="BF351" s="123">
        <v>31</v>
      </c>
      <c r="BG351" s="123">
        <v>10</v>
      </c>
      <c r="BH351" s="123">
        <v>10.904512405395508</v>
      </c>
      <c r="BI351" s="123"/>
      <c r="BJ351" s="108">
        <f t="shared" si="16"/>
        <v>11</v>
      </c>
      <c r="BK351" s="123">
        <v>11</v>
      </c>
      <c r="BL351" s="123">
        <v>0</v>
      </c>
      <c r="BM351" s="126"/>
      <c r="BN351" s="108">
        <f t="shared" si="17"/>
        <v>122.20000076293945</v>
      </c>
      <c r="BO351" s="108">
        <v>73</v>
      </c>
      <c r="BP351" s="108">
        <v>49.200000762939453</v>
      </c>
      <c r="BQ351" s="108">
        <v>283</v>
      </c>
      <c r="BR351" s="123">
        <v>84.370002746582031</v>
      </c>
      <c r="BS351" s="123">
        <v>22.646999359130859</v>
      </c>
      <c r="BT351" s="123">
        <v>41.909000396728516</v>
      </c>
      <c r="BU351" s="123">
        <v>34.034999847412109</v>
      </c>
      <c r="BV351" s="123">
        <v>69.900001525878906</v>
      </c>
      <c r="BW351" s="123">
        <v>6.3000001907348633</v>
      </c>
      <c r="BX351" s="123">
        <v>13.699999809265137</v>
      </c>
      <c r="BY351" s="123">
        <v>30</v>
      </c>
      <c r="BZ351" s="123">
        <v>1.3171190395951271E-2</v>
      </c>
      <c r="CA351" s="123">
        <v>0</v>
      </c>
      <c r="CB351" s="123">
        <v>31.435766220092773</v>
      </c>
      <c r="CC351" s="126"/>
      <c r="CD351" s="123">
        <v>351.01458740234375</v>
      </c>
      <c r="CE351" s="123">
        <v>35.427852630615234</v>
      </c>
      <c r="CF351" s="123">
        <v>17.869060516357422</v>
      </c>
      <c r="CG351" s="123">
        <v>35.338191986083984</v>
      </c>
      <c r="CH351" s="123">
        <v>284.96127319335938</v>
      </c>
      <c r="CI351" s="123">
        <v>83.067886352539063</v>
      </c>
      <c r="CJ351" s="123">
        <v>37.105506896972656</v>
      </c>
      <c r="CK351" s="123">
        <v>51.709354400634766</v>
      </c>
      <c r="CL351" s="124">
        <v>24.545995712280273</v>
      </c>
      <c r="CM351" s="125">
        <v>158.95362854003906</v>
      </c>
      <c r="CN351" s="123">
        <v>49.700511932373047</v>
      </c>
      <c r="CO351" s="123">
        <v>49.068241119384766</v>
      </c>
      <c r="CP351" s="123">
        <v>56.220996856689453</v>
      </c>
      <c r="CQ351" s="123">
        <v>0</v>
      </c>
      <c r="CR351" s="123">
        <v>53.712596893310547</v>
      </c>
      <c r="CS351" s="123">
        <v>9.2674436569213867</v>
      </c>
      <c r="CT351" s="123">
        <v>38.462387084960938</v>
      </c>
      <c r="CU351" s="123">
        <v>39.85992431640625</v>
      </c>
      <c r="CV351" s="124">
        <v>56.895164489746094</v>
      </c>
      <c r="CW351" s="125">
        <v>3</v>
      </c>
      <c r="CX351" s="123">
        <v>313</v>
      </c>
      <c r="CY351" s="123">
        <v>115.77998352050781</v>
      </c>
      <c r="CZ351" s="123">
        <v>52.994972229003906</v>
      </c>
      <c r="DA351" s="123">
        <v>20.141315460205078</v>
      </c>
      <c r="DB351" s="123">
        <v>30.592267990112305</v>
      </c>
      <c r="DC351" s="123">
        <v>77.247505187988281</v>
      </c>
      <c r="DD351" s="123">
        <v>55</v>
      </c>
      <c r="DE351" s="123">
        <v>170</v>
      </c>
      <c r="DF351" s="123">
        <v>98.930000305175781</v>
      </c>
      <c r="DG351" s="123">
        <v>65.820335388183594</v>
      </c>
      <c r="DH351" s="123">
        <v>40.837306976318359</v>
      </c>
      <c r="DI351" s="128">
        <v>43.606929779052734</v>
      </c>
      <c r="DJ351" s="127">
        <v>219</v>
      </c>
      <c r="DK351" s="123">
        <v>113.74700164794922</v>
      </c>
      <c r="DL351" s="123">
        <v>26.238000869750977</v>
      </c>
      <c r="DM351" s="123">
        <v>28.804000854492188</v>
      </c>
      <c r="DN351" s="123">
        <v>52.659999847412109</v>
      </c>
      <c r="DO351" s="124">
        <v>117.72148132324219</v>
      </c>
      <c r="DP351" s="125">
        <v>16.540000915527344</v>
      </c>
      <c r="DQ351" s="123"/>
      <c r="DR351" s="125">
        <v>67</v>
      </c>
      <c r="DS351" s="128">
        <v>37</v>
      </c>
      <c r="DT351" s="127">
        <v>13</v>
      </c>
      <c r="DU351" s="123"/>
      <c r="DV351" s="123">
        <v>17</v>
      </c>
      <c r="DW351" s="123">
        <v>2.7249996662139893</v>
      </c>
      <c r="DX351" s="125">
        <v>11</v>
      </c>
      <c r="DY351" s="128"/>
      <c r="DZ351" s="127">
        <v>44</v>
      </c>
      <c r="EA351" s="123">
        <v>3</v>
      </c>
      <c r="EB351" s="123">
        <v>0</v>
      </c>
      <c r="EC351" s="123">
        <v>1</v>
      </c>
      <c r="ED351" s="123">
        <v>238.69999694824219</v>
      </c>
      <c r="EE351" s="129"/>
      <c r="EF351" s="129"/>
      <c r="EG351" s="129"/>
    </row>
    <row r="352" spans="1:137" x14ac:dyDescent="0.3">
      <c r="A352" s="226">
        <f t="shared" si="18"/>
        <v>46020.241666667454</v>
      </c>
      <c r="B352" s="123">
        <v>265</v>
      </c>
      <c r="C352" s="123">
        <v>57.000999450683594</v>
      </c>
      <c r="D352" s="123">
        <v>99.63800048828125</v>
      </c>
      <c r="E352" s="123">
        <v>20.809000015258789</v>
      </c>
      <c r="F352" s="123">
        <v>0</v>
      </c>
      <c r="G352" s="124">
        <v>20.923000335693359</v>
      </c>
      <c r="H352" s="125">
        <v>318</v>
      </c>
      <c r="I352" s="123">
        <v>288</v>
      </c>
      <c r="J352" s="123">
        <v>62.769001007080078</v>
      </c>
      <c r="K352" s="123">
        <v>61.329986572265625</v>
      </c>
      <c r="L352" s="123">
        <v>50.716999053955078</v>
      </c>
      <c r="M352" s="123">
        <v>13.232000350952148</v>
      </c>
      <c r="N352" s="123">
        <v>16.349000930786133</v>
      </c>
      <c r="O352" s="123">
        <v>20</v>
      </c>
      <c r="P352" s="123">
        <v>0</v>
      </c>
      <c r="Q352" s="123">
        <v>19.633745193481445</v>
      </c>
      <c r="R352" s="123">
        <v>10.996874809265137</v>
      </c>
      <c r="S352" s="123">
        <v>10.405009269714355</v>
      </c>
      <c r="T352" s="123">
        <v>9</v>
      </c>
      <c r="U352" s="123">
        <v>9</v>
      </c>
      <c r="V352" s="125">
        <v>911</v>
      </c>
      <c r="W352" s="123">
        <v>29.530349731445313</v>
      </c>
      <c r="X352" s="123">
        <v>23.52400016784668</v>
      </c>
      <c r="Y352" s="123">
        <v>6.9340000152587891</v>
      </c>
      <c r="Z352" s="123">
        <v>0</v>
      </c>
      <c r="AA352" s="123">
        <v>19.791999816894531</v>
      </c>
      <c r="AB352" s="123">
        <v>0</v>
      </c>
      <c r="AC352" s="123">
        <v>55.860645294189453</v>
      </c>
      <c r="AD352" s="123">
        <v>5.8520002365112305</v>
      </c>
      <c r="AE352" s="123">
        <v>0</v>
      </c>
      <c r="AF352" s="123">
        <v>90.658798217773438</v>
      </c>
      <c r="AG352" s="123">
        <v>0</v>
      </c>
      <c r="AH352" s="123">
        <v>66.944709777832031</v>
      </c>
      <c r="AI352" s="123">
        <v>19.593999862670898</v>
      </c>
      <c r="AJ352" s="123">
        <v>17.525720596313477</v>
      </c>
      <c r="AK352" s="123">
        <v>40.526908874511719</v>
      </c>
      <c r="AL352" s="123">
        <v>38.522998809814453</v>
      </c>
      <c r="AM352" s="126">
        <v>53.501998901367188</v>
      </c>
      <c r="AN352" s="125">
        <v>121</v>
      </c>
      <c r="AO352" s="127">
        <v>63</v>
      </c>
      <c r="AP352" s="123">
        <v>64.53179931640625</v>
      </c>
      <c r="AQ352" s="123">
        <v>40.396327972412109</v>
      </c>
      <c r="AR352" s="123">
        <v>92</v>
      </c>
      <c r="AS352" s="123"/>
      <c r="AT352" s="123">
        <v>102</v>
      </c>
      <c r="AU352" s="123"/>
      <c r="AV352" s="123">
        <v>51</v>
      </c>
      <c r="AW352" s="123"/>
      <c r="AX352" s="123">
        <v>32</v>
      </c>
      <c r="AY352" s="123">
        <v>34.471954345703125</v>
      </c>
      <c r="AZ352" s="123">
        <v>5</v>
      </c>
      <c r="BA352" s="123"/>
      <c r="BB352" s="123">
        <v>182</v>
      </c>
      <c r="BC352" s="123">
        <v>186.76918029785156</v>
      </c>
      <c r="BD352" s="123">
        <v>6.5999999046325684</v>
      </c>
      <c r="BE352" s="123">
        <v>6.6837544441223145</v>
      </c>
      <c r="BF352" s="123">
        <v>31</v>
      </c>
      <c r="BG352" s="123">
        <v>10</v>
      </c>
      <c r="BH352" s="123">
        <v>10.861268997192383</v>
      </c>
      <c r="BI352" s="123"/>
      <c r="BJ352" s="108">
        <f t="shared" si="16"/>
        <v>10</v>
      </c>
      <c r="BK352" s="123">
        <v>10</v>
      </c>
      <c r="BL352" s="123">
        <v>0</v>
      </c>
      <c r="BM352" s="126"/>
      <c r="BN352" s="108">
        <f t="shared" si="17"/>
        <v>122</v>
      </c>
      <c r="BO352" s="108">
        <v>73</v>
      </c>
      <c r="BP352" s="108">
        <v>49</v>
      </c>
      <c r="BQ352" s="108">
        <v>281</v>
      </c>
      <c r="BR352" s="123">
        <v>88.214996337890625</v>
      </c>
      <c r="BS352" s="123">
        <v>23.410999298095703</v>
      </c>
      <c r="BT352" s="123">
        <v>41.562999725341797</v>
      </c>
      <c r="BU352" s="123">
        <v>34.479999542236328</v>
      </c>
      <c r="BV352" s="123">
        <v>70.300003051757813</v>
      </c>
      <c r="BW352" s="123">
        <v>6.1999998092651367</v>
      </c>
      <c r="BX352" s="123">
        <v>13.600000381469727</v>
      </c>
      <c r="BY352" s="123">
        <v>31</v>
      </c>
      <c r="BZ352" s="123">
        <v>1.5723977237939835E-2</v>
      </c>
      <c r="CA352" s="123">
        <v>1</v>
      </c>
      <c r="CB352" s="123">
        <v>31.79243278503418</v>
      </c>
      <c r="CC352" s="126"/>
      <c r="CD352" s="123">
        <v>356.61825561523438</v>
      </c>
      <c r="CE352" s="123">
        <v>35.309886932373047</v>
      </c>
      <c r="CF352" s="123">
        <v>16.965660095214844</v>
      </c>
      <c r="CG352" s="123">
        <v>35.338191986083984</v>
      </c>
      <c r="CH352" s="123">
        <v>286.0098876953125</v>
      </c>
      <c r="CI352" s="123">
        <v>85.833854675292969</v>
      </c>
      <c r="CJ352" s="123">
        <v>37.765377044677734</v>
      </c>
      <c r="CK352" s="123">
        <v>50.207614898681641</v>
      </c>
      <c r="CL352" s="124">
        <v>24.719785690307617</v>
      </c>
      <c r="CM352" s="125">
        <v>148.30023193359375</v>
      </c>
      <c r="CN352" s="123">
        <v>43.900161743164063</v>
      </c>
      <c r="CO352" s="123">
        <v>47.400787353515625</v>
      </c>
      <c r="CP352" s="123">
        <v>54.660457611083984</v>
      </c>
      <c r="CQ352" s="123">
        <v>0</v>
      </c>
      <c r="CR352" s="123">
        <v>53.788902282714844</v>
      </c>
      <c r="CS352" s="123">
        <v>9.0924177169799805</v>
      </c>
      <c r="CT352" s="123">
        <v>39.250438690185547</v>
      </c>
      <c r="CU352" s="123">
        <v>40.8021240234375</v>
      </c>
      <c r="CV352" s="124">
        <v>56.941829681396484</v>
      </c>
      <c r="CW352" s="125">
        <v>4</v>
      </c>
      <c r="CX352" s="123">
        <v>322</v>
      </c>
      <c r="CY352" s="123">
        <v>115.99031829833984</v>
      </c>
      <c r="CZ352" s="123">
        <v>51.121692657470703</v>
      </c>
      <c r="DA352" s="123">
        <v>20.833650588989258</v>
      </c>
      <c r="DB352" s="123">
        <v>36.895431518554688</v>
      </c>
      <c r="DC352" s="123">
        <v>74.801124572753906</v>
      </c>
      <c r="DD352" s="123">
        <v>55</v>
      </c>
      <c r="DE352" s="123">
        <v>172</v>
      </c>
      <c r="DF352" s="123">
        <v>100.39752197265625</v>
      </c>
      <c r="DG352" s="123">
        <v>69.5335693359375</v>
      </c>
      <c r="DH352" s="123">
        <v>41.644412994384766</v>
      </c>
      <c r="DI352" s="128">
        <v>42.644145965576172</v>
      </c>
      <c r="DJ352" s="127">
        <v>218</v>
      </c>
      <c r="DK352" s="123">
        <v>119.09100341796875</v>
      </c>
      <c r="DL352" s="123">
        <v>29.857000350952148</v>
      </c>
      <c r="DM352" s="123">
        <v>31.454999923706055</v>
      </c>
      <c r="DN352" s="123">
        <v>52.659999847412109</v>
      </c>
      <c r="DO352" s="124">
        <v>116.79914093017578</v>
      </c>
      <c r="DP352" s="125">
        <v>16.964000701904297</v>
      </c>
      <c r="DQ352" s="123"/>
      <c r="DR352" s="125">
        <v>67</v>
      </c>
      <c r="DS352" s="128">
        <v>37</v>
      </c>
      <c r="DT352" s="127">
        <v>13</v>
      </c>
      <c r="DU352" s="123"/>
      <c r="DV352" s="123">
        <v>8</v>
      </c>
      <c r="DW352" s="123">
        <v>2.8497586250305176</v>
      </c>
      <c r="DX352" s="125">
        <v>10</v>
      </c>
      <c r="DY352" s="128"/>
      <c r="DZ352" s="127">
        <v>44</v>
      </c>
      <c r="EA352" s="123">
        <v>3</v>
      </c>
      <c r="EB352" s="123">
        <v>0</v>
      </c>
      <c r="EC352" s="123">
        <v>1</v>
      </c>
      <c r="ED352" s="123">
        <v>242.30000305175781</v>
      </c>
      <c r="EE352" s="129"/>
      <c r="EF352" s="129"/>
      <c r="EG352" s="129"/>
    </row>
    <row r="353" spans="1:138" x14ac:dyDescent="0.3">
      <c r="A353" s="226">
        <f t="shared" si="18"/>
        <v>46020.242361111901</v>
      </c>
      <c r="B353" s="123">
        <v>256</v>
      </c>
      <c r="C353" s="123">
        <v>53.268001556396484</v>
      </c>
      <c r="D353" s="123">
        <v>99.299003601074219</v>
      </c>
      <c r="E353" s="123">
        <v>20.357000350952148</v>
      </c>
      <c r="F353" s="123">
        <v>7.4663395881652832</v>
      </c>
      <c r="G353" s="124">
        <v>19.677999496459961</v>
      </c>
      <c r="H353" s="125">
        <v>327</v>
      </c>
      <c r="I353" s="123">
        <v>292</v>
      </c>
      <c r="J353" s="123">
        <v>65.143997192382813</v>
      </c>
      <c r="K353" s="123">
        <v>63.2635498046875</v>
      </c>
      <c r="L353" s="123">
        <v>48.949001312255859</v>
      </c>
      <c r="M353" s="123">
        <v>13.684000015258789</v>
      </c>
      <c r="N353" s="123">
        <v>17.048999786376953</v>
      </c>
      <c r="O353" s="123">
        <v>19</v>
      </c>
      <c r="P353" s="123">
        <v>0</v>
      </c>
      <c r="Q353" s="123">
        <v>20.770633697509766</v>
      </c>
      <c r="R353" s="123">
        <v>13.003125190734863</v>
      </c>
      <c r="S353" s="123">
        <v>12.848865509033203</v>
      </c>
      <c r="T353" s="123">
        <v>9</v>
      </c>
      <c r="U353" s="123">
        <v>9</v>
      </c>
      <c r="V353" s="125">
        <v>917</v>
      </c>
      <c r="W353" s="123">
        <v>28.891595840454102</v>
      </c>
      <c r="X353" s="123">
        <v>24.993999481201172</v>
      </c>
      <c r="Y353" s="123">
        <v>6.4250001907348633</v>
      </c>
      <c r="Z353" s="123">
        <v>0</v>
      </c>
      <c r="AA353" s="123">
        <v>19.791999816894531</v>
      </c>
      <c r="AB353" s="123">
        <v>0</v>
      </c>
      <c r="AC353" s="123">
        <v>56.661685943603516</v>
      </c>
      <c r="AD353" s="123">
        <v>6.1069998741149902</v>
      </c>
      <c r="AE353" s="123">
        <v>0</v>
      </c>
      <c r="AF353" s="123">
        <v>88.136367797851563</v>
      </c>
      <c r="AG353" s="123">
        <v>0</v>
      </c>
      <c r="AH353" s="123">
        <v>69.182609558105469</v>
      </c>
      <c r="AI353" s="123">
        <v>18.003000259399414</v>
      </c>
      <c r="AJ353" s="123">
        <v>17.020757675170898</v>
      </c>
      <c r="AK353" s="123">
        <v>39.967876434326172</v>
      </c>
      <c r="AL353" s="123">
        <v>37.816001892089844</v>
      </c>
      <c r="AM353" s="126">
        <v>55.918998718261719</v>
      </c>
      <c r="AN353" s="125">
        <v>122.1875</v>
      </c>
      <c r="AO353" s="127">
        <v>62</v>
      </c>
      <c r="AP353" s="123">
        <v>64.118728637695313</v>
      </c>
      <c r="AQ353" s="123">
        <v>38.581321716308594</v>
      </c>
      <c r="AR353" s="123">
        <v>90</v>
      </c>
      <c r="AS353" s="123"/>
      <c r="AT353" s="123">
        <v>103</v>
      </c>
      <c r="AU353" s="123"/>
      <c r="AV353" s="123">
        <v>51</v>
      </c>
      <c r="AW353" s="123"/>
      <c r="AX353" s="123">
        <v>30</v>
      </c>
      <c r="AY353" s="123">
        <v>33.304653167724609</v>
      </c>
      <c r="AZ353" s="123">
        <v>5</v>
      </c>
      <c r="BA353" s="123"/>
      <c r="BB353" s="123">
        <v>180</v>
      </c>
      <c r="BC353" s="123">
        <v>186.59515380859375</v>
      </c>
      <c r="BD353" s="123">
        <v>6.8000001907348633</v>
      </c>
      <c r="BE353" s="123">
        <v>6.6837544441223145</v>
      </c>
      <c r="BF353" s="123">
        <v>31</v>
      </c>
      <c r="BG353" s="123">
        <v>10</v>
      </c>
      <c r="BH353" s="123">
        <v>10.90023136138916</v>
      </c>
      <c r="BI353" s="123"/>
      <c r="BJ353" s="108">
        <f t="shared" si="16"/>
        <v>11</v>
      </c>
      <c r="BK353" s="123">
        <v>11</v>
      </c>
      <c r="BL353" s="123">
        <v>0</v>
      </c>
      <c r="BM353" s="126"/>
      <c r="BN353" s="108">
        <f t="shared" si="17"/>
        <v>120.20000076293945</v>
      </c>
      <c r="BO353" s="108">
        <v>72</v>
      </c>
      <c r="BP353" s="108">
        <v>48.200000762939453</v>
      </c>
      <c r="BQ353" s="108">
        <v>286</v>
      </c>
      <c r="BR353" s="123">
        <v>82.108001708984375</v>
      </c>
      <c r="BS353" s="123">
        <v>23.665000915527344</v>
      </c>
      <c r="BT353" s="123">
        <v>42.602001190185547</v>
      </c>
      <c r="BU353" s="123">
        <v>34.924999237060547</v>
      </c>
      <c r="BV353" s="123">
        <v>69.699996948242188</v>
      </c>
      <c r="BW353" s="123">
        <v>6.1999998092651367</v>
      </c>
      <c r="BX353" s="123">
        <v>13.600000381469727</v>
      </c>
      <c r="BY353" s="123">
        <v>30</v>
      </c>
      <c r="BZ353" s="123">
        <v>1.5303600579500198E-2</v>
      </c>
      <c r="CA353" s="123">
        <v>0</v>
      </c>
      <c r="CB353" s="123">
        <v>31.79243278503418</v>
      </c>
      <c r="CC353" s="126"/>
      <c r="CD353" s="123">
        <v>355.43399047851563</v>
      </c>
      <c r="CE353" s="123">
        <v>35.557289123535156</v>
      </c>
      <c r="CF353" s="123">
        <v>17.543716430664063</v>
      </c>
      <c r="CG353" s="123">
        <v>35.338191986083984</v>
      </c>
      <c r="CH353" s="123">
        <v>284.76022338867188</v>
      </c>
      <c r="CI353" s="123">
        <v>83.918983459472656</v>
      </c>
      <c r="CJ353" s="123">
        <v>37.765377044677734</v>
      </c>
      <c r="CK353" s="123">
        <v>45.929725646972656</v>
      </c>
      <c r="CL353" s="124">
        <v>26.326627731323242</v>
      </c>
      <c r="CM353" s="125">
        <v>153.58683776855469</v>
      </c>
      <c r="CN353" s="123">
        <v>45.342529296875</v>
      </c>
      <c r="CO353" s="123">
        <v>49.196834564208984</v>
      </c>
      <c r="CP353" s="123">
        <v>54.490673065185547</v>
      </c>
      <c r="CQ353" s="123">
        <v>0</v>
      </c>
      <c r="CR353" s="123">
        <v>54.525501251220703</v>
      </c>
      <c r="CS353" s="123">
        <v>8.4074468612670898</v>
      </c>
      <c r="CT353" s="123">
        <v>38.787075042724609</v>
      </c>
      <c r="CU353" s="123">
        <v>38.713886260986328</v>
      </c>
      <c r="CV353" s="124">
        <v>58.100322723388672</v>
      </c>
      <c r="CW353" s="125">
        <v>11</v>
      </c>
      <c r="CX353" s="123">
        <v>322</v>
      </c>
      <c r="CY353" s="123">
        <v>117.39464569091797</v>
      </c>
      <c r="CZ353" s="123">
        <v>54.505485534667969</v>
      </c>
      <c r="DA353" s="123">
        <v>20.833650588989258</v>
      </c>
      <c r="DB353" s="123">
        <v>36.437236785888672</v>
      </c>
      <c r="DC353" s="123">
        <v>75.665107727050781</v>
      </c>
      <c r="DD353" s="123">
        <v>60</v>
      </c>
      <c r="DE353" s="123">
        <v>171</v>
      </c>
      <c r="DF353" s="123">
        <v>96.687019348144531</v>
      </c>
      <c r="DG353" s="123">
        <v>66.101249694824219</v>
      </c>
      <c r="DH353" s="123">
        <v>39.228282928466797</v>
      </c>
      <c r="DI353" s="128">
        <v>40.275245666503906</v>
      </c>
      <c r="DJ353" s="127">
        <v>218</v>
      </c>
      <c r="DK353" s="123">
        <v>118.072998046875</v>
      </c>
      <c r="DL353" s="123">
        <v>25.673000335693359</v>
      </c>
      <c r="DM353" s="123">
        <v>28.451000213623047</v>
      </c>
      <c r="DN353" s="123">
        <v>54.074001312255859</v>
      </c>
      <c r="DO353" s="124">
        <v>117.05157470703125</v>
      </c>
      <c r="DP353" s="125">
        <v>16.08799934387207</v>
      </c>
      <c r="DQ353" s="123"/>
      <c r="DR353" s="125">
        <v>67</v>
      </c>
      <c r="DS353" s="128">
        <v>36.200000762939453</v>
      </c>
      <c r="DT353" s="127">
        <v>12</v>
      </c>
      <c r="DU353" s="123"/>
      <c r="DV353" s="123">
        <v>8</v>
      </c>
      <c r="DW353" s="123">
        <v>2.7325654029846191</v>
      </c>
      <c r="DX353" s="125">
        <v>12</v>
      </c>
      <c r="DY353" s="128"/>
      <c r="DZ353" s="127">
        <v>44</v>
      </c>
      <c r="EA353" s="123">
        <v>3</v>
      </c>
      <c r="EB353" s="123">
        <v>0</v>
      </c>
      <c r="EC353" s="123">
        <v>29</v>
      </c>
      <c r="ED353" s="123">
        <v>231.10000610351563</v>
      </c>
      <c r="EE353" s="129"/>
      <c r="EF353" s="129"/>
      <c r="EG353" s="129"/>
    </row>
    <row r="354" spans="1:138" x14ac:dyDescent="0.3">
      <c r="A354" s="226">
        <f t="shared" si="18"/>
        <v>46020.243055556348</v>
      </c>
      <c r="B354" s="123">
        <v>252</v>
      </c>
      <c r="C354" s="123">
        <v>51.685001373291016</v>
      </c>
      <c r="D354" s="123">
        <v>98.280998229980469</v>
      </c>
      <c r="E354" s="123">
        <v>22.844999313354492</v>
      </c>
      <c r="F354" s="123">
        <v>12.04631519317627</v>
      </c>
      <c r="G354" s="124">
        <v>18.886999130249023</v>
      </c>
      <c r="H354" s="125">
        <v>328</v>
      </c>
      <c r="I354" s="123">
        <v>295</v>
      </c>
      <c r="J354" s="123">
        <v>60.166999816894531</v>
      </c>
      <c r="K354" s="123">
        <v>63.553749084472656</v>
      </c>
      <c r="L354" s="123">
        <v>50.362998962402344</v>
      </c>
      <c r="M354" s="123">
        <v>14.47599983215332</v>
      </c>
      <c r="N354" s="123">
        <v>16.985000610351563</v>
      </c>
      <c r="O354" s="123">
        <v>19</v>
      </c>
      <c r="P354" s="123">
        <v>0</v>
      </c>
      <c r="Q354" s="123">
        <v>20.5301513671875</v>
      </c>
      <c r="R354" s="123">
        <v>12</v>
      </c>
      <c r="S354" s="123">
        <v>11.395537376403809</v>
      </c>
      <c r="T354" s="123">
        <v>0</v>
      </c>
      <c r="U354" s="123">
        <v>0</v>
      </c>
      <c r="V354" s="125">
        <v>916</v>
      </c>
      <c r="W354" s="123">
        <v>28.599456787109375</v>
      </c>
      <c r="X354" s="123">
        <v>25.333000183105469</v>
      </c>
      <c r="Y354" s="123">
        <v>8.0790004730224609</v>
      </c>
      <c r="Z354" s="123">
        <v>0</v>
      </c>
      <c r="AA354" s="123">
        <v>17.530000686645508</v>
      </c>
      <c r="AB354" s="123">
        <v>0</v>
      </c>
      <c r="AC354" s="123">
        <v>56.797412872314453</v>
      </c>
      <c r="AD354" s="123">
        <v>5.5980000495910645</v>
      </c>
      <c r="AE354" s="123">
        <v>0</v>
      </c>
      <c r="AF354" s="123">
        <v>90.624008178710938</v>
      </c>
      <c r="AG354" s="123">
        <v>0</v>
      </c>
      <c r="AH354" s="123">
        <v>67.284843444824219</v>
      </c>
      <c r="AI354" s="123">
        <v>15.012999534606934</v>
      </c>
      <c r="AJ354" s="123">
        <v>16.130710601806641</v>
      </c>
      <c r="AK354" s="123">
        <v>39.205146789550781</v>
      </c>
      <c r="AL354" s="123">
        <v>37.993000030517578</v>
      </c>
      <c r="AM354" s="126">
        <v>56.046001434326172</v>
      </c>
      <c r="AN354" s="125">
        <v>127.4375</v>
      </c>
      <c r="AO354" s="127">
        <v>65</v>
      </c>
      <c r="AP354" s="123">
        <v>64.3485107421875</v>
      </c>
      <c r="AQ354" s="123">
        <v>42.612350463867188</v>
      </c>
      <c r="AR354" s="123">
        <v>90</v>
      </c>
      <c r="AS354" s="123"/>
      <c r="AT354" s="123">
        <v>103</v>
      </c>
      <c r="AU354" s="123"/>
      <c r="AV354" s="123">
        <v>52</v>
      </c>
      <c r="AW354" s="123"/>
      <c r="AX354" s="123">
        <v>31</v>
      </c>
      <c r="AY354" s="123">
        <v>33.609199523925781</v>
      </c>
      <c r="AZ354" s="123">
        <v>6</v>
      </c>
      <c r="BA354" s="123"/>
      <c r="BB354" s="123">
        <v>181</v>
      </c>
      <c r="BC354" s="123">
        <v>187.39454650878906</v>
      </c>
      <c r="BD354" s="123">
        <v>7.1999998092651367</v>
      </c>
      <c r="BE354" s="123">
        <v>7.3013501167297363</v>
      </c>
      <c r="BF354" s="123">
        <v>31</v>
      </c>
      <c r="BG354" s="123">
        <v>10</v>
      </c>
      <c r="BH354" s="123">
        <v>11.12047290802002</v>
      </c>
      <c r="BI354" s="123"/>
      <c r="BJ354" s="108">
        <f t="shared" si="16"/>
        <v>11</v>
      </c>
      <c r="BK354" s="123">
        <v>11</v>
      </c>
      <c r="BL354" s="123">
        <v>0</v>
      </c>
      <c r="BM354" s="126"/>
      <c r="BN354" s="108">
        <f t="shared" si="17"/>
        <v>121.20000076293945</v>
      </c>
      <c r="BO354" s="108">
        <v>73</v>
      </c>
      <c r="BP354" s="108">
        <v>48.200000762939453</v>
      </c>
      <c r="BQ354" s="108">
        <v>284</v>
      </c>
      <c r="BR354" s="123">
        <v>78.375999450683594</v>
      </c>
      <c r="BS354" s="123">
        <v>24.173999786376953</v>
      </c>
      <c r="BT354" s="123">
        <v>41.562999725341797</v>
      </c>
      <c r="BU354" s="123">
        <v>36.198001861572266</v>
      </c>
      <c r="BV354" s="123">
        <v>70</v>
      </c>
      <c r="BW354" s="123">
        <v>6.3000001907348633</v>
      </c>
      <c r="BX354" s="123">
        <v>13.899999618530273</v>
      </c>
      <c r="BY354" s="123">
        <v>29</v>
      </c>
      <c r="BZ354" s="123">
        <v>1.5303600579500198E-2</v>
      </c>
      <c r="CA354" s="123">
        <v>0</v>
      </c>
      <c r="CB354" s="123">
        <v>31.607505798339844</v>
      </c>
      <c r="CC354" s="126"/>
      <c r="CD354" s="123">
        <v>352.19720458984375</v>
      </c>
      <c r="CE354" s="123">
        <v>37.485347747802734</v>
      </c>
      <c r="CF354" s="123">
        <v>17.252729415893555</v>
      </c>
      <c r="CG354" s="123">
        <v>35.338191986083984</v>
      </c>
      <c r="CH354" s="123">
        <v>284.07833862304688</v>
      </c>
      <c r="CI354" s="123">
        <v>82.466850280761719</v>
      </c>
      <c r="CJ354" s="123">
        <v>36.998615264892578</v>
      </c>
      <c r="CK354" s="123">
        <v>46.598361968994141</v>
      </c>
      <c r="CL354" s="124">
        <v>23.840951919555664</v>
      </c>
      <c r="CM354" s="125">
        <v>161.28919982910156</v>
      </c>
      <c r="CN354" s="123">
        <v>49.404933929443359</v>
      </c>
      <c r="CO354" s="123">
        <v>49.645065307617188</v>
      </c>
      <c r="CP354" s="123">
        <v>53.944278717041016</v>
      </c>
      <c r="CQ354" s="123">
        <v>0</v>
      </c>
      <c r="CR354" s="123">
        <v>53.419837951660156</v>
      </c>
      <c r="CS354" s="123">
        <v>7.273402214050293</v>
      </c>
      <c r="CT354" s="123">
        <v>37.832622528076172</v>
      </c>
      <c r="CU354" s="123">
        <v>39.3206787109375</v>
      </c>
      <c r="CV354" s="124">
        <v>57.580917358398438</v>
      </c>
      <c r="CW354" s="125">
        <v>3</v>
      </c>
      <c r="CX354" s="123">
        <v>322</v>
      </c>
      <c r="CY354" s="123">
        <v>116.55891418457031</v>
      </c>
      <c r="CZ354" s="123">
        <v>52.421401977539063</v>
      </c>
      <c r="DA354" s="123">
        <v>22.60968017578125</v>
      </c>
      <c r="DB354" s="123">
        <v>33.941638946533203</v>
      </c>
      <c r="DC354" s="123">
        <v>75.343856811523438</v>
      </c>
      <c r="DD354" s="123">
        <v>54</v>
      </c>
      <c r="DE354" s="123">
        <v>171</v>
      </c>
      <c r="DF354" s="123">
        <v>98.302764892578125</v>
      </c>
      <c r="DG354" s="123">
        <v>66.954505920410156</v>
      </c>
      <c r="DH354" s="123">
        <v>40.245704650878906</v>
      </c>
      <c r="DI354" s="128">
        <v>40.275245666503906</v>
      </c>
      <c r="DJ354" s="127">
        <v>227</v>
      </c>
      <c r="DK354" s="123">
        <v>123.92600250244141</v>
      </c>
      <c r="DL354" s="123">
        <v>32.571998596191406</v>
      </c>
      <c r="DM354" s="123">
        <v>30.570999145507813</v>
      </c>
      <c r="DN354" s="123">
        <v>54.780998229980469</v>
      </c>
      <c r="DO354" s="124">
        <v>119.07180023193359</v>
      </c>
      <c r="DP354" s="125">
        <v>15.579000473022461</v>
      </c>
      <c r="DQ354" s="123"/>
      <c r="DR354" s="125">
        <v>67</v>
      </c>
      <c r="DS354" s="128">
        <v>37.599998474121094</v>
      </c>
      <c r="DT354" s="127">
        <v>13</v>
      </c>
      <c r="DU354" s="123"/>
      <c r="DV354" s="123">
        <v>8</v>
      </c>
      <c r="DW354" s="123">
        <v>2.6821787357330322</v>
      </c>
      <c r="DX354" s="125">
        <v>11</v>
      </c>
      <c r="DY354" s="128"/>
      <c r="DZ354" s="127">
        <v>43</v>
      </c>
      <c r="EA354" s="123">
        <v>3</v>
      </c>
      <c r="EB354" s="123">
        <v>0</v>
      </c>
      <c r="EC354" s="123">
        <v>29</v>
      </c>
      <c r="ED354" s="123">
        <v>232.5</v>
      </c>
      <c r="EE354" s="129"/>
      <c r="EF354" s="129"/>
      <c r="EG354" s="129"/>
    </row>
    <row r="355" spans="1:138" x14ac:dyDescent="0.3">
      <c r="A355" s="226">
        <f t="shared" si="18"/>
        <v>46020.243750000795</v>
      </c>
      <c r="B355" s="123">
        <v>258</v>
      </c>
      <c r="C355" s="123">
        <v>53.721000671386719</v>
      </c>
      <c r="D355" s="123">
        <v>99.072998046875</v>
      </c>
      <c r="E355" s="123">
        <v>19.339000701904297</v>
      </c>
      <c r="F355" s="123">
        <v>21.113279342651367</v>
      </c>
      <c r="G355" s="124">
        <v>20.809000015258789</v>
      </c>
      <c r="H355" s="125">
        <v>327</v>
      </c>
      <c r="I355" s="123">
        <v>297</v>
      </c>
      <c r="J355" s="123">
        <v>61.63800048828125</v>
      </c>
      <c r="K355" s="123">
        <v>62.391067504882813</v>
      </c>
      <c r="L355" s="123">
        <v>48.772998809814453</v>
      </c>
      <c r="M355" s="123">
        <v>13.458000183105469</v>
      </c>
      <c r="N355" s="123">
        <v>17.875999450683594</v>
      </c>
      <c r="O355" s="123">
        <v>22</v>
      </c>
      <c r="P355" s="123">
        <v>0</v>
      </c>
      <c r="Q355" s="123">
        <v>22.637222290039063</v>
      </c>
      <c r="R355" s="123">
        <v>15</v>
      </c>
      <c r="S355" s="123">
        <v>13.054166793823242</v>
      </c>
      <c r="T355" s="123">
        <v>0</v>
      </c>
      <c r="U355" s="123">
        <v>0</v>
      </c>
      <c r="V355" s="125">
        <v>913</v>
      </c>
      <c r="W355" s="123">
        <v>27.888458251953125</v>
      </c>
      <c r="X355" s="123">
        <v>24.655000686645508</v>
      </c>
      <c r="Y355" s="123">
        <v>7.125</v>
      </c>
      <c r="Z355" s="123">
        <v>0</v>
      </c>
      <c r="AA355" s="123">
        <v>17.868999481201172</v>
      </c>
      <c r="AB355" s="123">
        <v>0</v>
      </c>
      <c r="AC355" s="123">
        <v>57.850032806396484</v>
      </c>
      <c r="AD355" s="123">
        <v>5.8520002365112305</v>
      </c>
      <c r="AE355" s="123">
        <v>0</v>
      </c>
      <c r="AF355" s="123">
        <v>89.25714111328125</v>
      </c>
      <c r="AG355" s="123">
        <v>0</v>
      </c>
      <c r="AH355" s="123">
        <v>64.354782104492188</v>
      </c>
      <c r="AI355" s="123">
        <v>16.922000885009766</v>
      </c>
      <c r="AJ355" s="123">
        <v>19.566320419311523</v>
      </c>
      <c r="AK355" s="123">
        <v>39.602027893066406</v>
      </c>
      <c r="AL355" s="123">
        <v>36.756000518798828</v>
      </c>
      <c r="AM355" s="126">
        <v>54.519001007080078</v>
      </c>
      <c r="AN355" s="125">
        <v>196.6875</v>
      </c>
      <c r="AO355" s="127">
        <v>104</v>
      </c>
      <c r="AP355" s="123">
        <v>64.858749389648438</v>
      </c>
      <c r="AQ355" s="123">
        <v>71.725700378417969</v>
      </c>
      <c r="AR355" s="123">
        <v>91</v>
      </c>
      <c r="AS355" s="123"/>
      <c r="AT355" s="123">
        <v>104</v>
      </c>
      <c r="AU355" s="123"/>
      <c r="AV355" s="123">
        <v>53</v>
      </c>
      <c r="AW355" s="123"/>
      <c r="AX355" s="123">
        <v>30</v>
      </c>
      <c r="AY355" s="123">
        <v>33.324302673339844</v>
      </c>
      <c r="AZ355" s="123">
        <v>6</v>
      </c>
      <c r="BA355" s="123"/>
      <c r="BB355" s="123">
        <v>180</v>
      </c>
      <c r="BC355" s="123">
        <v>185.51441955566406</v>
      </c>
      <c r="BD355" s="123">
        <v>6.9000000953674316</v>
      </c>
      <c r="BE355" s="123">
        <v>7.0259852409362793</v>
      </c>
      <c r="BF355" s="123">
        <v>31</v>
      </c>
      <c r="BG355" s="123">
        <v>10</v>
      </c>
      <c r="BH355" s="123">
        <v>10.940217018127441</v>
      </c>
      <c r="BI355" s="123"/>
      <c r="BJ355" s="108">
        <f t="shared" si="16"/>
        <v>11</v>
      </c>
      <c r="BK355" s="123">
        <v>11</v>
      </c>
      <c r="BL355" s="123">
        <v>0</v>
      </c>
      <c r="BM355" s="126"/>
      <c r="BN355" s="108">
        <f t="shared" si="17"/>
        <v>121.20000076293945</v>
      </c>
      <c r="BO355" s="108">
        <v>72</v>
      </c>
      <c r="BP355" s="108">
        <v>49.200000762939453</v>
      </c>
      <c r="BQ355" s="108">
        <v>288</v>
      </c>
      <c r="BR355" s="123">
        <v>87.310997009277344</v>
      </c>
      <c r="BS355" s="123">
        <v>25.954999923706055</v>
      </c>
      <c r="BT355" s="123">
        <v>40.869998931884766</v>
      </c>
      <c r="BU355" s="123">
        <v>36.388999938964844</v>
      </c>
      <c r="BV355" s="123">
        <v>71.199996948242188</v>
      </c>
      <c r="BW355" s="123">
        <v>6.4000000953674316</v>
      </c>
      <c r="BX355" s="123">
        <v>13.899999618530273</v>
      </c>
      <c r="BY355" s="123">
        <v>31</v>
      </c>
      <c r="BZ355" s="123">
        <v>1.3455875217914581E-2</v>
      </c>
      <c r="CA355" s="123">
        <v>0</v>
      </c>
      <c r="CB355" s="123">
        <v>31.651300430297852</v>
      </c>
      <c r="CC355" s="126"/>
      <c r="CD355" s="123">
        <v>348.672607421875</v>
      </c>
      <c r="CE355" s="123">
        <v>37.42547607421875</v>
      </c>
      <c r="CF355" s="123">
        <v>16.781455993652344</v>
      </c>
      <c r="CG355" s="123">
        <v>35.338191986083984</v>
      </c>
      <c r="CH355" s="123">
        <v>282.29544067382813</v>
      </c>
      <c r="CI355" s="123">
        <v>82.829605102539063</v>
      </c>
      <c r="CJ355" s="123">
        <v>35.413341522216797</v>
      </c>
      <c r="CK355" s="123">
        <v>49.110809326171875</v>
      </c>
      <c r="CL355" s="124">
        <v>23.121084213256836</v>
      </c>
      <c r="CM355" s="125">
        <v>160.7840576171875</v>
      </c>
      <c r="CN355" s="123">
        <v>37.624500274658203</v>
      </c>
      <c r="CO355" s="123">
        <v>48.135795593261719</v>
      </c>
      <c r="CP355" s="123">
        <v>53.931781768798828</v>
      </c>
      <c r="CQ355" s="123">
        <v>0</v>
      </c>
      <c r="CR355" s="123">
        <v>53.991012573242188</v>
      </c>
      <c r="CS355" s="123">
        <v>7.5582413673400879</v>
      </c>
      <c r="CT355" s="123">
        <v>34.511867523193359</v>
      </c>
      <c r="CU355" s="123">
        <v>38.185886383056641</v>
      </c>
      <c r="CV355" s="124">
        <v>59.592617034912109</v>
      </c>
      <c r="CW355" s="125">
        <v>3</v>
      </c>
      <c r="CX355" s="123">
        <v>320</v>
      </c>
      <c r="CY355" s="123">
        <v>116.05713653564453</v>
      </c>
      <c r="CZ355" s="123">
        <v>54.794967651367188</v>
      </c>
      <c r="DA355" s="123">
        <v>22.080280303955078</v>
      </c>
      <c r="DB355" s="123">
        <v>32.303592681884766</v>
      </c>
      <c r="DC355" s="123">
        <v>77.070579528808594</v>
      </c>
      <c r="DD355" s="123">
        <v>60</v>
      </c>
      <c r="DE355" s="123">
        <v>170</v>
      </c>
      <c r="DF355" s="123">
        <v>100.60289001464844</v>
      </c>
      <c r="DG355" s="123">
        <v>68.577247619628906</v>
      </c>
      <c r="DH355" s="123">
        <v>42.805610656738281</v>
      </c>
      <c r="DI355" s="128">
        <v>44.078346252441406</v>
      </c>
      <c r="DJ355" s="127">
        <v>224</v>
      </c>
      <c r="DK355" s="123">
        <v>119.09100341796875</v>
      </c>
      <c r="DL355" s="123">
        <v>32.118999481201172</v>
      </c>
      <c r="DM355" s="123">
        <v>30.74799919128418</v>
      </c>
      <c r="DN355" s="123">
        <v>50.186000823974609</v>
      </c>
      <c r="DO355" s="124">
        <v>117.14094543457031</v>
      </c>
      <c r="DP355" s="125">
        <v>15.833000183105469</v>
      </c>
      <c r="DQ355" s="123"/>
      <c r="DR355" s="125">
        <v>67</v>
      </c>
      <c r="DS355" s="128">
        <v>35.900001525878906</v>
      </c>
      <c r="DT355" s="127">
        <v>13</v>
      </c>
      <c r="DU355" s="123"/>
      <c r="DV355" s="123">
        <v>7</v>
      </c>
      <c r="DW355" s="123">
        <v>2.7561995983123779</v>
      </c>
      <c r="DX355" s="125">
        <v>11</v>
      </c>
      <c r="DY355" s="128"/>
      <c r="DZ355" s="127">
        <v>44</v>
      </c>
      <c r="EA355" s="123">
        <v>3</v>
      </c>
      <c r="EB355" s="123">
        <v>0</v>
      </c>
      <c r="EC355" s="123">
        <v>29</v>
      </c>
      <c r="ED355" s="123">
        <v>246.30000305175781</v>
      </c>
      <c r="EE355" s="129"/>
      <c r="EF355" s="129"/>
      <c r="EG355" s="129"/>
    </row>
    <row r="356" spans="1:138" x14ac:dyDescent="0.3">
      <c r="A356" s="226">
        <f t="shared" si="18"/>
        <v>46020.244444445241</v>
      </c>
      <c r="B356" s="123">
        <v>260</v>
      </c>
      <c r="C356" s="123">
        <v>55.756000518798828</v>
      </c>
      <c r="D356" s="123">
        <v>99.863998413085938</v>
      </c>
      <c r="E356" s="123">
        <v>22.052999496459961</v>
      </c>
      <c r="F356" s="123">
        <v>15.179068565368652</v>
      </c>
      <c r="G356" s="124">
        <v>20.017999649047852</v>
      </c>
      <c r="H356" s="125">
        <v>327</v>
      </c>
      <c r="I356" s="123">
        <v>290</v>
      </c>
      <c r="J356" s="123">
        <v>61.977001190185547</v>
      </c>
      <c r="K356" s="123">
        <v>61.608715057373047</v>
      </c>
      <c r="L356" s="123">
        <v>53.191001892089844</v>
      </c>
      <c r="M356" s="123">
        <v>13.571000099182129</v>
      </c>
      <c r="N356" s="123">
        <v>17.812000274658203</v>
      </c>
      <c r="O356" s="123">
        <v>22</v>
      </c>
      <c r="P356" s="123">
        <v>0</v>
      </c>
      <c r="Q356" s="123">
        <v>21.011249542236328</v>
      </c>
      <c r="R356" s="123">
        <v>10.996874809265137</v>
      </c>
      <c r="S356" s="123">
        <v>11.483343124389648</v>
      </c>
      <c r="T356" s="123">
        <v>0</v>
      </c>
      <c r="U356" s="123">
        <v>0</v>
      </c>
      <c r="V356" s="125">
        <v>908</v>
      </c>
      <c r="W356" s="123">
        <v>27.698171615600586</v>
      </c>
      <c r="X356" s="123">
        <v>23.97599983215332</v>
      </c>
      <c r="Y356" s="123">
        <v>7.6339998245239258</v>
      </c>
      <c r="Z356" s="123">
        <v>0</v>
      </c>
      <c r="AA356" s="123">
        <v>17.868999481201172</v>
      </c>
      <c r="AB356" s="123">
        <v>0</v>
      </c>
      <c r="AC356" s="123">
        <v>56.97442626953125</v>
      </c>
      <c r="AD356" s="123">
        <v>6.1069998741149902</v>
      </c>
      <c r="AE356" s="123">
        <v>0</v>
      </c>
      <c r="AF356" s="123">
        <v>89.043167114257813</v>
      </c>
      <c r="AG356" s="123">
        <v>0</v>
      </c>
      <c r="AH356" s="123">
        <v>65.312896728515625</v>
      </c>
      <c r="AI356" s="123">
        <v>18.702999114990234</v>
      </c>
      <c r="AJ356" s="123">
        <v>17.715721130371094</v>
      </c>
      <c r="AK356" s="123">
        <v>40.407615661621094</v>
      </c>
      <c r="AL356" s="123">
        <v>35.695999145507813</v>
      </c>
      <c r="AM356" s="126">
        <v>56.363998413085938</v>
      </c>
      <c r="AN356" s="125">
        <v>196.6875</v>
      </c>
      <c r="AO356" s="127">
        <v>106</v>
      </c>
      <c r="AP356" s="123">
        <v>65.948753356933594</v>
      </c>
      <c r="AQ356" s="123">
        <v>74.833122253417969</v>
      </c>
      <c r="AR356" s="123">
        <v>90</v>
      </c>
      <c r="AS356" s="123"/>
      <c r="AT356" s="123">
        <v>104</v>
      </c>
      <c r="AU356" s="123"/>
      <c r="AV356" s="123">
        <v>53</v>
      </c>
      <c r="AW356" s="123"/>
      <c r="AX356" s="123">
        <v>32</v>
      </c>
      <c r="AY356" s="123">
        <v>34.777133941650391</v>
      </c>
      <c r="AZ356" s="123">
        <v>6</v>
      </c>
      <c r="BA356" s="123"/>
      <c r="BB356" s="123">
        <v>180</v>
      </c>
      <c r="BC356" s="123">
        <v>183.99302673339844</v>
      </c>
      <c r="BD356" s="123">
        <v>6.9000000953674316</v>
      </c>
      <c r="BE356" s="123">
        <v>7.0259852409362793</v>
      </c>
      <c r="BF356" s="123">
        <v>30</v>
      </c>
      <c r="BG356" s="123">
        <v>10</v>
      </c>
      <c r="BH356" s="123">
        <v>10.96616268157959</v>
      </c>
      <c r="BI356" s="123"/>
      <c r="BJ356" s="108">
        <f t="shared" si="16"/>
        <v>11</v>
      </c>
      <c r="BK356" s="123">
        <v>11</v>
      </c>
      <c r="BL356" s="123">
        <v>0</v>
      </c>
      <c r="BM356" s="126"/>
      <c r="BN356" s="108">
        <f t="shared" si="17"/>
        <v>121</v>
      </c>
      <c r="BO356" s="108">
        <v>72</v>
      </c>
      <c r="BP356" s="108">
        <v>49</v>
      </c>
      <c r="BQ356" s="108">
        <v>287</v>
      </c>
      <c r="BR356" s="123">
        <v>84.822998046875</v>
      </c>
      <c r="BS356" s="123">
        <v>24.937000274658203</v>
      </c>
      <c r="BT356" s="123">
        <v>41.215999603271484</v>
      </c>
      <c r="BU356" s="123">
        <v>37.660999298095703</v>
      </c>
      <c r="BV356" s="123">
        <v>70.300003051757813</v>
      </c>
      <c r="BW356" s="123">
        <v>6.5</v>
      </c>
      <c r="BX356" s="123">
        <v>13.699999809265137</v>
      </c>
      <c r="BY356" s="123">
        <v>31</v>
      </c>
      <c r="BZ356" s="123">
        <v>1.3455875217914581E-2</v>
      </c>
      <c r="CA356" s="123">
        <v>0</v>
      </c>
      <c r="CB356" s="123">
        <v>31.696006774902344</v>
      </c>
      <c r="CC356" s="126"/>
      <c r="CD356" s="123">
        <v>348.01486206054688</v>
      </c>
      <c r="CE356" s="123">
        <v>34.177711486816406</v>
      </c>
      <c r="CF356" s="123">
        <v>16.841342926025391</v>
      </c>
      <c r="CG356" s="123">
        <v>35.338191986083984</v>
      </c>
      <c r="CH356" s="123">
        <v>281.01898193359375</v>
      </c>
      <c r="CI356" s="123">
        <v>82.273223876953125</v>
      </c>
      <c r="CJ356" s="123">
        <v>37.708992004394531</v>
      </c>
      <c r="CK356" s="123">
        <v>48.396915435791016</v>
      </c>
      <c r="CL356" s="124">
        <v>25.112327575683594</v>
      </c>
      <c r="CM356" s="125">
        <v>211.01022338867188</v>
      </c>
      <c r="CN356" s="123">
        <v>69.500679016113281</v>
      </c>
      <c r="CO356" s="123">
        <v>48.941661834716797</v>
      </c>
      <c r="CP356" s="123">
        <v>88.690689086914063</v>
      </c>
      <c r="CQ356" s="123">
        <v>0</v>
      </c>
      <c r="CR356" s="123">
        <v>54.373794555664063</v>
      </c>
      <c r="CS356" s="123">
        <v>7.3970613479614258</v>
      </c>
      <c r="CT356" s="123">
        <v>36.513999938964844</v>
      </c>
      <c r="CU356" s="123">
        <v>37.929031372070313</v>
      </c>
      <c r="CV356" s="124">
        <v>59.642284393310547</v>
      </c>
      <c r="CW356" s="125">
        <v>3</v>
      </c>
      <c r="CX356" s="123">
        <v>320</v>
      </c>
      <c r="CY356" s="123">
        <v>115.49506378173828</v>
      </c>
      <c r="CZ356" s="123">
        <v>55.457832336425781</v>
      </c>
      <c r="DA356" s="123">
        <v>19.840757369995117</v>
      </c>
      <c r="DB356" s="123">
        <v>32.890750885009766</v>
      </c>
      <c r="DC356" s="123">
        <v>79.311416625976563</v>
      </c>
      <c r="DD356" s="123">
        <v>60</v>
      </c>
      <c r="DE356" s="123">
        <v>171</v>
      </c>
      <c r="DF356" s="123">
        <v>101.74859619140625</v>
      </c>
      <c r="DG356" s="123">
        <v>69.226409912109375</v>
      </c>
      <c r="DH356" s="123">
        <v>43.084659576416016</v>
      </c>
      <c r="DI356" s="128">
        <v>40.542644500732422</v>
      </c>
      <c r="DJ356" s="127">
        <v>224</v>
      </c>
      <c r="DK356" s="123">
        <v>119.09100341796875</v>
      </c>
      <c r="DL356" s="123">
        <v>31.214000701904297</v>
      </c>
      <c r="DM356" s="123">
        <v>32.514999389648438</v>
      </c>
      <c r="DN356" s="123">
        <v>50.362998962402344</v>
      </c>
      <c r="DO356" s="124">
        <v>117.30133819580078</v>
      </c>
      <c r="DP356" s="125">
        <v>15.777000427246094</v>
      </c>
      <c r="DQ356" s="123"/>
      <c r="DR356" s="125">
        <v>67</v>
      </c>
      <c r="DS356" s="128">
        <v>37.400001525878906</v>
      </c>
      <c r="DT356" s="127">
        <v>13</v>
      </c>
      <c r="DU356" s="123"/>
      <c r="DV356" s="123">
        <v>6</v>
      </c>
      <c r="DW356" s="123">
        <v>2.8368754386901855</v>
      </c>
      <c r="DX356" s="125">
        <v>11</v>
      </c>
      <c r="DY356" s="128"/>
      <c r="DZ356" s="127">
        <v>45</v>
      </c>
      <c r="EA356" s="123">
        <v>3</v>
      </c>
      <c r="EB356" s="123">
        <v>0</v>
      </c>
      <c r="EC356" s="123">
        <v>29</v>
      </c>
      <c r="ED356" s="123">
        <v>246.30000305175781</v>
      </c>
      <c r="EE356" s="129"/>
      <c r="EF356" s="129"/>
      <c r="EG356" s="129"/>
    </row>
    <row r="357" spans="1:138" x14ac:dyDescent="0.3">
      <c r="A357" s="226">
        <f t="shared" si="18"/>
        <v>46020.245138889688</v>
      </c>
      <c r="B357" s="123">
        <v>260</v>
      </c>
      <c r="C357" s="123">
        <v>56.321998596191406</v>
      </c>
      <c r="D357" s="123">
        <v>100.43000030517578</v>
      </c>
      <c r="E357" s="123">
        <v>21.035999298095703</v>
      </c>
      <c r="F357" s="123">
        <v>4.3343930244445801</v>
      </c>
      <c r="G357" s="124">
        <v>19.565000534057617</v>
      </c>
      <c r="H357" s="125">
        <v>325</v>
      </c>
      <c r="I357" s="123">
        <v>295</v>
      </c>
      <c r="J357" s="123">
        <v>63.560001373291016</v>
      </c>
      <c r="K357" s="123">
        <v>60.631278991699219</v>
      </c>
      <c r="L357" s="123">
        <v>50.893001556396484</v>
      </c>
      <c r="M357" s="123">
        <v>13.345000267028809</v>
      </c>
      <c r="N357" s="123">
        <v>17.940000534057617</v>
      </c>
      <c r="O357" s="123">
        <v>23</v>
      </c>
      <c r="P357" s="123">
        <v>0</v>
      </c>
      <c r="Q357" s="123">
        <v>23.176614761352539</v>
      </c>
      <c r="R357" s="123">
        <v>12</v>
      </c>
      <c r="S357" s="123">
        <v>12.230868339538574</v>
      </c>
      <c r="T357" s="123">
        <v>0</v>
      </c>
      <c r="U357" s="123">
        <v>0</v>
      </c>
      <c r="V357" s="125">
        <v>909</v>
      </c>
      <c r="W357" s="123">
        <v>27.698171615600586</v>
      </c>
      <c r="X357" s="123">
        <v>25.559000015258789</v>
      </c>
      <c r="Y357" s="123">
        <v>6.1700000762939453</v>
      </c>
      <c r="Z357" s="123">
        <v>0</v>
      </c>
      <c r="AA357" s="123">
        <v>17.530000686645508</v>
      </c>
      <c r="AB357" s="123">
        <v>0</v>
      </c>
      <c r="AC357" s="123">
        <v>57.473857879638672</v>
      </c>
      <c r="AD357" s="123">
        <v>5.5980000495910645</v>
      </c>
      <c r="AE357" s="123">
        <v>0</v>
      </c>
      <c r="AF357" s="123">
        <v>90.014640808105469</v>
      </c>
      <c r="AG357" s="123">
        <v>0</v>
      </c>
      <c r="AH357" s="123">
        <v>65.406288146972656</v>
      </c>
      <c r="AI357" s="123">
        <v>17.875999450683594</v>
      </c>
      <c r="AJ357" s="123">
        <v>18.048646926879883</v>
      </c>
      <c r="AK357" s="123">
        <v>39.320426940917969</v>
      </c>
      <c r="AL357" s="123">
        <v>36.932998657226563</v>
      </c>
      <c r="AM357" s="126">
        <v>55.4739990234375</v>
      </c>
      <c r="AN357" s="125">
        <v>199.1875</v>
      </c>
      <c r="AO357" s="127">
        <v>110</v>
      </c>
      <c r="AP357" s="123">
        <v>66.527748107910156</v>
      </c>
      <c r="AQ357" s="123">
        <v>74.535804748535156</v>
      </c>
      <c r="AR357" s="123">
        <v>92</v>
      </c>
      <c r="AS357" s="123"/>
      <c r="AT357" s="123">
        <v>103</v>
      </c>
      <c r="AU357" s="123"/>
      <c r="AV357" s="123">
        <v>62</v>
      </c>
      <c r="AW357" s="123"/>
      <c r="AX357" s="123">
        <v>31</v>
      </c>
      <c r="AY357" s="123">
        <v>33.537925720214844</v>
      </c>
      <c r="AZ357" s="123">
        <v>6</v>
      </c>
      <c r="BA357" s="123"/>
      <c r="BB357" s="123">
        <v>180</v>
      </c>
      <c r="BC357" s="123">
        <v>182.86021423339844</v>
      </c>
      <c r="BD357" s="123">
        <v>8.3000001907348633</v>
      </c>
      <c r="BE357" s="123">
        <v>8.3109245300292969</v>
      </c>
      <c r="BF357" s="123">
        <v>31</v>
      </c>
      <c r="BG357" s="123">
        <v>11</v>
      </c>
      <c r="BH357" s="123">
        <v>11.232968330383301</v>
      </c>
      <c r="BI357" s="123"/>
      <c r="BJ357" s="108">
        <f t="shared" si="16"/>
        <v>11</v>
      </c>
      <c r="BK357" s="123">
        <v>11</v>
      </c>
      <c r="BL357" s="123">
        <v>0</v>
      </c>
      <c r="BM357" s="126"/>
      <c r="BN357" s="108">
        <f t="shared" si="17"/>
        <v>122.20000076293945</v>
      </c>
      <c r="BO357" s="108">
        <v>73</v>
      </c>
      <c r="BP357" s="108">
        <v>49.200000762939453</v>
      </c>
      <c r="BQ357" s="108">
        <v>284</v>
      </c>
      <c r="BR357" s="123">
        <v>80.863998413085938</v>
      </c>
      <c r="BS357" s="123">
        <v>24.937000274658203</v>
      </c>
      <c r="BT357" s="123">
        <v>45.719001770019531</v>
      </c>
      <c r="BU357" s="123">
        <v>37.088001251220703</v>
      </c>
      <c r="BV357" s="123">
        <v>70.400001525878906</v>
      </c>
      <c r="BW357" s="123">
        <v>6.4000000953674316</v>
      </c>
      <c r="BX357" s="123">
        <v>14</v>
      </c>
      <c r="BY357" s="123">
        <v>30</v>
      </c>
      <c r="BZ357" s="123">
        <v>1.3109905645251274E-2</v>
      </c>
      <c r="CA357" s="123">
        <v>0</v>
      </c>
      <c r="CB357" s="123">
        <v>31.454458236694336</v>
      </c>
      <c r="CC357" s="126"/>
      <c r="CD357" s="123">
        <v>344.460693359375</v>
      </c>
      <c r="CE357" s="123">
        <v>33.809795379638672</v>
      </c>
      <c r="CF357" s="123">
        <v>15.823856353759766</v>
      </c>
      <c r="CG357" s="123">
        <v>35.338191986083984</v>
      </c>
      <c r="CH357" s="123">
        <v>282.00735473632813</v>
      </c>
      <c r="CI357" s="123">
        <v>84.247245788574219</v>
      </c>
      <c r="CJ357" s="123">
        <v>36.550376892089844</v>
      </c>
      <c r="CK357" s="123">
        <v>49.802886962890625</v>
      </c>
      <c r="CL357" s="124">
        <v>25.630817413330078</v>
      </c>
      <c r="CM357" s="125">
        <v>210.53359985351563</v>
      </c>
      <c r="CN357" s="123">
        <v>72.621940612792969</v>
      </c>
      <c r="CO357" s="123">
        <v>48.941661834716797</v>
      </c>
      <c r="CP357" s="123">
        <v>87.624076843261719</v>
      </c>
      <c r="CQ357" s="123">
        <v>0</v>
      </c>
      <c r="CR357" s="123">
        <v>55.826091766357422</v>
      </c>
      <c r="CS357" s="123">
        <v>9.2903823852539063</v>
      </c>
      <c r="CT357" s="123">
        <v>37.272651672363281</v>
      </c>
      <c r="CU357" s="123">
        <v>41.457298278808594</v>
      </c>
      <c r="CV357" s="124">
        <v>57.288154602050781</v>
      </c>
      <c r="CW357" s="125">
        <v>3</v>
      </c>
      <c r="CX357" s="123">
        <v>324</v>
      </c>
      <c r="CY357" s="123">
        <v>114.79051208496094</v>
      </c>
      <c r="CZ357" s="123">
        <v>53.052520751953125</v>
      </c>
      <c r="DA357" s="123">
        <v>20.556732177734375</v>
      </c>
      <c r="DB357" s="123">
        <v>37.585952758789063</v>
      </c>
      <c r="DC357" s="123">
        <v>75.524253845214844</v>
      </c>
      <c r="DD357" s="123">
        <v>67</v>
      </c>
      <c r="DE357" s="123">
        <v>171</v>
      </c>
      <c r="DF357" s="123">
        <v>101.068359375</v>
      </c>
      <c r="DG357" s="123">
        <v>68.052093505859375</v>
      </c>
      <c r="DH357" s="123">
        <v>42.607398986816406</v>
      </c>
      <c r="DI357" s="128">
        <v>44.873748779296875</v>
      </c>
      <c r="DJ357" s="127">
        <v>224</v>
      </c>
      <c r="DK357" s="123">
        <v>119.34500122070313</v>
      </c>
      <c r="DL357" s="123">
        <v>29.857000350952148</v>
      </c>
      <c r="DM357" s="123">
        <v>32.514999389648438</v>
      </c>
      <c r="DN357" s="123">
        <v>50.893001556396484</v>
      </c>
      <c r="DO357" s="124">
        <v>116.11713409423828</v>
      </c>
      <c r="DP357" s="125">
        <v>15.522000312805176</v>
      </c>
      <c r="DQ357" s="123"/>
      <c r="DR357" s="125">
        <v>67</v>
      </c>
      <c r="DS357" s="128">
        <v>35</v>
      </c>
      <c r="DT357" s="127">
        <v>13</v>
      </c>
      <c r="DU357" s="123"/>
      <c r="DV357" s="123">
        <v>7</v>
      </c>
      <c r="DW357" s="123">
        <v>2.7395908832550049</v>
      </c>
      <c r="DX357" s="125">
        <v>11</v>
      </c>
      <c r="DY357" s="128"/>
      <c r="DZ357" s="127">
        <v>45</v>
      </c>
      <c r="EA357" s="123">
        <v>3</v>
      </c>
      <c r="EB357" s="123">
        <v>0</v>
      </c>
      <c r="EC357" s="123">
        <v>29</v>
      </c>
      <c r="ED357" s="123">
        <v>249.10000610351563</v>
      </c>
      <c r="EE357" s="129"/>
      <c r="EF357" s="129"/>
      <c r="EG357" s="129"/>
    </row>
    <row r="358" spans="1:138" x14ac:dyDescent="0.3">
      <c r="A358" s="226">
        <f t="shared" si="18"/>
        <v>46020.245833334135</v>
      </c>
      <c r="B358" s="123">
        <v>265</v>
      </c>
      <c r="C358" s="123">
        <v>56.548000335693359</v>
      </c>
      <c r="D358" s="123">
        <v>97.71600341796875</v>
      </c>
      <c r="E358" s="123">
        <v>22.280000686645508</v>
      </c>
      <c r="F358" s="123">
        <v>0</v>
      </c>
      <c r="G358" s="124">
        <v>21.035999298095703</v>
      </c>
      <c r="H358" s="125">
        <v>325</v>
      </c>
      <c r="I358" s="123">
        <v>294</v>
      </c>
      <c r="J358" s="123">
        <v>58.358001708984375</v>
      </c>
      <c r="K358" s="123">
        <v>61.876853942871094</v>
      </c>
      <c r="L358" s="123">
        <v>49.303001403808594</v>
      </c>
      <c r="M358" s="123">
        <v>15.267999649047852</v>
      </c>
      <c r="N358" s="123">
        <v>16.794000625610352</v>
      </c>
      <c r="O358" s="123">
        <v>21</v>
      </c>
      <c r="P358" s="123">
        <v>0</v>
      </c>
      <c r="Q358" s="123">
        <v>21.16179084777832</v>
      </c>
      <c r="R358" s="123">
        <v>12</v>
      </c>
      <c r="S358" s="123">
        <v>12.230868339538574</v>
      </c>
      <c r="T358" s="123">
        <v>0</v>
      </c>
      <c r="U358" s="123">
        <v>0</v>
      </c>
      <c r="V358" s="125">
        <v>909</v>
      </c>
      <c r="W358" s="123">
        <v>28.553342819213867</v>
      </c>
      <c r="X358" s="123">
        <v>25.673000335693359</v>
      </c>
      <c r="Y358" s="123">
        <v>6.1069998741149902</v>
      </c>
      <c r="Z358" s="123">
        <v>0</v>
      </c>
      <c r="AA358" s="123">
        <v>18.547000885009766</v>
      </c>
      <c r="AB358" s="123">
        <v>0</v>
      </c>
      <c r="AC358" s="123">
        <v>55.7879638671875</v>
      </c>
      <c r="AD358" s="123">
        <v>5.8520002365112305</v>
      </c>
      <c r="AE358" s="123">
        <v>0</v>
      </c>
      <c r="AF358" s="123">
        <v>90.113227844238281</v>
      </c>
      <c r="AG358" s="123">
        <v>0</v>
      </c>
      <c r="AH358" s="123">
        <v>67.742401123046875</v>
      </c>
      <c r="AI358" s="123">
        <v>16.413000106811523</v>
      </c>
      <c r="AJ358" s="123">
        <v>19.35406494140625</v>
      </c>
      <c r="AK358" s="123">
        <v>39.784511566162109</v>
      </c>
      <c r="AL358" s="123">
        <v>36.402999877929688</v>
      </c>
      <c r="AM358" s="126">
        <v>55.155998229980469</v>
      </c>
      <c r="AN358" s="125">
        <v>202.625</v>
      </c>
      <c r="AO358" s="127">
        <v>108</v>
      </c>
      <c r="AP358" s="123">
        <v>65.439292907714844</v>
      </c>
      <c r="AQ358" s="123">
        <v>73.285491943359375</v>
      </c>
      <c r="AR358" s="123">
        <v>90</v>
      </c>
      <c r="AS358" s="123"/>
      <c r="AT358" s="123">
        <v>104</v>
      </c>
      <c r="AU358" s="123"/>
      <c r="AV358" s="123">
        <v>61</v>
      </c>
      <c r="AW358" s="123"/>
      <c r="AX358" s="123">
        <v>31</v>
      </c>
      <c r="AY358" s="123">
        <v>32.125267028808594</v>
      </c>
      <c r="AZ358" s="123">
        <v>5</v>
      </c>
      <c r="BA358" s="123"/>
      <c r="BB358" s="123">
        <v>180</v>
      </c>
      <c r="BC358" s="123">
        <v>185.6175537109375</v>
      </c>
      <c r="BD358" s="123">
        <v>7.1999998092651367</v>
      </c>
      <c r="BE358" s="123">
        <v>7.1109938621520996</v>
      </c>
      <c r="BF358" s="123">
        <v>31</v>
      </c>
      <c r="BG358" s="123">
        <v>10</v>
      </c>
      <c r="BH358" s="123">
        <v>11.019996643066406</v>
      </c>
      <c r="BI358" s="123"/>
      <c r="BJ358" s="108">
        <f t="shared" si="16"/>
        <v>11</v>
      </c>
      <c r="BK358" s="123">
        <v>11</v>
      </c>
      <c r="BL358" s="123">
        <v>0</v>
      </c>
      <c r="BM358" s="126"/>
      <c r="BN358" s="108">
        <f t="shared" si="17"/>
        <v>121.20000076293945</v>
      </c>
      <c r="BO358" s="108">
        <v>72</v>
      </c>
      <c r="BP358" s="108">
        <v>49.200000762939453</v>
      </c>
      <c r="BQ358" s="108">
        <v>288</v>
      </c>
      <c r="BR358" s="123">
        <v>84.935997009277344</v>
      </c>
      <c r="BS358" s="123">
        <v>25.445999145507813</v>
      </c>
      <c r="BT358" s="123">
        <v>43.640998840332031</v>
      </c>
      <c r="BU358" s="123">
        <v>37.787998199462891</v>
      </c>
      <c r="BV358" s="123">
        <v>70.199996948242188</v>
      </c>
      <c r="BW358" s="123">
        <v>6.4000000953674316</v>
      </c>
      <c r="BX358" s="123">
        <v>14.199999809265137</v>
      </c>
      <c r="BY358" s="123">
        <v>31</v>
      </c>
      <c r="BZ358" s="123">
        <v>1.3767451047897339E-2</v>
      </c>
      <c r="CA358" s="123">
        <v>0</v>
      </c>
      <c r="CB358" s="123">
        <v>31.433094024658203</v>
      </c>
      <c r="CC358" s="126"/>
      <c r="CD358" s="123">
        <v>348.03988647460938</v>
      </c>
      <c r="CE358" s="123">
        <v>34.409339904785156</v>
      </c>
      <c r="CF358" s="123">
        <v>16.67803955078125</v>
      </c>
      <c r="CG358" s="123">
        <v>35.338191986083984</v>
      </c>
      <c r="CH358" s="123">
        <v>281.79971313476563</v>
      </c>
      <c r="CI358" s="123">
        <v>86.617927551269531</v>
      </c>
      <c r="CJ358" s="123">
        <v>38.401466369628906</v>
      </c>
      <c r="CK358" s="123">
        <v>51.578155517578125</v>
      </c>
      <c r="CL358" s="124">
        <v>26.398513793945313</v>
      </c>
      <c r="CM358" s="125">
        <v>213.69476318359375</v>
      </c>
      <c r="CN358" s="123">
        <v>73.697952270507813</v>
      </c>
      <c r="CO358" s="123">
        <v>50.795406341552734</v>
      </c>
      <c r="CP358" s="123">
        <v>88.322219848632813</v>
      </c>
      <c r="CQ358" s="123">
        <v>0</v>
      </c>
      <c r="CR358" s="123">
        <v>57.323768615722656</v>
      </c>
      <c r="CS358" s="123">
        <v>9.0477504730224609</v>
      </c>
      <c r="CT358" s="123">
        <v>38.198204040527344</v>
      </c>
      <c r="CU358" s="123">
        <v>41.615047454833984</v>
      </c>
      <c r="CV358" s="124">
        <v>57.436561584472656</v>
      </c>
      <c r="CW358" s="125">
        <v>5</v>
      </c>
      <c r="CX358" s="123">
        <v>314</v>
      </c>
      <c r="CY358" s="123">
        <v>116.23896789550781</v>
      </c>
      <c r="CZ358" s="123">
        <v>53.052520751953125</v>
      </c>
      <c r="DA358" s="123">
        <v>20.984113693237305</v>
      </c>
      <c r="DB358" s="123">
        <v>32.840827941894531</v>
      </c>
      <c r="DC358" s="123">
        <v>74.8487548828125</v>
      </c>
      <c r="DD358" s="123">
        <v>59</v>
      </c>
      <c r="DE358" s="123">
        <v>172</v>
      </c>
      <c r="DF358" s="123">
        <v>100.09104156494141</v>
      </c>
      <c r="DG358" s="123">
        <v>72.923851013183594</v>
      </c>
      <c r="DH358" s="123">
        <v>41.48248291015625</v>
      </c>
      <c r="DI358" s="128">
        <v>42.080677032470703</v>
      </c>
      <c r="DJ358" s="127">
        <v>226</v>
      </c>
      <c r="DK358" s="123">
        <v>122.39900207519531</v>
      </c>
      <c r="DL358" s="123">
        <v>28.839000701904297</v>
      </c>
      <c r="DM358" s="123">
        <v>33.222000122070313</v>
      </c>
      <c r="DN358" s="123">
        <v>54.250999450683594</v>
      </c>
      <c r="DO358" s="124">
        <v>115.39796447753906</v>
      </c>
      <c r="DP358" s="125">
        <v>15.324000358581543</v>
      </c>
      <c r="DQ358" s="123"/>
      <c r="DR358" s="125">
        <v>67</v>
      </c>
      <c r="DS358" s="128">
        <v>37.900001525878906</v>
      </c>
      <c r="DT358" s="127">
        <v>14</v>
      </c>
      <c r="DU358" s="123"/>
      <c r="DV358" s="123">
        <v>12</v>
      </c>
      <c r="DW358" s="123">
        <v>2.7031941413879395</v>
      </c>
      <c r="DX358" s="125">
        <v>10</v>
      </c>
      <c r="DY358" s="128"/>
      <c r="DZ358" s="127">
        <v>43</v>
      </c>
      <c r="EA358" s="123">
        <v>3</v>
      </c>
      <c r="EB358" s="123">
        <v>0</v>
      </c>
      <c r="EC358" s="123">
        <v>29</v>
      </c>
      <c r="ED358" s="123">
        <v>245.39999389648438</v>
      </c>
      <c r="EE358" s="129"/>
      <c r="EF358" s="129"/>
      <c r="EG358" s="129"/>
    </row>
    <row r="359" spans="1:138" x14ac:dyDescent="0.3">
      <c r="A359" s="226">
        <f t="shared" si="18"/>
        <v>46020.246527778581</v>
      </c>
      <c r="B359" s="123">
        <v>259</v>
      </c>
      <c r="C359" s="123">
        <v>51.685001373291016</v>
      </c>
      <c r="D359" s="123">
        <v>98.167999267578125</v>
      </c>
      <c r="E359" s="123">
        <v>22.280000686645508</v>
      </c>
      <c r="F359" s="123">
        <v>12.85307788848877</v>
      </c>
      <c r="G359" s="124">
        <v>19.451999664306641</v>
      </c>
      <c r="H359" s="125">
        <v>324</v>
      </c>
      <c r="I359" s="123">
        <v>289</v>
      </c>
      <c r="J359" s="123">
        <v>57.904998779296875</v>
      </c>
      <c r="K359" s="123">
        <v>62.379798889160156</v>
      </c>
      <c r="L359" s="123">
        <v>48.418998718261719</v>
      </c>
      <c r="M359" s="123">
        <v>14.47599983215332</v>
      </c>
      <c r="N359" s="123">
        <v>18.385000228881836</v>
      </c>
      <c r="O359" s="123">
        <v>21</v>
      </c>
      <c r="P359" s="123">
        <v>0</v>
      </c>
      <c r="Q359" s="123">
        <v>22.641719818115234</v>
      </c>
      <c r="R359" s="123">
        <v>13.996874809265137</v>
      </c>
      <c r="S359" s="123">
        <v>13.512900352478027</v>
      </c>
      <c r="T359" s="123">
        <v>0</v>
      </c>
      <c r="U359" s="123">
        <v>0</v>
      </c>
      <c r="V359" s="125">
        <v>913</v>
      </c>
      <c r="W359" s="123">
        <v>30.036638259887695</v>
      </c>
      <c r="X359" s="123">
        <v>24.541999816894531</v>
      </c>
      <c r="Y359" s="123">
        <v>6.8070001602172852</v>
      </c>
      <c r="Z359" s="123">
        <v>0</v>
      </c>
      <c r="AA359" s="123">
        <v>18.547000885009766</v>
      </c>
      <c r="AB359" s="123">
        <v>0</v>
      </c>
      <c r="AC359" s="123">
        <v>56.077350616455078</v>
      </c>
      <c r="AD359" s="123">
        <v>5.8520002365112305</v>
      </c>
      <c r="AE359" s="123">
        <v>0</v>
      </c>
      <c r="AF359" s="123">
        <v>88.098197937011719</v>
      </c>
      <c r="AG359" s="123">
        <v>0</v>
      </c>
      <c r="AH359" s="123">
        <v>63.982398986816406</v>
      </c>
      <c r="AI359" s="123">
        <v>16.47599983215332</v>
      </c>
      <c r="AJ359" s="123">
        <v>20.021306991577148</v>
      </c>
      <c r="AK359" s="123">
        <v>39.815853118896484</v>
      </c>
      <c r="AL359" s="123">
        <v>36.402999877929688</v>
      </c>
      <c r="AM359" s="126">
        <v>55.983001708984375</v>
      </c>
      <c r="AN359" s="125">
        <v>196.5625</v>
      </c>
      <c r="AO359" s="127">
        <v>109</v>
      </c>
      <c r="AP359" s="123">
        <v>65.113006591796875</v>
      </c>
      <c r="AQ359" s="123">
        <v>74.289390563964844</v>
      </c>
      <c r="AR359" s="123">
        <v>90</v>
      </c>
      <c r="AS359" s="123"/>
      <c r="AT359" s="123">
        <v>104</v>
      </c>
      <c r="AU359" s="123"/>
      <c r="AV359" s="123">
        <v>62</v>
      </c>
      <c r="AW359" s="123"/>
      <c r="AX359" s="123">
        <v>30</v>
      </c>
      <c r="AY359" s="123">
        <v>32.125267028808594</v>
      </c>
      <c r="AZ359" s="123">
        <v>5</v>
      </c>
      <c r="BA359" s="123"/>
      <c r="BB359" s="123">
        <v>182</v>
      </c>
      <c r="BC359" s="123">
        <v>186.65214538574219</v>
      </c>
      <c r="BD359" s="123">
        <v>7</v>
      </c>
      <c r="BE359" s="123">
        <v>7.0119218826293945</v>
      </c>
      <c r="BF359" s="123">
        <v>32</v>
      </c>
      <c r="BG359" s="123">
        <v>10</v>
      </c>
      <c r="BH359" s="123">
        <v>11.019996643066406</v>
      </c>
      <c r="BI359" s="123"/>
      <c r="BJ359" s="108">
        <f t="shared" si="16"/>
        <v>11</v>
      </c>
      <c r="BK359" s="123">
        <v>11</v>
      </c>
      <c r="BL359" s="123">
        <v>0</v>
      </c>
      <c r="BM359" s="126"/>
      <c r="BN359" s="108">
        <f t="shared" si="17"/>
        <v>121</v>
      </c>
      <c r="BO359" s="108">
        <v>73</v>
      </c>
      <c r="BP359" s="108">
        <v>48</v>
      </c>
      <c r="BQ359" s="108">
        <v>284</v>
      </c>
      <c r="BR359" s="123">
        <v>81.542999267578125</v>
      </c>
      <c r="BS359" s="123">
        <v>24.173999786376953</v>
      </c>
      <c r="BT359" s="123">
        <v>42.948001861572266</v>
      </c>
      <c r="BU359" s="123">
        <v>37.152000427246094</v>
      </c>
      <c r="BV359" s="123">
        <v>69.699996948242188</v>
      </c>
      <c r="BW359" s="123">
        <v>6.4000000953674316</v>
      </c>
      <c r="BX359" s="123">
        <v>14.100000381469727</v>
      </c>
      <c r="BY359" s="123">
        <v>31</v>
      </c>
      <c r="BZ359" s="123">
        <v>1.6405722126364708E-2</v>
      </c>
      <c r="CA359" s="123">
        <v>1</v>
      </c>
      <c r="CB359" s="123">
        <v>31.514625549316406</v>
      </c>
      <c r="CC359" s="126"/>
      <c r="CD359" s="123">
        <v>348.54470825195313</v>
      </c>
      <c r="CE359" s="123">
        <v>33.419132232666016</v>
      </c>
      <c r="CF359" s="123">
        <v>16.086746215820313</v>
      </c>
      <c r="CG359" s="123">
        <v>35.338191986083984</v>
      </c>
      <c r="CH359" s="123">
        <v>282.70947265625</v>
      </c>
      <c r="CI359" s="123">
        <v>86.0948486328125</v>
      </c>
      <c r="CJ359" s="123">
        <v>36.924812316894531</v>
      </c>
      <c r="CK359" s="123">
        <v>51.983196258544922</v>
      </c>
      <c r="CL359" s="124">
        <v>25.400575637817383</v>
      </c>
      <c r="CM359" s="125">
        <v>214.21034240722656</v>
      </c>
      <c r="CN359" s="123">
        <v>72.582008361816406</v>
      </c>
      <c r="CO359" s="123">
        <v>48.822422027587891</v>
      </c>
      <c r="CP359" s="123">
        <v>89.097694396972656</v>
      </c>
      <c r="CQ359" s="123">
        <v>0</v>
      </c>
      <c r="CR359" s="123">
        <v>57.607780456542969</v>
      </c>
      <c r="CS359" s="123">
        <v>15.867504119873047</v>
      </c>
      <c r="CT359" s="123">
        <v>36.523895263671875</v>
      </c>
      <c r="CU359" s="123">
        <v>38.878688812255859</v>
      </c>
      <c r="CV359" s="124">
        <v>58.836284637451172</v>
      </c>
      <c r="CW359" s="125">
        <v>7</v>
      </c>
      <c r="CX359" s="123">
        <v>314</v>
      </c>
      <c r="CY359" s="123">
        <v>117.39786529541016</v>
      </c>
      <c r="CZ359" s="123">
        <v>56.21026611328125</v>
      </c>
      <c r="DA359" s="123">
        <v>22.785633087158203</v>
      </c>
      <c r="DB359" s="123">
        <v>31.859104156494141</v>
      </c>
      <c r="DC359" s="123">
        <v>77.627548217773438</v>
      </c>
      <c r="DD359" s="123">
        <v>56</v>
      </c>
      <c r="DE359" s="123">
        <v>170</v>
      </c>
      <c r="DF359" s="123">
        <v>100.73695373535156</v>
      </c>
      <c r="DG359" s="123">
        <v>72.613540649414063</v>
      </c>
      <c r="DH359" s="123">
        <v>42.588661193847656</v>
      </c>
      <c r="DI359" s="128">
        <v>42.942230224609375</v>
      </c>
      <c r="DJ359" s="127">
        <v>229</v>
      </c>
      <c r="DK359" s="123">
        <v>123.92600250244141</v>
      </c>
      <c r="DL359" s="123">
        <v>28.839000701904297</v>
      </c>
      <c r="DM359" s="123">
        <v>31.808000564575195</v>
      </c>
      <c r="DN359" s="123">
        <v>54.250999450683594</v>
      </c>
      <c r="DO359" s="124">
        <v>118.10832214355469</v>
      </c>
      <c r="DP359" s="125">
        <v>16.285999298095703</v>
      </c>
      <c r="DQ359" s="123"/>
      <c r="DR359" s="125">
        <v>67</v>
      </c>
      <c r="DS359" s="128">
        <v>38.5</v>
      </c>
      <c r="DT359" s="127">
        <v>13</v>
      </c>
      <c r="DU359" s="123"/>
      <c r="DV359" s="123">
        <v>0</v>
      </c>
      <c r="DW359" s="123">
        <v>2.6758346557617188</v>
      </c>
      <c r="DX359" s="125">
        <v>10</v>
      </c>
      <c r="DY359" s="128"/>
      <c r="DZ359" s="127">
        <v>43</v>
      </c>
      <c r="EA359" s="123">
        <v>3</v>
      </c>
      <c r="EB359" s="123">
        <v>0</v>
      </c>
      <c r="EC359" s="123">
        <v>1</v>
      </c>
      <c r="ED359" s="123">
        <v>246.60000610351563</v>
      </c>
      <c r="EE359" s="129"/>
      <c r="EF359" s="129"/>
      <c r="EG359" s="129"/>
    </row>
    <row r="360" spans="1:138" x14ac:dyDescent="0.3">
      <c r="A360" s="226">
        <f t="shared" si="18"/>
        <v>46020.247222223028</v>
      </c>
      <c r="B360" s="123">
        <v>259</v>
      </c>
      <c r="C360" s="123">
        <v>51.798000335693359</v>
      </c>
      <c r="D360" s="123">
        <v>100.88200378417969</v>
      </c>
      <c r="E360" s="123">
        <v>20.583000183105469</v>
      </c>
      <c r="F360" s="123">
        <v>6.2142014503479004</v>
      </c>
      <c r="G360" s="124">
        <v>19.339000701904297</v>
      </c>
      <c r="H360" s="125">
        <v>320</v>
      </c>
      <c r="I360" s="123">
        <v>291</v>
      </c>
      <c r="J360" s="123">
        <v>62.769001007080078</v>
      </c>
      <c r="K360" s="123">
        <v>61.282009124755859</v>
      </c>
      <c r="L360" s="123">
        <v>46.652000427246094</v>
      </c>
      <c r="M360" s="123">
        <v>14.02400016784668</v>
      </c>
      <c r="N360" s="123">
        <v>17.430999755859375</v>
      </c>
      <c r="O360" s="123">
        <v>20</v>
      </c>
      <c r="P360" s="123">
        <v>0</v>
      </c>
      <c r="Q360" s="123">
        <v>21.564792633056641</v>
      </c>
      <c r="R360" s="123">
        <v>13.003125190734863</v>
      </c>
      <c r="S360" s="123">
        <v>13.512900352478027</v>
      </c>
      <c r="T360" s="123">
        <v>0</v>
      </c>
      <c r="U360" s="123">
        <v>0</v>
      </c>
      <c r="V360" s="125">
        <v>913</v>
      </c>
      <c r="W360" s="123">
        <v>30.727640151977539</v>
      </c>
      <c r="X360" s="123">
        <v>24.993999481201172</v>
      </c>
      <c r="Y360" s="123">
        <v>6.2340002059936523</v>
      </c>
      <c r="Z360" s="123">
        <v>0</v>
      </c>
      <c r="AA360" s="123">
        <v>17.982000350952148</v>
      </c>
      <c r="AB360" s="123">
        <v>0</v>
      </c>
      <c r="AC360" s="123">
        <v>58.660118103027344</v>
      </c>
      <c r="AD360" s="123">
        <v>5.8520002365112305</v>
      </c>
      <c r="AE360" s="123">
        <v>0</v>
      </c>
      <c r="AF360" s="123">
        <v>90.257789611816406</v>
      </c>
      <c r="AG360" s="123">
        <v>0</v>
      </c>
      <c r="AH360" s="123">
        <v>67.153289794921875</v>
      </c>
      <c r="AI360" s="123">
        <v>15.204000473022461</v>
      </c>
      <c r="AJ360" s="123">
        <v>20.851898193359375</v>
      </c>
      <c r="AK360" s="123">
        <v>40.0869140625</v>
      </c>
      <c r="AL360" s="123">
        <v>36.932998657226563</v>
      </c>
      <c r="AM360" s="126">
        <v>55.791999816894531</v>
      </c>
      <c r="AN360" s="125">
        <v>201</v>
      </c>
      <c r="AO360" s="127">
        <v>109</v>
      </c>
      <c r="AP360" s="123">
        <v>65.395744323730469</v>
      </c>
      <c r="AQ360" s="123">
        <v>74.811248779296875</v>
      </c>
      <c r="AR360" s="123">
        <v>91</v>
      </c>
      <c r="AS360" s="123"/>
      <c r="AT360" s="123">
        <v>104</v>
      </c>
      <c r="AU360" s="123"/>
      <c r="AV360" s="123">
        <v>61</v>
      </c>
      <c r="AW360" s="123"/>
      <c r="AX360" s="123">
        <v>31</v>
      </c>
      <c r="AY360" s="123">
        <v>33.498752593994141</v>
      </c>
      <c r="AZ360" s="123">
        <v>4</v>
      </c>
      <c r="BA360" s="123"/>
      <c r="BB360" s="123">
        <v>180</v>
      </c>
      <c r="BC360" s="123">
        <v>185.31517028808594</v>
      </c>
      <c r="BD360" s="123">
        <v>7</v>
      </c>
      <c r="BE360" s="123">
        <v>7.0119218826293945</v>
      </c>
      <c r="BF360" s="123">
        <v>32</v>
      </c>
      <c r="BG360" s="123">
        <v>10</v>
      </c>
      <c r="BH360" s="123">
        <v>11.204831123352051</v>
      </c>
      <c r="BI360" s="123"/>
      <c r="BJ360" s="108">
        <f t="shared" si="16"/>
        <v>11</v>
      </c>
      <c r="BK360" s="123">
        <v>11</v>
      </c>
      <c r="BL360" s="123">
        <v>0</v>
      </c>
      <c r="BM360" s="126"/>
      <c r="BN360" s="108">
        <f t="shared" si="17"/>
        <v>119.20000076293945</v>
      </c>
      <c r="BO360" s="108">
        <v>71</v>
      </c>
      <c r="BP360" s="108">
        <v>48.200000762939453</v>
      </c>
      <c r="BQ360" s="108">
        <v>285</v>
      </c>
      <c r="BR360" s="123">
        <v>82.446998596191406</v>
      </c>
      <c r="BS360" s="123">
        <v>24.429000854492188</v>
      </c>
      <c r="BT360" s="123">
        <v>41.562999725341797</v>
      </c>
      <c r="BU360" s="123">
        <v>36.643001556396484</v>
      </c>
      <c r="BV360" s="123">
        <v>70.300003051757813</v>
      </c>
      <c r="BW360" s="123">
        <v>6.4000000953674316</v>
      </c>
      <c r="BX360" s="123">
        <v>14.399999618530273</v>
      </c>
      <c r="BY360" s="123">
        <v>30</v>
      </c>
      <c r="BZ360" s="123">
        <v>1.56094990670681E-2</v>
      </c>
      <c r="CA360" s="123">
        <v>0</v>
      </c>
      <c r="CB360" s="123">
        <v>31.339780807495117</v>
      </c>
      <c r="CC360" s="126"/>
      <c r="CD360" s="123">
        <v>356.0867919921875</v>
      </c>
      <c r="CE360" s="123">
        <v>33.093605041503906</v>
      </c>
      <c r="CF360" s="123">
        <v>16.628122329711914</v>
      </c>
      <c r="CG360" s="123">
        <v>35.338191986083984</v>
      </c>
      <c r="CH360" s="123">
        <v>284.89007568359375</v>
      </c>
      <c r="CI360" s="123">
        <v>86.403114318847656</v>
      </c>
      <c r="CJ360" s="123">
        <v>36.532947540283203</v>
      </c>
      <c r="CK360" s="123">
        <v>51.647331237792969</v>
      </c>
      <c r="CL360" s="124">
        <v>27.77772331237793</v>
      </c>
      <c r="CM360" s="125">
        <v>209.72056579589844</v>
      </c>
      <c r="CN360" s="123">
        <v>70.257278442382813</v>
      </c>
      <c r="CO360" s="123">
        <v>49.246376037597656</v>
      </c>
      <c r="CP360" s="123">
        <v>86.3472900390625</v>
      </c>
      <c r="CQ360" s="123">
        <v>0</v>
      </c>
      <c r="CR360" s="123">
        <v>55.353641510009766</v>
      </c>
      <c r="CS360" s="123">
        <v>16.379913330078125</v>
      </c>
      <c r="CT360" s="123">
        <v>38.407321929931641</v>
      </c>
      <c r="CU360" s="123">
        <v>41.911766052246094</v>
      </c>
      <c r="CV360" s="124">
        <v>55.335262298583984</v>
      </c>
      <c r="CW360" s="125">
        <v>8</v>
      </c>
      <c r="CX360" s="123">
        <v>327</v>
      </c>
      <c r="CY360" s="123">
        <v>122.19583892822266</v>
      </c>
      <c r="CZ360" s="123">
        <v>56.224582672119141</v>
      </c>
      <c r="DA360" s="123">
        <v>23.326717376708984</v>
      </c>
      <c r="DB360" s="123">
        <v>35.364948272705078</v>
      </c>
      <c r="DC360" s="123">
        <v>78.953338623046875</v>
      </c>
      <c r="DD360" s="123">
        <v>61</v>
      </c>
      <c r="DE360" s="123">
        <v>172</v>
      </c>
      <c r="DF360" s="123">
        <v>102.17894744873047</v>
      </c>
      <c r="DG360" s="123">
        <v>67.534980773925781</v>
      </c>
      <c r="DH360" s="123">
        <v>40.895999908447266</v>
      </c>
      <c r="DI360" s="128">
        <v>44.790424346923828</v>
      </c>
      <c r="DJ360" s="127">
        <v>231</v>
      </c>
      <c r="DK360" s="123">
        <v>124.43499755859375</v>
      </c>
      <c r="DL360" s="123">
        <v>31.10099983215332</v>
      </c>
      <c r="DM360" s="123">
        <v>31.808000564575195</v>
      </c>
      <c r="DN360" s="123">
        <v>55.487998962402344</v>
      </c>
      <c r="DO360" s="124">
        <v>117.92600250244141</v>
      </c>
      <c r="DP360" s="125">
        <v>16.201000213623047</v>
      </c>
      <c r="DQ360" s="123"/>
      <c r="DR360" s="125">
        <v>67</v>
      </c>
      <c r="DS360" s="128">
        <v>40</v>
      </c>
      <c r="DT360" s="127">
        <v>13</v>
      </c>
      <c r="DU360" s="123"/>
      <c r="DV360" s="123">
        <v>0</v>
      </c>
      <c r="DW360" s="123">
        <v>2.7509655952453613</v>
      </c>
      <c r="DX360" s="125">
        <v>11</v>
      </c>
      <c r="DY360" s="128"/>
      <c r="DZ360" s="127">
        <v>45</v>
      </c>
      <c r="EA360" s="123">
        <v>3</v>
      </c>
      <c r="EB360" s="123">
        <v>0</v>
      </c>
      <c r="EC360" s="123">
        <v>1</v>
      </c>
      <c r="ED360" s="123">
        <v>243.60000610351563</v>
      </c>
      <c r="EE360" s="129"/>
      <c r="EF360" s="129"/>
      <c r="EG360" s="129"/>
    </row>
    <row r="361" spans="1:138" x14ac:dyDescent="0.3">
      <c r="A361" s="226">
        <f t="shared" si="18"/>
        <v>46020.247916667475</v>
      </c>
      <c r="B361" s="123">
        <v>266</v>
      </c>
      <c r="C361" s="123">
        <v>51.571998596191406</v>
      </c>
      <c r="D361" s="123">
        <v>99.525001525878906</v>
      </c>
      <c r="E361" s="123">
        <v>24.655000686645508</v>
      </c>
      <c r="F361" s="123">
        <v>2.1936335563659668</v>
      </c>
      <c r="G361" s="124">
        <v>20.357000350952148</v>
      </c>
      <c r="H361" s="125">
        <v>322</v>
      </c>
      <c r="I361" s="123">
        <v>291</v>
      </c>
      <c r="J361" s="123">
        <v>63.785999298095703</v>
      </c>
      <c r="K361" s="123">
        <v>59.165428161621094</v>
      </c>
      <c r="L361" s="123">
        <v>48.243000030517578</v>
      </c>
      <c r="M361" s="123">
        <v>14.36299991607666</v>
      </c>
      <c r="N361" s="123">
        <v>16.540000915527344</v>
      </c>
      <c r="O361" s="123">
        <v>22</v>
      </c>
      <c r="P361" s="123">
        <v>0</v>
      </c>
      <c r="Q361" s="123">
        <v>22.607301712036133</v>
      </c>
      <c r="R361" s="123">
        <v>13.996874809265137</v>
      </c>
      <c r="S361" s="123">
        <v>14.774944305419922</v>
      </c>
      <c r="T361" s="123">
        <v>0</v>
      </c>
      <c r="U361" s="123">
        <v>0</v>
      </c>
      <c r="V361" s="125">
        <v>927</v>
      </c>
      <c r="W361" s="123">
        <v>29.911104202270508</v>
      </c>
      <c r="X361" s="123">
        <v>24.541999816894531</v>
      </c>
      <c r="Y361" s="123">
        <v>5.5980000495910645</v>
      </c>
      <c r="Z361" s="123">
        <v>0</v>
      </c>
      <c r="AA361" s="123">
        <v>20.357000350952148</v>
      </c>
      <c r="AB361" s="123">
        <v>0</v>
      </c>
      <c r="AC361" s="123">
        <v>60.239242553710938</v>
      </c>
      <c r="AD361" s="123">
        <v>5.8520002365112305</v>
      </c>
      <c r="AE361" s="123">
        <v>0</v>
      </c>
      <c r="AF361" s="123">
        <v>92.644744873046875</v>
      </c>
      <c r="AG361" s="123">
        <v>0</v>
      </c>
      <c r="AH361" s="123">
        <v>66.971824645996094</v>
      </c>
      <c r="AI361" s="123">
        <v>14.949999809265137</v>
      </c>
      <c r="AJ361" s="123">
        <v>20.479036331176758</v>
      </c>
      <c r="AK361" s="123">
        <v>42.002872467041016</v>
      </c>
      <c r="AL361" s="123">
        <v>39.759998321533203</v>
      </c>
      <c r="AM361" s="126">
        <v>55.091999053955078</v>
      </c>
      <c r="AN361" s="125">
        <v>202.3125</v>
      </c>
      <c r="AO361" s="127">
        <v>109</v>
      </c>
      <c r="AP361" s="123">
        <v>64.778617858886719</v>
      </c>
      <c r="AQ361" s="123">
        <v>76.222206115722656</v>
      </c>
      <c r="AR361" s="123">
        <v>90</v>
      </c>
      <c r="AS361" s="123"/>
      <c r="AT361" s="123">
        <v>104</v>
      </c>
      <c r="AU361" s="123"/>
      <c r="AV361" s="123">
        <v>52</v>
      </c>
      <c r="AW361" s="123"/>
      <c r="AX361" s="123">
        <v>31</v>
      </c>
      <c r="AY361" s="123">
        <v>32.738521575927734</v>
      </c>
      <c r="AZ361" s="123">
        <v>4</v>
      </c>
      <c r="BA361" s="123"/>
      <c r="BB361" s="123">
        <v>182</v>
      </c>
      <c r="BC361" s="123">
        <v>186.30522155761719</v>
      </c>
      <c r="BD361" s="123">
        <v>6.5999999046325684</v>
      </c>
      <c r="BE361" s="123">
        <v>6.5481324195861816</v>
      </c>
      <c r="BF361" s="123">
        <v>32</v>
      </c>
      <c r="BG361" s="123">
        <v>10</v>
      </c>
      <c r="BH361" s="123">
        <v>11.151885986328125</v>
      </c>
      <c r="BI361" s="123"/>
      <c r="BJ361" s="108">
        <f t="shared" si="16"/>
        <v>11</v>
      </c>
      <c r="BK361" s="123">
        <v>11</v>
      </c>
      <c r="BL361" s="123">
        <v>0</v>
      </c>
      <c r="BM361" s="126"/>
      <c r="BN361" s="108">
        <f t="shared" si="17"/>
        <v>122</v>
      </c>
      <c r="BO361" s="108">
        <v>73</v>
      </c>
      <c r="BP361" s="108">
        <v>49</v>
      </c>
      <c r="BQ361" s="108">
        <v>286</v>
      </c>
      <c r="BR361" s="123">
        <v>90.476997375488281</v>
      </c>
      <c r="BS361" s="123">
        <v>24.429000854492188</v>
      </c>
      <c r="BT361" s="123">
        <v>43.98699951171875</v>
      </c>
      <c r="BU361" s="123">
        <v>36.833999633789063</v>
      </c>
      <c r="BV361" s="123">
        <v>70.800003051757813</v>
      </c>
      <c r="BW361" s="123">
        <v>6.5999999046325684</v>
      </c>
      <c r="BX361" s="123">
        <v>14.199999809265137</v>
      </c>
      <c r="BY361" s="123">
        <v>30</v>
      </c>
      <c r="BZ361" s="123">
        <v>1.3195058330893517E-2</v>
      </c>
      <c r="CA361" s="123">
        <v>0</v>
      </c>
      <c r="CB361" s="123">
        <v>31.339780807495117</v>
      </c>
      <c r="CC361" s="126"/>
      <c r="CD361" s="123">
        <v>347.65206909179688</v>
      </c>
      <c r="CE361" s="123">
        <v>34.134563446044922</v>
      </c>
      <c r="CF361" s="123">
        <v>17.482582092285156</v>
      </c>
      <c r="CG361" s="123">
        <v>35.338191986083984</v>
      </c>
      <c r="CH361" s="123">
        <v>286.53759765625</v>
      </c>
      <c r="CI361" s="123">
        <v>84.396186828613281</v>
      </c>
      <c r="CJ361" s="123">
        <v>36.486904144287109</v>
      </c>
      <c r="CK361" s="123">
        <v>52.197486877441406</v>
      </c>
      <c r="CL361" s="124">
        <v>26.554779052734375</v>
      </c>
      <c r="CM361" s="125">
        <v>209.72056579589844</v>
      </c>
      <c r="CN361" s="123">
        <v>70.836715698242188</v>
      </c>
      <c r="CO361" s="123">
        <v>48.909782409667969</v>
      </c>
      <c r="CP361" s="123">
        <v>88.2703857421875</v>
      </c>
      <c r="CQ361" s="123">
        <v>0</v>
      </c>
      <c r="CR361" s="123">
        <v>55.997879028320313</v>
      </c>
      <c r="CS361" s="123">
        <v>16.855232238769531</v>
      </c>
      <c r="CT361" s="123">
        <v>38.303386688232422</v>
      </c>
      <c r="CU361" s="123">
        <v>40.000789642333984</v>
      </c>
      <c r="CV361" s="124">
        <v>56.309329986572266</v>
      </c>
      <c r="CW361" s="125">
        <v>2</v>
      </c>
      <c r="CX361" s="123">
        <v>339</v>
      </c>
      <c r="CY361" s="123">
        <v>121.17872619628906</v>
      </c>
      <c r="CZ361" s="123">
        <v>59.454090118408203</v>
      </c>
      <c r="DA361" s="123">
        <v>22.786518096923828</v>
      </c>
      <c r="DB361" s="123">
        <v>35.636837005615234</v>
      </c>
      <c r="DC361" s="123">
        <v>78.27606201171875</v>
      </c>
      <c r="DD361" s="123">
        <v>58</v>
      </c>
      <c r="DE361" s="123">
        <v>171</v>
      </c>
      <c r="DF361" s="123">
        <v>103.52874755859375</v>
      </c>
      <c r="DG361" s="123">
        <v>67.702865600585938</v>
      </c>
      <c r="DH361" s="123">
        <v>41.078781127929688</v>
      </c>
      <c r="DI361" s="128">
        <v>42.797565460205078</v>
      </c>
      <c r="DJ361" s="127">
        <v>228</v>
      </c>
      <c r="DK361" s="123">
        <v>121.12699890136719</v>
      </c>
      <c r="DL361" s="123">
        <v>30.309999465942383</v>
      </c>
      <c r="DM361" s="123">
        <v>34.812000274658203</v>
      </c>
      <c r="DN361" s="123">
        <v>51.777000427246094</v>
      </c>
      <c r="DO361" s="124">
        <v>116.69697570800781</v>
      </c>
      <c r="DP361" s="125">
        <v>16.201000213623047</v>
      </c>
      <c r="DQ361" s="123"/>
      <c r="DR361" s="125">
        <v>67</v>
      </c>
      <c r="DS361" s="128">
        <v>39.299999237060547</v>
      </c>
      <c r="DT361" s="127">
        <v>13</v>
      </c>
      <c r="DU361" s="123"/>
      <c r="DV361" s="123">
        <v>0</v>
      </c>
      <c r="DW361" s="123">
        <v>2.6449172496795654</v>
      </c>
      <c r="DX361" s="125">
        <v>11</v>
      </c>
      <c r="DY361" s="128"/>
      <c r="DZ361" s="127">
        <v>44</v>
      </c>
      <c r="EA361" s="123">
        <v>3</v>
      </c>
      <c r="EB361" s="123">
        <v>0</v>
      </c>
      <c r="EC361" s="123">
        <v>29</v>
      </c>
      <c r="ED361" s="123">
        <v>242.80000305175781</v>
      </c>
      <c r="EE361" s="129"/>
      <c r="EF361" s="129"/>
      <c r="EG361" s="129"/>
    </row>
    <row r="362" spans="1:138" x14ac:dyDescent="0.3">
      <c r="A362" s="226">
        <f t="shared" si="18"/>
        <v>46020.248611111921</v>
      </c>
      <c r="B362" s="123">
        <v>268</v>
      </c>
      <c r="C362" s="123">
        <v>53.833999633789063</v>
      </c>
      <c r="D362" s="123">
        <v>99.525001525878906</v>
      </c>
      <c r="E362" s="123">
        <v>22.958000183105469</v>
      </c>
      <c r="F362" s="123">
        <v>5.0569963455200195</v>
      </c>
      <c r="G362" s="124">
        <v>20.357000350952148</v>
      </c>
      <c r="H362" s="125">
        <v>324</v>
      </c>
      <c r="I362" s="123">
        <v>290</v>
      </c>
      <c r="J362" s="123">
        <v>60.506999969482422</v>
      </c>
      <c r="K362" s="123">
        <v>62.581348419189453</v>
      </c>
      <c r="L362" s="123">
        <v>50.362998962402344</v>
      </c>
      <c r="M362" s="123">
        <v>13.345000267028809</v>
      </c>
      <c r="N362" s="123">
        <v>16.857999801635742</v>
      </c>
      <c r="O362" s="123">
        <v>21</v>
      </c>
      <c r="P362" s="123">
        <v>0</v>
      </c>
      <c r="Q362" s="123">
        <v>21.691709518432617</v>
      </c>
      <c r="R362" s="123">
        <v>16.003124237060547</v>
      </c>
      <c r="S362" s="123">
        <v>15.205536842346191</v>
      </c>
      <c r="T362" s="123">
        <v>0</v>
      </c>
      <c r="U362" s="123">
        <v>0</v>
      </c>
      <c r="V362" s="125">
        <v>924</v>
      </c>
      <c r="W362" s="123">
        <v>31.022190093994141</v>
      </c>
      <c r="X362" s="123">
        <v>24.089000701904297</v>
      </c>
      <c r="Y362" s="123">
        <v>7.8880000114440918</v>
      </c>
      <c r="Z362" s="123">
        <v>0</v>
      </c>
      <c r="AA362" s="123">
        <v>17.982000350952148</v>
      </c>
      <c r="AB362" s="123">
        <v>0</v>
      </c>
      <c r="AC362" s="123">
        <v>58.519950866699219</v>
      </c>
      <c r="AD362" s="123">
        <v>5.8520002365112305</v>
      </c>
      <c r="AE362" s="123">
        <v>0</v>
      </c>
      <c r="AF362" s="123">
        <v>90.453010559082031</v>
      </c>
      <c r="AG362" s="123">
        <v>0</v>
      </c>
      <c r="AH362" s="123">
        <v>66.971824645996094</v>
      </c>
      <c r="AI362" s="123">
        <v>17.940000534057617</v>
      </c>
      <c r="AJ362" s="123">
        <v>20.479036331176758</v>
      </c>
      <c r="AK362" s="123">
        <v>41.203571319580078</v>
      </c>
      <c r="AL362" s="123">
        <v>39.759998321533203</v>
      </c>
      <c r="AM362" s="126">
        <v>55.601001739501953</v>
      </c>
      <c r="AN362" s="125">
        <v>200.3125</v>
      </c>
      <c r="AO362" s="127">
        <v>109</v>
      </c>
      <c r="AP362" s="123">
        <v>64.712837219238281</v>
      </c>
      <c r="AQ362" s="123">
        <v>76.473037719726563</v>
      </c>
      <c r="AR362" s="123">
        <v>89</v>
      </c>
      <c r="AS362" s="123"/>
      <c r="AT362" s="123">
        <v>104</v>
      </c>
      <c r="AU362" s="123"/>
      <c r="AV362" s="123">
        <v>53</v>
      </c>
      <c r="AW362" s="123"/>
      <c r="AX362" s="123">
        <v>32</v>
      </c>
      <c r="AY362" s="123">
        <v>36.092464447021484</v>
      </c>
      <c r="AZ362" s="123">
        <v>4</v>
      </c>
      <c r="BA362" s="123"/>
      <c r="BB362" s="123">
        <v>182</v>
      </c>
      <c r="BC362" s="123">
        <v>185.8631591796875</v>
      </c>
      <c r="BD362" s="123">
        <v>6.4000000953674316</v>
      </c>
      <c r="BE362" s="123">
        <v>6.5475668907165527</v>
      </c>
      <c r="BF362" s="123">
        <v>32</v>
      </c>
      <c r="BG362" s="123">
        <v>11</v>
      </c>
      <c r="BH362" s="123">
        <v>11.223330497741699</v>
      </c>
      <c r="BI362" s="123"/>
      <c r="BJ362" s="108">
        <f t="shared" si="16"/>
        <v>11</v>
      </c>
      <c r="BK362" s="123">
        <v>11</v>
      </c>
      <c r="BL362" s="123">
        <v>0</v>
      </c>
      <c r="BM362" s="126"/>
      <c r="BN362" s="108">
        <f t="shared" si="17"/>
        <v>121</v>
      </c>
      <c r="BO362" s="108">
        <v>72</v>
      </c>
      <c r="BP362" s="108">
        <v>49</v>
      </c>
      <c r="BQ362" s="108">
        <v>294</v>
      </c>
      <c r="BR362" s="123">
        <v>91.155998229980469</v>
      </c>
      <c r="BS362" s="123">
        <v>12.722999572753906</v>
      </c>
      <c r="BT362" s="123">
        <v>42.948001861572266</v>
      </c>
      <c r="BU362" s="123">
        <v>28.753999710083008</v>
      </c>
      <c r="BV362" s="123">
        <v>69.400001525878906</v>
      </c>
      <c r="BW362" s="123">
        <v>6.6999998092651367</v>
      </c>
      <c r="BX362" s="123">
        <v>14.399999618530273</v>
      </c>
      <c r="BY362" s="123">
        <v>30</v>
      </c>
      <c r="BZ362" s="123">
        <v>1.4183375053107738E-2</v>
      </c>
      <c r="CA362" s="123">
        <v>0</v>
      </c>
      <c r="CB362" s="123">
        <v>31.906366348266602</v>
      </c>
      <c r="CC362" s="126"/>
      <c r="CD362" s="123">
        <v>351.64505004882813</v>
      </c>
      <c r="CE362" s="123">
        <v>33.596244812011719</v>
      </c>
      <c r="CF362" s="123">
        <v>16.060014724731445</v>
      </c>
      <c r="CG362" s="123">
        <v>35.338191986083984</v>
      </c>
      <c r="CH362" s="123">
        <v>286.71096801757813</v>
      </c>
      <c r="CI362" s="123">
        <v>84.824684143066406</v>
      </c>
      <c r="CJ362" s="123">
        <v>37.595653533935547</v>
      </c>
      <c r="CK362" s="123">
        <v>51.991657257080078</v>
      </c>
      <c r="CL362" s="124">
        <v>25.18122673034668</v>
      </c>
      <c r="CM362" s="125">
        <v>216.43568420410156</v>
      </c>
      <c r="CN362" s="123">
        <v>74.945060729980469</v>
      </c>
      <c r="CO362" s="123">
        <v>50.924472808837891</v>
      </c>
      <c r="CP362" s="123">
        <v>87.484458923339844</v>
      </c>
      <c r="CQ362" s="123">
        <v>0</v>
      </c>
      <c r="CR362" s="123">
        <v>53.254268646240234</v>
      </c>
      <c r="CS362" s="123">
        <v>17.508695602416992</v>
      </c>
      <c r="CT362" s="123">
        <v>38.790340423583984</v>
      </c>
      <c r="CU362" s="123">
        <v>42.142692565917969</v>
      </c>
      <c r="CV362" s="124">
        <v>56.705249786376953</v>
      </c>
      <c r="CW362" s="125">
        <v>2</v>
      </c>
      <c r="CX362" s="123">
        <v>330</v>
      </c>
      <c r="CY362" s="123">
        <v>121.98708343505859</v>
      </c>
      <c r="CZ362" s="123">
        <v>58.523277282714844</v>
      </c>
      <c r="DA362" s="123">
        <v>22.77850341796875</v>
      </c>
      <c r="DB362" s="123">
        <v>33.059959411621094</v>
      </c>
      <c r="DC362" s="123">
        <v>75.537185668945313</v>
      </c>
      <c r="DD362" s="123">
        <v>53</v>
      </c>
      <c r="DE362" s="123">
        <v>171</v>
      </c>
      <c r="DF362" s="123">
        <v>102.18426513671875</v>
      </c>
      <c r="DG362" s="123">
        <v>69.956314086914063</v>
      </c>
      <c r="DH362" s="123">
        <v>40.606529235839844</v>
      </c>
      <c r="DI362" s="128">
        <v>43.509021759033203</v>
      </c>
      <c r="DJ362" s="127">
        <v>232</v>
      </c>
      <c r="DK362" s="123">
        <v>126.47100067138672</v>
      </c>
      <c r="DL362" s="123">
        <v>31.10099983215332</v>
      </c>
      <c r="DM362" s="123">
        <v>34.104999542236328</v>
      </c>
      <c r="DN362" s="123">
        <v>55.840999603271484</v>
      </c>
      <c r="DO362" s="124">
        <v>118.45513153076172</v>
      </c>
      <c r="DP362" s="125">
        <v>16.285999298095703</v>
      </c>
      <c r="DQ362" s="123"/>
      <c r="DR362" s="125">
        <v>67</v>
      </c>
      <c r="DS362" s="128">
        <v>39</v>
      </c>
      <c r="DT362" s="127">
        <v>13</v>
      </c>
      <c r="DU362" s="123"/>
      <c r="DV362" s="123">
        <v>10</v>
      </c>
      <c r="DW362" s="123">
        <v>2.6913325786590576</v>
      </c>
      <c r="DX362" s="125">
        <v>11</v>
      </c>
      <c r="DY362" s="128"/>
      <c r="DZ362" s="127">
        <v>42</v>
      </c>
      <c r="EA362" s="123">
        <v>3</v>
      </c>
      <c r="EB362" s="123">
        <v>0</v>
      </c>
      <c r="EC362" s="123">
        <v>29</v>
      </c>
      <c r="ED362" s="123">
        <v>248.39999389648438</v>
      </c>
      <c r="EE362" s="129"/>
      <c r="EF362" s="129"/>
      <c r="EG362" s="129"/>
    </row>
    <row r="363" spans="1:138" x14ac:dyDescent="0.3">
      <c r="A363" s="226">
        <f t="shared" si="18"/>
        <v>46020.249305556368</v>
      </c>
      <c r="B363" s="123">
        <v>268</v>
      </c>
      <c r="C363" s="123">
        <v>54.625999450683594</v>
      </c>
      <c r="D363" s="123">
        <v>99.977996826171875</v>
      </c>
      <c r="E363" s="123">
        <v>23.52400016784668</v>
      </c>
      <c r="F363" s="123">
        <v>17.440710067749023</v>
      </c>
      <c r="G363" s="124">
        <v>21.14900016784668</v>
      </c>
      <c r="H363" s="125">
        <v>326</v>
      </c>
      <c r="I363" s="123">
        <v>292</v>
      </c>
      <c r="J363" s="123">
        <v>60.846000671386719</v>
      </c>
      <c r="K363" s="123">
        <v>64.425743103027344</v>
      </c>
      <c r="L363" s="123">
        <v>49.303001403808594</v>
      </c>
      <c r="M363" s="123">
        <v>14.02400016784668</v>
      </c>
      <c r="N363" s="123">
        <v>17.430999755859375</v>
      </c>
      <c r="O363" s="123">
        <v>21</v>
      </c>
      <c r="P363" s="123">
        <v>0</v>
      </c>
      <c r="Q363" s="123">
        <v>21.691709518432617</v>
      </c>
      <c r="R363" s="123">
        <v>13.003125190734863</v>
      </c>
      <c r="S363" s="123">
        <v>14.387950897216797</v>
      </c>
      <c r="T363" s="123">
        <v>8</v>
      </c>
      <c r="U363" s="123">
        <v>8</v>
      </c>
      <c r="V363" s="125">
        <v>924</v>
      </c>
      <c r="W363" s="123">
        <v>31.344873428344727</v>
      </c>
      <c r="X363" s="123">
        <v>23.636999130249023</v>
      </c>
      <c r="Y363" s="123">
        <v>7.060999870300293</v>
      </c>
      <c r="Z363" s="123">
        <v>0</v>
      </c>
      <c r="AA363" s="123">
        <v>17.642999649047852</v>
      </c>
      <c r="AB363" s="123">
        <v>0</v>
      </c>
      <c r="AC363" s="123">
        <v>57.684581756591797</v>
      </c>
      <c r="AD363" s="123">
        <v>6.1069998741149902</v>
      </c>
      <c r="AE363" s="123">
        <v>0</v>
      </c>
      <c r="AF363" s="123">
        <v>88.861320495605469</v>
      </c>
      <c r="AG363" s="123">
        <v>0</v>
      </c>
      <c r="AH363" s="123">
        <v>68.197776794433594</v>
      </c>
      <c r="AI363" s="123">
        <v>18.957000732421875</v>
      </c>
      <c r="AJ363" s="123">
        <v>20.007858276367188</v>
      </c>
      <c r="AK363" s="123">
        <v>39.859092712402344</v>
      </c>
      <c r="AL363" s="123">
        <v>39.759998321533203</v>
      </c>
      <c r="AM363" s="126">
        <v>56.937000274658203</v>
      </c>
      <c r="AN363" s="125">
        <v>204.9375</v>
      </c>
      <c r="AO363" s="127">
        <v>112</v>
      </c>
      <c r="AP363" s="123">
        <v>65.748802185058594</v>
      </c>
      <c r="AQ363" s="123">
        <v>78.885025024414063</v>
      </c>
      <c r="AR363" s="123">
        <v>89</v>
      </c>
      <c r="AS363" s="123"/>
      <c r="AT363" s="123">
        <v>105</v>
      </c>
      <c r="AU363" s="123"/>
      <c r="AV363" s="123">
        <v>53</v>
      </c>
      <c r="AW363" s="123"/>
      <c r="AX363" s="123">
        <v>32</v>
      </c>
      <c r="AY363" s="123">
        <v>35.222526550292969</v>
      </c>
      <c r="AZ363" s="123">
        <v>5</v>
      </c>
      <c r="BA363" s="123"/>
      <c r="BB363" s="123">
        <v>182</v>
      </c>
      <c r="BC363" s="123">
        <v>185.8631591796875</v>
      </c>
      <c r="BD363" s="123">
        <v>6.4000000953674316</v>
      </c>
      <c r="BE363" s="123">
        <v>6.5475668907165527</v>
      </c>
      <c r="BF363" s="123">
        <v>32</v>
      </c>
      <c r="BG363" s="123">
        <v>10</v>
      </c>
      <c r="BH363" s="123">
        <v>11.362973213195801</v>
      </c>
      <c r="BI363" s="123"/>
      <c r="BJ363" s="108">
        <f t="shared" si="16"/>
        <v>11</v>
      </c>
      <c r="BK363" s="123">
        <v>11</v>
      </c>
      <c r="BL363" s="123">
        <v>0</v>
      </c>
      <c r="BM363" s="126"/>
      <c r="BN363" s="108">
        <f t="shared" si="17"/>
        <v>121</v>
      </c>
      <c r="BO363" s="108">
        <v>72</v>
      </c>
      <c r="BP363" s="108">
        <v>49</v>
      </c>
      <c r="BQ363" s="108">
        <v>574</v>
      </c>
      <c r="BR363" s="123">
        <v>87.424003601074219</v>
      </c>
      <c r="BS363" s="123">
        <v>22.392999649047852</v>
      </c>
      <c r="BT363" s="123">
        <v>322.114990234375</v>
      </c>
      <c r="BU363" s="123">
        <v>34.735000610351563</v>
      </c>
      <c r="BV363" s="123">
        <v>70.699996948242188</v>
      </c>
      <c r="BW363" s="123">
        <v>6.5</v>
      </c>
      <c r="BX363" s="123">
        <v>14.300000190734863</v>
      </c>
      <c r="BY363" s="123">
        <v>32</v>
      </c>
      <c r="BZ363" s="123">
        <v>1.6005614772439003E-2</v>
      </c>
      <c r="CA363" s="123">
        <v>0</v>
      </c>
      <c r="CB363" s="123">
        <v>32.449413299560547</v>
      </c>
      <c r="CC363" s="126"/>
      <c r="CD363" s="123">
        <v>355.03875732421875</v>
      </c>
      <c r="CE363" s="123">
        <v>32.872760772705078</v>
      </c>
      <c r="CF363" s="123">
        <v>16.060014724731445</v>
      </c>
      <c r="CG363" s="123">
        <v>35.338191986083984</v>
      </c>
      <c r="CH363" s="123">
        <v>287.4837646484375</v>
      </c>
      <c r="CI363" s="123">
        <v>87.900032043457031</v>
      </c>
      <c r="CJ363" s="123">
        <v>37.539943695068359</v>
      </c>
      <c r="CK363" s="123">
        <v>50.348106384277344</v>
      </c>
      <c r="CL363" s="124">
        <v>26.439014434814453</v>
      </c>
      <c r="CM363" s="125">
        <v>217.61421203613281</v>
      </c>
      <c r="CN363" s="123">
        <v>75.440185546875</v>
      </c>
      <c r="CO363" s="123">
        <v>49.329433441162109</v>
      </c>
      <c r="CP363" s="123">
        <v>89.67584228515625</v>
      </c>
      <c r="CQ363" s="123">
        <v>0</v>
      </c>
      <c r="CR363" s="123">
        <v>55.014663696289063</v>
      </c>
      <c r="CS363" s="123">
        <v>17.881637573242188</v>
      </c>
      <c r="CT363" s="123">
        <v>34.515403747558594</v>
      </c>
      <c r="CU363" s="123">
        <v>43.407085418701172</v>
      </c>
      <c r="CV363" s="124">
        <v>56.69073486328125</v>
      </c>
      <c r="CW363" s="125">
        <v>0</v>
      </c>
      <c r="CX363" s="123">
        <v>333</v>
      </c>
      <c r="CY363" s="123">
        <v>125.99317932128906</v>
      </c>
      <c r="CZ363" s="123">
        <v>54.155887603759766</v>
      </c>
      <c r="DA363" s="123">
        <v>22.664333343505859</v>
      </c>
      <c r="DB363" s="123">
        <v>33.059959411621094</v>
      </c>
      <c r="DC363" s="123">
        <v>80.459091186523438</v>
      </c>
      <c r="DD363" s="123">
        <v>60</v>
      </c>
      <c r="DE363" s="123">
        <v>172</v>
      </c>
      <c r="DF363" s="123">
        <v>102.18426513671875</v>
      </c>
      <c r="DG363" s="123">
        <v>69.629295349121094</v>
      </c>
      <c r="DH363" s="123">
        <v>40.990764617919922</v>
      </c>
      <c r="DI363" s="128">
        <v>42.934070587158203</v>
      </c>
      <c r="DJ363" s="127">
        <v>232</v>
      </c>
      <c r="DK363" s="123">
        <v>125.70700073242188</v>
      </c>
      <c r="DL363" s="123">
        <v>34.946998596191406</v>
      </c>
      <c r="DM363" s="123">
        <v>34.636001586914063</v>
      </c>
      <c r="DN363" s="123">
        <v>54.074001312255859</v>
      </c>
      <c r="DO363" s="124">
        <v>117.33984375</v>
      </c>
      <c r="DP363" s="125">
        <v>16.031000137329102</v>
      </c>
      <c r="DQ363" s="123"/>
      <c r="DR363" s="125">
        <v>67</v>
      </c>
      <c r="DS363" s="128">
        <v>39.700000762939453</v>
      </c>
      <c r="DT363" s="127">
        <v>13</v>
      </c>
      <c r="DU363" s="123"/>
      <c r="DV363" s="123">
        <v>9</v>
      </c>
      <c r="DW363" s="123">
        <v>2.7070009708404541</v>
      </c>
      <c r="DX363" s="125">
        <v>11</v>
      </c>
      <c r="DY363" s="128"/>
      <c r="DZ363" s="127">
        <v>42</v>
      </c>
      <c r="EA363" s="123">
        <v>3</v>
      </c>
      <c r="EB363" s="123">
        <v>0</v>
      </c>
      <c r="EC363" s="123">
        <v>29</v>
      </c>
      <c r="ED363" s="123">
        <v>244</v>
      </c>
      <c r="EE363" s="129"/>
      <c r="EF363" s="129"/>
      <c r="EG363" s="129"/>
    </row>
    <row r="364" spans="1:138" x14ac:dyDescent="0.3">
      <c r="A364" s="225" t="s">
        <v>24</v>
      </c>
      <c r="B364" s="123">
        <f>MIN(B4:B363)</f>
        <v>205</v>
      </c>
      <c r="C364" s="130">
        <f t="shared" ref="C364:CE364" si="19">MIN(C4:C363)</f>
        <v>43.090000152587891</v>
      </c>
      <c r="D364" s="130">
        <f t="shared" si="19"/>
        <v>94.662002563476563</v>
      </c>
      <c r="E364" s="130">
        <f t="shared" si="19"/>
        <v>12.553000450134277</v>
      </c>
      <c r="F364" s="130">
        <f t="shared" si="19"/>
        <v>0</v>
      </c>
      <c r="G364" s="131">
        <f t="shared" si="19"/>
        <v>15.607000350952148</v>
      </c>
      <c r="H364" s="132">
        <f t="shared" si="19"/>
        <v>297</v>
      </c>
      <c r="I364" s="130">
        <f t="shared" si="19"/>
        <v>267</v>
      </c>
      <c r="J364" s="130">
        <f t="shared" si="19"/>
        <v>56.208999633789063</v>
      </c>
      <c r="K364" s="130">
        <f t="shared" si="19"/>
        <v>59.093944549560547</v>
      </c>
      <c r="L364" s="130">
        <f t="shared" si="19"/>
        <v>40.820999145507813</v>
      </c>
      <c r="M364" s="130">
        <f t="shared" si="19"/>
        <v>10.970000267028809</v>
      </c>
      <c r="N364" s="130">
        <f t="shared" si="19"/>
        <v>15.713000297546387</v>
      </c>
      <c r="O364" s="130">
        <f t="shared" si="19"/>
        <v>14</v>
      </c>
      <c r="P364" s="130">
        <f t="shared" si="19"/>
        <v>0</v>
      </c>
      <c r="Q364" s="130">
        <f t="shared" si="19"/>
        <v>14.668213844299316</v>
      </c>
      <c r="R364" s="130">
        <f t="shared" si="19"/>
        <v>0</v>
      </c>
      <c r="S364" s="130">
        <f t="shared" si="19"/>
        <v>2.58742356300354</v>
      </c>
      <c r="T364" s="130">
        <f t="shared" si="19"/>
        <v>0</v>
      </c>
      <c r="U364" s="133">
        <f t="shared" si="19"/>
        <v>0</v>
      </c>
      <c r="V364" s="132">
        <f t="shared" si="19"/>
        <v>836</v>
      </c>
      <c r="W364" s="130">
        <f t="shared" si="19"/>
        <v>23.152980804443359</v>
      </c>
      <c r="X364" s="130">
        <f t="shared" si="19"/>
        <v>22.844999313354492</v>
      </c>
      <c r="Y364" s="130">
        <f t="shared" si="19"/>
        <v>0</v>
      </c>
      <c r="Z364" s="130">
        <f t="shared" si="19"/>
        <v>0</v>
      </c>
      <c r="AA364" s="130">
        <f t="shared" si="19"/>
        <v>16.625</v>
      </c>
      <c r="AB364" s="130">
        <f t="shared" si="19"/>
        <v>0</v>
      </c>
      <c r="AC364" s="130">
        <f t="shared" si="19"/>
        <v>49.57342529296875</v>
      </c>
      <c r="AD364" s="130">
        <f t="shared" si="19"/>
        <v>5.5980000495910645</v>
      </c>
      <c r="AE364" s="130">
        <f t="shared" si="19"/>
        <v>0</v>
      </c>
      <c r="AF364" s="130">
        <f t="shared" si="19"/>
        <v>77.609565734863281</v>
      </c>
      <c r="AG364" s="130">
        <f t="shared" si="19"/>
        <v>0</v>
      </c>
      <c r="AH364" s="130">
        <f t="shared" si="19"/>
        <v>57.276092529296875</v>
      </c>
      <c r="AI364" s="130">
        <f t="shared" si="19"/>
        <v>9.9870004653930664</v>
      </c>
      <c r="AJ364" s="130">
        <f t="shared" si="19"/>
        <v>13.616472244262695</v>
      </c>
      <c r="AK364" s="130">
        <f t="shared" si="19"/>
        <v>34.659770965576172</v>
      </c>
      <c r="AL364" s="130">
        <f t="shared" si="19"/>
        <v>33.398998260498047</v>
      </c>
      <c r="AM364" s="134">
        <f t="shared" si="19"/>
        <v>45.486000061035156</v>
      </c>
      <c r="AN364" s="132">
        <f t="shared" si="19"/>
        <v>107</v>
      </c>
      <c r="AO364" s="130">
        <f t="shared" si="19"/>
        <v>54</v>
      </c>
      <c r="AP364" s="130">
        <f t="shared" si="19"/>
        <v>57.26751708984375</v>
      </c>
      <c r="AQ364" s="130">
        <f t="shared" si="19"/>
        <v>32.220138549804688</v>
      </c>
      <c r="AR364" s="130">
        <f t="shared" si="19"/>
        <v>78</v>
      </c>
      <c r="AS364" s="130">
        <f t="shared" si="19"/>
        <v>0</v>
      </c>
      <c r="AT364" s="130">
        <f t="shared" si="19"/>
        <v>91</v>
      </c>
      <c r="AU364" s="130">
        <f t="shared" si="19"/>
        <v>0</v>
      </c>
      <c r="AV364" s="130">
        <f t="shared" si="19"/>
        <v>49</v>
      </c>
      <c r="AW364" s="130">
        <f t="shared" si="19"/>
        <v>0</v>
      </c>
      <c r="AX364" s="130">
        <f t="shared" si="19"/>
        <v>28</v>
      </c>
      <c r="AY364" s="130">
        <f t="shared" si="19"/>
        <v>31.43757438659668</v>
      </c>
      <c r="AZ364" s="130">
        <f t="shared" si="19"/>
        <v>0</v>
      </c>
      <c r="BA364" s="130">
        <f t="shared" si="19"/>
        <v>0</v>
      </c>
      <c r="BB364" s="130">
        <f t="shared" si="19"/>
        <v>174</v>
      </c>
      <c r="BC364" s="130">
        <f t="shared" si="19"/>
        <v>172.07620239257813</v>
      </c>
      <c r="BD364" s="130">
        <f t="shared" si="19"/>
        <v>6.1999998092651367</v>
      </c>
      <c r="BE364" s="130">
        <f t="shared" si="19"/>
        <v>6.5186948776245117</v>
      </c>
      <c r="BF364" s="130">
        <f t="shared" si="19"/>
        <v>29</v>
      </c>
      <c r="BG364" s="130">
        <f t="shared" si="19"/>
        <v>10</v>
      </c>
      <c r="BH364" s="130">
        <f t="shared" si="19"/>
        <v>10.745209693908691</v>
      </c>
      <c r="BI364" s="130">
        <f t="shared" si="19"/>
        <v>0</v>
      </c>
      <c r="BJ364" s="130">
        <f t="shared" si="19"/>
        <v>9</v>
      </c>
      <c r="BK364" s="130">
        <f t="shared" si="19"/>
        <v>9</v>
      </c>
      <c r="BL364" s="130">
        <f t="shared" si="19"/>
        <v>0</v>
      </c>
      <c r="BM364" s="134">
        <f t="shared" si="19"/>
        <v>0</v>
      </c>
      <c r="BN364" s="269">
        <f t="shared" si="19"/>
        <v>119.20000076293945</v>
      </c>
      <c r="BO364" s="269">
        <f t="shared" si="19"/>
        <v>71</v>
      </c>
      <c r="BP364" s="269">
        <f t="shared" si="19"/>
        <v>47.200000762939453</v>
      </c>
      <c r="BQ364" s="269">
        <f t="shared" si="19"/>
        <v>255</v>
      </c>
      <c r="BR364" s="130">
        <f t="shared" si="19"/>
        <v>61.185001373291016</v>
      </c>
      <c r="BS364" s="130">
        <f t="shared" si="19"/>
        <v>12.722999572753906</v>
      </c>
      <c r="BT364" s="130">
        <f t="shared" si="19"/>
        <v>39.485000610351563</v>
      </c>
      <c r="BU364" s="130">
        <f t="shared" si="19"/>
        <v>28.753999710083008</v>
      </c>
      <c r="BV364" s="130">
        <f t="shared" si="19"/>
        <v>67.5</v>
      </c>
      <c r="BW364" s="130">
        <f t="shared" si="19"/>
        <v>5.5999999046325684</v>
      </c>
      <c r="BX364" s="130">
        <f t="shared" si="19"/>
        <v>13.399999618530273</v>
      </c>
      <c r="BY364" s="130">
        <f t="shared" si="19"/>
        <v>27</v>
      </c>
      <c r="BZ364" s="130">
        <f t="shared" si="19"/>
        <v>1.0949129238724709E-2</v>
      </c>
      <c r="CA364" s="130">
        <f t="shared" si="19"/>
        <v>0</v>
      </c>
      <c r="CB364" s="130">
        <f t="shared" si="19"/>
        <v>28.997251510620117</v>
      </c>
      <c r="CC364" s="134">
        <f t="shared" si="19"/>
        <v>0</v>
      </c>
      <c r="CD364" s="130">
        <f t="shared" si="19"/>
        <v>325.96859741210938</v>
      </c>
      <c r="CE364" s="130">
        <f t="shared" si="19"/>
        <v>27.197916030883789</v>
      </c>
      <c r="CF364" s="130">
        <f t="shared" ref="CF364:ED364" si="20">MIN(CF4:CF363)</f>
        <v>15.608991622924805</v>
      </c>
      <c r="CG364" s="130">
        <f t="shared" si="20"/>
        <v>35.338191986083984</v>
      </c>
      <c r="CH364" s="130">
        <f t="shared" si="20"/>
        <v>268.83416748046875</v>
      </c>
      <c r="CI364" s="130">
        <f t="shared" si="20"/>
        <v>69.872039794921875</v>
      </c>
      <c r="CJ364" s="130">
        <f t="shared" si="20"/>
        <v>29.697189331054688</v>
      </c>
      <c r="CK364" s="130">
        <f t="shared" si="20"/>
        <v>44.270195007324219</v>
      </c>
      <c r="CL364" s="131">
        <f t="shared" si="20"/>
        <v>21.488065719604492</v>
      </c>
      <c r="CM364" s="132">
        <f t="shared" si="20"/>
        <v>143.88200378417969</v>
      </c>
      <c r="CN364" s="130">
        <f t="shared" si="20"/>
        <v>36.585983276367188</v>
      </c>
      <c r="CO364" s="130">
        <f t="shared" si="20"/>
        <v>46.293003082275391</v>
      </c>
      <c r="CP364" s="130">
        <f t="shared" si="20"/>
        <v>51.128192901611328</v>
      </c>
      <c r="CQ364" s="130">
        <f t="shared" si="20"/>
        <v>0</v>
      </c>
      <c r="CR364" s="130">
        <f t="shared" si="20"/>
        <v>46.165599822998047</v>
      </c>
      <c r="CS364" s="130">
        <f t="shared" si="20"/>
        <v>6.9291858673095703</v>
      </c>
      <c r="CT364" s="130">
        <f t="shared" si="20"/>
        <v>25.689416885375977</v>
      </c>
      <c r="CU364" s="130">
        <f t="shared" si="20"/>
        <v>35.176795959472656</v>
      </c>
      <c r="CV364" s="131">
        <f t="shared" si="20"/>
        <v>45.478408813476563</v>
      </c>
      <c r="CW364" s="132">
        <f t="shared" si="20"/>
        <v>0</v>
      </c>
      <c r="CX364" s="130">
        <f t="shared" si="20"/>
        <v>284</v>
      </c>
      <c r="CY364" s="130">
        <f t="shared" si="20"/>
        <v>104.98561859130859</v>
      </c>
      <c r="CZ364" s="130">
        <f t="shared" si="20"/>
        <v>44.853599548339844</v>
      </c>
      <c r="DA364" s="130">
        <f t="shared" si="20"/>
        <v>18.716035842895508</v>
      </c>
      <c r="DB364" s="130">
        <f t="shared" si="20"/>
        <v>26.64805793762207</v>
      </c>
      <c r="DC364" s="130">
        <f t="shared" si="20"/>
        <v>67.490821838378906</v>
      </c>
      <c r="DD364" s="130">
        <f t="shared" si="20"/>
        <v>33</v>
      </c>
      <c r="DE364" s="130">
        <f t="shared" si="20"/>
        <v>165</v>
      </c>
      <c r="DF364" s="130">
        <f t="shared" si="20"/>
        <v>94.973640441894531</v>
      </c>
      <c r="DG364" s="130">
        <f t="shared" si="20"/>
        <v>58.340904235839844</v>
      </c>
      <c r="DH364" s="130">
        <f t="shared" si="20"/>
        <v>38.671222686767578</v>
      </c>
      <c r="DI364" s="134">
        <f t="shared" si="20"/>
        <v>35.115634918212891</v>
      </c>
      <c r="DJ364" s="135">
        <f t="shared" si="20"/>
        <v>196</v>
      </c>
      <c r="DK364" s="130">
        <f t="shared" si="20"/>
        <v>98.478996276855469</v>
      </c>
      <c r="DL364" s="130">
        <f t="shared" si="20"/>
        <v>21.375</v>
      </c>
      <c r="DM364" s="130">
        <f t="shared" si="20"/>
        <v>20.322000503540039</v>
      </c>
      <c r="DN364" s="130">
        <f t="shared" si="20"/>
        <v>46.298999786376953</v>
      </c>
      <c r="DO364" s="131">
        <f t="shared" si="20"/>
        <v>108.60617828369141</v>
      </c>
      <c r="DP364" s="132">
        <f t="shared" si="20"/>
        <v>14.616999626159668</v>
      </c>
      <c r="DQ364" s="130">
        <f t="shared" si="20"/>
        <v>0</v>
      </c>
      <c r="DR364" s="132">
        <f t="shared" si="20"/>
        <v>0</v>
      </c>
      <c r="DS364" s="134">
        <f t="shared" si="20"/>
        <v>26.299999237060547</v>
      </c>
      <c r="DT364" s="135">
        <f t="shared" si="20"/>
        <v>12</v>
      </c>
      <c r="DU364" s="130">
        <f t="shared" si="20"/>
        <v>0</v>
      </c>
      <c r="DV364" s="130">
        <f t="shared" si="20"/>
        <v>0</v>
      </c>
      <c r="DW364" s="130">
        <f t="shared" si="20"/>
        <v>0.98883461952209473</v>
      </c>
      <c r="DX364" s="132">
        <f t="shared" si="20"/>
        <v>9</v>
      </c>
      <c r="DY364" s="134">
        <f t="shared" si="20"/>
        <v>0</v>
      </c>
      <c r="DZ364" s="135">
        <f t="shared" si="20"/>
        <v>42</v>
      </c>
      <c r="EA364" s="130">
        <f t="shared" si="20"/>
        <v>3</v>
      </c>
      <c r="EB364" s="130">
        <f t="shared" si="20"/>
        <v>0</v>
      </c>
      <c r="EC364" s="130">
        <f t="shared" si="20"/>
        <v>1</v>
      </c>
      <c r="ED364" s="130">
        <f t="shared" si="20"/>
        <v>222.80000305175781</v>
      </c>
      <c r="EE364" s="129"/>
      <c r="EF364" s="129"/>
      <c r="EG364" s="129"/>
    </row>
    <row r="365" spans="1:138" x14ac:dyDescent="0.3">
      <c r="A365" s="225" t="s">
        <v>25</v>
      </c>
      <c r="B365" s="136">
        <f>MAX(B4:B363)</f>
        <v>332</v>
      </c>
      <c r="C365" s="130">
        <f t="shared" ref="C365:CE365" si="21">MAX(C4:C363)</f>
        <v>61.185001373291016</v>
      </c>
      <c r="D365" s="130">
        <f t="shared" si="21"/>
        <v>107.78099822998047</v>
      </c>
      <c r="E365" s="130">
        <f t="shared" si="21"/>
        <v>39.470001220703125</v>
      </c>
      <c r="F365" s="130">
        <f t="shared" si="21"/>
        <v>42.437141418457031</v>
      </c>
      <c r="G365" s="131">
        <f t="shared" si="21"/>
        <v>25.333000183105469</v>
      </c>
      <c r="H365" s="132">
        <f t="shared" si="21"/>
        <v>385</v>
      </c>
      <c r="I365" s="130">
        <f t="shared" si="21"/>
        <v>350</v>
      </c>
      <c r="J365" s="130">
        <f t="shared" si="21"/>
        <v>82.333999633789063</v>
      </c>
      <c r="K365" s="130">
        <f t="shared" si="21"/>
        <v>69.429603576660156</v>
      </c>
      <c r="L365" s="130">
        <f t="shared" si="21"/>
        <v>105.49800109863281</v>
      </c>
      <c r="M365" s="130">
        <f t="shared" si="21"/>
        <v>17.416000366210938</v>
      </c>
      <c r="N365" s="130">
        <f t="shared" si="21"/>
        <v>18.767000198364258</v>
      </c>
      <c r="O365" s="130">
        <f t="shared" si="21"/>
        <v>24</v>
      </c>
      <c r="P365" s="130">
        <f t="shared" si="21"/>
        <v>0</v>
      </c>
      <c r="Q365" s="130">
        <f t="shared" si="21"/>
        <v>24.7894287109375</v>
      </c>
      <c r="R365" s="130">
        <f t="shared" si="21"/>
        <v>31.003124237060547</v>
      </c>
      <c r="S365" s="130">
        <f t="shared" si="21"/>
        <v>33.283222198486328</v>
      </c>
      <c r="T365" s="130">
        <f t="shared" si="21"/>
        <v>9</v>
      </c>
      <c r="U365" s="133">
        <f t="shared" si="21"/>
        <v>9</v>
      </c>
      <c r="V365" s="132">
        <f t="shared" si="21"/>
        <v>1280</v>
      </c>
      <c r="W365" s="130">
        <f t="shared" si="21"/>
        <v>46.675468444824219</v>
      </c>
      <c r="X365" s="130">
        <f t="shared" si="21"/>
        <v>42.976001739501953</v>
      </c>
      <c r="Y365" s="130">
        <f t="shared" si="21"/>
        <v>12.595999717712402</v>
      </c>
      <c r="Z365" s="130">
        <f t="shared" si="21"/>
        <v>0</v>
      </c>
      <c r="AA365" s="130">
        <f t="shared" si="21"/>
        <v>38.226001739501953</v>
      </c>
      <c r="AB365" s="130">
        <f t="shared" si="21"/>
        <v>0</v>
      </c>
      <c r="AC365" s="130">
        <f t="shared" si="21"/>
        <v>71.009880065917969</v>
      </c>
      <c r="AD365" s="130">
        <f t="shared" si="21"/>
        <v>6.869999885559082</v>
      </c>
      <c r="AE365" s="130">
        <f t="shared" si="21"/>
        <v>2.1411426067352295</v>
      </c>
      <c r="AF365" s="130">
        <f t="shared" si="21"/>
        <v>102.10349273681641</v>
      </c>
      <c r="AG365" s="130">
        <f t="shared" si="21"/>
        <v>0</v>
      </c>
      <c r="AH365" s="130">
        <f t="shared" si="21"/>
        <v>99.786109924316406</v>
      </c>
      <c r="AI365" s="130">
        <f t="shared" si="21"/>
        <v>33.270999908447266</v>
      </c>
      <c r="AJ365" s="130">
        <f t="shared" si="21"/>
        <v>47.502250671386719</v>
      </c>
      <c r="AK365" s="130">
        <f t="shared" si="21"/>
        <v>57.153980255126953</v>
      </c>
      <c r="AL365" s="130">
        <f t="shared" si="21"/>
        <v>65.029998779296875</v>
      </c>
      <c r="AM365" s="134">
        <f t="shared" si="21"/>
        <v>63.617000579833984</v>
      </c>
      <c r="AN365" s="132">
        <f t="shared" si="21"/>
        <v>204.9375</v>
      </c>
      <c r="AO365" s="130">
        <f t="shared" si="21"/>
        <v>112</v>
      </c>
      <c r="AP365" s="130">
        <f t="shared" si="21"/>
        <v>95.817039489746094</v>
      </c>
      <c r="AQ365" s="130">
        <f t="shared" si="21"/>
        <v>78.885025024414063</v>
      </c>
      <c r="AR365" s="130">
        <f t="shared" si="21"/>
        <v>138</v>
      </c>
      <c r="AS365" s="130">
        <f t="shared" si="21"/>
        <v>0</v>
      </c>
      <c r="AT365" s="130">
        <f t="shared" si="21"/>
        <v>124</v>
      </c>
      <c r="AU365" s="130">
        <f t="shared" si="21"/>
        <v>0</v>
      </c>
      <c r="AV365" s="130">
        <f t="shared" si="21"/>
        <v>112</v>
      </c>
      <c r="AW365" s="130">
        <f t="shared" si="21"/>
        <v>0</v>
      </c>
      <c r="AX365" s="130">
        <f t="shared" si="21"/>
        <v>41</v>
      </c>
      <c r="AY365" s="130">
        <f t="shared" si="21"/>
        <v>42.143413543701172</v>
      </c>
      <c r="AZ365" s="130">
        <f t="shared" si="21"/>
        <v>31</v>
      </c>
      <c r="BA365" s="130">
        <f t="shared" si="21"/>
        <v>0</v>
      </c>
      <c r="BB365" s="130">
        <f t="shared" si="21"/>
        <v>308</v>
      </c>
      <c r="BC365" s="130">
        <f t="shared" si="21"/>
        <v>311.3944091796875</v>
      </c>
      <c r="BD365" s="130">
        <f t="shared" si="21"/>
        <v>8.3999996185302734</v>
      </c>
      <c r="BE365" s="130">
        <f t="shared" si="21"/>
        <v>8.3109245300292969</v>
      </c>
      <c r="BF365" s="130">
        <f t="shared" si="21"/>
        <v>32</v>
      </c>
      <c r="BG365" s="130">
        <f t="shared" si="21"/>
        <v>13</v>
      </c>
      <c r="BH365" s="130">
        <f t="shared" si="21"/>
        <v>13.598320960998535</v>
      </c>
      <c r="BI365" s="130">
        <f t="shared" si="21"/>
        <v>0</v>
      </c>
      <c r="BJ365" s="130">
        <f t="shared" si="21"/>
        <v>22</v>
      </c>
      <c r="BK365" s="130">
        <f t="shared" si="21"/>
        <v>22</v>
      </c>
      <c r="BL365" s="130">
        <f t="shared" si="21"/>
        <v>0</v>
      </c>
      <c r="BM365" s="134">
        <f t="shared" si="21"/>
        <v>0</v>
      </c>
      <c r="BN365" s="130">
        <f t="shared" si="21"/>
        <v>126</v>
      </c>
      <c r="BO365" s="130">
        <f t="shared" si="21"/>
        <v>77</v>
      </c>
      <c r="BP365" s="130">
        <f t="shared" si="21"/>
        <v>49.200000762939453</v>
      </c>
      <c r="BQ365" s="130">
        <f t="shared" si="21"/>
        <v>574</v>
      </c>
      <c r="BR365" s="130">
        <f t="shared" si="21"/>
        <v>121.91799926757813</v>
      </c>
      <c r="BS365" s="130">
        <f t="shared" si="21"/>
        <v>34.606998443603516</v>
      </c>
      <c r="BT365" s="130">
        <f t="shared" si="21"/>
        <v>322.114990234375</v>
      </c>
      <c r="BU365" s="130">
        <f t="shared" si="21"/>
        <v>54.838001251220703</v>
      </c>
      <c r="BV365" s="130">
        <f t="shared" si="21"/>
        <v>71.599998474121094</v>
      </c>
      <c r="BW365" s="130">
        <f t="shared" si="21"/>
        <v>7.6999998092651367</v>
      </c>
      <c r="BX365" s="130">
        <f t="shared" si="21"/>
        <v>14.399999618530273</v>
      </c>
      <c r="BY365" s="130">
        <f t="shared" si="21"/>
        <v>32</v>
      </c>
      <c r="BZ365" s="130">
        <f t="shared" si="21"/>
        <v>19.98284912109375</v>
      </c>
      <c r="CA365" s="130">
        <f t="shared" si="21"/>
        <v>21</v>
      </c>
      <c r="CB365" s="130">
        <f t="shared" si="21"/>
        <v>32.449413299560547</v>
      </c>
      <c r="CC365" s="134">
        <f t="shared" si="21"/>
        <v>0</v>
      </c>
      <c r="CD365" s="130">
        <f t="shared" si="21"/>
        <v>468.69900512695313</v>
      </c>
      <c r="CE365" s="130">
        <f t="shared" si="21"/>
        <v>94.881393432617188</v>
      </c>
      <c r="CF365" s="130">
        <f t="shared" ref="CF365:ED365" si="22">MAX(CF4:CF363)</f>
        <v>37.09051513671875</v>
      </c>
      <c r="CG365" s="130">
        <f t="shared" si="22"/>
        <v>35.338191986083984</v>
      </c>
      <c r="CH365" s="130">
        <f t="shared" si="22"/>
        <v>305.15982055664063</v>
      </c>
      <c r="CI365" s="130">
        <f t="shared" si="22"/>
        <v>128.29708862304688</v>
      </c>
      <c r="CJ365" s="130">
        <f t="shared" si="22"/>
        <v>65.427932739257813</v>
      </c>
      <c r="CK365" s="130">
        <f t="shared" si="22"/>
        <v>70.219993591308594</v>
      </c>
      <c r="CL365" s="131">
        <f t="shared" si="22"/>
        <v>55.814327239990234</v>
      </c>
      <c r="CM365" s="132">
        <f t="shared" si="22"/>
        <v>407.0474853515625</v>
      </c>
      <c r="CN365" s="130">
        <f t="shared" si="22"/>
        <v>169.10246276855469</v>
      </c>
      <c r="CO365" s="130">
        <f t="shared" si="22"/>
        <v>106.60110473632813</v>
      </c>
      <c r="CP365" s="130">
        <f t="shared" si="22"/>
        <v>131.11404418945313</v>
      </c>
      <c r="CQ365" s="130">
        <f t="shared" si="22"/>
        <v>0</v>
      </c>
      <c r="CR365" s="130">
        <f t="shared" si="22"/>
        <v>78.407691955566406</v>
      </c>
      <c r="CS365" s="130">
        <f t="shared" si="22"/>
        <v>18.79693603515625</v>
      </c>
      <c r="CT365" s="130">
        <f t="shared" si="22"/>
        <v>64.102630615234375</v>
      </c>
      <c r="CU365" s="130">
        <f t="shared" si="22"/>
        <v>297.87985229492188</v>
      </c>
      <c r="CV365" s="131">
        <f t="shared" si="22"/>
        <v>125.74981689453125</v>
      </c>
      <c r="CW365" s="132">
        <f t="shared" si="22"/>
        <v>45</v>
      </c>
      <c r="CX365" s="130">
        <f t="shared" si="22"/>
        <v>515</v>
      </c>
      <c r="CY365" s="130">
        <f t="shared" si="22"/>
        <v>245.25677490234375</v>
      </c>
      <c r="CZ365" s="130">
        <f t="shared" si="22"/>
        <v>72.324127197265625</v>
      </c>
      <c r="DA365" s="130">
        <f t="shared" si="22"/>
        <v>35.188873291015625</v>
      </c>
      <c r="DB365" s="130">
        <f t="shared" si="22"/>
        <v>53.661598205566406</v>
      </c>
      <c r="DC365" s="130">
        <f t="shared" si="22"/>
        <v>103.45866394042969</v>
      </c>
      <c r="DD365" s="130">
        <f t="shared" si="22"/>
        <v>706</v>
      </c>
      <c r="DE365" s="130">
        <f t="shared" si="22"/>
        <v>205</v>
      </c>
      <c r="DF365" s="130">
        <f t="shared" si="22"/>
        <v>720.54296875</v>
      </c>
      <c r="DG365" s="130">
        <f t="shared" si="22"/>
        <v>120.27739715576172</v>
      </c>
      <c r="DH365" s="130">
        <f t="shared" si="22"/>
        <v>94.241485595703125</v>
      </c>
      <c r="DI365" s="134">
        <f t="shared" si="22"/>
        <v>51.410160064697266</v>
      </c>
      <c r="DJ365" s="135">
        <f t="shared" si="22"/>
        <v>270</v>
      </c>
      <c r="DK365" s="130">
        <f t="shared" si="22"/>
        <v>164.89500427246094</v>
      </c>
      <c r="DL365" s="130">
        <f t="shared" si="22"/>
        <v>37.321998596191406</v>
      </c>
      <c r="DM365" s="130">
        <f t="shared" si="22"/>
        <v>71.9219970703125</v>
      </c>
      <c r="DN365" s="130">
        <f t="shared" si="22"/>
        <v>59.199001312255859</v>
      </c>
      <c r="DO365" s="131">
        <f t="shared" si="22"/>
        <v>123.86528778076172</v>
      </c>
      <c r="DP365" s="132">
        <f t="shared" si="22"/>
        <v>18.518999099731445</v>
      </c>
      <c r="DQ365" s="130">
        <f t="shared" si="22"/>
        <v>0</v>
      </c>
      <c r="DR365" s="132">
        <f t="shared" si="22"/>
        <v>68</v>
      </c>
      <c r="DS365" s="134">
        <f t="shared" si="22"/>
        <v>56.599998474121094</v>
      </c>
      <c r="DT365" s="135">
        <f t="shared" si="22"/>
        <v>15</v>
      </c>
      <c r="DU365" s="130">
        <f t="shared" si="22"/>
        <v>0</v>
      </c>
      <c r="DV365" s="130">
        <f t="shared" si="22"/>
        <v>182</v>
      </c>
      <c r="DW365" s="130">
        <f t="shared" si="22"/>
        <v>166.20468139648438</v>
      </c>
      <c r="DX365" s="132">
        <f t="shared" si="22"/>
        <v>15</v>
      </c>
      <c r="DY365" s="134">
        <f t="shared" si="22"/>
        <v>0</v>
      </c>
      <c r="DZ365" s="135">
        <f t="shared" si="22"/>
        <v>56</v>
      </c>
      <c r="EA365" s="130">
        <f t="shared" si="22"/>
        <v>3</v>
      </c>
      <c r="EB365" s="130">
        <f t="shared" si="22"/>
        <v>0</v>
      </c>
      <c r="EC365" s="130">
        <f t="shared" si="22"/>
        <v>29</v>
      </c>
      <c r="ED365" s="130">
        <f t="shared" si="22"/>
        <v>879</v>
      </c>
      <c r="EE365" s="129"/>
      <c r="EF365" s="129"/>
      <c r="EG365" s="129"/>
    </row>
    <row r="366" spans="1:138" s="3" customFormat="1" x14ac:dyDescent="0.3">
      <c r="A366" s="411" t="s">
        <v>111</v>
      </c>
      <c r="B366" s="416">
        <f t="shared" ref="B366:BM366" si="23">AVERAGE(B369:B374)</f>
        <v>206.33333333333334</v>
      </c>
      <c r="C366" s="416">
        <f t="shared" si="23"/>
        <v>44.880332946777344</v>
      </c>
      <c r="D366" s="416">
        <f t="shared" si="23"/>
        <v>95.019832611083984</v>
      </c>
      <c r="E366" s="416">
        <f t="shared" si="23"/>
        <v>14.49483315149943</v>
      </c>
      <c r="F366" s="416">
        <f t="shared" si="23"/>
        <v>0</v>
      </c>
      <c r="G366" s="416">
        <f t="shared" si="23"/>
        <v>15.814166863759359</v>
      </c>
      <c r="H366" s="416">
        <f t="shared" si="23"/>
        <v>299.5</v>
      </c>
      <c r="I366" s="416">
        <f t="shared" si="23"/>
        <v>268</v>
      </c>
      <c r="J366" s="416">
        <f t="shared" si="23"/>
        <v>57.980667114257813</v>
      </c>
      <c r="K366" s="416">
        <f t="shared" si="23"/>
        <v>59.487239201863609</v>
      </c>
      <c r="L366" s="416">
        <f t="shared" si="23"/>
        <v>41.910498936971031</v>
      </c>
      <c r="M366" s="416">
        <f t="shared" si="23"/>
        <v>11.309000015258789</v>
      </c>
      <c r="N366" s="416">
        <f t="shared" si="23"/>
        <v>16.030999978383381</v>
      </c>
      <c r="O366" s="416">
        <f t="shared" si="23"/>
        <v>14.833333333333334</v>
      </c>
      <c r="P366" s="416">
        <f t="shared" si="23"/>
        <v>0</v>
      </c>
      <c r="Q366" s="416">
        <f t="shared" si="23"/>
        <v>15.306634585062662</v>
      </c>
      <c r="R366" s="416">
        <f t="shared" si="23"/>
        <v>0</v>
      </c>
      <c r="S366" s="416">
        <f t="shared" si="23"/>
        <v>3.1215479771296182</v>
      </c>
      <c r="T366" s="416">
        <f t="shared" si="23"/>
        <v>0</v>
      </c>
      <c r="U366" s="416">
        <f t="shared" si="23"/>
        <v>0</v>
      </c>
      <c r="V366" s="416">
        <f t="shared" si="23"/>
        <v>838</v>
      </c>
      <c r="W366" s="416">
        <f t="shared" si="23"/>
        <v>23.954084078470867</v>
      </c>
      <c r="X366" s="416">
        <f t="shared" si="23"/>
        <v>23.278666496276855</v>
      </c>
      <c r="Y366" s="416">
        <f t="shared" si="23"/>
        <v>4.8980000019073486</v>
      </c>
      <c r="Z366" s="416">
        <f t="shared" si="23"/>
        <v>0</v>
      </c>
      <c r="AA366" s="416">
        <f t="shared" si="23"/>
        <v>16.98283354441325</v>
      </c>
      <c r="AB366" s="416">
        <f t="shared" si="23"/>
        <v>0</v>
      </c>
      <c r="AC366" s="416">
        <f t="shared" si="23"/>
        <v>50.124147415161133</v>
      </c>
      <c r="AD366" s="416">
        <f t="shared" si="23"/>
        <v>5.5980000495910645</v>
      </c>
      <c r="AE366" s="416">
        <f t="shared" si="23"/>
        <v>0</v>
      </c>
      <c r="AF366" s="416">
        <f t="shared" si="23"/>
        <v>78.546864827473954</v>
      </c>
      <c r="AG366" s="416">
        <f t="shared" si="23"/>
        <v>0</v>
      </c>
      <c r="AH366" s="416">
        <f t="shared" si="23"/>
        <v>58.119443893432617</v>
      </c>
      <c r="AI366" s="416">
        <f t="shared" si="23"/>
        <v>10.273499965667725</v>
      </c>
      <c r="AJ366" s="416">
        <f t="shared" si="23"/>
        <v>14.553894201914469</v>
      </c>
      <c r="AK366" s="416">
        <f t="shared" si="23"/>
        <v>35.005884170532227</v>
      </c>
      <c r="AL366" s="416">
        <f t="shared" si="23"/>
        <v>33.958166758219399</v>
      </c>
      <c r="AM366" s="416">
        <f t="shared" si="23"/>
        <v>52.208333333333336</v>
      </c>
      <c r="AN366" s="416">
        <f t="shared" si="23"/>
        <v>108.10416666666667</v>
      </c>
      <c r="AO366" s="416">
        <f t="shared" si="23"/>
        <v>54.833333333333336</v>
      </c>
      <c r="AP366" s="416">
        <f t="shared" si="23"/>
        <v>57.981149673461914</v>
      </c>
      <c r="AQ366" s="416">
        <f t="shared" si="23"/>
        <v>33.049851099650063</v>
      </c>
      <c r="AR366" s="416">
        <f t="shared" si="23"/>
        <v>79.833333333333329</v>
      </c>
      <c r="AS366" s="416" t="e">
        <f t="shared" si="23"/>
        <v>#NUM!</v>
      </c>
      <c r="AT366" s="416">
        <f t="shared" si="23"/>
        <v>92.333333333333329</v>
      </c>
      <c r="AU366" s="416" t="e">
        <f t="shared" si="23"/>
        <v>#NUM!</v>
      </c>
      <c r="AV366" s="416">
        <f t="shared" si="23"/>
        <v>49.5</v>
      </c>
      <c r="AW366" s="416" t="e">
        <f t="shared" si="23"/>
        <v>#NUM!</v>
      </c>
      <c r="AX366" s="416">
        <f t="shared" si="23"/>
        <v>28.5</v>
      </c>
      <c r="AY366" s="416">
        <f t="shared" si="23"/>
        <v>31.655987421671551</v>
      </c>
      <c r="AZ366" s="416">
        <f t="shared" si="23"/>
        <v>0.5</v>
      </c>
      <c r="BA366" s="416" t="e">
        <f t="shared" si="23"/>
        <v>#NUM!</v>
      </c>
      <c r="BB366" s="416">
        <f t="shared" si="23"/>
        <v>174.5</v>
      </c>
      <c r="BC366" s="416">
        <f t="shared" si="23"/>
        <v>173.21721903483072</v>
      </c>
      <c r="BD366" s="416">
        <f t="shared" si="23"/>
        <v>6.4166667461395264</v>
      </c>
      <c r="BE366" s="416">
        <f t="shared" si="23"/>
        <v>6.5461931228637695</v>
      </c>
      <c r="BF366" s="416">
        <f t="shared" si="23"/>
        <v>29</v>
      </c>
      <c r="BG366" s="416">
        <f t="shared" si="23"/>
        <v>10</v>
      </c>
      <c r="BH366" s="416">
        <f t="shared" si="23"/>
        <v>10.776455561319986</v>
      </c>
      <c r="BI366" s="416" t="e">
        <f t="shared" si="23"/>
        <v>#NUM!</v>
      </c>
      <c r="BJ366" s="416">
        <f t="shared" si="23"/>
        <v>10</v>
      </c>
      <c r="BK366" s="416">
        <f t="shared" si="23"/>
        <v>10</v>
      </c>
      <c r="BL366" s="416">
        <f t="shared" si="23"/>
        <v>0</v>
      </c>
      <c r="BM366" s="416" t="e">
        <f t="shared" si="23"/>
        <v>#NUM!</v>
      </c>
      <c r="BN366" s="416">
        <f t="shared" ref="BN366:DY366" si="24">AVERAGE(BN369:BN374)</f>
        <v>119.38333320617676</v>
      </c>
      <c r="BO366" s="416">
        <f t="shared" si="24"/>
        <v>71</v>
      </c>
      <c r="BP366" s="416">
        <f t="shared" si="24"/>
        <v>47.766666412353516</v>
      </c>
      <c r="BQ366" s="416">
        <f t="shared" si="24"/>
        <v>257.5</v>
      </c>
      <c r="BR366" s="416">
        <f t="shared" si="24"/>
        <v>62.862833658854164</v>
      </c>
      <c r="BS366" s="416">
        <f t="shared" si="24"/>
        <v>22.901666641235352</v>
      </c>
      <c r="BT366" s="416">
        <f t="shared" si="24"/>
        <v>40.176998138427734</v>
      </c>
      <c r="BU366" s="416">
        <f t="shared" si="24"/>
        <v>32.974499384562172</v>
      </c>
      <c r="BV366" s="416">
        <f t="shared" si="24"/>
        <v>67.883335113525391</v>
      </c>
      <c r="BW366" s="416">
        <f t="shared" si="24"/>
        <v>5.6333332061767578</v>
      </c>
      <c r="BX366" s="416">
        <f t="shared" si="24"/>
        <v>13.433333079020182</v>
      </c>
      <c r="BY366" s="416">
        <f t="shared" si="24"/>
        <v>27</v>
      </c>
      <c r="BZ366" s="416">
        <f t="shared" si="24"/>
        <v>1.206351692477862E-2</v>
      </c>
      <c r="CA366" s="416">
        <f t="shared" si="24"/>
        <v>0</v>
      </c>
      <c r="CB366" s="416">
        <f t="shared" si="24"/>
        <v>29.029293696085613</v>
      </c>
      <c r="CC366" s="416" t="e">
        <f t="shared" si="24"/>
        <v>#NUM!</v>
      </c>
      <c r="CD366" s="416">
        <f t="shared" si="24"/>
        <v>327.62211608886719</v>
      </c>
      <c r="CE366" s="416">
        <f t="shared" si="24"/>
        <v>27.570171356201172</v>
      </c>
      <c r="CF366" s="416">
        <f t="shared" si="24"/>
        <v>15.7897580464681</v>
      </c>
      <c r="CG366" s="416">
        <f t="shared" si="24"/>
        <v>35.338191986083984</v>
      </c>
      <c r="CH366" s="416">
        <f t="shared" si="24"/>
        <v>269.38116455078125</v>
      </c>
      <c r="CI366" s="416">
        <f t="shared" si="24"/>
        <v>72.746972401936844</v>
      </c>
      <c r="CJ366" s="416">
        <f t="shared" si="24"/>
        <v>30.093846003214519</v>
      </c>
      <c r="CK366" s="416">
        <f t="shared" si="24"/>
        <v>45.075057983398438</v>
      </c>
      <c r="CL366" s="416">
        <f t="shared" si="24"/>
        <v>22.222202301025391</v>
      </c>
      <c r="CM366" s="416">
        <f t="shared" si="24"/>
        <v>147.71922810872397</v>
      </c>
      <c r="CN366" s="416">
        <f t="shared" si="24"/>
        <v>40.06707445780436</v>
      </c>
      <c r="CO366" s="416">
        <f t="shared" si="24"/>
        <v>47.675957361857094</v>
      </c>
      <c r="CP366" s="416">
        <f t="shared" si="24"/>
        <v>52.455803553263344</v>
      </c>
      <c r="CQ366" s="416">
        <f t="shared" si="24"/>
        <v>0</v>
      </c>
      <c r="CR366" s="416">
        <f t="shared" si="24"/>
        <v>46.668845494588219</v>
      </c>
      <c r="CS366" s="416">
        <f t="shared" si="24"/>
        <v>7.2354826927185059</v>
      </c>
      <c r="CT366" s="416">
        <f t="shared" si="24"/>
        <v>27.443450609842937</v>
      </c>
      <c r="CU366" s="416">
        <f t="shared" si="24"/>
        <v>36.497505187988281</v>
      </c>
      <c r="CV366" s="416">
        <f t="shared" si="24"/>
        <v>46.554774602254234</v>
      </c>
      <c r="CW366" s="416">
        <f t="shared" si="24"/>
        <v>0</v>
      </c>
      <c r="CX366" s="416">
        <f t="shared" si="24"/>
        <v>288</v>
      </c>
      <c r="CY366" s="416">
        <f t="shared" si="24"/>
        <v>105.73293685913086</v>
      </c>
      <c r="CZ366" s="416">
        <f t="shared" si="24"/>
        <v>45.316473007202148</v>
      </c>
      <c r="DA366" s="416">
        <f t="shared" si="24"/>
        <v>18.927041689554851</v>
      </c>
      <c r="DB366" s="416">
        <f t="shared" si="24"/>
        <v>28.194637934366863</v>
      </c>
      <c r="DC366" s="416">
        <f t="shared" si="24"/>
        <v>68.055023193359375</v>
      </c>
      <c r="DD366" s="416">
        <f t="shared" si="24"/>
        <v>38.333333333333336</v>
      </c>
      <c r="DE366" s="416">
        <f t="shared" si="24"/>
        <v>166.5</v>
      </c>
      <c r="DF366" s="416">
        <f t="shared" si="24"/>
        <v>95.368634541829422</v>
      </c>
      <c r="DG366" s="416">
        <f t="shared" si="24"/>
        <v>60.744429906209312</v>
      </c>
      <c r="DH366" s="416">
        <f t="shared" si="24"/>
        <v>39.156305948893227</v>
      </c>
      <c r="DI366" s="416">
        <f t="shared" si="24"/>
        <v>35.513547897338867</v>
      </c>
      <c r="DJ366" s="416">
        <f t="shared" si="24"/>
        <v>198.16666666666666</v>
      </c>
      <c r="DK366" s="416">
        <f t="shared" si="24"/>
        <v>99.836166381835938</v>
      </c>
      <c r="DL366" s="416">
        <f t="shared" si="24"/>
        <v>22.260833422342937</v>
      </c>
      <c r="DM366" s="416">
        <f t="shared" si="24"/>
        <v>22.089000384012859</v>
      </c>
      <c r="DN366" s="416">
        <f t="shared" si="24"/>
        <v>46.79949951171875</v>
      </c>
      <c r="DO366" s="416">
        <f t="shared" si="24"/>
        <v>109.2163200378418</v>
      </c>
      <c r="DP366" s="416">
        <f t="shared" si="24"/>
        <v>14.834333101908365</v>
      </c>
      <c r="DQ366" s="416" t="e">
        <f t="shared" si="24"/>
        <v>#NUM!</v>
      </c>
      <c r="DR366" s="416">
        <f t="shared" si="24"/>
        <v>0</v>
      </c>
      <c r="DS366" s="416">
        <f t="shared" si="24"/>
        <v>26.783332824707031</v>
      </c>
      <c r="DT366" s="416">
        <f t="shared" si="24"/>
        <v>12</v>
      </c>
      <c r="DU366" s="416" t="e">
        <f t="shared" si="24"/>
        <v>#NUM!</v>
      </c>
      <c r="DV366" s="416">
        <f t="shared" si="24"/>
        <v>0</v>
      </c>
      <c r="DW366" s="416">
        <f t="shared" si="24"/>
        <v>1.1222168405850728</v>
      </c>
      <c r="DX366" s="416">
        <f t="shared" si="24"/>
        <v>9</v>
      </c>
      <c r="DY366" s="416" t="e">
        <f t="shared" si="24"/>
        <v>#NUM!</v>
      </c>
      <c r="DZ366" s="416">
        <f t="shared" ref="DZ366:ED366" si="25">AVERAGE(DZ369:DZ374)</f>
        <v>42.833333333333336</v>
      </c>
      <c r="EA366" s="416">
        <f t="shared" si="25"/>
        <v>3</v>
      </c>
      <c r="EB366" s="416">
        <f t="shared" si="25"/>
        <v>0</v>
      </c>
      <c r="EC366" s="416">
        <f t="shared" si="25"/>
        <v>1</v>
      </c>
      <c r="ED366" s="416">
        <f t="shared" si="25"/>
        <v>224.41666666666666</v>
      </c>
      <c r="EE366" s="129"/>
      <c r="EF366" s="129"/>
      <c r="EG366" s="129"/>
      <c r="EH366"/>
    </row>
    <row r="367" spans="1:138" x14ac:dyDescent="0.3">
      <c r="A367" s="412"/>
      <c r="B367" s="417"/>
      <c r="C367" s="417"/>
      <c r="D367" s="417"/>
      <c r="E367" s="417"/>
      <c r="F367" s="417"/>
      <c r="G367" s="417"/>
      <c r="H367" s="417"/>
      <c r="I367" s="417"/>
      <c r="J367" s="417"/>
      <c r="K367" s="417"/>
      <c r="L367" s="417"/>
      <c r="M367" s="417"/>
      <c r="N367" s="417"/>
      <c r="O367" s="417"/>
      <c r="P367" s="417"/>
      <c r="Q367" s="417"/>
      <c r="R367" s="417"/>
      <c r="S367" s="417"/>
      <c r="T367" s="417"/>
      <c r="U367" s="417"/>
      <c r="V367" s="417"/>
      <c r="W367" s="417"/>
      <c r="X367" s="417"/>
      <c r="Y367" s="417"/>
      <c r="Z367" s="417"/>
      <c r="AA367" s="417"/>
      <c r="AB367" s="417"/>
      <c r="AC367" s="417"/>
      <c r="AD367" s="417"/>
      <c r="AE367" s="417"/>
      <c r="AF367" s="417"/>
      <c r="AG367" s="417"/>
      <c r="AH367" s="417"/>
      <c r="AI367" s="417"/>
      <c r="AJ367" s="417"/>
      <c r="AK367" s="417"/>
      <c r="AL367" s="417"/>
      <c r="AM367" s="417"/>
      <c r="AN367" s="417"/>
      <c r="AO367" s="417"/>
      <c r="AP367" s="417"/>
      <c r="AQ367" s="417"/>
      <c r="AR367" s="417"/>
      <c r="AS367" s="417"/>
      <c r="AT367" s="417"/>
      <c r="AU367" s="417"/>
      <c r="AV367" s="417"/>
      <c r="AW367" s="417"/>
      <c r="AX367" s="417"/>
      <c r="AY367" s="417"/>
      <c r="AZ367" s="417"/>
      <c r="BA367" s="417"/>
      <c r="BB367" s="417"/>
      <c r="BC367" s="417"/>
      <c r="BD367" s="417"/>
      <c r="BE367" s="417"/>
      <c r="BF367" s="417"/>
      <c r="BG367" s="417"/>
      <c r="BH367" s="417"/>
      <c r="BI367" s="417"/>
      <c r="BJ367" s="417"/>
      <c r="BK367" s="417"/>
      <c r="BL367" s="417"/>
      <c r="BM367" s="417"/>
      <c r="BN367" s="417"/>
      <c r="BO367" s="417"/>
      <c r="BP367" s="417"/>
      <c r="BQ367" s="417"/>
      <c r="BR367" s="417"/>
      <c r="BS367" s="417"/>
      <c r="BT367" s="417"/>
      <c r="BU367" s="417"/>
      <c r="BV367" s="417"/>
      <c r="BW367" s="417"/>
      <c r="BX367" s="417"/>
      <c r="BY367" s="417"/>
      <c r="BZ367" s="417"/>
      <c r="CA367" s="417"/>
      <c r="CB367" s="417"/>
      <c r="CC367" s="417"/>
      <c r="CD367" s="417"/>
      <c r="CE367" s="417"/>
      <c r="CF367" s="417"/>
      <c r="CG367" s="417"/>
      <c r="CH367" s="417"/>
      <c r="CI367" s="417"/>
      <c r="CJ367" s="417"/>
      <c r="CK367" s="417"/>
      <c r="CL367" s="417"/>
      <c r="CM367" s="417"/>
      <c r="CN367" s="417"/>
      <c r="CO367" s="417"/>
      <c r="CP367" s="417"/>
      <c r="CQ367" s="417"/>
      <c r="CR367" s="417"/>
      <c r="CS367" s="417"/>
      <c r="CT367" s="417"/>
      <c r="CU367" s="417"/>
      <c r="CV367" s="417"/>
      <c r="CW367" s="417"/>
      <c r="CX367" s="417"/>
      <c r="CY367" s="417"/>
      <c r="CZ367" s="417"/>
      <c r="DA367" s="417"/>
      <c r="DB367" s="417"/>
      <c r="DC367" s="417"/>
      <c r="DD367" s="417"/>
      <c r="DE367" s="417"/>
      <c r="DF367" s="417"/>
      <c r="DG367" s="417"/>
      <c r="DH367" s="417"/>
      <c r="DI367" s="417"/>
      <c r="DJ367" s="417"/>
      <c r="DK367" s="417"/>
      <c r="DL367" s="417"/>
      <c r="DM367" s="417"/>
      <c r="DN367" s="417"/>
      <c r="DO367" s="417"/>
      <c r="DP367" s="417"/>
      <c r="DQ367" s="417"/>
      <c r="DR367" s="417"/>
      <c r="DS367" s="417"/>
      <c r="DT367" s="417"/>
      <c r="DU367" s="417"/>
      <c r="DV367" s="417"/>
      <c r="DW367" s="417"/>
      <c r="DX367" s="417"/>
      <c r="DY367" s="417"/>
      <c r="DZ367" s="417"/>
      <c r="EA367" s="417"/>
      <c r="EB367" s="417"/>
      <c r="EC367" s="417"/>
      <c r="ED367" s="417"/>
      <c r="EE367" s="129"/>
      <c r="EF367" s="129"/>
      <c r="EG367" s="129"/>
    </row>
    <row r="368" spans="1:138" x14ac:dyDescent="0.3"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  <c r="AN368" s="129"/>
      <c r="AO368" s="129"/>
      <c r="AP368" s="129"/>
      <c r="AQ368" s="129"/>
      <c r="AR368" s="129"/>
      <c r="AS368" s="129"/>
      <c r="AT368" s="129"/>
      <c r="AU368" s="129"/>
      <c r="AV368" s="129"/>
      <c r="AW368" s="129"/>
      <c r="AX368" s="129"/>
      <c r="AY368" s="129"/>
      <c r="AZ368" s="129"/>
      <c r="BA368" s="129"/>
      <c r="BB368" s="129"/>
      <c r="BC368" s="129"/>
      <c r="BD368" s="129"/>
      <c r="BE368" s="129"/>
      <c r="BF368" s="129"/>
      <c r="BG368" s="129"/>
      <c r="BH368" s="129"/>
      <c r="BI368" s="129"/>
      <c r="BJ368" s="129"/>
      <c r="BK368" s="129"/>
      <c r="BL368" s="129"/>
      <c r="BM368" s="129"/>
      <c r="BN368" s="129"/>
      <c r="BO368" s="129"/>
      <c r="BP368" s="129"/>
      <c r="BQ368" s="129"/>
      <c r="BR368" s="129"/>
      <c r="BS368" s="129"/>
      <c r="BT368" s="129"/>
      <c r="BU368" s="129"/>
      <c r="BV368" s="129"/>
      <c r="BW368" s="129"/>
      <c r="BX368" s="129"/>
      <c r="BY368" s="129"/>
      <c r="BZ368" s="129"/>
      <c r="CA368" s="129"/>
      <c r="CB368" s="129"/>
      <c r="CC368" s="129"/>
      <c r="CD368" s="129"/>
      <c r="CE368" s="129"/>
      <c r="CF368" s="129"/>
      <c r="CG368" s="129"/>
      <c r="CH368" s="129"/>
      <c r="CI368" s="129"/>
      <c r="CJ368" s="129"/>
      <c r="CK368" s="129"/>
      <c r="CL368" s="129"/>
      <c r="CM368" s="129"/>
      <c r="CN368" s="129"/>
      <c r="CO368" s="129"/>
      <c r="CP368" s="129"/>
      <c r="CQ368" s="129"/>
      <c r="CR368" s="129"/>
      <c r="CS368" s="129"/>
      <c r="CT368" s="129"/>
      <c r="CU368" s="129"/>
      <c r="CV368" s="129"/>
      <c r="CW368" s="129"/>
      <c r="CX368" s="129"/>
      <c r="CY368" s="129"/>
      <c r="CZ368" s="129"/>
      <c r="DA368" s="129"/>
      <c r="DB368" s="129"/>
      <c r="DC368" s="129"/>
      <c r="DD368" s="129"/>
      <c r="DE368" s="129"/>
      <c r="DF368" s="129"/>
      <c r="DG368" s="129"/>
      <c r="DH368" s="129"/>
      <c r="DI368" s="129"/>
      <c r="DJ368" s="129"/>
      <c r="DK368" s="129"/>
      <c r="DL368" s="129"/>
      <c r="DM368" s="129"/>
      <c r="DN368" s="129"/>
      <c r="DO368" s="129"/>
      <c r="DP368" s="129"/>
      <c r="DQ368" s="129"/>
      <c r="DR368" s="129"/>
      <c r="DS368" s="129"/>
      <c r="DT368" s="129"/>
      <c r="DU368" s="129"/>
      <c r="DV368" s="129"/>
      <c r="DW368" s="129"/>
      <c r="DX368" s="129"/>
      <c r="DY368" s="129"/>
      <c r="DZ368" s="129"/>
      <c r="EA368" s="129"/>
      <c r="EB368" s="129"/>
      <c r="EC368" s="129"/>
      <c r="ED368" s="129"/>
      <c r="EE368" s="129"/>
      <c r="EF368" s="129"/>
      <c r="EG368" s="129"/>
    </row>
    <row r="369" spans="1:138" s="3" customFormat="1" x14ac:dyDescent="0.3">
      <c r="A369" s="160" t="s">
        <v>26</v>
      </c>
      <c r="B369" s="129">
        <f t="shared" ref="B369:BM372" si="26">SMALL(B$4:B$363,ROW(B3))</f>
        <v>206</v>
      </c>
      <c r="C369" s="129">
        <f t="shared" si="26"/>
        <v>44.106998443603516</v>
      </c>
      <c r="D369" s="129">
        <f t="shared" si="26"/>
        <v>94.88800048828125</v>
      </c>
      <c r="E369" s="129">
        <f t="shared" si="26"/>
        <v>14.25</v>
      </c>
      <c r="F369" s="129">
        <f t="shared" si="26"/>
        <v>0</v>
      </c>
      <c r="G369" s="129">
        <f t="shared" si="26"/>
        <v>15.720000267028809</v>
      </c>
      <c r="H369" s="129">
        <f t="shared" si="26"/>
        <v>298</v>
      </c>
      <c r="I369" s="129">
        <f t="shared" si="26"/>
        <v>268</v>
      </c>
      <c r="J369" s="129">
        <f t="shared" si="26"/>
        <v>57.566001892089844</v>
      </c>
      <c r="K369" s="129">
        <f t="shared" si="26"/>
        <v>59.196258544921875</v>
      </c>
      <c r="L369" s="129">
        <f t="shared" si="26"/>
        <v>41.703998565673828</v>
      </c>
      <c r="M369" s="129">
        <f t="shared" si="26"/>
        <v>11.196000099182129</v>
      </c>
      <c r="N369" s="129">
        <f t="shared" si="26"/>
        <v>15.967000007629395</v>
      </c>
      <c r="O369" s="129">
        <f t="shared" si="26"/>
        <v>14</v>
      </c>
      <c r="P369" s="129">
        <f t="shared" si="26"/>
        <v>0</v>
      </c>
      <c r="Q369" s="129">
        <f t="shared" si="26"/>
        <v>14.977169990539551</v>
      </c>
      <c r="R369" s="129">
        <f t="shared" si="26"/>
        <v>0</v>
      </c>
      <c r="S369" s="129">
        <f t="shared" si="26"/>
        <v>2.7640206813812256</v>
      </c>
      <c r="T369" s="129">
        <f t="shared" si="26"/>
        <v>0</v>
      </c>
      <c r="U369" s="129">
        <f t="shared" si="26"/>
        <v>0</v>
      </c>
      <c r="V369" s="129">
        <f t="shared" si="26"/>
        <v>837</v>
      </c>
      <c r="W369" s="129">
        <f t="shared" si="26"/>
        <v>23.737598419189453</v>
      </c>
      <c r="X369" s="129">
        <f t="shared" si="26"/>
        <v>23.070999145507813</v>
      </c>
      <c r="Y369" s="129">
        <f t="shared" si="26"/>
        <v>4.5159997940063477</v>
      </c>
      <c r="Z369" s="129">
        <f t="shared" si="26"/>
        <v>0</v>
      </c>
      <c r="AA369" s="129">
        <f t="shared" si="26"/>
        <v>16.85099983215332</v>
      </c>
      <c r="AB369" s="129">
        <f t="shared" si="26"/>
        <v>0</v>
      </c>
      <c r="AC369" s="129">
        <f t="shared" si="26"/>
        <v>49.954391479492188</v>
      </c>
      <c r="AD369" s="129">
        <f t="shared" si="26"/>
        <v>5.5980000495910645</v>
      </c>
      <c r="AE369" s="129">
        <f t="shared" si="26"/>
        <v>0</v>
      </c>
      <c r="AF369" s="129">
        <f t="shared" si="26"/>
        <v>78.1922607421875</v>
      </c>
      <c r="AG369" s="129">
        <f t="shared" si="26"/>
        <v>0</v>
      </c>
      <c r="AH369" s="129">
        <f t="shared" si="26"/>
        <v>57.772449493408203</v>
      </c>
      <c r="AI369" s="129">
        <f t="shared" si="26"/>
        <v>10.050999641418457</v>
      </c>
      <c r="AJ369" s="129">
        <f t="shared" si="26"/>
        <v>14.124275207519531</v>
      </c>
      <c r="AK369" s="129">
        <f t="shared" si="26"/>
        <v>34.692466735839844</v>
      </c>
      <c r="AL369" s="129">
        <f t="shared" si="26"/>
        <v>33.751998901367188</v>
      </c>
      <c r="AM369" s="129">
        <f t="shared" si="26"/>
        <v>51.784000396728516</v>
      </c>
      <c r="AN369" s="129">
        <f t="shared" si="26"/>
        <v>107.625</v>
      </c>
      <c r="AO369" s="129">
        <f t="shared" si="26"/>
        <v>54</v>
      </c>
      <c r="AP369" s="129">
        <f t="shared" si="26"/>
        <v>57.864410400390625</v>
      </c>
      <c r="AQ369" s="129">
        <f t="shared" si="26"/>
        <v>32.810886383056641</v>
      </c>
      <c r="AR369" s="129">
        <f t="shared" si="26"/>
        <v>79</v>
      </c>
      <c r="AS369" s="129" t="e">
        <f t="shared" si="26"/>
        <v>#NUM!</v>
      </c>
      <c r="AT369" s="129">
        <f t="shared" si="26"/>
        <v>92</v>
      </c>
      <c r="AU369" s="129" t="e">
        <f t="shared" si="26"/>
        <v>#NUM!</v>
      </c>
      <c r="AV369" s="129">
        <f t="shared" si="26"/>
        <v>49</v>
      </c>
      <c r="AW369" s="129" t="e">
        <f t="shared" si="26"/>
        <v>#NUM!</v>
      </c>
      <c r="AX369" s="129">
        <f t="shared" si="26"/>
        <v>28</v>
      </c>
      <c r="AY369" s="129">
        <f t="shared" si="26"/>
        <v>31.501953125</v>
      </c>
      <c r="AZ369" s="129">
        <f t="shared" si="26"/>
        <v>0</v>
      </c>
      <c r="BA369" s="129" t="e">
        <f t="shared" si="26"/>
        <v>#NUM!</v>
      </c>
      <c r="BB369" s="129">
        <f t="shared" si="26"/>
        <v>174</v>
      </c>
      <c r="BC369" s="129">
        <f t="shared" si="26"/>
        <v>172.8211669921875</v>
      </c>
      <c r="BD369" s="129">
        <f t="shared" si="26"/>
        <v>6.4000000953674316</v>
      </c>
      <c r="BE369" s="129">
        <f t="shared" si="26"/>
        <v>6.5376400947570801</v>
      </c>
      <c r="BF369" s="129">
        <f t="shared" si="26"/>
        <v>29</v>
      </c>
      <c r="BG369" s="129">
        <f t="shared" si="26"/>
        <v>10</v>
      </c>
      <c r="BH369" s="129">
        <f t="shared" si="26"/>
        <v>10.759169578552246</v>
      </c>
      <c r="BI369" s="129" t="e">
        <f t="shared" si="26"/>
        <v>#NUM!</v>
      </c>
      <c r="BJ369" s="129">
        <f t="shared" si="26"/>
        <v>10</v>
      </c>
      <c r="BK369" s="129">
        <f t="shared" si="26"/>
        <v>10</v>
      </c>
      <c r="BL369" s="129">
        <f t="shared" si="26"/>
        <v>0</v>
      </c>
      <c r="BM369" s="129" t="e">
        <f t="shared" si="26"/>
        <v>#NUM!</v>
      </c>
      <c r="BN369" s="129">
        <f t="shared" ref="BN369:DY373" si="27">SMALL(BN$4:BN$363,ROW(BN3))</f>
        <v>119.20000076293945</v>
      </c>
      <c r="BO369" s="129">
        <f t="shared" si="27"/>
        <v>71</v>
      </c>
      <c r="BP369" s="129">
        <f t="shared" si="27"/>
        <v>47.299999237060547</v>
      </c>
      <c r="BQ369" s="129">
        <f t="shared" si="27"/>
        <v>257</v>
      </c>
      <c r="BR369" s="129">
        <f t="shared" si="27"/>
        <v>62.316001892089844</v>
      </c>
      <c r="BS369" s="129">
        <f t="shared" si="27"/>
        <v>22.646999359130859</v>
      </c>
      <c r="BT369" s="129">
        <f t="shared" si="27"/>
        <v>40.176998138427734</v>
      </c>
      <c r="BU369" s="129">
        <f t="shared" si="27"/>
        <v>32.889999389648438</v>
      </c>
      <c r="BV369" s="129">
        <f t="shared" si="27"/>
        <v>67.800003051757813</v>
      </c>
      <c r="BW369" s="129">
        <f t="shared" si="27"/>
        <v>5.5999999046325684</v>
      </c>
      <c r="BX369" s="129">
        <f t="shared" si="27"/>
        <v>13.399999618530273</v>
      </c>
      <c r="BY369" s="129">
        <f t="shared" si="27"/>
        <v>27</v>
      </c>
      <c r="BZ369" s="129">
        <f t="shared" si="27"/>
        <v>1.1794924736022949E-2</v>
      </c>
      <c r="CA369" s="129">
        <f t="shared" si="27"/>
        <v>0</v>
      </c>
      <c r="CB369" s="129">
        <f t="shared" si="27"/>
        <v>29.015153884887695</v>
      </c>
      <c r="CC369" s="129" t="e">
        <f t="shared" si="27"/>
        <v>#NUM!</v>
      </c>
      <c r="CD369" s="129">
        <f t="shared" si="27"/>
        <v>327.23760986328125</v>
      </c>
      <c r="CE369" s="129">
        <f t="shared" si="27"/>
        <v>27.294376373291016</v>
      </c>
      <c r="CF369" s="129">
        <f t="shared" si="27"/>
        <v>15.744143486022949</v>
      </c>
      <c r="CG369" s="129">
        <f t="shared" si="27"/>
        <v>35.338191986083984</v>
      </c>
      <c r="CH369" s="129">
        <f t="shared" si="27"/>
        <v>269.05258178710938</v>
      </c>
      <c r="CI369" s="129">
        <f t="shared" si="27"/>
        <v>72.518470764160156</v>
      </c>
      <c r="CJ369" s="129">
        <f t="shared" si="27"/>
        <v>29.850652694702148</v>
      </c>
      <c r="CK369" s="129">
        <f t="shared" si="27"/>
        <v>44.462081909179688</v>
      </c>
      <c r="CL369" s="129">
        <f t="shared" si="27"/>
        <v>22.088516235351563</v>
      </c>
      <c r="CM369" s="129">
        <f t="shared" si="27"/>
        <v>146.09169006347656</v>
      </c>
      <c r="CN369" s="129">
        <f t="shared" si="27"/>
        <v>37.624500274658203</v>
      </c>
      <c r="CO369" s="129">
        <f t="shared" si="27"/>
        <v>47.400787353515625</v>
      </c>
      <c r="CP369" s="129">
        <f t="shared" si="27"/>
        <v>51.506080627441406</v>
      </c>
      <c r="CQ369" s="129">
        <f t="shared" si="27"/>
        <v>0</v>
      </c>
      <c r="CR369" s="129">
        <f t="shared" si="27"/>
        <v>46.50677490234375</v>
      </c>
      <c r="CS369" s="129">
        <f t="shared" si="27"/>
        <v>7.0463666915893555</v>
      </c>
      <c r="CT369" s="129">
        <f t="shared" si="27"/>
        <v>27.1961669921875</v>
      </c>
      <c r="CU369" s="129">
        <f t="shared" si="27"/>
        <v>36.224246978759766</v>
      </c>
      <c r="CV369" s="129">
        <f t="shared" si="27"/>
        <v>45.851081848144531</v>
      </c>
      <c r="CW369" s="129">
        <f t="shared" si="27"/>
        <v>0</v>
      </c>
      <c r="CX369" s="129">
        <f t="shared" si="27"/>
        <v>286</v>
      </c>
      <c r="CY369" s="129">
        <f t="shared" si="27"/>
        <v>105.58982849121094</v>
      </c>
      <c r="CZ369" s="129">
        <f t="shared" si="27"/>
        <v>44.975330352783203</v>
      </c>
      <c r="DA369" s="129">
        <f t="shared" si="27"/>
        <v>18.871974945068359</v>
      </c>
      <c r="DB369" s="129">
        <f t="shared" si="27"/>
        <v>27.957815170288086</v>
      </c>
      <c r="DC369" s="129">
        <f t="shared" si="27"/>
        <v>67.663040161132813</v>
      </c>
      <c r="DD369" s="129">
        <f t="shared" si="27"/>
        <v>37</v>
      </c>
      <c r="DE369" s="129">
        <f t="shared" si="27"/>
        <v>166</v>
      </c>
      <c r="DF369" s="129">
        <f t="shared" si="27"/>
        <v>95.048095703125</v>
      </c>
      <c r="DG369" s="129">
        <f t="shared" si="27"/>
        <v>60.389339447021484</v>
      </c>
      <c r="DH369" s="129">
        <f t="shared" si="27"/>
        <v>38.961151123046875</v>
      </c>
      <c r="DI369" s="129">
        <f t="shared" si="27"/>
        <v>35.419834136962891</v>
      </c>
      <c r="DJ369" s="129">
        <f t="shared" si="27"/>
        <v>198</v>
      </c>
      <c r="DK369" s="129">
        <f t="shared" si="27"/>
        <v>99.497001647949219</v>
      </c>
      <c r="DL369" s="129">
        <f t="shared" si="27"/>
        <v>21.826999664306641</v>
      </c>
      <c r="DM369" s="129">
        <f t="shared" si="27"/>
        <v>21.559000015258789</v>
      </c>
      <c r="DN369" s="129">
        <f t="shared" si="27"/>
        <v>46.652000427246094</v>
      </c>
      <c r="DO369" s="129">
        <f t="shared" si="27"/>
        <v>108.83339691162109</v>
      </c>
      <c r="DP369" s="129">
        <f t="shared" si="27"/>
        <v>14.758999824523926</v>
      </c>
      <c r="DQ369" s="129" t="e">
        <f t="shared" si="27"/>
        <v>#NUM!</v>
      </c>
      <c r="DR369" s="129">
        <f t="shared" si="27"/>
        <v>0</v>
      </c>
      <c r="DS369" s="129">
        <f t="shared" si="27"/>
        <v>26.5</v>
      </c>
      <c r="DT369" s="129">
        <f t="shared" si="27"/>
        <v>12</v>
      </c>
      <c r="DU369" s="129" t="e">
        <f t="shared" si="27"/>
        <v>#NUM!</v>
      </c>
      <c r="DV369" s="129">
        <f t="shared" si="27"/>
        <v>0</v>
      </c>
      <c r="DW369" s="129">
        <f t="shared" si="27"/>
        <v>1.022038459777832</v>
      </c>
      <c r="DX369" s="129">
        <f t="shared" si="27"/>
        <v>9</v>
      </c>
      <c r="DY369" s="129" t="e">
        <f t="shared" si="27"/>
        <v>#NUM!</v>
      </c>
      <c r="DZ369" s="129">
        <f t="shared" ref="DZ369:ED374" si="28">SMALL(DZ$4:DZ$363,ROW(DZ3))</f>
        <v>42</v>
      </c>
      <c r="EA369" s="129">
        <f t="shared" si="28"/>
        <v>3</v>
      </c>
      <c r="EB369" s="129">
        <f t="shared" si="28"/>
        <v>0</v>
      </c>
      <c r="EC369" s="129">
        <f t="shared" si="28"/>
        <v>1</v>
      </c>
      <c r="ED369" s="129">
        <f t="shared" si="28"/>
        <v>224.19999694824219</v>
      </c>
      <c r="EE369" s="129"/>
      <c r="EF369" s="129"/>
      <c r="EG369" s="129"/>
      <c r="EH369"/>
    </row>
    <row r="370" spans="1:138" s="3" customFormat="1" x14ac:dyDescent="0.3">
      <c r="A370" s="160" t="s">
        <v>27</v>
      </c>
      <c r="B370" s="129">
        <f t="shared" si="26"/>
        <v>206</v>
      </c>
      <c r="C370" s="129">
        <f t="shared" si="26"/>
        <v>44.446998596191406</v>
      </c>
      <c r="D370" s="129">
        <f t="shared" si="26"/>
        <v>94.88800048828125</v>
      </c>
      <c r="E370" s="129">
        <f t="shared" si="26"/>
        <v>14.36299991607666</v>
      </c>
      <c r="F370" s="129">
        <f t="shared" si="26"/>
        <v>0</v>
      </c>
      <c r="G370" s="129">
        <f t="shared" si="26"/>
        <v>15.720000267028809</v>
      </c>
      <c r="H370" s="129">
        <f t="shared" si="26"/>
        <v>298</v>
      </c>
      <c r="I370" s="129">
        <f t="shared" si="26"/>
        <v>268</v>
      </c>
      <c r="J370" s="129">
        <f t="shared" si="26"/>
        <v>57.904998779296875</v>
      </c>
      <c r="K370" s="129">
        <f t="shared" si="26"/>
        <v>59.3851318359375</v>
      </c>
      <c r="L370" s="129">
        <f t="shared" si="26"/>
        <v>41.703998565673828</v>
      </c>
      <c r="M370" s="129">
        <f t="shared" si="26"/>
        <v>11.196000099182129</v>
      </c>
      <c r="N370" s="129">
        <f t="shared" si="26"/>
        <v>16.031000137329102</v>
      </c>
      <c r="O370" s="129">
        <f t="shared" si="26"/>
        <v>15</v>
      </c>
      <c r="P370" s="129">
        <f t="shared" si="26"/>
        <v>0</v>
      </c>
      <c r="Q370" s="129">
        <f t="shared" si="26"/>
        <v>15.145464897155762</v>
      </c>
      <c r="R370" s="129">
        <f t="shared" si="26"/>
        <v>0</v>
      </c>
      <c r="S370" s="129">
        <f t="shared" si="26"/>
        <v>2.7640206813812256</v>
      </c>
      <c r="T370" s="129">
        <f t="shared" si="26"/>
        <v>0</v>
      </c>
      <c r="U370" s="129">
        <f t="shared" si="26"/>
        <v>0</v>
      </c>
      <c r="V370" s="129">
        <f t="shared" si="26"/>
        <v>838</v>
      </c>
      <c r="W370" s="129">
        <f t="shared" si="26"/>
        <v>23.891880035400391</v>
      </c>
      <c r="X370" s="129">
        <f t="shared" si="26"/>
        <v>23.184000015258789</v>
      </c>
      <c r="Y370" s="129">
        <f t="shared" si="26"/>
        <v>4.8340001106262207</v>
      </c>
      <c r="Z370" s="129">
        <f t="shared" si="26"/>
        <v>0</v>
      </c>
      <c r="AA370" s="129">
        <f t="shared" si="26"/>
        <v>16.964000701904297</v>
      </c>
      <c r="AB370" s="129">
        <f t="shared" si="26"/>
        <v>0</v>
      </c>
      <c r="AC370" s="129">
        <f t="shared" si="26"/>
        <v>49.958461761474609</v>
      </c>
      <c r="AD370" s="129">
        <f t="shared" si="26"/>
        <v>5.5980000495910645</v>
      </c>
      <c r="AE370" s="129">
        <f t="shared" si="26"/>
        <v>0</v>
      </c>
      <c r="AF370" s="129">
        <f t="shared" si="26"/>
        <v>78.24072265625</v>
      </c>
      <c r="AG370" s="129">
        <f t="shared" si="26"/>
        <v>0</v>
      </c>
      <c r="AH370" s="129">
        <f t="shared" si="26"/>
        <v>58.058647155761719</v>
      </c>
      <c r="AI370" s="129">
        <f t="shared" si="26"/>
        <v>10.241999626159668</v>
      </c>
      <c r="AJ370" s="129">
        <f t="shared" si="26"/>
        <v>14.298785209655762</v>
      </c>
      <c r="AK370" s="129">
        <f t="shared" si="26"/>
        <v>34.942676544189453</v>
      </c>
      <c r="AL370" s="129">
        <f t="shared" si="26"/>
        <v>33.929000854492188</v>
      </c>
      <c r="AM370" s="129">
        <f t="shared" si="26"/>
        <v>51.847999572753906</v>
      </c>
      <c r="AN370" s="129">
        <f t="shared" si="26"/>
        <v>107.75</v>
      </c>
      <c r="AO370" s="129">
        <f t="shared" si="26"/>
        <v>55</v>
      </c>
      <c r="AP370" s="129">
        <f t="shared" si="26"/>
        <v>57.906749725341797</v>
      </c>
      <c r="AQ370" s="129">
        <f t="shared" si="26"/>
        <v>32.867839813232422</v>
      </c>
      <c r="AR370" s="129">
        <f t="shared" si="26"/>
        <v>80</v>
      </c>
      <c r="AS370" s="129" t="e">
        <f t="shared" si="26"/>
        <v>#NUM!</v>
      </c>
      <c r="AT370" s="129">
        <f t="shared" si="26"/>
        <v>92</v>
      </c>
      <c r="AU370" s="129" t="e">
        <f t="shared" si="26"/>
        <v>#NUM!</v>
      </c>
      <c r="AV370" s="129">
        <f t="shared" si="26"/>
        <v>49</v>
      </c>
      <c r="AW370" s="129" t="e">
        <f t="shared" si="26"/>
        <v>#NUM!</v>
      </c>
      <c r="AX370" s="129">
        <f t="shared" si="26"/>
        <v>28</v>
      </c>
      <c r="AY370" s="129">
        <f t="shared" si="26"/>
        <v>31.501953125</v>
      </c>
      <c r="AZ370" s="129">
        <f t="shared" si="26"/>
        <v>0</v>
      </c>
      <c r="BA370" s="129" t="e">
        <f t="shared" si="26"/>
        <v>#NUM!</v>
      </c>
      <c r="BB370" s="129">
        <f t="shared" si="26"/>
        <v>174</v>
      </c>
      <c r="BC370" s="129">
        <f t="shared" si="26"/>
        <v>173.04660034179688</v>
      </c>
      <c r="BD370" s="129">
        <f t="shared" si="26"/>
        <v>6.4000000953674316</v>
      </c>
      <c r="BE370" s="129">
        <f t="shared" si="26"/>
        <v>6.5475668907165527</v>
      </c>
      <c r="BF370" s="129">
        <f t="shared" si="26"/>
        <v>29</v>
      </c>
      <c r="BG370" s="129">
        <f t="shared" si="26"/>
        <v>10</v>
      </c>
      <c r="BH370" s="129">
        <f t="shared" si="26"/>
        <v>10.762588500976563</v>
      </c>
      <c r="BI370" s="129" t="e">
        <f t="shared" si="26"/>
        <v>#NUM!</v>
      </c>
      <c r="BJ370" s="129">
        <f t="shared" si="26"/>
        <v>10</v>
      </c>
      <c r="BK370" s="129">
        <f t="shared" si="26"/>
        <v>10</v>
      </c>
      <c r="BL370" s="129">
        <f t="shared" si="26"/>
        <v>0</v>
      </c>
      <c r="BM370" s="129" t="e">
        <f t="shared" si="26"/>
        <v>#NUM!</v>
      </c>
      <c r="BN370" s="129">
        <f t="shared" si="27"/>
        <v>119.20000076293945</v>
      </c>
      <c r="BO370" s="129">
        <f t="shared" si="27"/>
        <v>71</v>
      </c>
      <c r="BP370" s="129">
        <f t="shared" si="27"/>
        <v>47.299999237060547</v>
      </c>
      <c r="BQ370" s="129">
        <f t="shared" si="27"/>
        <v>257</v>
      </c>
      <c r="BR370" s="129">
        <f t="shared" si="27"/>
        <v>62.316001892089844</v>
      </c>
      <c r="BS370" s="129">
        <f t="shared" si="27"/>
        <v>22.646999359130859</v>
      </c>
      <c r="BT370" s="129">
        <f t="shared" si="27"/>
        <v>40.176998138427734</v>
      </c>
      <c r="BU370" s="129">
        <f t="shared" si="27"/>
        <v>32.889999389648438</v>
      </c>
      <c r="BV370" s="129">
        <f t="shared" si="27"/>
        <v>67.900001525878906</v>
      </c>
      <c r="BW370" s="129">
        <f t="shared" si="27"/>
        <v>5.5999999046325684</v>
      </c>
      <c r="BX370" s="129">
        <f t="shared" si="27"/>
        <v>13.399999618530273</v>
      </c>
      <c r="BY370" s="129">
        <f t="shared" si="27"/>
        <v>27</v>
      </c>
      <c r="BZ370" s="129">
        <f t="shared" si="27"/>
        <v>1.1877436190843582E-2</v>
      </c>
      <c r="CA370" s="129">
        <f t="shared" si="27"/>
        <v>0</v>
      </c>
      <c r="CB370" s="129">
        <f t="shared" si="27"/>
        <v>29.015153884887695</v>
      </c>
      <c r="CC370" s="129" t="e">
        <f t="shared" si="27"/>
        <v>#NUM!</v>
      </c>
      <c r="CD370" s="129">
        <f t="shared" si="27"/>
        <v>327.40798950195313</v>
      </c>
      <c r="CE370" s="129">
        <f t="shared" si="27"/>
        <v>27.296268463134766</v>
      </c>
      <c r="CF370" s="129">
        <f t="shared" si="27"/>
        <v>15.770502090454102</v>
      </c>
      <c r="CG370" s="129">
        <f t="shared" si="27"/>
        <v>35.338191986083984</v>
      </c>
      <c r="CH370" s="129">
        <f t="shared" si="27"/>
        <v>269.23788452148438</v>
      </c>
      <c r="CI370" s="129">
        <f t="shared" si="27"/>
        <v>72.587074279785156</v>
      </c>
      <c r="CJ370" s="129">
        <f t="shared" si="27"/>
        <v>29.854120254516602</v>
      </c>
      <c r="CK370" s="129">
        <f t="shared" si="27"/>
        <v>44.466815948486328</v>
      </c>
      <c r="CL370" s="129">
        <f t="shared" si="27"/>
        <v>22.159885406494141</v>
      </c>
      <c r="CM370" s="129">
        <f t="shared" si="27"/>
        <v>146.82470703125</v>
      </c>
      <c r="CN370" s="129">
        <f t="shared" si="27"/>
        <v>37.912403106689453</v>
      </c>
      <c r="CO370" s="129">
        <f t="shared" si="27"/>
        <v>47.513858795166016</v>
      </c>
      <c r="CP370" s="129">
        <f t="shared" si="27"/>
        <v>52.097137451171875</v>
      </c>
      <c r="CQ370" s="129">
        <f t="shared" si="27"/>
        <v>0</v>
      </c>
      <c r="CR370" s="129">
        <f t="shared" si="27"/>
        <v>46.584060668945313</v>
      </c>
      <c r="CS370" s="129">
        <f t="shared" si="27"/>
        <v>7.2576651573181152</v>
      </c>
      <c r="CT370" s="129">
        <f t="shared" si="27"/>
        <v>27.287458419799805</v>
      </c>
      <c r="CU370" s="129">
        <f t="shared" si="27"/>
        <v>36.231800079345703</v>
      </c>
      <c r="CV370" s="129">
        <f t="shared" si="27"/>
        <v>46.481899261474609</v>
      </c>
      <c r="CW370" s="129">
        <f t="shared" si="27"/>
        <v>0</v>
      </c>
      <c r="CX370" s="129">
        <f t="shared" si="27"/>
        <v>287</v>
      </c>
      <c r="CY370" s="129">
        <f t="shared" si="27"/>
        <v>105.59950256347656</v>
      </c>
      <c r="CZ370" s="129">
        <f t="shared" si="27"/>
        <v>45.012168884277344</v>
      </c>
      <c r="DA370" s="129">
        <f t="shared" si="27"/>
        <v>18.873012542724609</v>
      </c>
      <c r="DB370" s="129">
        <f t="shared" si="27"/>
        <v>28.173473358154297</v>
      </c>
      <c r="DC370" s="129">
        <f t="shared" si="27"/>
        <v>67.958877563476563</v>
      </c>
      <c r="DD370" s="129">
        <f t="shared" si="27"/>
        <v>38</v>
      </c>
      <c r="DE370" s="129">
        <f t="shared" si="27"/>
        <v>166</v>
      </c>
      <c r="DF370" s="129">
        <f t="shared" si="27"/>
        <v>95.077461242675781</v>
      </c>
      <c r="DG370" s="129">
        <f t="shared" si="27"/>
        <v>60.5992431640625</v>
      </c>
      <c r="DH370" s="129">
        <f t="shared" si="27"/>
        <v>39.137722015380859</v>
      </c>
      <c r="DI370" s="129">
        <f t="shared" si="27"/>
        <v>35.496669769287109</v>
      </c>
      <c r="DJ370" s="129">
        <f t="shared" si="27"/>
        <v>198</v>
      </c>
      <c r="DK370" s="129">
        <f t="shared" si="27"/>
        <v>99.497001647949219</v>
      </c>
      <c r="DL370" s="129">
        <f t="shared" si="27"/>
        <v>22.052999496459961</v>
      </c>
      <c r="DM370" s="129">
        <f t="shared" si="27"/>
        <v>21.91200065612793</v>
      </c>
      <c r="DN370" s="129">
        <f t="shared" si="27"/>
        <v>46.652000427246094</v>
      </c>
      <c r="DO370" s="129">
        <f t="shared" si="27"/>
        <v>109.14865875244141</v>
      </c>
      <c r="DP370" s="129">
        <f t="shared" si="27"/>
        <v>14.814999580383301</v>
      </c>
      <c r="DQ370" s="129" t="e">
        <f t="shared" si="27"/>
        <v>#NUM!</v>
      </c>
      <c r="DR370" s="129">
        <f t="shared" si="27"/>
        <v>0</v>
      </c>
      <c r="DS370" s="129">
        <f t="shared" si="27"/>
        <v>26.799999237060547</v>
      </c>
      <c r="DT370" s="129">
        <f t="shared" si="27"/>
        <v>12</v>
      </c>
      <c r="DU370" s="129" t="e">
        <f t="shared" si="27"/>
        <v>#NUM!</v>
      </c>
      <c r="DV370" s="129">
        <f t="shared" si="27"/>
        <v>0</v>
      </c>
      <c r="DW370" s="129">
        <f t="shared" si="27"/>
        <v>1.0251044034957886</v>
      </c>
      <c r="DX370" s="129">
        <f t="shared" si="27"/>
        <v>9</v>
      </c>
      <c r="DY370" s="129" t="e">
        <f t="shared" si="27"/>
        <v>#NUM!</v>
      </c>
      <c r="DZ370" s="129">
        <f t="shared" si="28"/>
        <v>43</v>
      </c>
      <c r="EA370" s="129">
        <f t="shared" si="28"/>
        <v>3</v>
      </c>
      <c r="EB370" s="129">
        <f t="shared" si="28"/>
        <v>0</v>
      </c>
      <c r="EC370" s="129">
        <f t="shared" si="28"/>
        <v>1</v>
      </c>
      <c r="ED370" s="129">
        <f t="shared" si="28"/>
        <v>224.19999694824219</v>
      </c>
      <c r="EE370" s="129"/>
      <c r="EF370" s="129"/>
      <c r="EG370" s="129"/>
      <c r="EH370"/>
    </row>
    <row r="371" spans="1:138" s="3" customFormat="1" x14ac:dyDescent="0.3">
      <c r="A371" s="160" t="s">
        <v>28</v>
      </c>
      <c r="B371" s="129">
        <f t="shared" si="26"/>
        <v>206</v>
      </c>
      <c r="C371" s="129">
        <f t="shared" si="26"/>
        <v>44.446998596191406</v>
      </c>
      <c r="D371" s="129">
        <f t="shared" si="26"/>
        <v>95.000999450683594</v>
      </c>
      <c r="E371" s="129">
        <f t="shared" si="26"/>
        <v>14.47599983215332</v>
      </c>
      <c r="F371" s="129">
        <f t="shared" si="26"/>
        <v>0</v>
      </c>
      <c r="G371" s="129">
        <f t="shared" si="26"/>
        <v>15.720000267028809</v>
      </c>
      <c r="H371" s="129">
        <f t="shared" si="26"/>
        <v>298</v>
      </c>
      <c r="I371" s="129">
        <f t="shared" si="26"/>
        <v>268</v>
      </c>
      <c r="J371" s="129">
        <f t="shared" si="26"/>
        <v>57.904998779296875</v>
      </c>
      <c r="K371" s="129">
        <f t="shared" si="26"/>
        <v>59.483707427978516</v>
      </c>
      <c r="L371" s="129">
        <f t="shared" si="26"/>
        <v>41.881000518798828</v>
      </c>
      <c r="M371" s="129">
        <f t="shared" si="26"/>
        <v>11.309000015258789</v>
      </c>
      <c r="N371" s="129">
        <f t="shared" si="26"/>
        <v>16.031000137329102</v>
      </c>
      <c r="O371" s="129">
        <f t="shared" si="26"/>
        <v>15</v>
      </c>
      <c r="P371" s="129">
        <f t="shared" si="26"/>
        <v>0</v>
      </c>
      <c r="Q371" s="129">
        <f t="shared" si="26"/>
        <v>15.230477333068848</v>
      </c>
      <c r="R371" s="129">
        <f t="shared" si="26"/>
        <v>0</v>
      </c>
      <c r="S371" s="129">
        <f t="shared" si="26"/>
        <v>3.2369735240936279</v>
      </c>
      <c r="T371" s="129">
        <f t="shared" si="26"/>
        <v>0</v>
      </c>
      <c r="U371" s="129">
        <f t="shared" si="26"/>
        <v>0</v>
      </c>
      <c r="V371" s="129">
        <f t="shared" si="26"/>
        <v>838</v>
      </c>
      <c r="W371" s="129">
        <f t="shared" si="26"/>
        <v>23.911914825439453</v>
      </c>
      <c r="X371" s="129">
        <f t="shared" si="26"/>
        <v>23.184000015258789</v>
      </c>
      <c r="Y371" s="129">
        <f t="shared" si="26"/>
        <v>4.9619998931884766</v>
      </c>
      <c r="Z371" s="129">
        <f t="shared" si="26"/>
        <v>0</v>
      </c>
      <c r="AA371" s="129">
        <f t="shared" si="26"/>
        <v>16.964000701904297</v>
      </c>
      <c r="AB371" s="129">
        <f t="shared" si="26"/>
        <v>0</v>
      </c>
      <c r="AC371" s="129">
        <f t="shared" si="26"/>
        <v>49.983985900878906</v>
      </c>
      <c r="AD371" s="129">
        <f t="shared" si="26"/>
        <v>5.5980000495910645</v>
      </c>
      <c r="AE371" s="129">
        <f t="shared" si="26"/>
        <v>0</v>
      </c>
      <c r="AF371" s="129">
        <f t="shared" si="26"/>
        <v>78.639022827148438</v>
      </c>
      <c r="AG371" s="129">
        <f t="shared" si="26"/>
        <v>0</v>
      </c>
      <c r="AH371" s="129">
        <f t="shared" si="26"/>
        <v>58.079647064208984</v>
      </c>
      <c r="AI371" s="129">
        <f t="shared" si="26"/>
        <v>10.241999626159668</v>
      </c>
      <c r="AJ371" s="129">
        <f t="shared" si="26"/>
        <v>14.591643333435059</v>
      </c>
      <c r="AK371" s="129">
        <f t="shared" si="26"/>
        <v>34.96307373046875</v>
      </c>
      <c r="AL371" s="129">
        <f t="shared" si="26"/>
        <v>33.929000854492188</v>
      </c>
      <c r="AM371" s="129">
        <f t="shared" si="26"/>
        <v>52.166000366210938</v>
      </c>
      <c r="AN371" s="129">
        <f t="shared" si="26"/>
        <v>108</v>
      </c>
      <c r="AO371" s="129">
        <f t="shared" si="26"/>
        <v>55</v>
      </c>
      <c r="AP371" s="129">
        <f t="shared" si="26"/>
        <v>57.925045013427734</v>
      </c>
      <c r="AQ371" s="129">
        <f t="shared" si="26"/>
        <v>32.961318969726563</v>
      </c>
      <c r="AR371" s="129">
        <f t="shared" si="26"/>
        <v>80</v>
      </c>
      <c r="AS371" s="129" t="e">
        <f t="shared" si="26"/>
        <v>#NUM!</v>
      </c>
      <c r="AT371" s="129">
        <f t="shared" si="26"/>
        <v>92</v>
      </c>
      <c r="AU371" s="129" t="e">
        <f t="shared" si="26"/>
        <v>#NUM!</v>
      </c>
      <c r="AV371" s="129">
        <f t="shared" si="26"/>
        <v>49</v>
      </c>
      <c r="AW371" s="129" t="e">
        <f t="shared" si="26"/>
        <v>#NUM!</v>
      </c>
      <c r="AX371" s="129">
        <f t="shared" si="26"/>
        <v>28</v>
      </c>
      <c r="AY371" s="129">
        <f t="shared" si="26"/>
        <v>31.658201217651367</v>
      </c>
      <c r="AZ371" s="129">
        <f t="shared" si="26"/>
        <v>0</v>
      </c>
      <c r="BA371" s="129" t="e">
        <f t="shared" si="26"/>
        <v>#NUM!</v>
      </c>
      <c r="BB371" s="129">
        <f t="shared" si="26"/>
        <v>174</v>
      </c>
      <c r="BC371" s="129">
        <f t="shared" si="26"/>
        <v>173.35575866699219</v>
      </c>
      <c r="BD371" s="129">
        <f t="shared" si="26"/>
        <v>6.4000000953674316</v>
      </c>
      <c r="BE371" s="129">
        <f t="shared" si="26"/>
        <v>6.5475668907165527</v>
      </c>
      <c r="BF371" s="129">
        <f t="shared" si="26"/>
        <v>29</v>
      </c>
      <c r="BG371" s="129">
        <f t="shared" si="26"/>
        <v>10</v>
      </c>
      <c r="BH371" s="129">
        <f t="shared" si="26"/>
        <v>10.771701812744141</v>
      </c>
      <c r="BI371" s="129" t="e">
        <f t="shared" si="26"/>
        <v>#NUM!</v>
      </c>
      <c r="BJ371" s="129">
        <f t="shared" si="26"/>
        <v>10</v>
      </c>
      <c r="BK371" s="129">
        <f t="shared" si="26"/>
        <v>10</v>
      </c>
      <c r="BL371" s="129">
        <f t="shared" si="26"/>
        <v>0</v>
      </c>
      <c r="BM371" s="129" t="e">
        <f t="shared" si="26"/>
        <v>#NUM!</v>
      </c>
      <c r="BN371" s="129">
        <f t="shared" si="27"/>
        <v>119.29999923706055</v>
      </c>
      <c r="BO371" s="129">
        <f t="shared" si="27"/>
        <v>71</v>
      </c>
      <c r="BP371" s="129">
        <f t="shared" si="27"/>
        <v>48</v>
      </c>
      <c r="BQ371" s="129">
        <f t="shared" si="27"/>
        <v>257</v>
      </c>
      <c r="BR371" s="129">
        <f t="shared" si="27"/>
        <v>62.769001007080078</v>
      </c>
      <c r="BS371" s="129">
        <f t="shared" si="27"/>
        <v>22.902000427246094</v>
      </c>
      <c r="BT371" s="129">
        <f t="shared" si="27"/>
        <v>40.176998138427734</v>
      </c>
      <c r="BU371" s="129">
        <f t="shared" si="27"/>
        <v>32.952999114990234</v>
      </c>
      <c r="BV371" s="129">
        <f t="shared" si="27"/>
        <v>67.900001525878906</v>
      </c>
      <c r="BW371" s="129">
        <f t="shared" si="27"/>
        <v>5.5999999046325684</v>
      </c>
      <c r="BX371" s="129">
        <f t="shared" si="27"/>
        <v>13.399999618530273</v>
      </c>
      <c r="BY371" s="129">
        <f t="shared" si="27"/>
        <v>27</v>
      </c>
      <c r="BZ371" s="129">
        <f t="shared" si="27"/>
        <v>1.2126528657972813E-2</v>
      </c>
      <c r="CA371" s="129">
        <f t="shared" si="27"/>
        <v>0</v>
      </c>
      <c r="CB371" s="129">
        <f t="shared" si="27"/>
        <v>29.016456604003906</v>
      </c>
      <c r="CC371" s="129" t="e">
        <f t="shared" si="27"/>
        <v>#NUM!</v>
      </c>
      <c r="CD371" s="129">
        <f t="shared" si="27"/>
        <v>327.57412719726563</v>
      </c>
      <c r="CE371" s="129">
        <f t="shared" si="27"/>
        <v>27.563671112060547</v>
      </c>
      <c r="CF371" s="129">
        <f t="shared" si="27"/>
        <v>15.788878440856934</v>
      </c>
      <c r="CG371" s="129">
        <f t="shared" si="27"/>
        <v>35.338191986083984</v>
      </c>
      <c r="CH371" s="129">
        <f t="shared" si="27"/>
        <v>269.27920532226563</v>
      </c>
      <c r="CI371" s="129">
        <f t="shared" si="27"/>
        <v>72.614448547363281</v>
      </c>
      <c r="CJ371" s="129">
        <f t="shared" si="27"/>
        <v>29.867446899414063</v>
      </c>
      <c r="CK371" s="129">
        <f t="shared" si="27"/>
        <v>44.756736755371094</v>
      </c>
      <c r="CL371" s="129">
        <f t="shared" si="27"/>
        <v>22.186895370483398</v>
      </c>
      <c r="CM371" s="129">
        <f t="shared" si="27"/>
        <v>148.00318908691406</v>
      </c>
      <c r="CN371" s="129">
        <f t="shared" si="27"/>
        <v>38.433917999267578</v>
      </c>
      <c r="CO371" s="129">
        <f t="shared" si="27"/>
        <v>47.750957489013672</v>
      </c>
      <c r="CP371" s="129">
        <f t="shared" si="27"/>
        <v>52.572696685791016</v>
      </c>
      <c r="CQ371" s="129">
        <f t="shared" si="27"/>
        <v>0</v>
      </c>
      <c r="CR371" s="129">
        <f t="shared" si="27"/>
        <v>46.624839782714844</v>
      </c>
      <c r="CS371" s="129">
        <f t="shared" si="27"/>
        <v>7.2689681053161621</v>
      </c>
      <c r="CT371" s="129">
        <f t="shared" si="27"/>
        <v>27.311580657958984</v>
      </c>
      <c r="CU371" s="129">
        <f t="shared" si="27"/>
        <v>36.321712493896484</v>
      </c>
      <c r="CV371" s="129">
        <f t="shared" si="27"/>
        <v>46.542396545410156</v>
      </c>
      <c r="CW371" s="129">
        <f t="shared" si="27"/>
        <v>0</v>
      </c>
      <c r="CX371" s="129">
        <f t="shared" si="27"/>
        <v>288</v>
      </c>
      <c r="CY371" s="129">
        <f t="shared" si="27"/>
        <v>105.62795257568359</v>
      </c>
      <c r="CZ371" s="129">
        <f t="shared" si="27"/>
        <v>45.334922790527344</v>
      </c>
      <c r="DA371" s="129">
        <f t="shared" si="27"/>
        <v>18.920238494873047</v>
      </c>
      <c r="DB371" s="129">
        <f t="shared" si="27"/>
        <v>28.224777221679688</v>
      </c>
      <c r="DC371" s="129">
        <f t="shared" si="27"/>
        <v>67.975189208984375</v>
      </c>
      <c r="DD371" s="129">
        <f t="shared" si="27"/>
        <v>38</v>
      </c>
      <c r="DE371" s="129">
        <f t="shared" si="27"/>
        <v>166</v>
      </c>
      <c r="DF371" s="129">
        <f t="shared" si="27"/>
        <v>95.422943115234375</v>
      </c>
      <c r="DG371" s="129">
        <f t="shared" si="27"/>
        <v>60.727287292480469</v>
      </c>
      <c r="DH371" s="129">
        <f t="shared" si="27"/>
        <v>39.137722015380859</v>
      </c>
      <c r="DI371" s="129">
        <f t="shared" si="27"/>
        <v>35.496669769287109</v>
      </c>
      <c r="DJ371" s="129">
        <f t="shared" si="27"/>
        <v>198</v>
      </c>
      <c r="DK371" s="129">
        <f t="shared" si="27"/>
        <v>99.750999450683594</v>
      </c>
      <c r="DL371" s="129">
        <f t="shared" si="27"/>
        <v>22.280000686645508</v>
      </c>
      <c r="DM371" s="129">
        <f t="shared" si="27"/>
        <v>21.91200065612793</v>
      </c>
      <c r="DN371" s="129">
        <f t="shared" si="27"/>
        <v>46.828998565673828</v>
      </c>
      <c r="DO371" s="129">
        <f t="shared" si="27"/>
        <v>109.30002593994141</v>
      </c>
      <c r="DP371" s="129">
        <f t="shared" si="27"/>
        <v>14.843999862670898</v>
      </c>
      <c r="DQ371" s="129" t="e">
        <f t="shared" si="27"/>
        <v>#NUM!</v>
      </c>
      <c r="DR371" s="129">
        <f t="shared" si="27"/>
        <v>0</v>
      </c>
      <c r="DS371" s="129">
        <f t="shared" si="27"/>
        <v>26.799999237060547</v>
      </c>
      <c r="DT371" s="129">
        <f t="shared" si="27"/>
        <v>12</v>
      </c>
      <c r="DU371" s="129" t="e">
        <f t="shared" si="27"/>
        <v>#NUM!</v>
      </c>
      <c r="DV371" s="129">
        <f t="shared" si="27"/>
        <v>0</v>
      </c>
      <c r="DW371" s="129">
        <f t="shared" si="27"/>
        <v>1.1346820592880249</v>
      </c>
      <c r="DX371" s="129">
        <f t="shared" si="27"/>
        <v>9</v>
      </c>
      <c r="DY371" s="129" t="e">
        <f t="shared" si="27"/>
        <v>#NUM!</v>
      </c>
      <c r="DZ371" s="129">
        <f t="shared" si="28"/>
        <v>43</v>
      </c>
      <c r="EA371" s="129">
        <f t="shared" si="28"/>
        <v>3</v>
      </c>
      <c r="EB371" s="129">
        <f t="shared" si="28"/>
        <v>0</v>
      </c>
      <c r="EC371" s="129">
        <f t="shared" si="28"/>
        <v>1</v>
      </c>
      <c r="ED371" s="129">
        <f t="shared" si="28"/>
        <v>224.30000305175781</v>
      </c>
      <c r="EE371" s="129"/>
      <c r="EF371" s="129"/>
      <c r="EG371" s="129"/>
      <c r="EH371"/>
    </row>
    <row r="372" spans="1:138" s="3" customFormat="1" x14ac:dyDescent="0.3">
      <c r="A372" s="160" t="s">
        <v>29</v>
      </c>
      <c r="B372" s="129">
        <f t="shared" si="26"/>
        <v>206</v>
      </c>
      <c r="C372" s="129">
        <f t="shared" si="26"/>
        <v>45.125</v>
      </c>
      <c r="D372" s="129">
        <f t="shared" si="26"/>
        <v>95.000999450683594</v>
      </c>
      <c r="E372" s="129">
        <f t="shared" si="26"/>
        <v>14.47599983215332</v>
      </c>
      <c r="F372" s="129">
        <f t="shared" si="26"/>
        <v>0</v>
      </c>
      <c r="G372" s="129">
        <f t="shared" si="26"/>
        <v>15.833000183105469</v>
      </c>
      <c r="H372" s="129">
        <f t="shared" si="26"/>
        <v>301</v>
      </c>
      <c r="I372" s="129">
        <f t="shared" si="26"/>
        <v>268</v>
      </c>
      <c r="J372" s="129">
        <f t="shared" si="26"/>
        <v>58.018001556396484</v>
      </c>
      <c r="K372" s="129">
        <f t="shared" si="26"/>
        <v>59.510890960693359</v>
      </c>
      <c r="L372" s="129">
        <f t="shared" si="26"/>
        <v>42.057998657226563</v>
      </c>
      <c r="M372" s="129">
        <f t="shared" si="26"/>
        <v>11.309000015258789</v>
      </c>
      <c r="N372" s="129">
        <f t="shared" si="26"/>
        <v>16.031000137329102</v>
      </c>
      <c r="O372" s="129">
        <f t="shared" si="26"/>
        <v>15</v>
      </c>
      <c r="P372" s="129">
        <f t="shared" si="26"/>
        <v>0</v>
      </c>
      <c r="Q372" s="129">
        <f t="shared" si="26"/>
        <v>15.465391159057617</v>
      </c>
      <c r="R372" s="129">
        <f t="shared" si="26"/>
        <v>0</v>
      </c>
      <c r="S372" s="129">
        <f t="shared" si="26"/>
        <v>3.2369735240936279</v>
      </c>
      <c r="T372" s="129">
        <f t="shared" si="26"/>
        <v>0</v>
      </c>
      <c r="U372" s="129">
        <f t="shared" si="26"/>
        <v>0</v>
      </c>
      <c r="V372" s="129">
        <f t="shared" si="26"/>
        <v>838</v>
      </c>
      <c r="W372" s="129">
        <f t="shared" si="26"/>
        <v>23.949359893798828</v>
      </c>
      <c r="X372" s="129">
        <f t="shared" si="26"/>
        <v>23.298000335693359</v>
      </c>
      <c r="Y372" s="129">
        <f t="shared" si="26"/>
        <v>4.9619998931884766</v>
      </c>
      <c r="Z372" s="129">
        <f t="shared" si="26"/>
        <v>0</v>
      </c>
      <c r="AA372" s="129">
        <f t="shared" si="26"/>
        <v>16.964000701904297</v>
      </c>
      <c r="AB372" s="129">
        <f t="shared" si="26"/>
        <v>0</v>
      </c>
      <c r="AC372" s="129">
        <f t="shared" si="26"/>
        <v>50.219863891601563</v>
      </c>
      <c r="AD372" s="129">
        <f t="shared" si="26"/>
        <v>5.5980000495910645</v>
      </c>
      <c r="AE372" s="129">
        <f t="shared" si="26"/>
        <v>0</v>
      </c>
      <c r="AF372" s="129">
        <f t="shared" si="26"/>
        <v>78.654853820800781</v>
      </c>
      <c r="AG372" s="129">
        <f t="shared" si="26"/>
        <v>0</v>
      </c>
      <c r="AH372" s="129">
        <f t="shared" si="26"/>
        <v>58.214504241943359</v>
      </c>
      <c r="AI372" s="129">
        <f t="shared" si="26"/>
        <v>10.305000305175781</v>
      </c>
      <c r="AJ372" s="129">
        <f t="shared" si="26"/>
        <v>14.714814186096191</v>
      </c>
      <c r="AK372" s="129">
        <f t="shared" si="26"/>
        <v>35.098663330078125</v>
      </c>
      <c r="AL372" s="129">
        <f t="shared" si="26"/>
        <v>33.929000854492188</v>
      </c>
      <c r="AM372" s="129">
        <f t="shared" si="26"/>
        <v>52.292999267578125</v>
      </c>
      <c r="AN372" s="129">
        <f t="shared" si="26"/>
        <v>108.125</v>
      </c>
      <c r="AO372" s="129">
        <f t="shared" si="26"/>
        <v>55</v>
      </c>
      <c r="AP372" s="129">
        <f t="shared" si="26"/>
        <v>58.004955291748047</v>
      </c>
      <c r="AQ372" s="129">
        <f t="shared" si="26"/>
        <v>33.215618133544922</v>
      </c>
      <c r="AR372" s="129">
        <f t="shared" si="26"/>
        <v>80</v>
      </c>
      <c r="AS372" s="129" t="e">
        <f t="shared" si="26"/>
        <v>#NUM!</v>
      </c>
      <c r="AT372" s="129">
        <f t="shared" si="26"/>
        <v>92</v>
      </c>
      <c r="AU372" s="129" t="e">
        <f t="shared" si="26"/>
        <v>#NUM!</v>
      </c>
      <c r="AV372" s="129">
        <f t="shared" si="26"/>
        <v>50</v>
      </c>
      <c r="AW372" s="129" t="e">
        <f t="shared" si="26"/>
        <v>#NUM!</v>
      </c>
      <c r="AX372" s="129">
        <f t="shared" si="26"/>
        <v>29</v>
      </c>
      <c r="AY372" s="129">
        <f t="shared" si="26"/>
        <v>31.742254257202148</v>
      </c>
      <c r="AZ372" s="129">
        <f t="shared" si="26"/>
        <v>0</v>
      </c>
      <c r="BA372" s="129" t="e">
        <f t="shared" si="26"/>
        <v>#NUM!</v>
      </c>
      <c r="BB372" s="129">
        <f t="shared" si="26"/>
        <v>175</v>
      </c>
      <c r="BC372" s="129">
        <f t="shared" si="26"/>
        <v>173.35575866699219</v>
      </c>
      <c r="BD372" s="129">
        <f t="shared" si="26"/>
        <v>6.4000000953674316</v>
      </c>
      <c r="BE372" s="129">
        <f t="shared" si="26"/>
        <v>6.548126220703125</v>
      </c>
      <c r="BF372" s="129">
        <f t="shared" si="26"/>
        <v>29</v>
      </c>
      <c r="BG372" s="129">
        <f t="shared" si="26"/>
        <v>10</v>
      </c>
      <c r="BH372" s="129">
        <f t="shared" si="26"/>
        <v>10.779398918151855</v>
      </c>
      <c r="BI372" s="129" t="e">
        <f t="shared" si="26"/>
        <v>#NUM!</v>
      </c>
      <c r="BJ372" s="129">
        <f t="shared" si="26"/>
        <v>10</v>
      </c>
      <c r="BK372" s="129">
        <f t="shared" si="26"/>
        <v>10</v>
      </c>
      <c r="BL372" s="129">
        <f t="shared" si="26"/>
        <v>0</v>
      </c>
      <c r="BM372" s="129" t="e">
        <f t="shared" ref="BM372:DW374" si="29">SMALL(BM$4:BM$363,ROW(BM6))</f>
        <v>#NUM!</v>
      </c>
      <c r="BN372" s="129">
        <f t="shared" si="27"/>
        <v>119.29999923706055</v>
      </c>
      <c r="BO372" s="129">
        <f t="shared" si="27"/>
        <v>71</v>
      </c>
      <c r="BP372" s="129">
        <f t="shared" si="27"/>
        <v>48</v>
      </c>
      <c r="BQ372" s="129">
        <f t="shared" si="29"/>
        <v>258</v>
      </c>
      <c r="BR372" s="129">
        <f t="shared" si="29"/>
        <v>62.994998931884766</v>
      </c>
      <c r="BS372" s="129">
        <f t="shared" si="29"/>
        <v>22.902000427246094</v>
      </c>
      <c r="BT372" s="129">
        <f t="shared" si="29"/>
        <v>40.176998138427734</v>
      </c>
      <c r="BU372" s="129">
        <f t="shared" si="29"/>
        <v>33.016998291015625</v>
      </c>
      <c r="BV372" s="129">
        <f t="shared" si="29"/>
        <v>67.900001525878906</v>
      </c>
      <c r="BW372" s="129">
        <f t="shared" si="29"/>
        <v>5.5999999046325684</v>
      </c>
      <c r="BX372" s="129">
        <f t="shared" si="29"/>
        <v>13.399999618530273</v>
      </c>
      <c r="BY372" s="129">
        <f t="shared" si="29"/>
        <v>27</v>
      </c>
      <c r="BZ372" s="129">
        <f t="shared" si="27"/>
        <v>1.2130952440202236E-2</v>
      </c>
      <c r="CA372" s="129">
        <f t="shared" si="27"/>
        <v>0</v>
      </c>
      <c r="CB372" s="129">
        <f t="shared" si="27"/>
        <v>29.039220809936523</v>
      </c>
      <c r="CC372" s="129" t="e">
        <f t="shared" si="27"/>
        <v>#NUM!</v>
      </c>
      <c r="CD372" s="129">
        <f t="shared" si="27"/>
        <v>327.57876586914063</v>
      </c>
      <c r="CE372" s="129">
        <f t="shared" si="27"/>
        <v>27.633518218994141</v>
      </c>
      <c r="CF372" s="129">
        <f t="shared" si="27"/>
        <v>15.803414344787598</v>
      </c>
      <c r="CG372" s="129">
        <f t="shared" si="27"/>
        <v>35.338191986083984</v>
      </c>
      <c r="CH372" s="129">
        <f t="shared" si="27"/>
        <v>269.52560424804688</v>
      </c>
      <c r="CI372" s="129">
        <f t="shared" si="27"/>
        <v>72.718589782714844</v>
      </c>
      <c r="CJ372" s="129">
        <f t="shared" si="27"/>
        <v>30.031564712524414</v>
      </c>
      <c r="CK372" s="129">
        <f t="shared" si="27"/>
        <v>45.167827606201172</v>
      </c>
      <c r="CL372" s="129">
        <f t="shared" si="27"/>
        <v>22.202457427978516</v>
      </c>
      <c r="CM372" s="129">
        <f t="shared" si="27"/>
        <v>148.30023193359375</v>
      </c>
      <c r="CN372" s="129">
        <f t="shared" si="27"/>
        <v>41.330432891845703</v>
      </c>
      <c r="CO372" s="129">
        <f t="shared" si="27"/>
        <v>47.784652709960938</v>
      </c>
      <c r="CP372" s="129">
        <f t="shared" si="27"/>
        <v>52.633918762207031</v>
      </c>
      <c r="CQ372" s="129">
        <f t="shared" si="27"/>
        <v>0</v>
      </c>
      <c r="CR372" s="129">
        <f t="shared" si="27"/>
        <v>46.642417907714844</v>
      </c>
      <c r="CS372" s="129">
        <f t="shared" si="27"/>
        <v>7.273402214050293</v>
      </c>
      <c r="CT372" s="129">
        <f t="shared" si="27"/>
        <v>27.457595825195313</v>
      </c>
      <c r="CU372" s="129">
        <f t="shared" si="27"/>
        <v>36.576179504394531</v>
      </c>
      <c r="CV372" s="129">
        <f t="shared" si="27"/>
        <v>46.600749969482422</v>
      </c>
      <c r="CW372" s="129">
        <f t="shared" si="27"/>
        <v>0</v>
      </c>
      <c r="CX372" s="129">
        <f t="shared" si="27"/>
        <v>289</v>
      </c>
      <c r="CY372" s="129">
        <f t="shared" si="27"/>
        <v>105.74504852294922</v>
      </c>
      <c r="CZ372" s="129">
        <f t="shared" si="27"/>
        <v>45.502578735351563</v>
      </c>
      <c r="DA372" s="129">
        <f t="shared" si="27"/>
        <v>18.947299957275391</v>
      </c>
      <c r="DB372" s="129">
        <f t="shared" si="27"/>
        <v>28.22871208190918</v>
      </c>
      <c r="DC372" s="129">
        <f t="shared" si="27"/>
        <v>68.137222290039063</v>
      </c>
      <c r="DD372" s="129">
        <f t="shared" si="27"/>
        <v>39</v>
      </c>
      <c r="DE372" s="129">
        <f t="shared" si="27"/>
        <v>167</v>
      </c>
      <c r="DF372" s="129">
        <f t="shared" si="27"/>
        <v>95.453559875488281</v>
      </c>
      <c r="DG372" s="129">
        <f t="shared" si="27"/>
        <v>60.902236938476563</v>
      </c>
      <c r="DH372" s="129">
        <f t="shared" si="27"/>
        <v>39.213066101074219</v>
      </c>
      <c r="DI372" s="129">
        <f t="shared" si="27"/>
        <v>35.532600402832031</v>
      </c>
      <c r="DJ372" s="129">
        <f t="shared" si="27"/>
        <v>198</v>
      </c>
      <c r="DK372" s="129">
        <f t="shared" si="27"/>
        <v>100.00599670410156</v>
      </c>
      <c r="DL372" s="129">
        <f t="shared" si="27"/>
        <v>22.392999649047852</v>
      </c>
      <c r="DM372" s="129">
        <f t="shared" si="27"/>
        <v>22.266000747680664</v>
      </c>
      <c r="DN372" s="129">
        <f t="shared" si="27"/>
        <v>46.828998565673828</v>
      </c>
      <c r="DO372" s="129">
        <f t="shared" si="27"/>
        <v>109.30124664306641</v>
      </c>
      <c r="DP372" s="129">
        <f t="shared" si="27"/>
        <v>14.843999862670898</v>
      </c>
      <c r="DQ372" s="129" t="e">
        <f t="shared" si="27"/>
        <v>#NUM!</v>
      </c>
      <c r="DR372" s="129">
        <f t="shared" si="27"/>
        <v>0</v>
      </c>
      <c r="DS372" s="129">
        <f t="shared" si="27"/>
        <v>26.799999237060547</v>
      </c>
      <c r="DT372" s="129">
        <f t="shared" si="27"/>
        <v>12</v>
      </c>
      <c r="DU372" s="129" t="e">
        <f t="shared" si="27"/>
        <v>#NUM!</v>
      </c>
      <c r="DV372" s="129">
        <f t="shared" si="27"/>
        <v>0</v>
      </c>
      <c r="DW372" s="129">
        <f t="shared" si="27"/>
        <v>1.1480717658996582</v>
      </c>
      <c r="DX372" s="129">
        <f t="shared" si="27"/>
        <v>9</v>
      </c>
      <c r="DY372" s="129" t="e">
        <f t="shared" si="27"/>
        <v>#NUM!</v>
      </c>
      <c r="DZ372" s="129">
        <f t="shared" si="28"/>
        <v>43</v>
      </c>
      <c r="EA372" s="129">
        <f t="shared" si="28"/>
        <v>3</v>
      </c>
      <c r="EB372" s="129">
        <f t="shared" si="28"/>
        <v>0</v>
      </c>
      <c r="EC372" s="129">
        <f t="shared" si="28"/>
        <v>1</v>
      </c>
      <c r="ED372" s="129">
        <f t="shared" si="28"/>
        <v>224.5</v>
      </c>
      <c r="EE372" s="129"/>
      <c r="EF372" s="129"/>
      <c r="EG372" s="129"/>
      <c r="EH372"/>
    </row>
    <row r="373" spans="1:138" s="3" customFormat="1" x14ac:dyDescent="0.3">
      <c r="A373" s="160" t="s">
        <v>30</v>
      </c>
      <c r="B373" s="129">
        <f t="shared" ref="B373:BM374" si="30">SMALL(B$4:B$363,ROW(B7))</f>
        <v>207</v>
      </c>
      <c r="C373" s="129">
        <f t="shared" si="30"/>
        <v>45.465000152587891</v>
      </c>
      <c r="D373" s="129">
        <f t="shared" si="30"/>
        <v>95.113998413085938</v>
      </c>
      <c r="E373" s="129">
        <f t="shared" si="30"/>
        <v>14.58899974822998</v>
      </c>
      <c r="F373" s="129">
        <f t="shared" si="30"/>
        <v>0</v>
      </c>
      <c r="G373" s="129">
        <f t="shared" si="30"/>
        <v>15.946000099182129</v>
      </c>
      <c r="H373" s="129">
        <f t="shared" si="30"/>
        <v>301</v>
      </c>
      <c r="I373" s="129">
        <f t="shared" si="30"/>
        <v>268</v>
      </c>
      <c r="J373" s="129">
        <f t="shared" si="30"/>
        <v>58.131999969482422</v>
      </c>
      <c r="K373" s="129">
        <f t="shared" si="30"/>
        <v>59.640781402587891</v>
      </c>
      <c r="L373" s="129">
        <f t="shared" si="30"/>
        <v>42.057998657226563</v>
      </c>
      <c r="M373" s="129">
        <f t="shared" si="30"/>
        <v>11.421999931335449</v>
      </c>
      <c r="N373" s="129">
        <f t="shared" si="30"/>
        <v>16.031000137329102</v>
      </c>
      <c r="O373" s="129">
        <f t="shared" si="30"/>
        <v>15</v>
      </c>
      <c r="P373" s="129">
        <f t="shared" si="30"/>
        <v>0</v>
      </c>
      <c r="Q373" s="129">
        <f t="shared" si="30"/>
        <v>15.488638877868652</v>
      </c>
      <c r="R373" s="129">
        <f t="shared" si="30"/>
        <v>0</v>
      </c>
      <c r="S373" s="129">
        <f t="shared" si="30"/>
        <v>3.2992396354675293</v>
      </c>
      <c r="T373" s="129">
        <f t="shared" si="30"/>
        <v>0</v>
      </c>
      <c r="U373" s="129">
        <f t="shared" si="30"/>
        <v>0</v>
      </c>
      <c r="V373" s="129">
        <f t="shared" si="30"/>
        <v>838</v>
      </c>
      <c r="W373" s="129">
        <f t="shared" si="30"/>
        <v>24.100038528442383</v>
      </c>
      <c r="X373" s="129">
        <f t="shared" si="30"/>
        <v>23.410999298095703</v>
      </c>
      <c r="Y373" s="129">
        <f t="shared" si="30"/>
        <v>5.0250000953674316</v>
      </c>
      <c r="Z373" s="129">
        <f t="shared" si="30"/>
        <v>0</v>
      </c>
      <c r="AA373" s="129">
        <f t="shared" si="30"/>
        <v>17.076999664306641</v>
      </c>
      <c r="AB373" s="129">
        <f t="shared" si="30"/>
        <v>0</v>
      </c>
      <c r="AC373" s="129">
        <f t="shared" si="30"/>
        <v>50.296566009521484</v>
      </c>
      <c r="AD373" s="129">
        <f t="shared" si="30"/>
        <v>5.5980000495910645</v>
      </c>
      <c r="AE373" s="129">
        <f t="shared" si="30"/>
        <v>0</v>
      </c>
      <c r="AF373" s="129">
        <f t="shared" si="30"/>
        <v>78.74151611328125</v>
      </c>
      <c r="AG373" s="129">
        <f t="shared" si="30"/>
        <v>0</v>
      </c>
      <c r="AH373" s="129">
        <f t="shared" si="30"/>
        <v>58.295707702636719</v>
      </c>
      <c r="AI373" s="129">
        <f t="shared" si="30"/>
        <v>10.305000305175781</v>
      </c>
      <c r="AJ373" s="129">
        <f t="shared" si="30"/>
        <v>14.787455558776855</v>
      </c>
      <c r="AK373" s="129">
        <f t="shared" si="30"/>
        <v>35.150852203369141</v>
      </c>
      <c r="AL373" s="129">
        <f t="shared" si="30"/>
        <v>34.104999542236328</v>
      </c>
      <c r="AM373" s="129">
        <f t="shared" si="30"/>
        <v>52.484001159667969</v>
      </c>
      <c r="AN373" s="129">
        <f t="shared" si="30"/>
        <v>108.5625</v>
      </c>
      <c r="AO373" s="129">
        <f t="shared" si="30"/>
        <v>55</v>
      </c>
      <c r="AP373" s="129">
        <f t="shared" si="30"/>
        <v>58.075531005859375</v>
      </c>
      <c r="AQ373" s="129">
        <f t="shared" si="30"/>
        <v>33.221061706542969</v>
      </c>
      <c r="AR373" s="129">
        <f t="shared" si="30"/>
        <v>80</v>
      </c>
      <c r="AS373" s="129" t="e">
        <f t="shared" si="30"/>
        <v>#NUM!</v>
      </c>
      <c r="AT373" s="129">
        <f t="shared" si="30"/>
        <v>93</v>
      </c>
      <c r="AU373" s="129" t="e">
        <f t="shared" si="30"/>
        <v>#NUM!</v>
      </c>
      <c r="AV373" s="129">
        <f t="shared" si="30"/>
        <v>50</v>
      </c>
      <c r="AW373" s="129" t="e">
        <f t="shared" si="30"/>
        <v>#NUM!</v>
      </c>
      <c r="AX373" s="129">
        <f t="shared" si="30"/>
        <v>29</v>
      </c>
      <c r="AY373" s="129">
        <f t="shared" si="30"/>
        <v>31.765781402587891</v>
      </c>
      <c r="AZ373" s="129">
        <f t="shared" si="30"/>
        <v>0</v>
      </c>
      <c r="BA373" s="129" t="e">
        <f t="shared" si="30"/>
        <v>#NUM!</v>
      </c>
      <c r="BB373" s="129">
        <f t="shared" si="30"/>
        <v>175</v>
      </c>
      <c r="BC373" s="129">
        <f t="shared" si="30"/>
        <v>173.36201477050781</v>
      </c>
      <c r="BD373" s="129">
        <f t="shared" si="30"/>
        <v>6.4000000953674316</v>
      </c>
      <c r="BE373" s="129">
        <f t="shared" si="30"/>
        <v>6.548126220703125</v>
      </c>
      <c r="BF373" s="129">
        <f t="shared" si="30"/>
        <v>29</v>
      </c>
      <c r="BG373" s="129">
        <f t="shared" si="30"/>
        <v>10</v>
      </c>
      <c r="BH373" s="129">
        <f t="shared" si="30"/>
        <v>10.782658576965332</v>
      </c>
      <c r="BI373" s="129" t="e">
        <f t="shared" si="30"/>
        <v>#NUM!</v>
      </c>
      <c r="BJ373" s="129">
        <f t="shared" si="30"/>
        <v>10</v>
      </c>
      <c r="BK373" s="129">
        <f t="shared" si="30"/>
        <v>10</v>
      </c>
      <c r="BL373" s="129">
        <f t="shared" si="30"/>
        <v>0</v>
      </c>
      <c r="BM373" s="129" t="e">
        <f t="shared" si="30"/>
        <v>#NUM!</v>
      </c>
      <c r="BN373" s="129">
        <f t="shared" si="27"/>
        <v>119.29999923706055</v>
      </c>
      <c r="BO373" s="129">
        <f t="shared" si="27"/>
        <v>71</v>
      </c>
      <c r="BP373" s="129">
        <f t="shared" si="27"/>
        <v>48</v>
      </c>
      <c r="BQ373" s="129">
        <f t="shared" si="29"/>
        <v>258</v>
      </c>
      <c r="BR373" s="129">
        <f t="shared" si="29"/>
        <v>63.333999633789063</v>
      </c>
      <c r="BS373" s="129">
        <f t="shared" si="29"/>
        <v>23.156000137329102</v>
      </c>
      <c r="BT373" s="129">
        <f t="shared" si="29"/>
        <v>40.176998138427734</v>
      </c>
      <c r="BU373" s="129">
        <f t="shared" si="29"/>
        <v>33.016998291015625</v>
      </c>
      <c r="BV373" s="129">
        <f t="shared" si="29"/>
        <v>67.900001525878906</v>
      </c>
      <c r="BW373" s="129">
        <f t="shared" si="29"/>
        <v>5.6999998092651367</v>
      </c>
      <c r="BX373" s="129">
        <f t="shared" si="29"/>
        <v>13.5</v>
      </c>
      <c r="BY373" s="129">
        <f t="shared" si="29"/>
        <v>27</v>
      </c>
      <c r="BZ373" s="129">
        <f t="shared" si="27"/>
        <v>1.2225629761815071E-2</v>
      </c>
      <c r="CA373" s="129">
        <f t="shared" si="27"/>
        <v>0</v>
      </c>
      <c r="CB373" s="129">
        <f t="shared" si="27"/>
        <v>29.041252136230469</v>
      </c>
      <c r="CC373" s="129" t="e">
        <f t="shared" si="27"/>
        <v>#NUM!</v>
      </c>
      <c r="CD373" s="129">
        <f t="shared" si="27"/>
        <v>327.88619995117188</v>
      </c>
      <c r="CE373" s="129">
        <f t="shared" ref="CE373:DY374" si="31">SMALL(CE$4:CE$363,ROW(CE7))</f>
        <v>27.816596984863281</v>
      </c>
      <c r="CF373" s="129">
        <f t="shared" si="31"/>
        <v>15.807753562927246</v>
      </c>
      <c r="CG373" s="129">
        <f t="shared" si="31"/>
        <v>35.338191986083984</v>
      </c>
      <c r="CH373" s="129">
        <f t="shared" si="31"/>
        <v>269.59295654296875</v>
      </c>
      <c r="CI373" s="129">
        <f t="shared" si="31"/>
        <v>72.80755615234375</v>
      </c>
      <c r="CJ373" s="129">
        <f t="shared" si="31"/>
        <v>30.443052291870117</v>
      </c>
      <c r="CK373" s="129">
        <f t="shared" si="31"/>
        <v>45.750152587890625</v>
      </c>
      <c r="CL373" s="129">
        <f t="shared" si="31"/>
        <v>22.328447341918945</v>
      </c>
      <c r="CM373" s="129">
        <f t="shared" si="31"/>
        <v>148.42738342285156</v>
      </c>
      <c r="CN373" s="129">
        <f t="shared" si="31"/>
        <v>41.972087860107422</v>
      </c>
      <c r="CO373" s="129">
        <f t="shared" si="31"/>
        <v>47.785015106201172</v>
      </c>
      <c r="CP373" s="129">
        <f t="shared" si="31"/>
        <v>52.656898498535156</v>
      </c>
      <c r="CQ373" s="129">
        <f t="shared" si="31"/>
        <v>0</v>
      </c>
      <c r="CR373" s="129">
        <f t="shared" si="31"/>
        <v>46.809272766113281</v>
      </c>
      <c r="CS373" s="129">
        <f t="shared" si="31"/>
        <v>7.2832403182983398</v>
      </c>
      <c r="CT373" s="129">
        <f t="shared" si="31"/>
        <v>27.647266387939453</v>
      </c>
      <c r="CU373" s="129">
        <f t="shared" si="31"/>
        <v>36.696922302246094</v>
      </c>
      <c r="CV373" s="129">
        <f t="shared" si="31"/>
        <v>46.828407287597656</v>
      </c>
      <c r="CW373" s="129">
        <f t="shared" si="31"/>
        <v>0</v>
      </c>
      <c r="CX373" s="129">
        <f t="shared" si="31"/>
        <v>289</v>
      </c>
      <c r="CY373" s="129">
        <f t="shared" si="31"/>
        <v>105.88722229003906</v>
      </c>
      <c r="CZ373" s="129">
        <f t="shared" si="31"/>
        <v>45.536918640136719</v>
      </c>
      <c r="DA373" s="129">
        <f t="shared" si="31"/>
        <v>18.94987678527832</v>
      </c>
      <c r="DB373" s="129">
        <f t="shared" si="31"/>
        <v>28.267301559448242</v>
      </c>
      <c r="DC373" s="129">
        <f t="shared" si="31"/>
        <v>68.232894897460938</v>
      </c>
      <c r="DD373" s="129">
        <f t="shared" si="31"/>
        <v>39</v>
      </c>
      <c r="DE373" s="129">
        <f t="shared" si="31"/>
        <v>167</v>
      </c>
      <c r="DF373" s="129">
        <f t="shared" si="31"/>
        <v>95.572471618652344</v>
      </c>
      <c r="DG373" s="129">
        <f t="shared" si="31"/>
        <v>60.922462463378906</v>
      </c>
      <c r="DH373" s="129">
        <f t="shared" si="31"/>
        <v>39.228282928466797</v>
      </c>
      <c r="DI373" s="129">
        <f t="shared" si="31"/>
        <v>35.560756683349609</v>
      </c>
      <c r="DJ373" s="129">
        <f t="shared" si="31"/>
        <v>198</v>
      </c>
      <c r="DK373" s="129">
        <f t="shared" si="31"/>
        <v>100.00599670410156</v>
      </c>
      <c r="DL373" s="129">
        <f t="shared" si="31"/>
        <v>22.506000518798828</v>
      </c>
      <c r="DM373" s="129">
        <f t="shared" si="31"/>
        <v>22.266000747680664</v>
      </c>
      <c r="DN373" s="129">
        <f t="shared" si="31"/>
        <v>46.828998565673828</v>
      </c>
      <c r="DO373" s="129">
        <f t="shared" si="31"/>
        <v>109.3048095703125</v>
      </c>
      <c r="DP373" s="129">
        <f t="shared" si="31"/>
        <v>14.843999862670898</v>
      </c>
      <c r="DQ373" s="129" t="e">
        <f t="shared" si="31"/>
        <v>#NUM!</v>
      </c>
      <c r="DR373" s="129">
        <f t="shared" si="31"/>
        <v>0</v>
      </c>
      <c r="DS373" s="129">
        <f t="shared" si="31"/>
        <v>26.899999618530273</v>
      </c>
      <c r="DT373" s="129">
        <f t="shared" si="31"/>
        <v>12</v>
      </c>
      <c r="DU373" s="129" t="e">
        <f t="shared" si="31"/>
        <v>#NUM!</v>
      </c>
      <c r="DV373" s="129">
        <f t="shared" si="31"/>
        <v>0</v>
      </c>
      <c r="DW373" s="129">
        <f t="shared" si="31"/>
        <v>1.1806086301803589</v>
      </c>
      <c r="DX373" s="129">
        <f t="shared" si="31"/>
        <v>9</v>
      </c>
      <c r="DY373" s="129" t="e">
        <f t="shared" si="31"/>
        <v>#NUM!</v>
      </c>
      <c r="DZ373" s="129">
        <f t="shared" si="28"/>
        <v>43</v>
      </c>
      <c r="EA373" s="129">
        <f t="shared" si="28"/>
        <v>3</v>
      </c>
      <c r="EB373" s="129">
        <f t="shared" si="28"/>
        <v>0</v>
      </c>
      <c r="EC373" s="129">
        <f t="shared" si="28"/>
        <v>1</v>
      </c>
      <c r="ED373" s="129">
        <f t="shared" si="28"/>
        <v>224.60000610351563</v>
      </c>
      <c r="EE373" s="129"/>
      <c r="EF373" s="129"/>
      <c r="EG373" s="129"/>
      <c r="EH373"/>
    </row>
    <row r="374" spans="1:138" s="3" customFormat="1" x14ac:dyDescent="0.3">
      <c r="A374" s="160" t="s">
        <v>31</v>
      </c>
      <c r="B374" s="129">
        <f t="shared" si="30"/>
        <v>207</v>
      </c>
      <c r="C374" s="129">
        <f t="shared" si="30"/>
        <v>45.691001892089844</v>
      </c>
      <c r="D374" s="129">
        <f t="shared" si="30"/>
        <v>95.226997375488281</v>
      </c>
      <c r="E374" s="129">
        <f t="shared" si="30"/>
        <v>14.814999580383301</v>
      </c>
      <c r="F374" s="129">
        <f t="shared" si="30"/>
        <v>0</v>
      </c>
      <c r="G374" s="129">
        <f t="shared" si="30"/>
        <v>15.946000099182129</v>
      </c>
      <c r="H374" s="129">
        <f t="shared" si="30"/>
        <v>301</v>
      </c>
      <c r="I374" s="129">
        <f t="shared" si="30"/>
        <v>268</v>
      </c>
      <c r="J374" s="129">
        <f t="shared" si="30"/>
        <v>58.358001708984375</v>
      </c>
      <c r="K374" s="129">
        <f t="shared" si="30"/>
        <v>59.7066650390625</v>
      </c>
      <c r="L374" s="129">
        <f t="shared" si="30"/>
        <v>42.057998657226563</v>
      </c>
      <c r="M374" s="129">
        <f t="shared" si="30"/>
        <v>11.421999931335449</v>
      </c>
      <c r="N374" s="129">
        <f t="shared" si="30"/>
        <v>16.094999313354492</v>
      </c>
      <c r="O374" s="129">
        <f t="shared" si="30"/>
        <v>15</v>
      </c>
      <c r="P374" s="129">
        <f t="shared" si="30"/>
        <v>0</v>
      </c>
      <c r="Q374" s="129">
        <f t="shared" si="30"/>
        <v>15.532665252685547</v>
      </c>
      <c r="R374" s="129">
        <f t="shared" si="30"/>
        <v>0</v>
      </c>
      <c r="S374" s="129">
        <f t="shared" si="30"/>
        <v>3.4280598163604736</v>
      </c>
      <c r="T374" s="129">
        <f t="shared" si="30"/>
        <v>0</v>
      </c>
      <c r="U374" s="129">
        <f t="shared" si="30"/>
        <v>0</v>
      </c>
      <c r="V374" s="129">
        <f t="shared" si="30"/>
        <v>839</v>
      </c>
      <c r="W374" s="129">
        <f t="shared" si="30"/>
        <v>24.133712768554688</v>
      </c>
      <c r="X374" s="129">
        <f t="shared" si="30"/>
        <v>23.52400016784668</v>
      </c>
      <c r="Y374" s="129">
        <f t="shared" si="30"/>
        <v>5.0890002250671387</v>
      </c>
      <c r="Z374" s="129">
        <f t="shared" si="30"/>
        <v>0</v>
      </c>
      <c r="AA374" s="129">
        <f t="shared" si="30"/>
        <v>17.076999664306641</v>
      </c>
      <c r="AB374" s="129">
        <f t="shared" si="30"/>
        <v>0</v>
      </c>
      <c r="AC374" s="129">
        <f t="shared" si="30"/>
        <v>50.331615447998047</v>
      </c>
      <c r="AD374" s="129">
        <f t="shared" si="30"/>
        <v>5.5980000495910645</v>
      </c>
      <c r="AE374" s="129">
        <f t="shared" si="30"/>
        <v>0</v>
      </c>
      <c r="AF374" s="129">
        <f t="shared" si="30"/>
        <v>78.812812805175781</v>
      </c>
      <c r="AG374" s="129">
        <f t="shared" si="30"/>
        <v>0</v>
      </c>
      <c r="AH374" s="129">
        <f t="shared" si="30"/>
        <v>58.295707702636719</v>
      </c>
      <c r="AI374" s="129">
        <f t="shared" si="30"/>
        <v>10.496000289916992</v>
      </c>
      <c r="AJ374" s="129">
        <f t="shared" si="30"/>
        <v>14.806391716003418</v>
      </c>
      <c r="AK374" s="129">
        <f t="shared" si="30"/>
        <v>35.187572479248047</v>
      </c>
      <c r="AL374" s="129">
        <f t="shared" si="30"/>
        <v>34.104999542236328</v>
      </c>
      <c r="AM374" s="129">
        <f t="shared" si="30"/>
        <v>52.674999237060547</v>
      </c>
      <c r="AN374" s="129">
        <f t="shared" si="30"/>
        <v>108.5625</v>
      </c>
      <c r="AO374" s="129">
        <f t="shared" si="30"/>
        <v>55</v>
      </c>
      <c r="AP374" s="129">
        <f t="shared" si="30"/>
        <v>58.110206604003906</v>
      </c>
      <c r="AQ374" s="129">
        <f t="shared" si="30"/>
        <v>33.222381591796875</v>
      </c>
      <c r="AR374" s="129">
        <f t="shared" si="30"/>
        <v>80</v>
      </c>
      <c r="AS374" s="129" t="e">
        <f t="shared" si="30"/>
        <v>#NUM!</v>
      </c>
      <c r="AT374" s="129">
        <f t="shared" si="30"/>
        <v>93</v>
      </c>
      <c r="AU374" s="129" t="e">
        <f t="shared" si="30"/>
        <v>#NUM!</v>
      </c>
      <c r="AV374" s="129">
        <f t="shared" si="30"/>
        <v>50</v>
      </c>
      <c r="AW374" s="129" t="e">
        <f t="shared" si="30"/>
        <v>#NUM!</v>
      </c>
      <c r="AX374" s="129">
        <f t="shared" si="30"/>
        <v>29</v>
      </c>
      <c r="AY374" s="129">
        <f t="shared" si="30"/>
        <v>31.765781402587891</v>
      </c>
      <c r="AZ374" s="129">
        <f t="shared" si="30"/>
        <v>3</v>
      </c>
      <c r="BA374" s="129" t="e">
        <f t="shared" si="30"/>
        <v>#NUM!</v>
      </c>
      <c r="BB374" s="129">
        <f t="shared" si="30"/>
        <v>175</v>
      </c>
      <c r="BC374" s="129">
        <f t="shared" si="30"/>
        <v>173.36201477050781</v>
      </c>
      <c r="BD374" s="129">
        <f t="shared" si="30"/>
        <v>6.5</v>
      </c>
      <c r="BE374" s="129">
        <f t="shared" si="30"/>
        <v>6.5481324195861816</v>
      </c>
      <c r="BF374" s="129">
        <f t="shared" si="30"/>
        <v>29</v>
      </c>
      <c r="BG374" s="129">
        <f t="shared" si="30"/>
        <v>10</v>
      </c>
      <c r="BH374" s="129">
        <f t="shared" si="30"/>
        <v>10.803215980529785</v>
      </c>
      <c r="BI374" s="129" t="e">
        <f t="shared" si="30"/>
        <v>#NUM!</v>
      </c>
      <c r="BJ374" s="129">
        <f t="shared" si="30"/>
        <v>10</v>
      </c>
      <c r="BK374" s="129">
        <f t="shared" si="30"/>
        <v>10</v>
      </c>
      <c r="BL374" s="129">
        <f t="shared" si="30"/>
        <v>0</v>
      </c>
      <c r="BM374" s="129" t="e">
        <f t="shared" si="30"/>
        <v>#NUM!</v>
      </c>
      <c r="BN374" s="129">
        <f t="shared" ref="BN374:BP374" si="32">SMALL(BN$4:BN$363,ROW(BN8))</f>
        <v>120</v>
      </c>
      <c r="BO374" s="129">
        <f t="shared" si="32"/>
        <v>71</v>
      </c>
      <c r="BP374" s="129">
        <f t="shared" si="32"/>
        <v>48</v>
      </c>
      <c r="BQ374" s="129">
        <f t="shared" si="29"/>
        <v>258</v>
      </c>
      <c r="BR374" s="129">
        <f t="shared" si="29"/>
        <v>63.446998596191406</v>
      </c>
      <c r="BS374" s="129">
        <f t="shared" si="29"/>
        <v>23.156000137329102</v>
      </c>
      <c r="BT374" s="129">
        <f t="shared" si="29"/>
        <v>40.176998138427734</v>
      </c>
      <c r="BU374" s="129">
        <f t="shared" si="29"/>
        <v>33.080001831054688</v>
      </c>
      <c r="BV374" s="129">
        <f t="shared" si="29"/>
        <v>67.900001525878906</v>
      </c>
      <c r="BW374" s="129">
        <f t="shared" si="29"/>
        <v>5.6999998092651367</v>
      </c>
      <c r="BX374" s="129">
        <f t="shared" si="29"/>
        <v>13.5</v>
      </c>
      <c r="BY374" s="129">
        <f t="shared" si="29"/>
        <v>27</v>
      </c>
      <c r="BZ374" s="129">
        <f t="shared" si="29"/>
        <v>1.2225629761815071E-2</v>
      </c>
      <c r="CA374" s="129">
        <f t="shared" si="29"/>
        <v>0</v>
      </c>
      <c r="CB374" s="129">
        <f t="shared" si="29"/>
        <v>29.048524856567383</v>
      </c>
      <c r="CC374" s="129" t="e">
        <f t="shared" si="29"/>
        <v>#NUM!</v>
      </c>
      <c r="CD374" s="129">
        <f t="shared" si="29"/>
        <v>328.04800415039063</v>
      </c>
      <c r="CE374" s="129">
        <f t="shared" si="29"/>
        <v>27.816596984863281</v>
      </c>
      <c r="CF374" s="129">
        <f t="shared" si="31"/>
        <v>15.823856353759766</v>
      </c>
      <c r="CG374" s="129">
        <f t="shared" si="29"/>
        <v>35.338191986083984</v>
      </c>
      <c r="CH374" s="129">
        <f t="shared" si="29"/>
        <v>269.5987548828125</v>
      </c>
      <c r="CI374" s="129">
        <f t="shared" si="29"/>
        <v>73.235694885253906</v>
      </c>
      <c r="CJ374" s="129">
        <f t="shared" si="29"/>
        <v>30.516239166259766</v>
      </c>
      <c r="CK374" s="129">
        <f t="shared" si="29"/>
        <v>45.846733093261719</v>
      </c>
      <c r="CL374" s="129">
        <f t="shared" si="29"/>
        <v>22.367012023925781</v>
      </c>
      <c r="CM374" s="129">
        <f t="shared" si="29"/>
        <v>148.66816711425781</v>
      </c>
      <c r="CN374" s="129">
        <f t="shared" si="29"/>
        <v>43.129104614257813</v>
      </c>
      <c r="CO374" s="129">
        <f t="shared" si="29"/>
        <v>47.820472717285156</v>
      </c>
      <c r="CP374" s="129">
        <f t="shared" si="29"/>
        <v>53.268089294433594</v>
      </c>
      <c r="CQ374" s="129">
        <f t="shared" si="29"/>
        <v>0</v>
      </c>
      <c r="CR374" s="129">
        <f t="shared" si="31"/>
        <v>46.845706939697266</v>
      </c>
      <c r="CS374" s="129">
        <f t="shared" si="29"/>
        <v>7.2832536697387695</v>
      </c>
      <c r="CT374" s="129">
        <f t="shared" si="29"/>
        <v>27.760635375976563</v>
      </c>
      <c r="CU374" s="129">
        <f t="shared" si="29"/>
        <v>36.934169769287109</v>
      </c>
      <c r="CV374" s="129">
        <f t="shared" si="29"/>
        <v>47.024112701416016</v>
      </c>
      <c r="CW374" s="129">
        <f t="shared" si="29"/>
        <v>0</v>
      </c>
      <c r="CX374" s="129">
        <f t="shared" si="29"/>
        <v>289</v>
      </c>
      <c r="CY374" s="129">
        <f t="shared" si="29"/>
        <v>105.94806671142578</v>
      </c>
      <c r="CZ374" s="129">
        <f t="shared" si="29"/>
        <v>45.536918640136719</v>
      </c>
      <c r="DA374" s="129">
        <f t="shared" si="29"/>
        <v>18.999847412109375</v>
      </c>
      <c r="DB374" s="129">
        <f t="shared" si="29"/>
        <v>28.31574821472168</v>
      </c>
      <c r="DC374" s="129">
        <f t="shared" si="29"/>
        <v>68.3629150390625</v>
      </c>
      <c r="DD374" s="129">
        <f t="shared" si="29"/>
        <v>39</v>
      </c>
      <c r="DE374" s="129">
        <f t="shared" si="29"/>
        <v>167</v>
      </c>
      <c r="DF374" s="129">
        <f t="shared" si="31"/>
        <v>95.637275695800781</v>
      </c>
      <c r="DG374" s="129">
        <f t="shared" si="29"/>
        <v>60.926010131835938</v>
      </c>
      <c r="DH374" s="129">
        <f t="shared" si="29"/>
        <v>39.259891510009766</v>
      </c>
      <c r="DI374" s="129">
        <f t="shared" si="29"/>
        <v>35.574756622314453</v>
      </c>
      <c r="DJ374" s="129">
        <f t="shared" si="29"/>
        <v>199</v>
      </c>
      <c r="DK374" s="129">
        <f t="shared" si="29"/>
        <v>100.26000213623047</v>
      </c>
      <c r="DL374" s="129">
        <f t="shared" si="29"/>
        <v>22.506000518798828</v>
      </c>
      <c r="DM374" s="129">
        <f t="shared" si="29"/>
        <v>22.618999481201172</v>
      </c>
      <c r="DN374" s="129">
        <f t="shared" si="29"/>
        <v>47.006000518798828</v>
      </c>
      <c r="DO374" s="129">
        <f t="shared" si="29"/>
        <v>109.40978240966797</v>
      </c>
      <c r="DP374" s="129">
        <f t="shared" si="31"/>
        <v>14.899999618530273</v>
      </c>
      <c r="DQ374" s="129" t="e">
        <f t="shared" si="31"/>
        <v>#NUM!</v>
      </c>
      <c r="DR374" s="129">
        <f t="shared" si="29"/>
        <v>0</v>
      </c>
      <c r="DS374" s="129">
        <f t="shared" si="29"/>
        <v>26.899999618530273</v>
      </c>
      <c r="DT374" s="129">
        <f t="shared" si="29"/>
        <v>12</v>
      </c>
      <c r="DU374" s="129" t="e">
        <f t="shared" si="29"/>
        <v>#NUM!</v>
      </c>
      <c r="DV374" s="129">
        <f t="shared" si="31"/>
        <v>0</v>
      </c>
      <c r="DW374" s="129">
        <f t="shared" si="29"/>
        <v>1.2227957248687744</v>
      </c>
      <c r="DX374" s="129">
        <f t="shared" si="31"/>
        <v>9</v>
      </c>
      <c r="DY374" s="129" t="e">
        <f t="shared" si="31"/>
        <v>#NUM!</v>
      </c>
      <c r="DZ374" s="129">
        <f t="shared" si="28"/>
        <v>43</v>
      </c>
      <c r="EA374" s="129">
        <f t="shared" si="28"/>
        <v>3</v>
      </c>
      <c r="EB374" s="129">
        <f t="shared" si="28"/>
        <v>0</v>
      </c>
      <c r="EC374" s="129">
        <f t="shared" si="28"/>
        <v>1</v>
      </c>
      <c r="ED374" s="129">
        <f t="shared" si="28"/>
        <v>224.69999694824219</v>
      </c>
      <c r="EE374" s="129"/>
      <c r="EF374" s="129"/>
      <c r="EG374" s="129"/>
      <c r="EH374"/>
    </row>
    <row r="375" spans="1:138" s="3" customFormat="1" x14ac:dyDescent="0.3"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  <c r="AN375" s="129"/>
      <c r="AO375" s="129"/>
      <c r="AP375" s="129"/>
      <c r="AQ375" s="129"/>
      <c r="AR375" s="129"/>
      <c r="AS375" s="129"/>
      <c r="AT375" s="129"/>
      <c r="AU375" s="129"/>
      <c r="AV375" s="129"/>
      <c r="AW375" s="129"/>
      <c r="AX375" s="129"/>
      <c r="AY375" s="129"/>
      <c r="AZ375" s="129"/>
      <c r="BA375" s="129"/>
      <c r="BB375" s="129"/>
      <c r="BC375" s="129"/>
      <c r="BD375" s="129"/>
      <c r="BE375" s="129"/>
      <c r="BF375" s="129"/>
      <c r="BG375" s="129"/>
      <c r="BH375" s="129"/>
      <c r="BI375" s="129"/>
      <c r="BJ375" s="129"/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29"/>
      <c r="CA375" s="129"/>
      <c r="CB375" s="129"/>
      <c r="CC375" s="129"/>
      <c r="CD375" s="129"/>
      <c r="CE375" s="129"/>
      <c r="CF375" s="129"/>
      <c r="CG375" s="129"/>
      <c r="CH375" s="129"/>
      <c r="CI375" s="129"/>
      <c r="CJ375" s="129"/>
      <c r="CK375" s="129"/>
      <c r="CL375" s="129"/>
      <c r="CM375" s="129"/>
      <c r="CN375" s="129"/>
      <c r="CO375" s="129"/>
      <c r="CP375" s="129"/>
      <c r="CQ375" s="129"/>
      <c r="CR375" s="129"/>
      <c r="CS375" s="129"/>
      <c r="CT375" s="129"/>
      <c r="CU375" s="129"/>
      <c r="CV375" s="129"/>
      <c r="CW375" s="129"/>
      <c r="CX375" s="129"/>
      <c r="CY375" s="129"/>
      <c r="CZ375" s="129"/>
      <c r="DA375" s="129"/>
      <c r="DB375" s="129"/>
      <c r="DC375" s="129"/>
      <c r="DD375" s="129"/>
      <c r="DE375" s="129"/>
      <c r="DF375" s="129"/>
      <c r="DG375" s="129"/>
      <c r="DH375" s="129"/>
      <c r="DI375" s="129"/>
      <c r="DJ375" s="129"/>
      <c r="DK375" s="129"/>
      <c r="DL375" s="129"/>
      <c r="DM375" s="129"/>
      <c r="DN375" s="129"/>
      <c r="DO375" s="129"/>
      <c r="DP375" s="129"/>
      <c r="DQ375" s="129"/>
      <c r="DR375" s="129"/>
      <c r="DS375" s="129"/>
      <c r="DT375" s="129"/>
      <c r="DU375" s="129"/>
      <c r="DV375" s="129"/>
      <c r="DW375" s="129"/>
      <c r="DX375" s="129"/>
      <c r="DY375" s="129"/>
      <c r="DZ375" s="129"/>
      <c r="EA375" s="129"/>
      <c r="EB375" s="129"/>
      <c r="EC375" s="129"/>
      <c r="ED375" s="129"/>
      <c r="EE375" s="129"/>
      <c r="EF375" s="129"/>
      <c r="EG375" s="129"/>
    </row>
    <row r="376" spans="1:138" ht="20.25" x14ac:dyDescent="0.3">
      <c r="A376" s="26" t="s">
        <v>22</v>
      </c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  <c r="AN376" s="129"/>
      <c r="AO376" s="129"/>
      <c r="AP376" s="129"/>
      <c r="AQ376" s="129"/>
      <c r="AR376" s="129"/>
      <c r="AS376" s="129"/>
      <c r="AT376" s="129"/>
      <c r="AU376" s="129"/>
      <c r="AV376" s="129"/>
      <c r="AW376" s="129"/>
      <c r="AX376" s="129"/>
      <c r="AY376" s="129"/>
      <c r="AZ376" s="129"/>
      <c r="BA376" s="129"/>
      <c r="BB376" s="129"/>
      <c r="BC376" s="129"/>
      <c r="BD376" s="129"/>
      <c r="BE376" s="129"/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29"/>
      <c r="CA376" s="129"/>
      <c r="CB376" s="129"/>
      <c r="CC376" s="129"/>
      <c r="CD376" s="129"/>
      <c r="CE376" s="129"/>
      <c r="CF376" s="129"/>
      <c r="CG376" s="129"/>
      <c r="CH376" s="129"/>
      <c r="CI376" s="129"/>
      <c r="CJ376" s="129"/>
      <c r="CK376" s="129"/>
      <c r="CL376" s="129"/>
      <c r="CM376" s="129"/>
      <c r="CN376" s="129"/>
      <c r="CO376" s="129"/>
      <c r="CP376" s="129"/>
      <c r="CQ376" s="129"/>
      <c r="CR376" s="129"/>
      <c r="CS376" s="129"/>
      <c r="CT376" s="129"/>
      <c r="CU376" s="129"/>
      <c r="CV376" s="129"/>
      <c r="CW376" s="129"/>
      <c r="CX376" s="129"/>
      <c r="CY376" s="129"/>
      <c r="CZ376" s="129"/>
      <c r="DA376" s="129"/>
      <c r="DB376" s="129"/>
      <c r="DC376" s="129"/>
      <c r="DD376" s="129"/>
      <c r="DE376" s="129"/>
      <c r="DF376" s="129"/>
      <c r="DG376" s="129"/>
      <c r="DH376" s="129"/>
      <c r="DI376" s="129"/>
      <c r="DJ376" s="129"/>
      <c r="DK376" s="129"/>
      <c r="DL376" s="129"/>
      <c r="DM376" s="129"/>
      <c r="DN376" s="129"/>
      <c r="DO376" s="129"/>
      <c r="DP376" s="129"/>
      <c r="DQ376" s="129"/>
      <c r="DR376" s="129"/>
      <c r="DS376" s="129"/>
      <c r="DT376" s="129"/>
      <c r="DU376" s="129"/>
      <c r="DV376" s="129"/>
      <c r="DW376" s="129"/>
      <c r="DX376" s="129"/>
      <c r="DY376" s="129"/>
      <c r="DZ376" s="129"/>
      <c r="EA376" s="129"/>
      <c r="EB376" s="129"/>
      <c r="EC376" s="129"/>
      <c r="ED376" s="129"/>
      <c r="EE376" s="129"/>
      <c r="EF376" s="129"/>
      <c r="EG376" s="129"/>
    </row>
    <row r="377" spans="1:138" x14ac:dyDescent="0.3">
      <c r="A377" s="160" t="s">
        <v>645</v>
      </c>
      <c r="B377" s="121">
        <f>AVERAGEA(B4:B63)</f>
        <v>307.06666666666666</v>
      </c>
      <c r="C377" s="121">
        <f t="shared" ref="C377:BR377" si="33">AVERAGEA(C4:C63)</f>
        <v>55.814916865030924</v>
      </c>
      <c r="D377" s="121">
        <f t="shared" si="33"/>
        <v>103.77001660664877</v>
      </c>
      <c r="E377" s="121">
        <f t="shared" si="33"/>
        <v>21.476616700490315</v>
      </c>
      <c r="F377" s="121">
        <f t="shared" si="33"/>
        <v>8.9080829083919522</v>
      </c>
      <c r="G377" s="121">
        <f t="shared" si="33"/>
        <v>22.579399871826173</v>
      </c>
      <c r="H377" s="121">
        <f t="shared" si="33"/>
        <v>360.81666666666666</v>
      </c>
      <c r="I377" s="121">
        <f t="shared" si="33"/>
        <v>327.06666666666666</v>
      </c>
      <c r="J377" s="121">
        <f t="shared" si="33"/>
        <v>75.929333623250329</v>
      </c>
      <c r="K377" s="121">
        <f t="shared" si="33"/>
        <v>65.006918271382645</v>
      </c>
      <c r="L377" s="121">
        <f t="shared" si="33"/>
        <v>51.815116818745928</v>
      </c>
      <c r="M377" s="121">
        <f t="shared" si="33"/>
        <v>15.403366724650065</v>
      </c>
      <c r="N377" s="121">
        <f t="shared" si="33"/>
        <v>17.02878359158834</v>
      </c>
      <c r="O377" s="121">
        <f t="shared" si="33"/>
        <v>19.850000000000001</v>
      </c>
      <c r="P377" s="121">
        <f t="shared" si="33"/>
        <v>0</v>
      </c>
      <c r="Q377" s="121">
        <f t="shared" si="33"/>
        <v>20.349137051900229</v>
      </c>
      <c r="R377" s="121">
        <f t="shared" si="33"/>
        <v>27.71687494913737</v>
      </c>
      <c r="S377" s="121">
        <f t="shared" si="33"/>
        <v>28.87543067932129</v>
      </c>
      <c r="T377" s="121">
        <f t="shared" si="33"/>
        <v>5.9833333333333334</v>
      </c>
      <c r="U377" s="121">
        <f t="shared" si="33"/>
        <v>5.9833333333333334</v>
      </c>
      <c r="V377" s="121">
        <f t="shared" si="33"/>
        <v>1204.7666666666667</v>
      </c>
      <c r="W377" s="121">
        <f t="shared" si="33"/>
        <v>38.783687464396159</v>
      </c>
      <c r="X377" s="121">
        <f t="shared" si="33"/>
        <v>39.353600120544435</v>
      </c>
      <c r="Y377" s="121">
        <f t="shared" si="33"/>
        <v>10.189933379491171</v>
      </c>
      <c r="Z377" s="121">
        <f t="shared" si="33"/>
        <v>0</v>
      </c>
      <c r="AA377" s="121">
        <f t="shared" si="33"/>
        <v>31.744016774495442</v>
      </c>
      <c r="AB377" s="121">
        <f t="shared" si="33"/>
        <v>0</v>
      </c>
      <c r="AC377" s="121">
        <f t="shared" si="33"/>
        <v>66.711898295084637</v>
      </c>
      <c r="AD377" s="121">
        <f t="shared" si="33"/>
        <v>6.0559166590372717</v>
      </c>
      <c r="AE377" s="121">
        <f t="shared" si="33"/>
        <v>0.26896316409111021</v>
      </c>
      <c r="AF377" s="121">
        <f t="shared" si="33"/>
        <v>97.965948486328131</v>
      </c>
      <c r="AG377" s="121">
        <f t="shared" si="33"/>
        <v>0</v>
      </c>
      <c r="AH377" s="121">
        <f t="shared" si="33"/>
        <v>83.935084025065109</v>
      </c>
      <c r="AI377" s="121">
        <f t="shared" si="33"/>
        <v>22.922966639200848</v>
      </c>
      <c r="AJ377" s="121">
        <f t="shared" si="33"/>
        <v>35.956753476460776</v>
      </c>
      <c r="AK377" s="121">
        <f t="shared" si="33"/>
        <v>52.454472923278807</v>
      </c>
      <c r="AL377" s="121">
        <f t="shared" si="33"/>
        <v>60.335766728719072</v>
      </c>
      <c r="AM377" s="121">
        <f t="shared" si="33"/>
        <v>59.050100199381511</v>
      </c>
      <c r="AN377" s="121">
        <f t="shared" si="33"/>
        <v>163.87187499999999</v>
      </c>
      <c r="AO377" s="121">
        <f t="shared" si="33"/>
        <v>89.983333333333334</v>
      </c>
      <c r="AP377" s="121">
        <f t="shared" si="33"/>
        <v>86.958663558959955</v>
      </c>
      <c r="AQ377" s="121">
        <f t="shared" si="33"/>
        <v>57.016287612915036</v>
      </c>
      <c r="AR377" s="121">
        <f t="shared" si="33"/>
        <v>117.16666666666667</v>
      </c>
      <c r="AS377" s="121" t="e">
        <f t="shared" si="33"/>
        <v>#DIV/0!</v>
      </c>
      <c r="AT377" s="121">
        <f t="shared" si="33"/>
        <v>119.2</v>
      </c>
      <c r="AU377" s="121" t="e">
        <f t="shared" si="33"/>
        <v>#DIV/0!</v>
      </c>
      <c r="AV377" s="121">
        <f t="shared" si="33"/>
        <v>90.566666666666663</v>
      </c>
      <c r="AW377" s="121" t="e">
        <f t="shared" si="33"/>
        <v>#DIV/0!</v>
      </c>
      <c r="AX377" s="121">
        <f t="shared" si="33"/>
        <v>36.18333333333333</v>
      </c>
      <c r="AY377" s="121">
        <f t="shared" si="33"/>
        <v>38.305564880371094</v>
      </c>
      <c r="AZ377" s="121">
        <f t="shared" si="33"/>
        <v>27.566666666666666</v>
      </c>
      <c r="BA377" s="121" t="e">
        <f t="shared" si="33"/>
        <v>#DIV/0!</v>
      </c>
      <c r="BB377" s="121">
        <f t="shared" si="33"/>
        <v>201.05</v>
      </c>
      <c r="BC377" s="121">
        <f t="shared" si="33"/>
        <v>207.68678487141926</v>
      </c>
      <c r="BD377" s="121">
        <f t="shared" si="33"/>
        <v>7.4266667207082113</v>
      </c>
      <c r="BE377" s="121">
        <f t="shared" si="33"/>
        <v>7.468788488705953</v>
      </c>
      <c r="BF377" s="121">
        <f t="shared" si="33"/>
        <v>30.65</v>
      </c>
      <c r="BG377" s="121">
        <f t="shared" si="33"/>
        <v>12.016666666666667</v>
      </c>
      <c r="BH377" s="121">
        <f t="shared" si="33"/>
        <v>12.711287196477254</v>
      </c>
      <c r="BI377" s="121" t="e">
        <f t="shared" si="33"/>
        <v>#DIV/0!</v>
      </c>
      <c r="BJ377" s="121">
        <f t="shared" si="33"/>
        <v>18.583333333333332</v>
      </c>
      <c r="BK377" s="121">
        <f t="shared" si="33"/>
        <v>18.583333333333332</v>
      </c>
      <c r="BL377" s="121">
        <f t="shared" si="33"/>
        <v>0</v>
      </c>
      <c r="BM377" s="121" t="e">
        <f t="shared" si="33"/>
        <v>#DIV/0!</v>
      </c>
      <c r="BN377" s="121">
        <f t="shared" si="33"/>
        <v>123.44000021616618</v>
      </c>
      <c r="BO377" s="121">
        <f t="shared" si="33"/>
        <v>74.966666666666669</v>
      </c>
      <c r="BP377" s="121">
        <f t="shared" si="33"/>
        <v>48.473333549499515</v>
      </c>
      <c r="BQ377" s="121">
        <f t="shared" si="33"/>
        <v>338.01666666666665</v>
      </c>
      <c r="BR377" s="121">
        <f t="shared" si="33"/>
        <v>105.16876691182455</v>
      </c>
      <c r="BS377" s="121">
        <f t="shared" ref="BS377:ED377" si="34">AVERAGEA(BS4:BS63)</f>
        <v>27.762066650390626</v>
      </c>
      <c r="BT377" s="121">
        <f t="shared" si="34"/>
        <v>51.612983258565265</v>
      </c>
      <c r="BU377" s="121">
        <f t="shared" si="34"/>
        <v>49.496899795532229</v>
      </c>
      <c r="BV377" s="121">
        <f t="shared" si="34"/>
        <v>69.065000025431317</v>
      </c>
      <c r="BW377" s="121">
        <f t="shared" si="34"/>
        <v>7.2249999761581423</v>
      </c>
      <c r="BX377" s="121">
        <f t="shared" si="34"/>
        <v>13.84166661898295</v>
      </c>
      <c r="BY377" s="121">
        <f t="shared" si="34"/>
        <v>28.883333333333333</v>
      </c>
      <c r="BZ377" s="121">
        <f t="shared" si="34"/>
        <v>1.4105707903703054E-2</v>
      </c>
      <c r="CA377" s="121">
        <f t="shared" si="34"/>
        <v>0.18333333333333332</v>
      </c>
      <c r="CB377" s="121">
        <f t="shared" si="34"/>
        <v>29.648857148488364</v>
      </c>
      <c r="CC377" s="121" t="e">
        <f t="shared" si="34"/>
        <v>#DIV/0!</v>
      </c>
      <c r="CD377" s="121">
        <f t="shared" si="34"/>
        <v>443.114008585612</v>
      </c>
      <c r="CE377" s="121">
        <f t="shared" si="34"/>
        <v>83.79872989654541</v>
      </c>
      <c r="CF377" s="121">
        <f t="shared" si="34"/>
        <v>33.509295463562012</v>
      </c>
      <c r="CG377" s="121">
        <f t="shared" si="34"/>
        <v>35.338191986083984</v>
      </c>
      <c r="CH377" s="121">
        <f t="shared" si="34"/>
        <v>303.67138112386067</v>
      </c>
      <c r="CI377" s="121">
        <f t="shared" si="34"/>
        <v>117.30602862040202</v>
      </c>
      <c r="CJ377" s="121">
        <f t="shared" si="34"/>
        <v>56.948141860961911</v>
      </c>
      <c r="CK377" s="121">
        <f t="shared" si="34"/>
        <v>64.380131467183432</v>
      </c>
      <c r="CL377" s="121">
        <f t="shared" si="34"/>
        <v>49.57917963663737</v>
      </c>
      <c r="CM377" s="121">
        <f t="shared" si="34"/>
        <v>358.24733530680339</v>
      </c>
      <c r="CN377" s="121">
        <f t="shared" si="34"/>
        <v>144.71706822713216</v>
      </c>
      <c r="CO377" s="121">
        <f t="shared" si="34"/>
        <v>98.378459040323889</v>
      </c>
      <c r="CP377" s="121">
        <f t="shared" si="34"/>
        <v>110.51810595194499</v>
      </c>
      <c r="CQ377" s="121">
        <f t="shared" si="34"/>
        <v>0</v>
      </c>
      <c r="CR377" s="121">
        <f t="shared" si="34"/>
        <v>69.375997225443527</v>
      </c>
      <c r="CS377" s="121">
        <f t="shared" si="34"/>
        <v>13.724345636367797</v>
      </c>
      <c r="CT377" s="121">
        <f t="shared" si="34"/>
        <v>55.471822929382327</v>
      </c>
      <c r="CU377" s="121">
        <f t="shared" si="34"/>
        <v>202.6244909922282</v>
      </c>
      <c r="CV377" s="121">
        <f t="shared" si="34"/>
        <v>108.132634862264</v>
      </c>
      <c r="CW377" s="121">
        <f t="shared" si="34"/>
        <v>3.7666666666666666</v>
      </c>
      <c r="CX377" s="121">
        <f t="shared" si="34"/>
        <v>480.36666666666667</v>
      </c>
      <c r="CY377" s="121">
        <f t="shared" si="34"/>
        <v>227.0799550374349</v>
      </c>
      <c r="CZ377" s="121">
        <f t="shared" si="34"/>
        <v>66.215061569213873</v>
      </c>
      <c r="DA377" s="121">
        <f t="shared" si="34"/>
        <v>26.13511298497518</v>
      </c>
      <c r="DB377" s="121">
        <f t="shared" si="34"/>
        <v>46.663624127705894</v>
      </c>
      <c r="DC377" s="121">
        <f t="shared" si="34"/>
        <v>95.67020759582519</v>
      </c>
      <c r="DD377" s="121">
        <f t="shared" si="34"/>
        <v>443.28333333333336</v>
      </c>
      <c r="DE377" s="121">
        <f t="shared" si="34"/>
        <v>197.58333333333334</v>
      </c>
      <c r="DF377" s="121">
        <f t="shared" si="34"/>
        <v>448.91312789916992</v>
      </c>
      <c r="DG377" s="121">
        <f t="shared" si="34"/>
        <v>106.36647211710611</v>
      </c>
      <c r="DH377" s="121">
        <f t="shared" si="34"/>
        <v>74.650995381673184</v>
      </c>
      <c r="DI377" s="121">
        <f t="shared" si="34"/>
        <v>45.52501468658447</v>
      </c>
      <c r="DJ377" s="121">
        <f t="shared" si="34"/>
        <v>257.45</v>
      </c>
      <c r="DK377" s="121">
        <f t="shared" si="34"/>
        <v>151.83688329060871</v>
      </c>
      <c r="DL377" s="121">
        <f t="shared" si="34"/>
        <v>31.610199928283691</v>
      </c>
      <c r="DM377" s="121">
        <f t="shared" si="34"/>
        <v>63.551866722106936</v>
      </c>
      <c r="DN377" s="121">
        <f t="shared" si="34"/>
        <v>55.573249880472822</v>
      </c>
      <c r="DO377" s="121">
        <f t="shared" si="34"/>
        <v>117.55669657389323</v>
      </c>
      <c r="DP377" s="121">
        <f t="shared" si="34"/>
        <v>17.518766784667967</v>
      </c>
      <c r="DQ377" s="121" t="e">
        <f t="shared" si="34"/>
        <v>#DIV/0!</v>
      </c>
      <c r="DR377" s="121">
        <f t="shared" si="34"/>
        <v>67</v>
      </c>
      <c r="DS377" s="121">
        <f t="shared" si="34"/>
        <v>51.840000025431316</v>
      </c>
      <c r="DT377" s="121">
        <f t="shared" si="34"/>
        <v>13.933333333333334</v>
      </c>
      <c r="DU377" s="121" t="e">
        <f t="shared" si="34"/>
        <v>#DIV/0!</v>
      </c>
      <c r="DV377" s="121">
        <f t="shared" si="34"/>
        <v>175.36666666666667</v>
      </c>
      <c r="DW377" s="121">
        <f t="shared" si="34"/>
        <v>164.74384104410808</v>
      </c>
      <c r="DX377" s="121">
        <f t="shared" si="34"/>
        <v>12.45</v>
      </c>
      <c r="DY377" s="121" t="e">
        <f t="shared" si="34"/>
        <v>#DIV/0!</v>
      </c>
      <c r="DZ377" s="121">
        <f t="shared" si="34"/>
        <v>53.55</v>
      </c>
      <c r="EA377" s="121">
        <f t="shared" si="34"/>
        <v>3</v>
      </c>
      <c r="EB377" s="121">
        <f t="shared" si="34"/>
        <v>0</v>
      </c>
      <c r="EC377" s="121">
        <f t="shared" si="34"/>
        <v>1.0833333333333333</v>
      </c>
      <c r="ED377" s="121">
        <f t="shared" si="34"/>
        <v>633.02833353678386</v>
      </c>
      <c r="EE377" s="129"/>
      <c r="EF377" s="129"/>
      <c r="EG377" s="129"/>
    </row>
    <row r="378" spans="1:138" x14ac:dyDescent="0.3">
      <c r="A378" s="160" t="s">
        <v>309</v>
      </c>
      <c r="B378" s="121">
        <f>AVERAGEA(B9:B68)</f>
        <v>303.35000000000002</v>
      </c>
      <c r="C378" s="121">
        <f t="shared" ref="C378:BR378" si="35">AVERAGEA(C9:C68)</f>
        <v>55.652800178527833</v>
      </c>
      <c r="D378" s="121">
        <f t="shared" si="35"/>
        <v>103.41754976908366</v>
      </c>
      <c r="E378" s="121">
        <f t="shared" si="35"/>
        <v>21.252316665649413</v>
      </c>
      <c r="F378" s="121">
        <f t="shared" si="35"/>
        <v>9.4220970114072156</v>
      </c>
      <c r="G378" s="121">
        <f t="shared" si="35"/>
        <v>22.257049814860025</v>
      </c>
      <c r="H378" s="121">
        <f t="shared" si="35"/>
        <v>357.35</v>
      </c>
      <c r="I378" s="121">
        <f t="shared" si="35"/>
        <v>324.23333333333335</v>
      </c>
      <c r="J378" s="121">
        <f t="shared" si="35"/>
        <v>75.075466791788742</v>
      </c>
      <c r="K378" s="121">
        <f t="shared" si="35"/>
        <v>64.692451985677081</v>
      </c>
      <c r="L378" s="121">
        <f t="shared" si="35"/>
        <v>51.373316828409834</v>
      </c>
      <c r="M378" s="121">
        <f t="shared" si="35"/>
        <v>15.222433392206828</v>
      </c>
      <c r="N378" s="121">
        <f t="shared" si="35"/>
        <v>17.025583600997926</v>
      </c>
      <c r="O378" s="121">
        <f t="shared" si="35"/>
        <v>19.683333333333334</v>
      </c>
      <c r="P378" s="121">
        <f t="shared" si="35"/>
        <v>0</v>
      </c>
      <c r="Q378" s="121">
        <f t="shared" si="35"/>
        <v>20.130717277526855</v>
      </c>
      <c r="R378" s="121">
        <f t="shared" si="35"/>
        <v>27.233437474568685</v>
      </c>
      <c r="S378" s="121">
        <f t="shared" si="35"/>
        <v>28.359775002797445</v>
      </c>
      <c r="T378" s="121">
        <f t="shared" si="35"/>
        <v>5.2333333333333334</v>
      </c>
      <c r="U378" s="121">
        <f t="shared" si="35"/>
        <v>5.2333333333333334</v>
      </c>
      <c r="V378" s="121">
        <f t="shared" si="35"/>
        <v>1187.4833333333333</v>
      </c>
      <c r="W378" s="121">
        <f t="shared" si="35"/>
        <v>37.809106763203935</v>
      </c>
      <c r="X378" s="121">
        <f t="shared" si="35"/>
        <v>38.901200103759763</v>
      </c>
      <c r="Y378" s="121">
        <f t="shared" si="35"/>
        <v>10.017116753260295</v>
      </c>
      <c r="Z378" s="121">
        <f t="shared" si="35"/>
        <v>0</v>
      </c>
      <c r="AA378" s="121">
        <f t="shared" si="35"/>
        <v>31.280316766103109</v>
      </c>
      <c r="AB378" s="121">
        <f t="shared" si="35"/>
        <v>0</v>
      </c>
      <c r="AC378" s="121">
        <f t="shared" si="35"/>
        <v>66.034049542744953</v>
      </c>
      <c r="AD378" s="121">
        <f t="shared" si="35"/>
        <v>6.0431833346684778</v>
      </c>
      <c r="AE378" s="121">
        <f t="shared" si="35"/>
        <v>0.1200081984202067</v>
      </c>
      <c r="AF378" s="121">
        <f t="shared" si="35"/>
        <v>97.404971059163415</v>
      </c>
      <c r="AG378" s="121">
        <f t="shared" si="35"/>
        <v>0</v>
      </c>
      <c r="AH378" s="121">
        <f t="shared" si="35"/>
        <v>82.649302927652997</v>
      </c>
      <c r="AI378" s="121">
        <f t="shared" si="35"/>
        <v>22.698166656494141</v>
      </c>
      <c r="AJ378" s="121">
        <f t="shared" si="35"/>
        <v>34.718789100646973</v>
      </c>
      <c r="AK378" s="121">
        <f t="shared" si="35"/>
        <v>52.036735979715985</v>
      </c>
      <c r="AL378" s="121">
        <f t="shared" si="35"/>
        <v>59.970516713460285</v>
      </c>
      <c r="AM378" s="121">
        <f t="shared" si="35"/>
        <v>58.929233551025391</v>
      </c>
      <c r="AN378" s="121">
        <f t="shared" si="35"/>
        <v>161.22916666666666</v>
      </c>
      <c r="AO378" s="121">
        <f t="shared" si="35"/>
        <v>88.35</v>
      </c>
      <c r="AP378" s="121">
        <f t="shared" si="35"/>
        <v>85.483189646402991</v>
      </c>
      <c r="AQ378" s="121">
        <f t="shared" si="35"/>
        <v>56.031843185424805</v>
      </c>
      <c r="AR378" s="121">
        <f t="shared" si="35"/>
        <v>116.51666666666667</v>
      </c>
      <c r="AS378" s="121" t="e">
        <f t="shared" si="35"/>
        <v>#DIV/0!</v>
      </c>
      <c r="AT378" s="121">
        <f t="shared" si="35"/>
        <v>119.7</v>
      </c>
      <c r="AU378" s="121" t="e">
        <f t="shared" si="35"/>
        <v>#DIV/0!</v>
      </c>
      <c r="AV378" s="121">
        <f t="shared" si="35"/>
        <v>90.61666666666666</v>
      </c>
      <c r="AW378" s="121" t="e">
        <f t="shared" si="35"/>
        <v>#DIV/0!</v>
      </c>
      <c r="AX378" s="121">
        <f t="shared" si="35"/>
        <v>35.799999999999997</v>
      </c>
      <c r="AY378" s="121">
        <f t="shared" si="35"/>
        <v>37.92850716908773</v>
      </c>
      <c r="AZ378" s="121">
        <f t="shared" si="35"/>
        <v>26.95</v>
      </c>
      <c r="BA378" s="121" t="e">
        <f t="shared" si="35"/>
        <v>#DIV/0!</v>
      </c>
      <c r="BB378" s="121">
        <f t="shared" si="35"/>
        <v>202.75</v>
      </c>
      <c r="BC378" s="121">
        <f t="shared" si="35"/>
        <v>208.63198903401693</v>
      </c>
      <c r="BD378" s="121">
        <f t="shared" si="35"/>
        <v>7.4033333937327068</v>
      </c>
      <c r="BE378" s="121">
        <f t="shared" si="35"/>
        <v>7.4391461690266931</v>
      </c>
      <c r="BF378" s="121">
        <f t="shared" si="35"/>
        <v>30.6</v>
      </c>
      <c r="BG378" s="121">
        <f t="shared" si="35"/>
        <v>11.883333333333333</v>
      </c>
      <c r="BH378" s="121">
        <f t="shared" si="35"/>
        <v>12.626489957173666</v>
      </c>
      <c r="BI378" s="121" t="e">
        <f t="shared" si="35"/>
        <v>#DIV/0!</v>
      </c>
      <c r="BJ378" s="121">
        <f t="shared" si="35"/>
        <v>18.233333333333334</v>
      </c>
      <c r="BK378" s="121">
        <f t="shared" si="35"/>
        <v>18.233333333333334</v>
      </c>
      <c r="BL378" s="121">
        <f t="shared" si="35"/>
        <v>0</v>
      </c>
      <c r="BM378" s="121" t="e">
        <f t="shared" si="35"/>
        <v>#DIV/0!</v>
      </c>
      <c r="BN378" s="121">
        <f t="shared" si="35"/>
        <v>123.2333335240682</v>
      </c>
      <c r="BO378" s="121">
        <f t="shared" si="35"/>
        <v>74.833333333333329</v>
      </c>
      <c r="BP378" s="121">
        <f t="shared" si="35"/>
        <v>48.400000190734865</v>
      </c>
      <c r="BQ378" s="121">
        <f t="shared" si="35"/>
        <v>333.66666666666669</v>
      </c>
      <c r="BR378" s="121">
        <f t="shared" si="35"/>
        <v>102.95395037333171</v>
      </c>
      <c r="BS378" s="121">
        <f t="shared" ref="BS378:ED378" si="36">AVERAGEA(BS9:BS68)</f>
        <v>27.49488328297933</v>
      </c>
      <c r="BT378" s="121">
        <f t="shared" si="36"/>
        <v>50.995316632588704</v>
      </c>
      <c r="BU378" s="121">
        <f t="shared" si="36"/>
        <v>48.829983202616376</v>
      </c>
      <c r="BV378" s="121">
        <f t="shared" si="36"/>
        <v>69.071666463216147</v>
      </c>
      <c r="BW378" s="121">
        <f t="shared" si="36"/>
        <v>7.1583333174387613</v>
      </c>
      <c r="BX378" s="121">
        <f t="shared" si="36"/>
        <v>13.844999965031942</v>
      </c>
      <c r="BY378" s="121">
        <f t="shared" si="36"/>
        <v>28.866666666666667</v>
      </c>
      <c r="BZ378" s="121">
        <f t="shared" si="36"/>
        <v>1.4160285548617443E-2</v>
      </c>
      <c r="CA378" s="121">
        <f t="shared" si="36"/>
        <v>0.18333333333333332</v>
      </c>
      <c r="CB378" s="121">
        <f t="shared" si="36"/>
        <v>29.604758739471436</v>
      </c>
      <c r="CC378" s="121" t="e">
        <f t="shared" si="36"/>
        <v>#DIV/0!</v>
      </c>
      <c r="CD378" s="121">
        <f t="shared" si="36"/>
        <v>443.21079915364584</v>
      </c>
      <c r="CE378" s="121">
        <f t="shared" si="36"/>
        <v>84.920001792907712</v>
      </c>
      <c r="CF378" s="121">
        <f t="shared" si="36"/>
        <v>32.990063222249347</v>
      </c>
      <c r="CG378" s="121">
        <f t="shared" si="36"/>
        <v>35.338191986083984</v>
      </c>
      <c r="CH378" s="121">
        <f t="shared" si="36"/>
        <v>303.54018147786456</v>
      </c>
      <c r="CI378" s="121">
        <f t="shared" si="36"/>
        <v>115.99277267456054</v>
      </c>
      <c r="CJ378" s="121">
        <f t="shared" si="36"/>
        <v>56.29001522064209</v>
      </c>
      <c r="CK378" s="121">
        <f t="shared" si="36"/>
        <v>63.678797976175943</v>
      </c>
      <c r="CL378" s="121">
        <f t="shared" si="36"/>
        <v>48.970635096232094</v>
      </c>
      <c r="CM378" s="121">
        <f t="shared" si="36"/>
        <v>356.43205006917316</v>
      </c>
      <c r="CN378" s="121">
        <f t="shared" si="36"/>
        <v>147.08145497639973</v>
      </c>
      <c r="CO378" s="121">
        <f t="shared" si="36"/>
        <v>97.262392044067383</v>
      </c>
      <c r="CP378" s="121">
        <f t="shared" si="36"/>
        <v>107.38601353963216</v>
      </c>
      <c r="CQ378" s="121">
        <f t="shared" si="36"/>
        <v>0</v>
      </c>
      <c r="CR378" s="121">
        <f t="shared" si="36"/>
        <v>68.52678521474202</v>
      </c>
      <c r="CS378" s="121">
        <f t="shared" si="36"/>
        <v>13.342226616541545</v>
      </c>
      <c r="CT378" s="121">
        <f t="shared" si="36"/>
        <v>54.464975865681964</v>
      </c>
      <c r="CU378" s="121">
        <f t="shared" si="36"/>
        <v>184.21189219156901</v>
      </c>
      <c r="CV378" s="121">
        <f t="shared" si="36"/>
        <v>105.57889162699381</v>
      </c>
      <c r="CW378" s="121">
        <f t="shared" si="36"/>
        <v>3.55</v>
      </c>
      <c r="CX378" s="121">
        <f t="shared" si="36"/>
        <v>475.11666666666667</v>
      </c>
      <c r="CY378" s="121">
        <f t="shared" si="36"/>
        <v>224.26322631835939</v>
      </c>
      <c r="CZ378" s="121">
        <f t="shared" si="36"/>
        <v>65.6083979288737</v>
      </c>
      <c r="DA378" s="121">
        <f t="shared" si="36"/>
        <v>25.573282114664714</v>
      </c>
      <c r="DB378" s="121">
        <f t="shared" si="36"/>
        <v>45.967104339599608</v>
      </c>
      <c r="DC378" s="121">
        <f t="shared" si="36"/>
        <v>95.092761866251621</v>
      </c>
      <c r="DD378" s="121">
        <f t="shared" si="36"/>
        <v>484.16666666666669</v>
      </c>
      <c r="DE378" s="121">
        <f t="shared" si="36"/>
        <v>198.41666666666666</v>
      </c>
      <c r="DF378" s="121">
        <f t="shared" si="36"/>
        <v>495.60110193888346</v>
      </c>
      <c r="DG378" s="121">
        <f t="shared" si="36"/>
        <v>104.46006355285644</v>
      </c>
      <c r="DH378" s="121">
        <f t="shared" si="36"/>
        <v>72.186582756042483</v>
      </c>
      <c r="DI378" s="121">
        <f t="shared" si="36"/>
        <v>44.898462422688802</v>
      </c>
      <c r="DJ378" s="121">
        <f t="shared" si="36"/>
        <v>256.3</v>
      </c>
      <c r="DK378" s="121">
        <f t="shared" si="36"/>
        <v>150.75118331909181</v>
      </c>
      <c r="DL378" s="121">
        <f t="shared" si="36"/>
        <v>31.448066552480061</v>
      </c>
      <c r="DM378" s="121">
        <f t="shared" si="36"/>
        <v>63.466449991861978</v>
      </c>
      <c r="DN378" s="121">
        <f t="shared" si="36"/>
        <v>55.093166478474934</v>
      </c>
      <c r="DO378" s="121">
        <f t="shared" si="36"/>
        <v>117.29947471618652</v>
      </c>
      <c r="DP378" s="121">
        <f t="shared" si="36"/>
        <v>17.466450119018553</v>
      </c>
      <c r="DQ378" s="121" t="e">
        <f t="shared" si="36"/>
        <v>#DIV/0!</v>
      </c>
      <c r="DR378" s="121">
        <f t="shared" si="36"/>
        <v>67</v>
      </c>
      <c r="DS378" s="121">
        <f t="shared" si="36"/>
        <v>51.740000025431314</v>
      </c>
      <c r="DT378" s="121">
        <f t="shared" si="36"/>
        <v>13.916666666666666</v>
      </c>
      <c r="DU378" s="121" t="e">
        <f t="shared" si="36"/>
        <v>#DIV/0!</v>
      </c>
      <c r="DV378" s="121">
        <f t="shared" si="36"/>
        <v>175.45</v>
      </c>
      <c r="DW378" s="121">
        <f t="shared" si="36"/>
        <v>164.65233713785807</v>
      </c>
      <c r="DX378" s="121">
        <f t="shared" si="36"/>
        <v>12.333333333333334</v>
      </c>
      <c r="DY378" s="121" t="e">
        <f t="shared" si="36"/>
        <v>#DIV/0!</v>
      </c>
      <c r="DZ378" s="121">
        <f t="shared" si="36"/>
        <v>53.25</v>
      </c>
      <c r="EA378" s="121">
        <f t="shared" si="36"/>
        <v>3</v>
      </c>
      <c r="EB378" s="121">
        <f t="shared" si="36"/>
        <v>0</v>
      </c>
      <c r="EC378" s="121">
        <f t="shared" si="36"/>
        <v>1.1166666666666667</v>
      </c>
      <c r="ED378" s="121">
        <f t="shared" si="36"/>
        <v>672.01999969482426</v>
      </c>
      <c r="EE378" s="129"/>
      <c r="EF378" s="129"/>
      <c r="EG378" s="129"/>
      <c r="EH378" s="3"/>
    </row>
    <row r="379" spans="1:138" x14ac:dyDescent="0.3">
      <c r="A379" s="160" t="s">
        <v>310</v>
      </c>
      <c r="B379" s="121">
        <f>AVERAGEA(B14:B73)</f>
        <v>299.14999999999998</v>
      </c>
      <c r="C379" s="121">
        <f t="shared" ref="C379:BR379" si="37">AVERAGEA(C14:C73)</f>
        <v>55.215500132242838</v>
      </c>
      <c r="D379" s="121">
        <f t="shared" si="37"/>
        <v>103.11406631469727</v>
      </c>
      <c r="E379" s="121">
        <f t="shared" si="37"/>
        <v>20.805583254496256</v>
      </c>
      <c r="F379" s="121">
        <f t="shared" si="37"/>
        <v>9.2280048787593838</v>
      </c>
      <c r="G379" s="121">
        <f t="shared" si="37"/>
        <v>21.953616460164387</v>
      </c>
      <c r="H379" s="121">
        <f t="shared" si="37"/>
        <v>355.36666666666667</v>
      </c>
      <c r="I379" s="121">
        <f t="shared" si="37"/>
        <v>322.45</v>
      </c>
      <c r="J379" s="121">
        <f t="shared" si="37"/>
        <v>74.37426681518555</v>
      </c>
      <c r="K379" s="121">
        <f t="shared" si="37"/>
        <v>64.548874918619788</v>
      </c>
      <c r="L379" s="121">
        <f t="shared" si="37"/>
        <v>51.214266777038574</v>
      </c>
      <c r="M379" s="121">
        <f t="shared" si="37"/>
        <v>15.071633386611939</v>
      </c>
      <c r="N379" s="121">
        <f t="shared" si="37"/>
        <v>17.070100259780883</v>
      </c>
      <c r="O379" s="121">
        <f t="shared" si="37"/>
        <v>19.483333333333334</v>
      </c>
      <c r="P379" s="121">
        <f t="shared" si="37"/>
        <v>0</v>
      </c>
      <c r="Q379" s="121">
        <f t="shared" si="37"/>
        <v>19.933525848388673</v>
      </c>
      <c r="R379" s="121">
        <f t="shared" si="37"/>
        <v>26.866718737284341</v>
      </c>
      <c r="S379" s="121">
        <f t="shared" si="37"/>
        <v>27.945445887247722</v>
      </c>
      <c r="T379" s="121">
        <f t="shared" si="37"/>
        <v>4.4833333333333334</v>
      </c>
      <c r="U379" s="121">
        <f t="shared" si="37"/>
        <v>4.4833333333333334</v>
      </c>
      <c r="V379" s="121">
        <f t="shared" si="37"/>
        <v>1170.0333333333333</v>
      </c>
      <c r="W379" s="121">
        <f t="shared" si="37"/>
        <v>37.196249071757002</v>
      </c>
      <c r="X379" s="121">
        <f t="shared" si="37"/>
        <v>38.352700106302898</v>
      </c>
      <c r="Y379" s="121">
        <f t="shared" si="37"/>
        <v>9.8548834164937329</v>
      </c>
      <c r="Z379" s="121">
        <f t="shared" si="37"/>
        <v>0</v>
      </c>
      <c r="AA379" s="121">
        <f t="shared" si="37"/>
        <v>30.942900149027505</v>
      </c>
      <c r="AB379" s="121">
        <f t="shared" si="37"/>
        <v>0</v>
      </c>
      <c r="AC379" s="121">
        <f t="shared" si="37"/>
        <v>65.456856218973797</v>
      </c>
      <c r="AD379" s="121">
        <f t="shared" si="37"/>
        <v>6.060166652997335</v>
      </c>
      <c r="AE379" s="121">
        <f t="shared" si="37"/>
        <v>2.52814253171285E-2</v>
      </c>
      <c r="AF379" s="121">
        <f t="shared" si="37"/>
        <v>97.11909446716308</v>
      </c>
      <c r="AG379" s="121">
        <f t="shared" si="37"/>
        <v>0</v>
      </c>
      <c r="AH379" s="121">
        <f t="shared" si="37"/>
        <v>80.800065231323245</v>
      </c>
      <c r="AI379" s="121">
        <f t="shared" si="37"/>
        <v>22.32283328374227</v>
      </c>
      <c r="AJ379" s="121">
        <f t="shared" si="37"/>
        <v>33.346683661142983</v>
      </c>
      <c r="AK379" s="121">
        <f t="shared" si="37"/>
        <v>51.476247660319011</v>
      </c>
      <c r="AL379" s="121">
        <f t="shared" si="37"/>
        <v>59.652433331807451</v>
      </c>
      <c r="AM379" s="121">
        <f t="shared" si="37"/>
        <v>58.821066983540852</v>
      </c>
      <c r="AN379" s="121">
        <f t="shared" si="37"/>
        <v>159.16874999999999</v>
      </c>
      <c r="AO379" s="121">
        <f t="shared" si="37"/>
        <v>87.05</v>
      </c>
      <c r="AP379" s="121">
        <f t="shared" si="37"/>
        <v>84.146526082356772</v>
      </c>
      <c r="AQ379" s="121">
        <f t="shared" si="37"/>
        <v>55.282297452290855</v>
      </c>
      <c r="AR379" s="121">
        <f t="shared" si="37"/>
        <v>116.4</v>
      </c>
      <c r="AS379" s="121" t="e">
        <f t="shared" si="37"/>
        <v>#DIV/0!</v>
      </c>
      <c r="AT379" s="121">
        <f t="shared" si="37"/>
        <v>120.18333333333334</v>
      </c>
      <c r="AU379" s="121" t="e">
        <f t="shared" si="37"/>
        <v>#DIV/0!</v>
      </c>
      <c r="AV379" s="121">
        <f t="shared" si="37"/>
        <v>90.85</v>
      </c>
      <c r="AW379" s="121" t="e">
        <f t="shared" si="37"/>
        <v>#DIV/0!</v>
      </c>
      <c r="AX379" s="121">
        <f t="shared" si="37"/>
        <v>35.483333333333334</v>
      </c>
      <c r="AY379" s="121">
        <f t="shared" si="37"/>
        <v>37.58029918670654</v>
      </c>
      <c r="AZ379" s="121">
        <f t="shared" si="37"/>
        <v>26.283333333333335</v>
      </c>
      <c r="BA379" s="121" t="e">
        <f t="shared" si="37"/>
        <v>#DIV/0!</v>
      </c>
      <c r="BB379" s="121">
        <f t="shared" si="37"/>
        <v>210.15</v>
      </c>
      <c r="BC379" s="121">
        <f t="shared" si="37"/>
        <v>216.03513997395834</v>
      </c>
      <c r="BD379" s="121">
        <f t="shared" si="37"/>
        <v>7.3716667175292967</v>
      </c>
      <c r="BE379" s="121">
        <f t="shared" si="37"/>
        <v>7.4042833089828495</v>
      </c>
      <c r="BF379" s="121">
        <f t="shared" si="37"/>
        <v>30.5</v>
      </c>
      <c r="BG379" s="121">
        <f t="shared" si="37"/>
        <v>11.733333333333333</v>
      </c>
      <c r="BH379" s="121">
        <f t="shared" si="37"/>
        <v>12.518797143300374</v>
      </c>
      <c r="BI379" s="121" t="e">
        <f t="shared" si="37"/>
        <v>#DIV/0!</v>
      </c>
      <c r="BJ379" s="121">
        <f t="shared" si="37"/>
        <v>17.933333333333334</v>
      </c>
      <c r="BK379" s="121">
        <f t="shared" si="37"/>
        <v>17.933333333333334</v>
      </c>
      <c r="BL379" s="121">
        <f t="shared" si="37"/>
        <v>0</v>
      </c>
      <c r="BM379" s="121" t="e">
        <f t="shared" si="37"/>
        <v>#DIV/0!</v>
      </c>
      <c r="BN379" s="121">
        <f t="shared" si="37"/>
        <v>123.0766668955485</v>
      </c>
      <c r="BO379" s="121">
        <f t="shared" si="37"/>
        <v>74.75</v>
      </c>
      <c r="BP379" s="121">
        <f t="shared" si="37"/>
        <v>48.326666895548506</v>
      </c>
      <c r="BQ379" s="121">
        <f t="shared" si="37"/>
        <v>330.15</v>
      </c>
      <c r="BR379" s="121">
        <f t="shared" si="37"/>
        <v>101.02751706441244</v>
      </c>
      <c r="BS379" s="121">
        <f t="shared" ref="BS379:ED379" si="38">AVERAGEA(BS14:BS73)</f>
        <v>27.299766604105631</v>
      </c>
      <c r="BT379" s="121">
        <f t="shared" si="38"/>
        <v>50.342999903361004</v>
      </c>
      <c r="BU379" s="121">
        <f t="shared" si="38"/>
        <v>48.193799908955889</v>
      </c>
      <c r="BV379" s="121">
        <f t="shared" si="38"/>
        <v>69.044999949137363</v>
      </c>
      <c r="BW379" s="121">
        <f t="shared" si="38"/>
        <v>7.1083333174387615</v>
      </c>
      <c r="BX379" s="121">
        <f t="shared" si="38"/>
        <v>13.819999980926514</v>
      </c>
      <c r="BY379" s="121">
        <f t="shared" si="38"/>
        <v>28.783333333333335</v>
      </c>
      <c r="BZ379" s="121">
        <f t="shared" si="38"/>
        <v>1.4167526892075935E-2</v>
      </c>
      <c r="CA379" s="121">
        <f t="shared" si="38"/>
        <v>0.16666666666666666</v>
      </c>
      <c r="CB379" s="121">
        <f t="shared" si="38"/>
        <v>29.56363073984782</v>
      </c>
      <c r="CC379" s="121" t="e">
        <f t="shared" si="38"/>
        <v>#DIV/0!</v>
      </c>
      <c r="CD379" s="121">
        <f t="shared" si="38"/>
        <v>444.24029337565105</v>
      </c>
      <c r="CE379" s="121">
        <f t="shared" si="38"/>
        <v>87.026838111877439</v>
      </c>
      <c r="CF379" s="121">
        <f t="shared" si="38"/>
        <v>32.595460828145342</v>
      </c>
      <c r="CG379" s="121">
        <f t="shared" si="38"/>
        <v>35.338191986083984</v>
      </c>
      <c r="CH379" s="121">
        <f t="shared" si="38"/>
        <v>303.41188456217446</v>
      </c>
      <c r="CI379" s="121">
        <f t="shared" si="38"/>
        <v>114.60537261962891</v>
      </c>
      <c r="CJ379" s="121">
        <f t="shared" si="38"/>
        <v>55.379134368896487</v>
      </c>
      <c r="CK379" s="121">
        <f t="shared" si="38"/>
        <v>63.076614761352538</v>
      </c>
      <c r="CL379" s="121">
        <f t="shared" si="38"/>
        <v>48.288602511088051</v>
      </c>
      <c r="CM379" s="121">
        <f t="shared" si="38"/>
        <v>349.62572123209634</v>
      </c>
      <c r="CN379" s="121">
        <f t="shared" si="38"/>
        <v>145.01168238321941</v>
      </c>
      <c r="CO379" s="121">
        <f t="shared" si="38"/>
        <v>95.939616266886389</v>
      </c>
      <c r="CP379" s="121">
        <f t="shared" si="38"/>
        <v>103.81431414286295</v>
      </c>
      <c r="CQ379" s="121">
        <f t="shared" si="38"/>
        <v>0</v>
      </c>
      <c r="CR379" s="121">
        <f t="shared" si="38"/>
        <v>67.4347546895345</v>
      </c>
      <c r="CS379" s="121">
        <f t="shared" si="38"/>
        <v>13.114776277542115</v>
      </c>
      <c r="CT379" s="121">
        <f t="shared" si="38"/>
        <v>53.686875343322754</v>
      </c>
      <c r="CU379" s="121">
        <f t="shared" si="38"/>
        <v>165.62374114990234</v>
      </c>
      <c r="CV379" s="121">
        <f t="shared" si="38"/>
        <v>103.01540209452311</v>
      </c>
      <c r="CW379" s="121">
        <f t="shared" si="38"/>
        <v>3.6</v>
      </c>
      <c r="CX379" s="121">
        <f t="shared" si="38"/>
        <v>469.75</v>
      </c>
      <c r="CY379" s="121">
        <f t="shared" si="38"/>
        <v>221.6722516377767</v>
      </c>
      <c r="CZ379" s="121">
        <f t="shared" si="38"/>
        <v>65.195071792602533</v>
      </c>
      <c r="DA379" s="121">
        <f t="shared" si="38"/>
        <v>24.847285588582356</v>
      </c>
      <c r="DB379" s="121">
        <f t="shared" si="38"/>
        <v>45.081424140930174</v>
      </c>
      <c r="DC379" s="121">
        <f t="shared" si="38"/>
        <v>94.463858540852868</v>
      </c>
      <c r="DD379" s="121">
        <f t="shared" si="38"/>
        <v>524.11666666666667</v>
      </c>
      <c r="DE379" s="121">
        <f t="shared" si="38"/>
        <v>199.15</v>
      </c>
      <c r="DF379" s="121">
        <f t="shared" si="38"/>
        <v>540.13204167683921</v>
      </c>
      <c r="DG379" s="121">
        <f t="shared" si="38"/>
        <v>102.6317133585612</v>
      </c>
      <c r="DH379" s="121">
        <f t="shared" si="38"/>
        <v>69.663062413533524</v>
      </c>
      <c r="DI379" s="121">
        <f t="shared" si="38"/>
        <v>44.130857785542808</v>
      </c>
      <c r="DJ379" s="121">
        <f t="shared" si="38"/>
        <v>254.58333333333334</v>
      </c>
      <c r="DK379" s="121">
        <f t="shared" si="38"/>
        <v>149.61030019124348</v>
      </c>
      <c r="DL379" s="121">
        <f t="shared" si="38"/>
        <v>31.040899912516277</v>
      </c>
      <c r="DM379" s="121">
        <f t="shared" si="38"/>
        <v>62.974600028991702</v>
      </c>
      <c r="DN379" s="121">
        <f t="shared" si="38"/>
        <v>54.795666503906247</v>
      </c>
      <c r="DO379" s="121">
        <f t="shared" si="38"/>
        <v>116.8718931833903</v>
      </c>
      <c r="DP379" s="121">
        <f t="shared" si="38"/>
        <v>17.359966818491618</v>
      </c>
      <c r="DQ379" s="121" t="e">
        <f t="shared" si="38"/>
        <v>#DIV/0!</v>
      </c>
      <c r="DR379" s="121">
        <f t="shared" si="38"/>
        <v>67</v>
      </c>
      <c r="DS379" s="121">
        <f t="shared" si="38"/>
        <v>51.578333282470702</v>
      </c>
      <c r="DT379" s="121">
        <f t="shared" si="38"/>
        <v>13.85</v>
      </c>
      <c r="DU379" s="121" t="e">
        <f t="shared" si="38"/>
        <v>#DIV/0!</v>
      </c>
      <c r="DV379" s="121">
        <f t="shared" si="38"/>
        <v>175.21666666666667</v>
      </c>
      <c r="DW379" s="121">
        <f t="shared" si="38"/>
        <v>164.64711583455403</v>
      </c>
      <c r="DX379" s="121">
        <f t="shared" si="38"/>
        <v>12.116666666666667</v>
      </c>
      <c r="DY379" s="121" t="e">
        <f t="shared" si="38"/>
        <v>#DIV/0!</v>
      </c>
      <c r="DZ379" s="121">
        <f t="shared" si="38"/>
        <v>52.716666666666669</v>
      </c>
      <c r="EA379" s="121">
        <f t="shared" si="38"/>
        <v>3</v>
      </c>
      <c r="EB379" s="121">
        <f t="shared" si="38"/>
        <v>0</v>
      </c>
      <c r="EC379" s="121">
        <f t="shared" si="38"/>
        <v>1.1166666666666667</v>
      </c>
      <c r="ED379" s="121">
        <f t="shared" si="38"/>
        <v>708.80999959309895</v>
      </c>
      <c r="EE379" s="129"/>
      <c r="EF379" s="129"/>
      <c r="EG379" s="129"/>
      <c r="EH379" s="3"/>
    </row>
    <row r="380" spans="1:138" x14ac:dyDescent="0.3">
      <c r="A380" s="160" t="s">
        <v>311</v>
      </c>
      <c r="B380" s="121">
        <f>AVERAGEA(B19:B78)</f>
        <v>297.03333333333336</v>
      </c>
      <c r="C380" s="121">
        <f t="shared" ref="C380:BR380" si="39">AVERAGEA(C19:C78)</f>
        <v>55.045866902669268</v>
      </c>
      <c r="D380" s="121">
        <f t="shared" si="39"/>
        <v>102.78044980367025</v>
      </c>
      <c r="E380" s="121">
        <f t="shared" si="39"/>
        <v>20.813116582234702</v>
      </c>
      <c r="F380" s="121">
        <f t="shared" si="39"/>
        <v>12.028423438469568</v>
      </c>
      <c r="G380" s="121">
        <f t="shared" si="39"/>
        <v>21.653949832916261</v>
      </c>
      <c r="H380" s="121">
        <f t="shared" si="39"/>
        <v>353.91666666666669</v>
      </c>
      <c r="I380" s="121">
        <f t="shared" si="39"/>
        <v>321.28333333333336</v>
      </c>
      <c r="J380" s="121">
        <f t="shared" si="39"/>
        <v>73.867216746012375</v>
      </c>
      <c r="K380" s="121">
        <f t="shared" si="39"/>
        <v>64.558111127217614</v>
      </c>
      <c r="L380" s="121">
        <f t="shared" si="39"/>
        <v>50.928600056966147</v>
      </c>
      <c r="M380" s="121">
        <f t="shared" si="39"/>
        <v>14.909533357620239</v>
      </c>
      <c r="N380" s="121">
        <f t="shared" si="39"/>
        <v>17.08706692059835</v>
      </c>
      <c r="O380" s="121">
        <f t="shared" si="39"/>
        <v>19.3</v>
      </c>
      <c r="P380" s="121">
        <f t="shared" si="39"/>
        <v>0</v>
      </c>
      <c r="Q380" s="121">
        <f t="shared" si="39"/>
        <v>19.825872325897215</v>
      </c>
      <c r="R380" s="121">
        <f t="shared" si="39"/>
        <v>26.3</v>
      </c>
      <c r="S380" s="121">
        <f t="shared" si="39"/>
        <v>27.331184418996177</v>
      </c>
      <c r="T380" s="121">
        <f t="shared" si="39"/>
        <v>4.7833333333333332</v>
      </c>
      <c r="U380" s="121">
        <f t="shared" si="39"/>
        <v>4.7833333333333332</v>
      </c>
      <c r="V380" s="121">
        <f t="shared" si="39"/>
        <v>1153.2</v>
      </c>
      <c r="W380" s="121">
        <f t="shared" si="39"/>
        <v>36.753121248881023</v>
      </c>
      <c r="X380" s="121">
        <f t="shared" si="39"/>
        <v>38.045450083414714</v>
      </c>
      <c r="Y380" s="121">
        <f t="shared" si="39"/>
        <v>9.6226834138234452</v>
      </c>
      <c r="Z380" s="121">
        <f t="shared" si="39"/>
        <v>0</v>
      </c>
      <c r="AA380" s="121">
        <f t="shared" si="39"/>
        <v>30.5056001663208</v>
      </c>
      <c r="AB380" s="121">
        <f t="shared" si="39"/>
        <v>0</v>
      </c>
      <c r="AC380" s="121">
        <f t="shared" si="39"/>
        <v>64.829708544413251</v>
      </c>
      <c r="AD380" s="121">
        <f t="shared" si="39"/>
        <v>6.0516833225886026</v>
      </c>
      <c r="AE380" s="121">
        <f t="shared" si="39"/>
        <v>2.52814253171285E-2</v>
      </c>
      <c r="AF380" s="121">
        <f t="shared" si="39"/>
        <v>96.554715347290042</v>
      </c>
      <c r="AG380" s="121">
        <f t="shared" si="39"/>
        <v>0</v>
      </c>
      <c r="AH380" s="121">
        <f t="shared" si="39"/>
        <v>79.416772206624344</v>
      </c>
      <c r="AI380" s="121">
        <f t="shared" si="39"/>
        <v>21.810699939727783</v>
      </c>
      <c r="AJ380" s="121">
        <f t="shared" si="39"/>
        <v>32.150088310241699</v>
      </c>
      <c r="AK380" s="121">
        <f t="shared" si="39"/>
        <v>50.966603978474936</v>
      </c>
      <c r="AL380" s="121">
        <f t="shared" si="39"/>
        <v>59.313750012715658</v>
      </c>
      <c r="AM380" s="121">
        <f t="shared" si="39"/>
        <v>58.614300346374513</v>
      </c>
      <c r="AN380" s="121">
        <f t="shared" si="39"/>
        <v>156.50312500000001</v>
      </c>
      <c r="AO380" s="121">
        <f t="shared" si="39"/>
        <v>85.4</v>
      </c>
      <c r="AP380" s="121">
        <f t="shared" si="39"/>
        <v>82.780823898315433</v>
      </c>
      <c r="AQ380" s="121">
        <f t="shared" si="39"/>
        <v>54.164478556315103</v>
      </c>
      <c r="AR380" s="121">
        <f t="shared" si="39"/>
        <v>116.43333333333334</v>
      </c>
      <c r="AS380" s="121" t="e">
        <f t="shared" si="39"/>
        <v>#DIV/0!</v>
      </c>
      <c r="AT380" s="121">
        <f t="shared" si="39"/>
        <v>120.71666666666667</v>
      </c>
      <c r="AU380" s="121" t="e">
        <f t="shared" si="39"/>
        <v>#DIV/0!</v>
      </c>
      <c r="AV380" s="121">
        <f t="shared" si="39"/>
        <v>90.933333333333337</v>
      </c>
      <c r="AW380" s="121" t="e">
        <f t="shared" si="39"/>
        <v>#DIV/0!</v>
      </c>
      <c r="AX380" s="121">
        <f t="shared" si="39"/>
        <v>35.200000000000003</v>
      </c>
      <c r="AY380" s="121">
        <f t="shared" si="39"/>
        <v>37.261830902099611</v>
      </c>
      <c r="AZ380" s="121">
        <f t="shared" si="39"/>
        <v>25.533333333333335</v>
      </c>
      <c r="BA380" s="121" t="e">
        <f t="shared" si="39"/>
        <v>#DIV/0!</v>
      </c>
      <c r="BB380" s="121">
        <f t="shared" si="39"/>
        <v>218.36666666666667</v>
      </c>
      <c r="BC380" s="121">
        <f t="shared" si="39"/>
        <v>224.16173731486003</v>
      </c>
      <c r="BD380" s="121">
        <f t="shared" si="39"/>
        <v>7.3466667016347253</v>
      </c>
      <c r="BE380" s="121">
        <f t="shared" si="39"/>
        <v>7.3785458485285442</v>
      </c>
      <c r="BF380" s="121">
        <f t="shared" si="39"/>
        <v>30.4</v>
      </c>
      <c r="BG380" s="121">
        <f t="shared" si="39"/>
        <v>11.6</v>
      </c>
      <c r="BH380" s="121">
        <f t="shared" si="39"/>
        <v>12.41124800046285</v>
      </c>
      <c r="BI380" s="121" t="e">
        <f t="shared" si="39"/>
        <v>#DIV/0!</v>
      </c>
      <c r="BJ380" s="121">
        <f t="shared" si="39"/>
        <v>17.633333333333333</v>
      </c>
      <c r="BK380" s="121">
        <f t="shared" si="39"/>
        <v>17.633333333333333</v>
      </c>
      <c r="BL380" s="121">
        <f t="shared" si="39"/>
        <v>0</v>
      </c>
      <c r="BM380" s="121" t="e">
        <f t="shared" si="39"/>
        <v>#DIV/0!</v>
      </c>
      <c r="BN380" s="121">
        <f t="shared" si="39"/>
        <v>122.86833356221517</v>
      </c>
      <c r="BO380" s="121">
        <f t="shared" si="39"/>
        <v>74.63333333333334</v>
      </c>
      <c r="BP380" s="121">
        <f t="shared" si="39"/>
        <v>48.235000228881837</v>
      </c>
      <c r="BQ380" s="121">
        <f t="shared" si="39"/>
        <v>326.11666666666667</v>
      </c>
      <c r="BR380" s="121">
        <f t="shared" si="39"/>
        <v>99.489383697509766</v>
      </c>
      <c r="BS380" s="121">
        <f t="shared" ref="BS380:ED380" si="40">AVERAGEA(BS19:BS78)</f>
        <v>26.909566593170165</v>
      </c>
      <c r="BT380" s="121">
        <f t="shared" si="40"/>
        <v>49.592549896240236</v>
      </c>
      <c r="BU380" s="121">
        <f t="shared" si="40"/>
        <v>47.489766629536945</v>
      </c>
      <c r="BV380" s="121">
        <f t="shared" si="40"/>
        <v>68.996666590372726</v>
      </c>
      <c r="BW380" s="121">
        <f t="shared" si="40"/>
        <v>7.0633333126703901</v>
      </c>
      <c r="BX380" s="121">
        <f t="shared" si="40"/>
        <v>13.793333307902019</v>
      </c>
      <c r="BY380" s="121">
        <f t="shared" si="40"/>
        <v>28.716666666666665</v>
      </c>
      <c r="BZ380" s="121">
        <f t="shared" si="40"/>
        <v>1.4233842445537447E-2</v>
      </c>
      <c r="CA380" s="121">
        <f t="shared" si="40"/>
        <v>0.15</v>
      </c>
      <c r="CB380" s="121">
        <f t="shared" si="40"/>
        <v>29.481752363840737</v>
      </c>
      <c r="CC380" s="121" t="e">
        <f t="shared" si="40"/>
        <v>#DIV/0!</v>
      </c>
      <c r="CD380" s="121">
        <f t="shared" si="40"/>
        <v>443.86950531005857</v>
      </c>
      <c r="CE380" s="121">
        <f t="shared" si="40"/>
        <v>88.01949405670166</v>
      </c>
      <c r="CF380" s="121">
        <f t="shared" si="40"/>
        <v>32.095343049367266</v>
      </c>
      <c r="CG380" s="121">
        <f t="shared" si="40"/>
        <v>35.338191986083984</v>
      </c>
      <c r="CH380" s="121">
        <f t="shared" si="40"/>
        <v>303.29903208414714</v>
      </c>
      <c r="CI380" s="121">
        <f t="shared" si="40"/>
        <v>113.34312909444174</v>
      </c>
      <c r="CJ380" s="121">
        <f t="shared" si="40"/>
        <v>54.790839195251465</v>
      </c>
      <c r="CK380" s="121">
        <f t="shared" si="40"/>
        <v>62.446385637919107</v>
      </c>
      <c r="CL380" s="121">
        <f t="shared" si="40"/>
        <v>47.588977622985837</v>
      </c>
      <c r="CM380" s="121">
        <f t="shared" si="40"/>
        <v>341.35745773315432</v>
      </c>
      <c r="CN380" s="121">
        <f t="shared" si="40"/>
        <v>141.41916313171387</v>
      </c>
      <c r="CO380" s="121">
        <f t="shared" si="40"/>
        <v>94.601044082641607</v>
      </c>
      <c r="CP380" s="121">
        <f t="shared" si="40"/>
        <v>100.30693791707357</v>
      </c>
      <c r="CQ380" s="121">
        <f t="shared" si="40"/>
        <v>0</v>
      </c>
      <c r="CR380" s="121">
        <f t="shared" si="40"/>
        <v>66.43465417226156</v>
      </c>
      <c r="CS380" s="121">
        <f t="shared" si="40"/>
        <v>12.825716177622477</v>
      </c>
      <c r="CT380" s="121">
        <f t="shared" si="40"/>
        <v>53.019189961751302</v>
      </c>
      <c r="CU380" s="121">
        <f t="shared" si="40"/>
        <v>146.80842348734538</v>
      </c>
      <c r="CV380" s="121">
        <f t="shared" si="40"/>
        <v>100.21908582051596</v>
      </c>
      <c r="CW380" s="121">
        <f t="shared" si="40"/>
        <v>3.5666666666666669</v>
      </c>
      <c r="CX380" s="121">
        <f t="shared" si="40"/>
        <v>463.81666666666666</v>
      </c>
      <c r="CY380" s="121">
        <f t="shared" si="40"/>
        <v>219.13619766235351</v>
      </c>
      <c r="CZ380" s="121">
        <f t="shared" si="40"/>
        <v>64.469052696228033</v>
      </c>
      <c r="DA380" s="121">
        <f t="shared" si="40"/>
        <v>23.979346084594727</v>
      </c>
      <c r="DB380" s="121">
        <f t="shared" si="40"/>
        <v>44.32990525563558</v>
      </c>
      <c r="DC380" s="121">
        <f t="shared" si="40"/>
        <v>93.472997792561856</v>
      </c>
      <c r="DD380" s="121">
        <f t="shared" si="40"/>
        <v>530.4</v>
      </c>
      <c r="DE380" s="121">
        <f t="shared" si="40"/>
        <v>199.31666666666666</v>
      </c>
      <c r="DF380" s="121">
        <f t="shared" si="40"/>
        <v>548.21533063252764</v>
      </c>
      <c r="DG380" s="121">
        <f t="shared" si="40"/>
        <v>100.57397448221842</v>
      </c>
      <c r="DH380" s="121">
        <f t="shared" si="40"/>
        <v>68.089113744099933</v>
      </c>
      <c r="DI380" s="121">
        <f t="shared" si="40"/>
        <v>43.536962191263832</v>
      </c>
      <c r="DJ380" s="121">
        <f t="shared" si="40"/>
        <v>252.6</v>
      </c>
      <c r="DK380" s="121">
        <f t="shared" si="40"/>
        <v>147.95626703898111</v>
      </c>
      <c r="DL380" s="121">
        <f t="shared" si="40"/>
        <v>30.801516532897949</v>
      </c>
      <c r="DM380" s="121">
        <f t="shared" si="40"/>
        <v>62.338450050354005</v>
      </c>
      <c r="DN380" s="121">
        <f t="shared" si="40"/>
        <v>54.345016479492188</v>
      </c>
      <c r="DO380" s="121">
        <f t="shared" si="40"/>
        <v>116.24563624064128</v>
      </c>
      <c r="DP380" s="121">
        <f t="shared" si="40"/>
        <v>17.370783456166585</v>
      </c>
      <c r="DQ380" s="121" t="e">
        <f t="shared" si="40"/>
        <v>#DIV/0!</v>
      </c>
      <c r="DR380" s="121">
        <f t="shared" si="40"/>
        <v>67</v>
      </c>
      <c r="DS380" s="121">
        <f t="shared" si="40"/>
        <v>51.264999961853029</v>
      </c>
      <c r="DT380" s="121">
        <f t="shared" si="40"/>
        <v>13.783333333333333</v>
      </c>
      <c r="DU380" s="121" t="e">
        <f t="shared" si="40"/>
        <v>#DIV/0!</v>
      </c>
      <c r="DV380" s="121">
        <f t="shared" si="40"/>
        <v>174.73333333333332</v>
      </c>
      <c r="DW380" s="121">
        <f t="shared" si="40"/>
        <v>164.58199081420898</v>
      </c>
      <c r="DX380" s="121">
        <f t="shared" si="40"/>
        <v>11.883333333333333</v>
      </c>
      <c r="DY380" s="121" t="e">
        <f t="shared" si="40"/>
        <v>#DIV/0!</v>
      </c>
      <c r="DZ380" s="121">
        <f t="shared" si="40"/>
        <v>52.15</v>
      </c>
      <c r="EA380" s="121">
        <f t="shared" si="40"/>
        <v>3</v>
      </c>
      <c r="EB380" s="121">
        <f t="shared" si="40"/>
        <v>0</v>
      </c>
      <c r="EC380" s="121">
        <f t="shared" si="40"/>
        <v>1.1166666666666667</v>
      </c>
      <c r="ED380" s="121">
        <f t="shared" si="40"/>
        <v>711.98999938964846</v>
      </c>
      <c r="EE380" s="129"/>
      <c r="EF380" s="129"/>
      <c r="EG380" s="129"/>
      <c r="EH380" s="3"/>
    </row>
    <row r="381" spans="1:138" x14ac:dyDescent="0.3">
      <c r="A381" s="5" t="s">
        <v>312</v>
      </c>
      <c r="B381" s="121">
        <f>AVERAGEA(B24:B83)</f>
        <v>295</v>
      </c>
      <c r="C381" s="121">
        <f t="shared" ref="C381:BR381" si="41">AVERAGEA(C24:C83)</f>
        <v>54.706566874186201</v>
      </c>
      <c r="D381" s="121">
        <f t="shared" si="41"/>
        <v>102.45246645609538</v>
      </c>
      <c r="E381" s="121">
        <f t="shared" si="41"/>
        <v>20.656666596730549</v>
      </c>
      <c r="F381" s="121">
        <f t="shared" si="41"/>
        <v>14.520025459925334</v>
      </c>
      <c r="G381" s="121">
        <f t="shared" si="41"/>
        <v>21.348583157857259</v>
      </c>
      <c r="H381" s="121">
        <f t="shared" si="41"/>
        <v>352.73333333333335</v>
      </c>
      <c r="I381" s="121">
        <f t="shared" si="41"/>
        <v>320.23333333333335</v>
      </c>
      <c r="J381" s="121">
        <f t="shared" si="41"/>
        <v>73.051000213623041</v>
      </c>
      <c r="K381" s="121">
        <f t="shared" si="41"/>
        <v>64.782183265686029</v>
      </c>
      <c r="L381" s="121">
        <f t="shared" si="41"/>
        <v>50.569283358256023</v>
      </c>
      <c r="M381" s="121">
        <f t="shared" si="41"/>
        <v>14.753083324432373</v>
      </c>
      <c r="N381" s="121">
        <f t="shared" si="41"/>
        <v>17.097666931152343</v>
      </c>
      <c r="O381" s="121">
        <f t="shared" si="41"/>
        <v>19.066666666666666</v>
      </c>
      <c r="P381" s="121">
        <f t="shared" si="41"/>
        <v>0</v>
      </c>
      <c r="Q381" s="121">
        <f t="shared" si="41"/>
        <v>19.607447115580239</v>
      </c>
      <c r="R381" s="121">
        <f t="shared" si="41"/>
        <v>25.616718737284341</v>
      </c>
      <c r="S381" s="121">
        <f t="shared" si="41"/>
        <v>26.594187704722085</v>
      </c>
      <c r="T381" s="121">
        <f t="shared" si="41"/>
        <v>5.5333333333333332</v>
      </c>
      <c r="U381" s="121">
        <f t="shared" si="41"/>
        <v>5.5333333333333332</v>
      </c>
      <c r="V381" s="121">
        <f t="shared" si="41"/>
        <v>1136.0333333333333</v>
      </c>
      <c r="W381" s="121">
        <f t="shared" si="41"/>
        <v>36.224132474263506</v>
      </c>
      <c r="X381" s="121">
        <f t="shared" si="41"/>
        <v>37.692966779073082</v>
      </c>
      <c r="Y381" s="121">
        <f t="shared" si="41"/>
        <v>9.4784834384918213</v>
      </c>
      <c r="Z381" s="121">
        <f t="shared" si="41"/>
        <v>0</v>
      </c>
      <c r="AA381" s="121">
        <f t="shared" si="41"/>
        <v>30.138033421834312</v>
      </c>
      <c r="AB381" s="121">
        <f t="shared" si="41"/>
        <v>0</v>
      </c>
      <c r="AC381" s="121">
        <f t="shared" si="41"/>
        <v>64.254925473531088</v>
      </c>
      <c r="AD381" s="121">
        <f t="shared" si="41"/>
        <v>6.0644166469573975</v>
      </c>
      <c r="AE381" s="121">
        <f t="shared" si="41"/>
        <v>2.52814253171285E-2</v>
      </c>
      <c r="AF381" s="121">
        <f t="shared" si="41"/>
        <v>95.884849675496426</v>
      </c>
      <c r="AG381" s="121">
        <f t="shared" si="41"/>
        <v>0</v>
      </c>
      <c r="AH381" s="121">
        <f t="shared" si="41"/>
        <v>78.288790766398108</v>
      </c>
      <c r="AI381" s="121">
        <f t="shared" si="41"/>
        <v>21.079083251953126</v>
      </c>
      <c r="AJ381" s="121">
        <f t="shared" si="41"/>
        <v>31.299918905893961</v>
      </c>
      <c r="AK381" s="121">
        <f t="shared" si="41"/>
        <v>50.651938629150393</v>
      </c>
      <c r="AL381" s="121">
        <f t="shared" si="41"/>
        <v>59.072233390808108</v>
      </c>
      <c r="AM381" s="121">
        <f t="shared" si="41"/>
        <v>58.471166928609215</v>
      </c>
      <c r="AN381" s="121">
        <f t="shared" si="41"/>
        <v>153.89895833333333</v>
      </c>
      <c r="AO381" s="121">
        <f t="shared" si="41"/>
        <v>83.85</v>
      </c>
      <c r="AP381" s="121">
        <f t="shared" si="41"/>
        <v>81.419177246093753</v>
      </c>
      <c r="AQ381" s="121">
        <f t="shared" si="41"/>
        <v>53.021978569030765</v>
      </c>
      <c r="AR381" s="121">
        <f t="shared" si="41"/>
        <v>115.56666666666666</v>
      </c>
      <c r="AS381" s="121" t="e">
        <f t="shared" si="41"/>
        <v>#DIV/0!</v>
      </c>
      <c r="AT381" s="121">
        <f t="shared" si="41"/>
        <v>121.11666666666666</v>
      </c>
      <c r="AU381" s="121" t="e">
        <f t="shared" si="41"/>
        <v>#DIV/0!</v>
      </c>
      <c r="AV381" s="121">
        <f t="shared" si="41"/>
        <v>91.283333333333331</v>
      </c>
      <c r="AW381" s="121" t="e">
        <f t="shared" si="41"/>
        <v>#DIV/0!</v>
      </c>
      <c r="AX381" s="121">
        <f t="shared" si="41"/>
        <v>35.083333333333336</v>
      </c>
      <c r="AY381" s="121">
        <f t="shared" si="41"/>
        <v>37.130206553141278</v>
      </c>
      <c r="AZ381" s="121">
        <f t="shared" si="41"/>
        <v>24.683333333333334</v>
      </c>
      <c r="BA381" s="121" t="e">
        <f t="shared" si="41"/>
        <v>#DIV/0!</v>
      </c>
      <c r="BB381" s="121">
        <f t="shared" si="41"/>
        <v>226.63333333333333</v>
      </c>
      <c r="BC381" s="121">
        <f t="shared" si="41"/>
        <v>232.13845062255859</v>
      </c>
      <c r="BD381" s="121">
        <f t="shared" si="41"/>
        <v>7.330000019073486</v>
      </c>
      <c r="BE381" s="121">
        <f t="shared" si="41"/>
        <v>7.355752452214559</v>
      </c>
      <c r="BF381" s="121">
        <f t="shared" si="41"/>
        <v>30.333333333333332</v>
      </c>
      <c r="BG381" s="121">
        <f t="shared" si="41"/>
        <v>11.516666666666667</v>
      </c>
      <c r="BH381" s="121">
        <f t="shared" si="41"/>
        <v>12.324178679784138</v>
      </c>
      <c r="BI381" s="121" t="e">
        <f t="shared" si="41"/>
        <v>#DIV/0!</v>
      </c>
      <c r="BJ381" s="121">
        <f t="shared" si="41"/>
        <v>17.333333333333332</v>
      </c>
      <c r="BK381" s="121">
        <f t="shared" si="41"/>
        <v>17.333333333333332</v>
      </c>
      <c r="BL381" s="121">
        <f t="shared" si="41"/>
        <v>0</v>
      </c>
      <c r="BM381" s="121" t="e">
        <f t="shared" si="41"/>
        <v>#DIV/0!</v>
      </c>
      <c r="BN381" s="121">
        <f t="shared" si="41"/>
        <v>122.80166689554851</v>
      </c>
      <c r="BO381" s="121">
        <f t="shared" si="41"/>
        <v>74.566666666666663</v>
      </c>
      <c r="BP381" s="121">
        <f t="shared" si="41"/>
        <v>48.235000228881837</v>
      </c>
      <c r="BQ381" s="121">
        <f t="shared" si="41"/>
        <v>322.16666666666669</v>
      </c>
      <c r="BR381" s="121">
        <f t="shared" si="41"/>
        <v>97.598767089843747</v>
      </c>
      <c r="BS381" s="121">
        <f t="shared" ref="BS381:ED381" si="42">AVERAGEA(BS24:BS83)</f>
        <v>26.659349918365479</v>
      </c>
      <c r="BT381" s="121">
        <f t="shared" si="42"/>
        <v>48.882499885559085</v>
      </c>
      <c r="BU381" s="121">
        <f t="shared" si="42"/>
        <v>46.780433336893715</v>
      </c>
      <c r="BV381" s="121">
        <f t="shared" si="42"/>
        <v>69.011666615804032</v>
      </c>
      <c r="BW381" s="121">
        <f t="shared" si="42"/>
        <v>7.008333317438761</v>
      </c>
      <c r="BX381" s="121">
        <f t="shared" si="42"/>
        <v>13.766666682561238</v>
      </c>
      <c r="BY381" s="121">
        <f t="shared" si="42"/>
        <v>28.6</v>
      </c>
      <c r="BZ381" s="121">
        <f t="shared" si="42"/>
        <v>1.4120697835460305E-2</v>
      </c>
      <c r="CA381" s="121">
        <f t="shared" si="42"/>
        <v>0.13333333333333333</v>
      </c>
      <c r="CB381" s="121">
        <f t="shared" si="42"/>
        <v>29.434099642435708</v>
      </c>
      <c r="CC381" s="121" t="e">
        <f t="shared" si="42"/>
        <v>#DIV/0!</v>
      </c>
      <c r="CD381" s="121">
        <f t="shared" si="42"/>
        <v>439.49747263590496</v>
      </c>
      <c r="CE381" s="121">
        <f t="shared" si="42"/>
        <v>84.394978014628094</v>
      </c>
      <c r="CF381" s="121">
        <f t="shared" si="42"/>
        <v>31.627179527282713</v>
      </c>
      <c r="CG381" s="121">
        <f t="shared" si="42"/>
        <v>35.338191986083984</v>
      </c>
      <c r="CH381" s="121">
        <f t="shared" si="42"/>
        <v>303.22787068684897</v>
      </c>
      <c r="CI381" s="121">
        <f t="shared" si="42"/>
        <v>112.47416636149089</v>
      </c>
      <c r="CJ381" s="121">
        <f t="shared" si="42"/>
        <v>54.479535992940264</v>
      </c>
      <c r="CK381" s="121">
        <f t="shared" si="42"/>
        <v>62.017672093709308</v>
      </c>
      <c r="CL381" s="121">
        <f t="shared" si="42"/>
        <v>46.567192204793294</v>
      </c>
      <c r="CM381" s="121">
        <f t="shared" si="42"/>
        <v>331.19941431681315</v>
      </c>
      <c r="CN381" s="121">
        <f t="shared" si="42"/>
        <v>135.58673871358235</v>
      </c>
      <c r="CO381" s="121">
        <f t="shared" si="42"/>
        <v>93.275779088338211</v>
      </c>
      <c r="CP381" s="121">
        <f t="shared" si="42"/>
        <v>97.367834854125974</v>
      </c>
      <c r="CQ381" s="121">
        <f t="shared" si="42"/>
        <v>0</v>
      </c>
      <c r="CR381" s="121">
        <f t="shared" si="42"/>
        <v>65.734210586547846</v>
      </c>
      <c r="CS381" s="121">
        <f t="shared" si="42"/>
        <v>12.477883132298787</v>
      </c>
      <c r="CT381" s="121">
        <f t="shared" si="42"/>
        <v>52.333953221639</v>
      </c>
      <c r="CU381" s="121">
        <f t="shared" si="42"/>
        <v>130.70493049621581</v>
      </c>
      <c r="CV381" s="121">
        <f t="shared" si="42"/>
        <v>97.571876398722324</v>
      </c>
      <c r="CW381" s="121">
        <f t="shared" si="42"/>
        <v>3.5833333333333335</v>
      </c>
      <c r="CX381" s="121">
        <f t="shared" si="42"/>
        <v>458.68333333333334</v>
      </c>
      <c r="CY381" s="121">
        <f t="shared" si="42"/>
        <v>216.67724278767903</v>
      </c>
      <c r="CZ381" s="121">
        <f t="shared" si="42"/>
        <v>63.622844123840331</v>
      </c>
      <c r="DA381" s="121">
        <f t="shared" si="42"/>
        <v>23.357887808481852</v>
      </c>
      <c r="DB381" s="121">
        <f t="shared" si="42"/>
        <v>43.640230242411299</v>
      </c>
      <c r="DC381" s="121">
        <f t="shared" si="42"/>
        <v>92.777510579427087</v>
      </c>
      <c r="DD381" s="121">
        <f t="shared" si="42"/>
        <v>525.85</v>
      </c>
      <c r="DE381" s="121">
        <f t="shared" si="42"/>
        <v>199.16666666666666</v>
      </c>
      <c r="DF381" s="121">
        <f t="shared" si="42"/>
        <v>545.58803240458167</v>
      </c>
      <c r="DG381" s="121">
        <f t="shared" si="42"/>
        <v>98.915173848470047</v>
      </c>
      <c r="DH381" s="121">
        <f t="shared" si="42"/>
        <v>67.363167635599766</v>
      </c>
      <c r="DI381" s="121">
        <f t="shared" si="42"/>
        <v>42.996730740865068</v>
      </c>
      <c r="DJ381" s="121">
        <f t="shared" si="42"/>
        <v>250.98333333333332</v>
      </c>
      <c r="DK381" s="121">
        <f t="shared" si="42"/>
        <v>146.60756683349609</v>
      </c>
      <c r="DL381" s="121">
        <f t="shared" si="42"/>
        <v>30.347266515096027</v>
      </c>
      <c r="DM381" s="121">
        <f t="shared" si="42"/>
        <v>61.711100069681805</v>
      </c>
      <c r="DN381" s="121">
        <f t="shared" si="42"/>
        <v>54.118233108520506</v>
      </c>
      <c r="DO381" s="121">
        <f t="shared" si="42"/>
        <v>115.89049555460612</v>
      </c>
      <c r="DP381" s="121">
        <f t="shared" si="42"/>
        <v>17.310950056711832</v>
      </c>
      <c r="DQ381" s="121" t="e">
        <f t="shared" si="42"/>
        <v>#DIV/0!</v>
      </c>
      <c r="DR381" s="121">
        <f t="shared" si="42"/>
        <v>67</v>
      </c>
      <c r="DS381" s="121">
        <f t="shared" si="42"/>
        <v>50.773333295186362</v>
      </c>
      <c r="DT381" s="121">
        <f t="shared" si="42"/>
        <v>13.666666666666666</v>
      </c>
      <c r="DU381" s="121" t="e">
        <f t="shared" si="42"/>
        <v>#DIV/0!</v>
      </c>
      <c r="DV381" s="121">
        <f t="shared" si="42"/>
        <v>174.41666666666666</v>
      </c>
      <c r="DW381" s="121">
        <f t="shared" si="42"/>
        <v>164.59990514119465</v>
      </c>
      <c r="DX381" s="121">
        <f t="shared" si="42"/>
        <v>11.716666666666667</v>
      </c>
      <c r="DY381" s="121" t="e">
        <f t="shared" si="42"/>
        <v>#DIV/0!</v>
      </c>
      <c r="DZ381" s="121">
        <f t="shared" si="42"/>
        <v>51.56666666666667</v>
      </c>
      <c r="EA381" s="121">
        <f t="shared" si="42"/>
        <v>3</v>
      </c>
      <c r="EB381" s="121">
        <f t="shared" si="42"/>
        <v>0</v>
      </c>
      <c r="EC381" s="121">
        <f t="shared" si="42"/>
        <v>1.1333333333333333</v>
      </c>
      <c r="ED381" s="121">
        <f t="shared" si="42"/>
        <v>706.86499989827473</v>
      </c>
      <c r="EE381" s="129"/>
      <c r="EF381" s="129"/>
      <c r="EG381" s="129"/>
      <c r="EH381" s="3"/>
    </row>
    <row r="382" spans="1:138" x14ac:dyDescent="0.3">
      <c r="A382" s="5" t="s">
        <v>313</v>
      </c>
      <c r="B382" s="121">
        <f>AVERAGEA(B29:B88)</f>
        <v>292.89999999999998</v>
      </c>
      <c r="C382" s="121">
        <f t="shared" ref="C382:BR382" si="43">AVERAGEA(C29:C88)</f>
        <v>54.491666857401533</v>
      </c>
      <c r="D382" s="121">
        <f t="shared" si="43"/>
        <v>102.10756632486979</v>
      </c>
      <c r="E382" s="121">
        <f t="shared" si="43"/>
        <v>20.389000002543131</v>
      </c>
      <c r="F382" s="121">
        <f t="shared" si="43"/>
        <v>17.181068293253581</v>
      </c>
      <c r="G382" s="121">
        <f t="shared" si="43"/>
        <v>21.018699868520102</v>
      </c>
      <c r="H382" s="121">
        <f t="shared" si="43"/>
        <v>350.33333333333331</v>
      </c>
      <c r="I382" s="121">
        <f t="shared" si="43"/>
        <v>317.66666666666669</v>
      </c>
      <c r="J382" s="121">
        <f t="shared" si="43"/>
        <v>71.933216794331869</v>
      </c>
      <c r="K382" s="121">
        <f t="shared" si="43"/>
        <v>64.899687767028809</v>
      </c>
      <c r="L382" s="121">
        <f t="shared" si="43"/>
        <v>50.201133410135903</v>
      </c>
      <c r="M382" s="121">
        <f t="shared" si="43"/>
        <v>14.656949996948242</v>
      </c>
      <c r="N382" s="121">
        <f t="shared" si="43"/>
        <v>17.116766897837319</v>
      </c>
      <c r="O382" s="121">
        <f t="shared" si="43"/>
        <v>18.899999999999999</v>
      </c>
      <c r="P382" s="121">
        <f t="shared" si="43"/>
        <v>0</v>
      </c>
      <c r="Q382" s="121">
        <f t="shared" si="43"/>
        <v>19.453960291544597</v>
      </c>
      <c r="R382" s="121">
        <f t="shared" si="43"/>
        <v>24.866562525431316</v>
      </c>
      <c r="S382" s="121">
        <f t="shared" si="43"/>
        <v>25.747661940256755</v>
      </c>
      <c r="T382" s="121">
        <f t="shared" si="43"/>
        <v>5.85</v>
      </c>
      <c r="U382" s="121">
        <f t="shared" si="43"/>
        <v>5.85</v>
      </c>
      <c r="V382" s="121">
        <f t="shared" si="43"/>
        <v>1118.6166666666666</v>
      </c>
      <c r="W382" s="121">
        <f t="shared" si="43"/>
        <v>35.560184319814049</v>
      </c>
      <c r="X382" s="121">
        <f t="shared" si="43"/>
        <v>37.142533493041995</v>
      </c>
      <c r="Y382" s="121">
        <f t="shared" si="43"/>
        <v>9.334250116348267</v>
      </c>
      <c r="Z382" s="121">
        <f t="shared" si="43"/>
        <v>0</v>
      </c>
      <c r="AA382" s="121">
        <f t="shared" si="43"/>
        <v>29.975916735331218</v>
      </c>
      <c r="AB382" s="121">
        <f t="shared" si="43"/>
        <v>0</v>
      </c>
      <c r="AC382" s="121">
        <f t="shared" si="43"/>
        <v>63.793368848164874</v>
      </c>
      <c r="AD382" s="121">
        <f t="shared" si="43"/>
        <v>6.0516833225886026</v>
      </c>
      <c r="AE382" s="121">
        <f t="shared" si="43"/>
        <v>2.52814253171285E-2</v>
      </c>
      <c r="AF382" s="121">
        <f t="shared" si="43"/>
        <v>95.210412724812826</v>
      </c>
      <c r="AG382" s="121">
        <f t="shared" si="43"/>
        <v>0</v>
      </c>
      <c r="AH382" s="121">
        <f t="shared" si="43"/>
        <v>77.381106567382815</v>
      </c>
      <c r="AI382" s="121">
        <f t="shared" si="43"/>
        <v>20.313549931844076</v>
      </c>
      <c r="AJ382" s="121">
        <f t="shared" si="43"/>
        <v>30.127894401550293</v>
      </c>
      <c r="AK382" s="121">
        <f t="shared" si="43"/>
        <v>50.258225504557295</v>
      </c>
      <c r="AL382" s="121">
        <f t="shared" si="43"/>
        <v>58.880783335367838</v>
      </c>
      <c r="AM382" s="121">
        <f t="shared" si="43"/>
        <v>58.331217066446939</v>
      </c>
      <c r="AN382" s="121">
        <f t="shared" si="43"/>
        <v>150.65312499999999</v>
      </c>
      <c r="AO382" s="121">
        <f t="shared" si="43"/>
        <v>82.083333333333329</v>
      </c>
      <c r="AP382" s="121">
        <f t="shared" si="43"/>
        <v>79.892065175374356</v>
      </c>
      <c r="AQ382" s="121">
        <f t="shared" si="43"/>
        <v>51.810079638163252</v>
      </c>
      <c r="AR382" s="121">
        <f t="shared" si="43"/>
        <v>114.88333333333334</v>
      </c>
      <c r="AS382" s="121" t="e">
        <f t="shared" si="43"/>
        <v>#DIV/0!</v>
      </c>
      <c r="AT382" s="121">
        <f t="shared" si="43"/>
        <v>121.56666666666666</v>
      </c>
      <c r="AU382" s="121" t="e">
        <f t="shared" si="43"/>
        <v>#DIV/0!</v>
      </c>
      <c r="AV382" s="121">
        <f t="shared" si="43"/>
        <v>90.36666666666666</v>
      </c>
      <c r="AW382" s="121" t="e">
        <f t="shared" si="43"/>
        <v>#DIV/0!</v>
      </c>
      <c r="AX382" s="121">
        <f t="shared" si="43"/>
        <v>34.766666666666666</v>
      </c>
      <c r="AY382" s="121">
        <f t="shared" si="43"/>
        <v>36.843131510416669</v>
      </c>
      <c r="AZ382" s="121">
        <f t="shared" si="43"/>
        <v>23.966666666666665</v>
      </c>
      <c r="BA382" s="121" t="e">
        <f t="shared" si="43"/>
        <v>#DIV/0!</v>
      </c>
      <c r="BB382" s="121">
        <f t="shared" si="43"/>
        <v>235.13333333333333</v>
      </c>
      <c r="BC382" s="121">
        <f t="shared" si="43"/>
        <v>240.42633438110352</v>
      </c>
      <c r="BD382" s="121">
        <f t="shared" si="43"/>
        <v>7.2816666762034101</v>
      </c>
      <c r="BE382" s="121">
        <f t="shared" si="43"/>
        <v>7.3171408732732139</v>
      </c>
      <c r="BF382" s="121">
        <f t="shared" si="43"/>
        <v>30.2</v>
      </c>
      <c r="BG382" s="121">
        <f t="shared" si="43"/>
        <v>11.416666666666666</v>
      </c>
      <c r="BH382" s="121">
        <f t="shared" si="43"/>
        <v>12.205800151824951</v>
      </c>
      <c r="BI382" s="121" t="e">
        <f t="shared" si="43"/>
        <v>#DIV/0!</v>
      </c>
      <c r="BJ382" s="121">
        <f t="shared" si="43"/>
        <v>17.166666666666668</v>
      </c>
      <c r="BK382" s="121">
        <f t="shared" si="43"/>
        <v>17.166666666666668</v>
      </c>
      <c r="BL382" s="121">
        <f t="shared" si="43"/>
        <v>0</v>
      </c>
      <c r="BM382" s="121" t="e">
        <f t="shared" si="43"/>
        <v>#DIV/0!</v>
      </c>
      <c r="BN382" s="121">
        <f t="shared" si="43"/>
        <v>122.79500020345053</v>
      </c>
      <c r="BO382" s="121">
        <f t="shared" si="43"/>
        <v>74.533333333333331</v>
      </c>
      <c r="BP382" s="121">
        <f t="shared" si="43"/>
        <v>48.261666870117189</v>
      </c>
      <c r="BQ382" s="121">
        <f t="shared" si="43"/>
        <v>318.55</v>
      </c>
      <c r="BR382" s="121">
        <f t="shared" si="43"/>
        <v>95.547950363159174</v>
      </c>
      <c r="BS382" s="121">
        <f t="shared" ref="BS382:ED382" si="44">AVERAGEA(BS29:BS88)</f>
        <v>26.612683296203613</v>
      </c>
      <c r="BT382" s="121">
        <f t="shared" si="44"/>
        <v>48.420683161417642</v>
      </c>
      <c r="BU382" s="121">
        <f t="shared" si="44"/>
        <v>45.967183367411295</v>
      </c>
      <c r="BV382" s="121">
        <f t="shared" si="44"/>
        <v>69.026666641235352</v>
      </c>
      <c r="BW382" s="121">
        <f t="shared" si="44"/>
        <v>6.9483333031336469</v>
      </c>
      <c r="BX382" s="121">
        <f t="shared" si="44"/>
        <v>13.728333346048991</v>
      </c>
      <c r="BY382" s="121">
        <f t="shared" si="44"/>
        <v>28.533333333333335</v>
      </c>
      <c r="BZ382" s="121">
        <f t="shared" si="44"/>
        <v>1.4151071788122256E-2</v>
      </c>
      <c r="CA382" s="121">
        <f t="shared" si="44"/>
        <v>0.11666666666666667</v>
      </c>
      <c r="CB382" s="121">
        <f t="shared" si="44"/>
        <v>29.369242064158122</v>
      </c>
      <c r="CC382" s="121" t="e">
        <f t="shared" si="44"/>
        <v>#DIV/0!</v>
      </c>
      <c r="CD382" s="121">
        <f t="shared" si="44"/>
        <v>434.85209197998046</v>
      </c>
      <c r="CE382" s="121">
        <f t="shared" si="44"/>
        <v>80.628275934855139</v>
      </c>
      <c r="CF382" s="121">
        <f t="shared" si="44"/>
        <v>31.058736006418865</v>
      </c>
      <c r="CG382" s="121">
        <f t="shared" si="44"/>
        <v>35.338191986083984</v>
      </c>
      <c r="CH382" s="121">
        <f t="shared" si="44"/>
        <v>303.13230539957681</v>
      </c>
      <c r="CI382" s="121">
        <f t="shared" si="44"/>
        <v>111.0845506032308</v>
      </c>
      <c r="CJ382" s="121">
        <f t="shared" si="44"/>
        <v>54.057430140177409</v>
      </c>
      <c r="CK382" s="121">
        <f t="shared" si="44"/>
        <v>61.207608286539717</v>
      </c>
      <c r="CL382" s="121">
        <f t="shared" si="44"/>
        <v>45.726821390787762</v>
      </c>
      <c r="CM382" s="121">
        <f t="shared" si="44"/>
        <v>320.67768681844075</v>
      </c>
      <c r="CN382" s="121">
        <f t="shared" si="44"/>
        <v>129.51765009562175</v>
      </c>
      <c r="CO382" s="121">
        <f t="shared" si="44"/>
        <v>91.976433817545569</v>
      </c>
      <c r="CP382" s="121">
        <f t="shared" si="44"/>
        <v>94.11433219909668</v>
      </c>
      <c r="CQ382" s="121">
        <f t="shared" si="44"/>
        <v>0</v>
      </c>
      <c r="CR382" s="121">
        <f t="shared" si="44"/>
        <v>64.865423965454099</v>
      </c>
      <c r="CS382" s="121">
        <f t="shared" si="44"/>
        <v>12.090818198521932</v>
      </c>
      <c r="CT382" s="121">
        <f t="shared" si="44"/>
        <v>51.540673128763835</v>
      </c>
      <c r="CU382" s="121">
        <f t="shared" si="44"/>
        <v>120.08316370646159</v>
      </c>
      <c r="CV382" s="121">
        <f t="shared" si="44"/>
        <v>94.803950881958002</v>
      </c>
      <c r="CW382" s="121">
        <f t="shared" si="44"/>
        <v>3.4</v>
      </c>
      <c r="CX382" s="121">
        <f t="shared" si="44"/>
        <v>453.46666666666664</v>
      </c>
      <c r="CY382" s="121">
        <f t="shared" si="44"/>
        <v>213.98218053181967</v>
      </c>
      <c r="CZ382" s="121">
        <f t="shared" si="44"/>
        <v>62.655665397644043</v>
      </c>
      <c r="DA382" s="121">
        <f t="shared" si="44"/>
        <v>23.126743698120116</v>
      </c>
      <c r="DB382" s="121">
        <f t="shared" si="44"/>
        <v>42.842290051778157</v>
      </c>
      <c r="DC382" s="121">
        <f t="shared" si="44"/>
        <v>92.288470458984378</v>
      </c>
      <c r="DD382" s="121">
        <f t="shared" si="44"/>
        <v>514.45000000000005</v>
      </c>
      <c r="DE382" s="121">
        <f t="shared" si="44"/>
        <v>199.03333333333333</v>
      </c>
      <c r="DF382" s="121">
        <f t="shared" si="44"/>
        <v>536.14444414774573</v>
      </c>
      <c r="DG382" s="121">
        <f t="shared" si="44"/>
        <v>97.770713297526044</v>
      </c>
      <c r="DH382" s="121">
        <f t="shared" si="44"/>
        <v>66.573822021484375</v>
      </c>
      <c r="DI382" s="121">
        <f t="shared" si="44"/>
        <v>42.549413426717123</v>
      </c>
      <c r="DJ382" s="121">
        <f t="shared" si="44"/>
        <v>249.26666666666668</v>
      </c>
      <c r="DK382" s="121">
        <f t="shared" si="44"/>
        <v>145.58125000000001</v>
      </c>
      <c r="DL382" s="121">
        <f t="shared" si="44"/>
        <v>29.996666558583577</v>
      </c>
      <c r="DM382" s="121">
        <f t="shared" si="44"/>
        <v>61.172116724650067</v>
      </c>
      <c r="DN382" s="121">
        <f t="shared" si="44"/>
        <v>54.006316502889</v>
      </c>
      <c r="DO382" s="121">
        <f t="shared" si="44"/>
        <v>115.43956133524577</v>
      </c>
      <c r="DP382" s="121">
        <f t="shared" si="44"/>
        <v>17.199733352661134</v>
      </c>
      <c r="DQ382" s="121" t="e">
        <f t="shared" si="44"/>
        <v>#DIV/0!</v>
      </c>
      <c r="DR382" s="121">
        <f t="shared" si="44"/>
        <v>67</v>
      </c>
      <c r="DS382" s="121">
        <f t="shared" si="44"/>
        <v>49.876666704813637</v>
      </c>
      <c r="DT382" s="121">
        <f t="shared" si="44"/>
        <v>13.516666666666667</v>
      </c>
      <c r="DU382" s="121" t="e">
        <f t="shared" si="44"/>
        <v>#DIV/0!</v>
      </c>
      <c r="DV382" s="121">
        <f t="shared" si="44"/>
        <v>174.05</v>
      </c>
      <c r="DW382" s="121">
        <f t="shared" si="44"/>
        <v>164.54587529500324</v>
      </c>
      <c r="DX382" s="121">
        <f t="shared" si="44"/>
        <v>11.583333333333334</v>
      </c>
      <c r="DY382" s="121" t="e">
        <f t="shared" si="44"/>
        <v>#DIV/0!</v>
      </c>
      <c r="DZ382" s="121">
        <f t="shared" si="44"/>
        <v>51.016666666666666</v>
      </c>
      <c r="EA382" s="121">
        <f t="shared" si="44"/>
        <v>3</v>
      </c>
      <c r="EB382" s="121">
        <f t="shared" si="44"/>
        <v>0</v>
      </c>
      <c r="EC382" s="121">
        <f t="shared" si="44"/>
        <v>1.1000000000000001</v>
      </c>
      <c r="ED382" s="121">
        <f t="shared" si="44"/>
        <v>695.8016667683919</v>
      </c>
      <c r="EE382" s="129"/>
      <c r="EF382" s="129"/>
      <c r="EG382" s="129"/>
      <c r="EH382" s="3"/>
    </row>
    <row r="383" spans="1:138" x14ac:dyDescent="0.3">
      <c r="A383" s="5" t="s">
        <v>314</v>
      </c>
      <c r="B383" s="121">
        <f>AVERAGEA(B34:B93)</f>
        <v>290.60000000000002</v>
      </c>
      <c r="C383" s="121">
        <f t="shared" ref="C383:BR383" si="45">AVERAGEA(C34:C93)</f>
        <v>54.186300150553386</v>
      </c>
      <c r="D383" s="121">
        <f t="shared" si="45"/>
        <v>101.74563293457031</v>
      </c>
      <c r="E383" s="121">
        <f t="shared" si="45"/>
        <v>20.279683367411295</v>
      </c>
      <c r="F383" s="121">
        <f t="shared" si="45"/>
        <v>19.568504478534063</v>
      </c>
      <c r="G383" s="121">
        <f t="shared" si="45"/>
        <v>20.720849895477294</v>
      </c>
      <c r="H383" s="121">
        <f t="shared" si="45"/>
        <v>347.7</v>
      </c>
      <c r="I383" s="121">
        <f t="shared" si="45"/>
        <v>315.18333333333334</v>
      </c>
      <c r="J383" s="121">
        <f t="shared" si="45"/>
        <v>70.981300290425622</v>
      </c>
      <c r="K383" s="121">
        <f t="shared" si="45"/>
        <v>64.981067085266119</v>
      </c>
      <c r="L383" s="121">
        <f t="shared" si="45"/>
        <v>49.921333312988281</v>
      </c>
      <c r="M383" s="121">
        <f t="shared" si="45"/>
        <v>14.547616656621297</v>
      </c>
      <c r="N383" s="121">
        <f t="shared" si="45"/>
        <v>17.109316889444987</v>
      </c>
      <c r="O383" s="121">
        <f t="shared" si="45"/>
        <v>18.850000000000001</v>
      </c>
      <c r="P383" s="121">
        <f t="shared" si="45"/>
        <v>0</v>
      </c>
      <c r="Q383" s="121">
        <f t="shared" si="45"/>
        <v>19.442298603057861</v>
      </c>
      <c r="R383" s="121">
        <f t="shared" si="45"/>
        <v>24.08312505086263</v>
      </c>
      <c r="S383" s="121">
        <f t="shared" si="45"/>
        <v>24.831975809733073</v>
      </c>
      <c r="T383" s="121">
        <f t="shared" si="45"/>
        <v>5.0999999999999996</v>
      </c>
      <c r="U383" s="121">
        <f t="shared" si="45"/>
        <v>5.0999999999999996</v>
      </c>
      <c r="V383" s="121">
        <f t="shared" si="45"/>
        <v>1100.9000000000001</v>
      </c>
      <c r="W383" s="121">
        <f t="shared" si="45"/>
        <v>35.071217695871987</v>
      </c>
      <c r="X383" s="121">
        <f t="shared" si="45"/>
        <v>36.610983467102052</v>
      </c>
      <c r="Y383" s="121">
        <f t="shared" si="45"/>
        <v>9.0956667820612598</v>
      </c>
      <c r="Z383" s="121">
        <f t="shared" si="45"/>
        <v>0</v>
      </c>
      <c r="AA383" s="121">
        <f t="shared" si="45"/>
        <v>29.811916732788085</v>
      </c>
      <c r="AB383" s="121">
        <f t="shared" si="45"/>
        <v>0</v>
      </c>
      <c r="AC383" s="121">
        <f t="shared" si="45"/>
        <v>63.303724988301596</v>
      </c>
      <c r="AD383" s="121">
        <f t="shared" si="45"/>
        <v>6.0474166711171469</v>
      </c>
      <c r="AE383" s="121">
        <f t="shared" si="45"/>
        <v>2.52814253171285E-2</v>
      </c>
      <c r="AF383" s="121">
        <f t="shared" si="45"/>
        <v>94.360478719075516</v>
      </c>
      <c r="AG383" s="121">
        <f t="shared" si="45"/>
        <v>0</v>
      </c>
      <c r="AH383" s="121">
        <f t="shared" si="45"/>
        <v>76.268413798014322</v>
      </c>
      <c r="AI383" s="121">
        <f t="shared" si="45"/>
        <v>19.623299916585285</v>
      </c>
      <c r="AJ383" s="121">
        <f t="shared" si="45"/>
        <v>29.262256463368733</v>
      </c>
      <c r="AK383" s="121">
        <f t="shared" si="45"/>
        <v>49.88270041147868</v>
      </c>
      <c r="AL383" s="121">
        <f t="shared" si="45"/>
        <v>58.547966766357419</v>
      </c>
      <c r="AM383" s="121">
        <f t="shared" si="45"/>
        <v>58.154150327046715</v>
      </c>
      <c r="AN383" s="121">
        <f t="shared" si="45"/>
        <v>147.93437499999999</v>
      </c>
      <c r="AO383" s="121">
        <f t="shared" si="45"/>
        <v>80.36666666666666</v>
      </c>
      <c r="AP383" s="121">
        <f t="shared" si="45"/>
        <v>78.519314193725592</v>
      </c>
      <c r="AQ383" s="121">
        <f t="shared" si="45"/>
        <v>50.625141398111978</v>
      </c>
      <c r="AR383" s="121">
        <f t="shared" si="45"/>
        <v>110.5</v>
      </c>
      <c r="AS383" s="121" t="e">
        <f t="shared" si="45"/>
        <v>#DIV/0!</v>
      </c>
      <c r="AT383" s="121">
        <f t="shared" si="45"/>
        <v>121.83333333333333</v>
      </c>
      <c r="AU383" s="121" t="e">
        <f t="shared" si="45"/>
        <v>#DIV/0!</v>
      </c>
      <c r="AV383" s="121">
        <f t="shared" si="45"/>
        <v>89.05</v>
      </c>
      <c r="AW383" s="121" t="e">
        <f t="shared" si="45"/>
        <v>#DIV/0!</v>
      </c>
      <c r="AX383" s="121">
        <f t="shared" si="45"/>
        <v>34.483333333333334</v>
      </c>
      <c r="AY383" s="121">
        <f t="shared" si="45"/>
        <v>36.547518157958983</v>
      </c>
      <c r="AZ383" s="121">
        <f t="shared" si="45"/>
        <v>23.35</v>
      </c>
      <c r="BA383" s="121" t="e">
        <f t="shared" si="45"/>
        <v>#DIV/0!</v>
      </c>
      <c r="BB383" s="121">
        <f t="shared" si="45"/>
        <v>243.8</v>
      </c>
      <c r="BC383" s="121">
        <f t="shared" si="45"/>
        <v>248.93745702107748</v>
      </c>
      <c r="BD383" s="121">
        <f t="shared" si="45"/>
        <v>7.2450000047683716</v>
      </c>
      <c r="BE383" s="121">
        <f t="shared" si="45"/>
        <v>7.2825916846593222</v>
      </c>
      <c r="BF383" s="121">
        <f t="shared" si="45"/>
        <v>30.066666666666666</v>
      </c>
      <c r="BG383" s="121">
        <f t="shared" si="45"/>
        <v>11.316666666666666</v>
      </c>
      <c r="BH383" s="121">
        <f t="shared" si="45"/>
        <v>12.084427801767985</v>
      </c>
      <c r="BI383" s="121" t="e">
        <f t="shared" si="45"/>
        <v>#DIV/0!</v>
      </c>
      <c r="BJ383" s="121">
        <f t="shared" si="45"/>
        <v>17.016666666666666</v>
      </c>
      <c r="BK383" s="121">
        <f t="shared" si="45"/>
        <v>17.016666666666666</v>
      </c>
      <c r="BL383" s="121">
        <f t="shared" si="45"/>
        <v>0</v>
      </c>
      <c r="BM383" s="121" t="e">
        <f t="shared" si="45"/>
        <v>#DIV/0!</v>
      </c>
      <c r="BN383" s="121">
        <f t="shared" si="45"/>
        <v>122.78500016530354</v>
      </c>
      <c r="BO383" s="121">
        <f t="shared" si="45"/>
        <v>74.466666666666669</v>
      </c>
      <c r="BP383" s="121">
        <f t="shared" si="45"/>
        <v>48.318333498636882</v>
      </c>
      <c r="BQ383" s="121">
        <f t="shared" si="45"/>
        <v>314.93333333333334</v>
      </c>
      <c r="BR383" s="121">
        <f t="shared" si="45"/>
        <v>94.009816996256504</v>
      </c>
      <c r="BS383" s="121">
        <f t="shared" ref="BS383:ED383" si="46">AVERAGEA(BS34:BS93)</f>
        <v>26.587233289082846</v>
      </c>
      <c r="BT383" s="121">
        <f t="shared" si="46"/>
        <v>47.664449691772461</v>
      </c>
      <c r="BU383" s="121">
        <f t="shared" si="46"/>
        <v>45.420083363850914</v>
      </c>
      <c r="BV383" s="121">
        <f t="shared" si="46"/>
        <v>69.086666615804035</v>
      </c>
      <c r="BW383" s="121">
        <f t="shared" si="46"/>
        <v>6.886666631698608</v>
      </c>
      <c r="BX383" s="121">
        <f t="shared" si="46"/>
        <v>13.716666666666667</v>
      </c>
      <c r="BY383" s="121">
        <f t="shared" si="46"/>
        <v>28.483333333333334</v>
      </c>
      <c r="BZ383" s="121">
        <f t="shared" si="46"/>
        <v>1.0060589656078567</v>
      </c>
      <c r="CA383" s="121">
        <f t="shared" si="46"/>
        <v>1.4</v>
      </c>
      <c r="CB383" s="121">
        <f t="shared" si="46"/>
        <v>29.356905937194824</v>
      </c>
      <c r="CC383" s="121" t="e">
        <f t="shared" si="46"/>
        <v>#DIV/0!</v>
      </c>
      <c r="CD383" s="121">
        <f t="shared" si="46"/>
        <v>430.26001332600913</v>
      </c>
      <c r="CE383" s="121">
        <f t="shared" si="46"/>
        <v>76.711619186401364</v>
      </c>
      <c r="CF383" s="121">
        <f t="shared" si="46"/>
        <v>30.572940254211424</v>
      </c>
      <c r="CG383" s="121">
        <f t="shared" si="46"/>
        <v>35.338191986083984</v>
      </c>
      <c r="CH383" s="121">
        <f t="shared" si="46"/>
        <v>302.96054890950523</v>
      </c>
      <c r="CI383" s="121">
        <f t="shared" si="46"/>
        <v>109.60714950561524</v>
      </c>
      <c r="CJ383" s="121">
        <f t="shared" si="46"/>
        <v>53.297226206461588</v>
      </c>
      <c r="CK383" s="121">
        <f t="shared" si="46"/>
        <v>60.485576947530113</v>
      </c>
      <c r="CL383" s="121">
        <f t="shared" si="46"/>
        <v>44.981239700317381</v>
      </c>
      <c r="CM383" s="121">
        <f t="shared" si="46"/>
        <v>310.30473861694338</v>
      </c>
      <c r="CN383" s="121">
        <f t="shared" si="46"/>
        <v>123.42328656514486</v>
      </c>
      <c r="CO383" s="121">
        <f t="shared" si="46"/>
        <v>90.701285425821936</v>
      </c>
      <c r="CP383" s="121">
        <f t="shared" si="46"/>
        <v>91.180122502644863</v>
      </c>
      <c r="CQ383" s="121">
        <f t="shared" si="46"/>
        <v>0</v>
      </c>
      <c r="CR383" s="121">
        <f t="shared" si="46"/>
        <v>63.729989242553714</v>
      </c>
      <c r="CS383" s="121">
        <f t="shared" si="46"/>
        <v>11.85255864461263</v>
      </c>
      <c r="CT383" s="121">
        <f t="shared" si="46"/>
        <v>50.795497067769368</v>
      </c>
      <c r="CU383" s="121">
        <f t="shared" si="46"/>
        <v>109.33709621429443</v>
      </c>
      <c r="CV383" s="121">
        <f t="shared" si="46"/>
        <v>92.226443862915033</v>
      </c>
      <c r="CW383" s="121">
        <f t="shared" si="46"/>
        <v>3.35</v>
      </c>
      <c r="CX383" s="121">
        <f t="shared" si="46"/>
        <v>448.53333333333336</v>
      </c>
      <c r="CY383" s="121">
        <f t="shared" si="46"/>
        <v>211.4221316019694</v>
      </c>
      <c r="CZ383" s="121">
        <f t="shared" si="46"/>
        <v>61.912205696105957</v>
      </c>
      <c r="DA383" s="121">
        <f t="shared" si="46"/>
        <v>22.915241972605386</v>
      </c>
      <c r="DB383" s="121">
        <f t="shared" si="46"/>
        <v>42.193788337707517</v>
      </c>
      <c r="DC383" s="121">
        <f t="shared" si="46"/>
        <v>91.77425015767416</v>
      </c>
      <c r="DD383" s="121">
        <f t="shared" si="46"/>
        <v>494.13333333333333</v>
      </c>
      <c r="DE383" s="121">
        <f t="shared" si="46"/>
        <v>198.48333333333332</v>
      </c>
      <c r="DF383" s="121">
        <f t="shared" si="46"/>
        <v>517.8999950408936</v>
      </c>
      <c r="DG383" s="121">
        <f t="shared" si="46"/>
        <v>96.216967773437503</v>
      </c>
      <c r="DH383" s="121">
        <f t="shared" si="46"/>
        <v>65.836984443664548</v>
      </c>
      <c r="DI383" s="121">
        <f t="shared" si="46"/>
        <v>42.033560117085777</v>
      </c>
      <c r="DJ383" s="121">
        <f t="shared" si="46"/>
        <v>248.18333333333334</v>
      </c>
      <c r="DK383" s="121">
        <f t="shared" si="46"/>
        <v>144.90266698201498</v>
      </c>
      <c r="DL383" s="121">
        <f t="shared" si="46"/>
        <v>29.783666610717773</v>
      </c>
      <c r="DM383" s="121">
        <f t="shared" si="46"/>
        <v>60.806883494059242</v>
      </c>
      <c r="DN383" s="121">
        <f t="shared" si="46"/>
        <v>53.976866594950359</v>
      </c>
      <c r="DO383" s="121">
        <f t="shared" si="46"/>
        <v>115.21262232462566</v>
      </c>
      <c r="DP383" s="121">
        <f t="shared" si="46"/>
        <v>17.106900024414063</v>
      </c>
      <c r="DQ383" s="121" t="e">
        <f t="shared" si="46"/>
        <v>#DIV/0!</v>
      </c>
      <c r="DR383" s="121">
        <f t="shared" si="46"/>
        <v>67</v>
      </c>
      <c r="DS383" s="121">
        <f t="shared" si="46"/>
        <v>49.035000038146975</v>
      </c>
      <c r="DT383" s="121">
        <f t="shared" si="46"/>
        <v>13.383333333333333</v>
      </c>
      <c r="DU383" s="121" t="e">
        <f t="shared" si="46"/>
        <v>#DIV/0!</v>
      </c>
      <c r="DV383" s="121">
        <f t="shared" si="46"/>
        <v>173.78333333333333</v>
      </c>
      <c r="DW383" s="121">
        <f t="shared" si="46"/>
        <v>164.48919932047525</v>
      </c>
      <c r="DX383" s="121">
        <f t="shared" si="46"/>
        <v>11.433333333333334</v>
      </c>
      <c r="DY383" s="121" t="e">
        <f t="shared" si="46"/>
        <v>#DIV/0!</v>
      </c>
      <c r="DZ383" s="121">
        <f t="shared" si="46"/>
        <v>50.65</v>
      </c>
      <c r="EA383" s="121">
        <f t="shared" si="46"/>
        <v>3</v>
      </c>
      <c r="EB383" s="121">
        <f t="shared" si="46"/>
        <v>0</v>
      </c>
      <c r="EC383" s="121">
        <f t="shared" si="46"/>
        <v>1.1166666666666667</v>
      </c>
      <c r="ED383" s="121">
        <f t="shared" si="46"/>
        <v>675.93666687011716</v>
      </c>
      <c r="EE383" s="129"/>
      <c r="EF383" s="129"/>
      <c r="EG383" s="129"/>
      <c r="EH383" s="3"/>
    </row>
    <row r="384" spans="1:138" x14ac:dyDescent="0.3">
      <c r="A384" s="5" t="s">
        <v>315</v>
      </c>
      <c r="B384" s="121">
        <f>AVERAGEA(B39:B98)</f>
        <v>288.64999999999998</v>
      </c>
      <c r="C384" s="121">
        <f t="shared" ref="C384:BR384" si="47">AVERAGEA(C39:C98)</f>
        <v>54.041150093078613</v>
      </c>
      <c r="D384" s="121">
        <f t="shared" si="47"/>
        <v>101.45158297220866</v>
      </c>
      <c r="E384" s="121">
        <f t="shared" si="47"/>
        <v>20.296650028228761</v>
      </c>
      <c r="F384" s="121">
        <f t="shared" si="47"/>
        <v>22.032896534601846</v>
      </c>
      <c r="G384" s="121">
        <f t="shared" si="47"/>
        <v>20.473899936676027</v>
      </c>
      <c r="H384" s="121">
        <f t="shared" si="47"/>
        <v>344.78333333333336</v>
      </c>
      <c r="I384" s="121">
        <f t="shared" si="47"/>
        <v>312.33333333333331</v>
      </c>
      <c r="J384" s="121">
        <f t="shared" si="47"/>
        <v>70.370566876729328</v>
      </c>
      <c r="K384" s="121">
        <f t="shared" si="47"/>
        <v>65.22685743967692</v>
      </c>
      <c r="L384" s="121">
        <f t="shared" si="47"/>
        <v>49.358816655476886</v>
      </c>
      <c r="M384" s="121">
        <f t="shared" si="47"/>
        <v>14.370449956258138</v>
      </c>
      <c r="N384" s="121">
        <f t="shared" si="47"/>
        <v>17.162316830952964</v>
      </c>
      <c r="O384" s="121">
        <f t="shared" si="47"/>
        <v>18.8</v>
      </c>
      <c r="P384" s="121">
        <f t="shared" si="47"/>
        <v>0</v>
      </c>
      <c r="Q384" s="121">
        <f t="shared" si="47"/>
        <v>19.399157937367757</v>
      </c>
      <c r="R384" s="121">
        <f t="shared" si="47"/>
        <v>23.483281262715657</v>
      </c>
      <c r="S384" s="121">
        <f t="shared" si="47"/>
        <v>24.133528741200767</v>
      </c>
      <c r="T384" s="121">
        <f t="shared" si="47"/>
        <v>4.5</v>
      </c>
      <c r="U384" s="121">
        <f t="shared" si="47"/>
        <v>4.5</v>
      </c>
      <c r="V384" s="121">
        <f t="shared" si="47"/>
        <v>1083.0666666666666</v>
      </c>
      <c r="W384" s="121">
        <f t="shared" si="47"/>
        <v>34.632707277933754</v>
      </c>
      <c r="X384" s="121">
        <f t="shared" si="47"/>
        <v>36.119000244140622</v>
      </c>
      <c r="Y384" s="121">
        <f t="shared" si="47"/>
        <v>8.8571001132329297</v>
      </c>
      <c r="Z384" s="121">
        <f t="shared" si="47"/>
        <v>0</v>
      </c>
      <c r="AA384" s="121">
        <f t="shared" si="47"/>
        <v>29.336900011698404</v>
      </c>
      <c r="AB384" s="121">
        <f t="shared" si="47"/>
        <v>0</v>
      </c>
      <c r="AC384" s="121">
        <f t="shared" si="47"/>
        <v>62.811597760518389</v>
      </c>
      <c r="AD384" s="121">
        <f t="shared" si="47"/>
        <v>6.0474166711171469</v>
      </c>
      <c r="AE384" s="121">
        <f t="shared" si="47"/>
        <v>0</v>
      </c>
      <c r="AF384" s="121">
        <f t="shared" si="47"/>
        <v>93.587456385294601</v>
      </c>
      <c r="AG384" s="121">
        <f t="shared" si="47"/>
        <v>0</v>
      </c>
      <c r="AH384" s="121">
        <f t="shared" si="47"/>
        <v>75.426874669392902</v>
      </c>
      <c r="AI384" s="121">
        <f t="shared" si="47"/>
        <v>19.067716614405313</v>
      </c>
      <c r="AJ384" s="121">
        <f t="shared" si="47"/>
        <v>28.601129659016927</v>
      </c>
      <c r="AK384" s="121">
        <f t="shared" si="47"/>
        <v>49.431035931905107</v>
      </c>
      <c r="AL384" s="121">
        <f t="shared" si="47"/>
        <v>58.31526673634847</v>
      </c>
      <c r="AM384" s="121">
        <f t="shared" si="47"/>
        <v>58.089483642578124</v>
      </c>
      <c r="AN384" s="121">
        <f t="shared" si="47"/>
        <v>145.87604166666668</v>
      </c>
      <c r="AO384" s="121">
        <f t="shared" si="47"/>
        <v>79.2</v>
      </c>
      <c r="AP384" s="121">
        <f t="shared" si="47"/>
        <v>77.307716115315756</v>
      </c>
      <c r="AQ384" s="121">
        <f t="shared" si="47"/>
        <v>49.871647135416666</v>
      </c>
      <c r="AR384" s="121">
        <f t="shared" si="47"/>
        <v>106.26666666666667</v>
      </c>
      <c r="AS384" s="121" t="e">
        <f t="shared" si="47"/>
        <v>#DIV/0!</v>
      </c>
      <c r="AT384" s="121">
        <f t="shared" si="47"/>
        <v>122.01666666666667</v>
      </c>
      <c r="AU384" s="121" t="e">
        <f t="shared" si="47"/>
        <v>#DIV/0!</v>
      </c>
      <c r="AV384" s="121">
        <f t="shared" si="47"/>
        <v>88.266666666666666</v>
      </c>
      <c r="AW384" s="121" t="e">
        <f t="shared" si="47"/>
        <v>#DIV/0!</v>
      </c>
      <c r="AX384" s="121">
        <f t="shared" si="47"/>
        <v>34.1</v>
      </c>
      <c r="AY384" s="121">
        <f t="shared" si="47"/>
        <v>36.205809656778975</v>
      </c>
      <c r="AZ384" s="121">
        <f t="shared" si="47"/>
        <v>22.7</v>
      </c>
      <c r="BA384" s="121" t="e">
        <f t="shared" si="47"/>
        <v>#DIV/0!</v>
      </c>
      <c r="BB384" s="121">
        <f t="shared" si="47"/>
        <v>252.5</v>
      </c>
      <c r="BC384" s="121">
        <f t="shared" si="47"/>
        <v>257.44427795410155</v>
      </c>
      <c r="BD384" s="121">
        <f t="shared" si="47"/>
        <v>7.2216666539510088</v>
      </c>
      <c r="BE384" s="121">
        <f t="shared" si="47"/>
        <v>7.2583748579025267</v>
      </c>
      <c r="BF384" s="121">
        <f t="shared" si="47"/>
        <v>30.033333333333335</v>
      </c>
      <c r="BG384" s="121">
        <f t="shared" si="47"/>
        <v>11.216666666666667</v>
      </c>
      <c r="BH384" s="121">
        <f t="shared" si="47"/>
        <v>11.977333227793375</v>
      </c>
      <c r="BI384" s="121" t="e">
        <f t="shared" si="47"/>
        <v>#DIV/0!</v>
      </c>
      <c r="BJ384" s="121">
        <f t="shared" si="47"/>
        <v>16.899999999999999</v>
      </c>
      <c r="BK384" s="121">
        <f t="shared" si="47"/>
        <v>16.899999999999999</v>
      </c>
      <c r="BL384" s="121">
        <f t="shared" si="47"/>
        <v>0</v>
      </c>
      <c r="BM384" s="121" t="e">
        <f t="shared" si="47"/>
        <v>#DIV/0!</v>
      </c>
      <c r="BN384" s="121">
        <f t="shared" si="47"/>
        <v>122.76833349863688</v>
      </c>
      <c r="BO384" s="121">
        <f t="shared" si="47"/>
        <v>74.416666666666671</v>
      </c>
      <c r="BP384" s="121">
        <f t="shared" si="47"/>
        <v>48.351666831970213</v>
      </c>
      <c r="BQ384" s="121">
        <f t="shared" si="47"/>
        <v>311.13333333333333</v>
      </c>
      <c r="BR384" s="121">
        <f t="shared" si="47"/>
        <v>92.253016789754227</v>
      </c>
      <c r="BS384" s="121">
        <f t="shared" ref="BS384:ED384" si="48">AVERAGEA(BS39:BS98)</f>
        <v>26.434549967447918</v>
      </c>
      <c r="BT384" s="121">
        <f t="shared" si="48"/>
        <v>47.185299682617185</v>
      </c>
      <c r="BU384" s="121">
        <f t="shared" si="48"/>
        <v>44.821033414204912</v>
      </c>
      <c r="BV384" s="121">
        <f t="shared" si="48"/>
        <v>69.100000127156576</v>
      </c>
      <c r="BW384" s="121">
        <f t="shared" si="48"/>
        <v>6.8166666348775227</v>
      </c>
      <c r="BX384" s="121">
        <f t="shared" si="48"/>
        <v>13.701666673024496</v>
      </c>
      <c r="BY384" s="121">
        <f t="shared" si="48"/>
        <v>28.4</v>
      </c>
      <c r="BZ384" s="121">
        <f t="shared" si="48"/>
        <v>2.6639530279984078</v>
      </c>
      <c r="CA384" s="121">
        <f t="shared" si="48"/>
        <v>2.9666666666666668</v>
      </c>
      <c r="CB384" s="121">
        <f t="shared" si="48"/>
        <v>29.347325865427653</v>
      </c>
      <c r="CC384" s="121" t="e">
        <f t="shared" si="48"/>
        <v>#DIV/0!</v>
      </c>
      <c r="CD384" s="121">
        <f t="shared" si="48"/>
        <v>425.92327473958335</v>
      </c>
      <c r="CE384" s="121">
        <f t="shared" si="48"/>
        <v>72.832823308308917</v>
      </c>
      <c r="CF384" s="121">
        <f t="shared" si="48"/>
        <v>30.09348503748576</v>
      </c>
      <c r="CG384" s="121">
        <f t="shared" si="48"/>
        <v>35.338191986083984</v>
      </c>
      <c r="CH384" s="121">
        <f t="shared" si="48"/>
        <v>302.78923950195315</v>
      </c>
      <c r="CI384" s="121">
        <f t="shared" si="48"/>
        <v>107.69240684509278</v>
      </c>
      <c r="CJ384" s="121">
        <f t="shared" si="48"/>
        <v>52.138674863179524</v>
      </c>
      <c r="CK384" s="121">
        <f t="shared" si="48"/>
        <v>59.788315137227379</v>
      </c>
      <c r="CL384" s="121">
        <f t="shared" si="48"/>
        <v>44.38467445373535</v>
      </c>
      <c r="CM384" s="121">
        <f t="shared" si="48"/>
        <v>302.34181722005206</v>
      </c>
      <c r="CN384" s="121">
        <f t="shared" si="48"/>
        <v>117.30780690511068</v>
      </c>
      <c r="CO384" s="121">
        <f t="shared" si="48"/>
        <v>89.935320281982428</v>
      </c>
      <c r="CP384" s="121">
        <f t="shared" si="48"/>
        <v>90.33276240030925</v>
      </c>
      <c r="CQ384" s="121">
        <f t="shared" si="48"/>
        <v>0</v>
      </c>
      <c r="CR384" s="121">
        <f t="shared" si="48"/>
        <v>62.551282374064129</v>
      </c>
      <c r="CS384" s="121">
        <f t="shared" si="48"/>
        <v>11.55692621866862</v>
      </c>
      <c r="CT384" s="121">
        <f t="shared" si="48"/>
        <v>49.841166178385414</v>
      </c>
      <c r="CU384" s="121">
        <f t="shared" si="48"/>
        <v>98.92255636850993</v>
      </c>
      <c r="CV384" s="121">
        <f t="shared" si="48"/>
        <v>90.028314844767252</v>
      </c>
      <c r="CW384" s="121">
        <f t="shared" si="48"/>
        <v>3.4166666666666665</v>
      </c>
      <c r="CX384" s="121">
        <f t="shared" si="48"/>
        <v>443.78333333333336</v>
      </c>
      <c r="CY384" s="121">
        <f t="shared" si="48"/>
        <v>208.82118072509766</v>
      </c>
      <c r="CZ384" s="121">
        <f t="shared" si="48"/>
        <v>61.400465393066405</v>
      </c>
      <c r="DA384" s="121">
        <f t="shared" si="48"/>
        <v>22.794633134206137</v>
      </c>
      <c r="DB384" s="121">
        <f t="shared" si="48"/>
        <v>41.571671168009438</v>
      </c>
      <c r="DC384" s="121">
        <f t="shared" si="48"/>
        <v>90.998875045776373</v>
      </c>
      <c r="DD384" s="121">
        <f t="shared" si="48"/>
        <v>445.08333333333331</v>
      </c>
      <c r="DE384" s="121">
        <f t="shared" si="48"/>
        <v>197.28333333333333</v>
      </c>
      <c r="DF384" s="121">
        <f t="shared" si="48"/>
        <v>469.47313906351724</v>
      </c>
      <c r="DG384" s="121">
        <f t="shared" si="48"/>
        <v>94.853086853027349</v>
      </c>
      <c r="DH384" s="121">
        <f t="shared" si="48"/>
        <v>65.031325276692712</v>
      </c>
      <c r="DI384" s="121">
        <f t="shared" si="48"/>
        <v>41.856059900919597</v>
      </c>
      <c r="DJ384" s="121">
        <f t="shared" si="48"/>
        <v>246.15</v>
      </c>
      <c r="DK384" s="121">
        <f t="shared" si="48"/>
        <v>143.46493364969891</v>
      </c>
      <c r="DL384" s="121">
        <f t="shared" si="48"/>
        <v>29.450016530354819</v>
      </c>
      <c r="DM384" s="121">
        <f t="shared" si="48"/>
        <v>59.475650087992349</v>
      </c>
      <c r="DN384" s="121">
        <f t="shared" si="48"/>
        <v>53.900316683451337</v>
      </c>
      <c r="DO384" s="121">
        <f t="shared" si="48"/>
        <v>114.64552523295085</v>
      </c>
      <c r="DP384" s="121">
        <f t="shared" si="48"/>
        <v>16.978733380635578</v>
      </c>
      <c r="DQ384" s="121" t="e">
        <f t="shared" si="48"/>
        <v>#DIV/0!</v>
      </c>
      <c r="DR384" s="121">
        <f t="shared" si="48"/>
        <v>67</v>
      </c>
      <c r="DS384" s="121">
        <f t="shared" si="48"/>
        <v>48.236666615804033</v>
      </c>
      <c r="DT384" s="121">
        <f t="shared" si="48"/>
        <v>13.25</v>
      </c>
      <c r="DU384" s="121" t="e">
        <f t="shared" si="48"/>
        <v>#DIV/0!</v>
      </c>
      <c r="DV384" s="121">
        <f t="shared" si="48"/>
        <v>173.63333333333333</v>
      </c>
      <c r="DW384" s="121">
        <f t="shared" si="48"/>
        <v>164.42606302897136</v>
      </c>
      <c r="DX384" s="121">
        <f t="shared" si="48"/>
        <v>11.216666666666667</v>
      </c>
      <c r="DY384" s="121" t="e">
        <f t="shared" si="48"/>
        <v>#DIV/0!</v>
      </c>
      <c r="DZ384" s="121">
        <f t="shared" si="48"/>
        <v>50.2</v>
      </c>
      <c r="EA384" s="121">
        <f t="shared" si="48"/>
        <v>3</v>
      </c>
      <c r="EB384" s="121">
        <f t="shared" si="48"/>
        <v>0</v>
      </c>
      <c r="EC384" s="121">
        <f t="shared" si="48"/>
        <v>1.1166666666666667</v>
      </c>
      <c r="ED384" s="121">
        <f t="shared" si="48"/>
        <v>628.72166798909507</v>
      </c>
      <c r="EE384" s="129"/>
      <c r="EF384" s="129"/>
      <c r="EG384" s="129"/>
      <c r="EH384" s="3"/>
    </row>
    <row r="385" spans="1:137" x14ac:dyDescent="0.3">
      <c r="A385" s="5" t="s">
        <v>316</v>
      </c>
      <c r="B385" s="121">
        <f>AVERAGEA(B44:B103)</f>
        <v>287.33333333333331</v>
      </c>
      <c r="C385" s="121">
        <f t="shared" ref="C385:BR385" si="49">AVERAGEA(C44:C103)</f>
        <v>53.943116760253908</v>
      </c>
      <c r="D385" s="121">
        <f t="shared" si="49"/>
        <v>101.22541643778483</v>
      </c>
      <c r="E385" s="121">
        <f t="shared" si="49"/>
        <v>20.373933347066245</v>
      </c>
      <c r="F385" s="121">
        <f t="shared" si="49"/>
        <v>24.506788917382558</v>
      </c>
      <c r="G385" s="121">
        <f t="shared" si="49"/>
        <v>20.253349939982098</v>
      </c>
      <c r="H385" s="121">
        <f t="shared" si="49"/>
        <v>342.21666666666664</v>
      </c>
      <c r="I385" s="121">
        <f t="shared" si="49"/>
        <v>310.13333333333333</v>
      </c>
      <c r="J385" s="121">
        <f t="shared" si="49"/>
        <v>69.957750384012854</v>
      </c>
      <c r="K385" s="121">
        <f t="shared" si="49"/>
        <v>65.506489372253412</v>
      </c>
      <c r="L385" s="121">
        <f t="shared" si="49"/>
        <v>48.846366691589353</v>
      </c>
      <c r="M385" s="121">
        <f t="shared" si="49"/>
        <v>14.287516625722249</v>
      </c>
      <c r="N385" s="121">
        <f t="shared" si="49"/>
        <v>17.183516852060954</v>
      </c>
      <c r="O385" s="121">
        <f t="shared" si="49"/>
        <v>18.633333333333333</v>
      </c>
      <c r="P385" s="121">
        <f t="shared" si="49"/>
        <v>0</v>
      </c>
      <c r="Q385" s="121">
        <f t="shared" si="49"/>
        <v>19.260879484812417</v>
      </c>
      <c r="R385" s="121">
        <f t="shared" si="49"/>
        <v>22.683593686421712</v>
      </c>
      <c r="S385" s="121">
        <f t="shared" si="49"/>
        <v>23.263815466562907</v>
      </c>
      <c r="T385" s="121">
        <f t="shared" si="49"/>
        <v>5.083333333333333</v>
      </c>
      <c r="U385" s="121">
        <f t="shared" si="49"/>
        <v>5.083333333333333</v>
      </c>
      <c r="V385" s="121">
        <f t="shared" si="49"/>
        <v>1065.2833333333333</v>
      </c>
      <c r="W385" s="121">
        <f t="shared" si="49"/>
        <v>34.133542474110918</v>
      </c>
      <c r="X385" s="121">
        <f t="shared" si="49"/>
        <v>35.557283560434975</v>
      </c>
      <c r="Y385" s="121">
        <f t="shared" si="49"/>
        <v>8.6747334480285652</v>
      </c>
      <c r="Z385" s="121">
        <f t="shared" si="49"/>
        <v>0</v>
      </c>
      <c r="AA385" s="121">
        <f t="shared" si="49"/>
        <v>29.274700005849201</v>
      </c>
      <c r="AB385" s="121">
        <f t="shared" si="49"/>
        <v>0</v>
      </c>
      <c r="AC385" s="121">
        <f t="shared" si="49"/>
        <v>62.346778742472331</v>
      </c>
      <c r="AD385" s="121">
        <f t="shared" si="49"/>
        <v>6.0601499954859417</v>
      </c>
      <c r="AE385" s="121">
        <f t="shared" si="49"/>
        <v>0</v>
      </c>
      <c r="AF385" s="121">
        <f t="shared" si="49"/>
        <v>92.880963134765622</v>
      </c>
      <c r="AG385" s="121">
        <f t="shared" si="49"/>
        <v>0</v>
      </c>
      <c r="AH385" s="121">
        <f t="shared" si="49"/>
        <v>74.811704762776699</v>
      </c>
      <c r="AI385" s="121">
        <f t="shared" si="49"/>
        <v>18.74961665471395</v>
      </c>
      <c r="AJ385" s="121">
        <f t="shared" si="49"/>
        <v>27.631470457712808</v>
      </c>
      <c r="AK385" s="121">
        <f t="shared" si="49"/>
        <v>48.96363957722982</v>
      </c>
      <c r="AL385" s="121">
        <f t="shared" si="49"/>
        <v>57.964783414204916</v>
      </c>
      <c r="AM385" s="121">
        <f t="shared" si="49"/>
        <v>57.973916943867998</v>
      </c>
      <c r="AN385" s="121">
        <f t="shared" si="49"/>
        <v>144.05520833333333</v>
      </c>
      <c r="AO385" s="121">
        <f t="shared" si="49"/>
        <v>78.016666666666666</v>
      </c>
      <c r="AP385" s="121">
        <f t="shared" si="49"/>
        <v>76.419328435262045</v>
      </c>
      <c r="AQ385" s="121">
        <f t="shared" si="49"/>
        <v>49.032589403788251</v>
      </c>
      <c r="AR385" s="121">
        <f t="shared" si="49"/>
        <v>102.35</v>
      </c>
      <c r="AS385" s="121" t="e">
        <f t="shared" si="49"/>
        <v>#DIV/0!</v>
      </c>
      <c r="AT385" s="121">
        <f t="shared" si="49"/>
        <v>122</v>
      </c>
      <c r="AU385" s="121" t="e">
        <f t="shared" si="49"/>
        <v>#DIV/0!</v>
      </c>
      <c r="AV385" s="121">
        <f t="shared" si="49"/>
        <v>88.833333333333329</v>
      </c>
      <c r="AW385" s="121" t="e">
        <f t="shared" si="49"/>
        <v>#DIV/0!</v>
      </c>
      <c r="AX385" s="121">
        <f t="shared" si="49"/>
        <v>33.85</v>
      </c>
      <c r="AY385" s="121">
        <f t="shared" si="49"/>
        <v>36.008071009318037</v>
      </c>
      <c r="AZ385" s="121">
        <f t="shared" si="49"/>
        <v>22.083333333333332</v>
      </c>
      <c r="BA385" s="121" t="e">
        <f t="shared" si="49"/>
        <v>#DIV/0!</v>
      </c>
      <c r="BB385" s="121">
        <f t="shared" si="49"/>
        <v>261.23333333333335</v>
      </c>
      <c r="BC385" s="121">
        <f t="shared" si="49"/>
        <v>265.56846084594724</v>
      </c>
      <c r="BD385" s="121">
        <f t="shared" si="49"/>
        <v>7.1949999809265135</v>
      </c>
      <c r="BE385" s="121">
        <f t="shared" si="49"/>
        <v>7.2336315949757894</v>
      </c>
      <c r="BF385" s="121">
        <f t="shared" si="49"/>
        <v>29.983333333333334</v>
      </c>
      <c r="BG385" s="121">
        <f t="shared" si="49"/>
        <v>11.133333333333333</v>
      </c>
      <c r="BH385" s="121">
        <f t="shared" si="49"/>
        <v>11.899110984802245</v>
      </c>
      <c r="BI385" s="121" t="e">
        <f t="shared" si="49"/>
        <v>#DIV/0!</v>
      </c>
      <c r="BJ385" s="121">
        <f t="shared" si="49"/>
        <v>16.833333333333332</v>
      </c>
      <c r="BK385" s="121">
        <f t="shared" si="49"/>
        <v>16.833333333333332</v>
      </c>
      <c r="BL385" s="121">
        <f t="shared" si="49"/>
        <v>0</v>
      </c>
      <c r="BM385" s="121" t="e">
        <f t="shared" si="49"/>
        <v>#DIV/0!</v>
      </c>
      <c r="BN385" s="121">
        <f t="shared" si="49"/>
        <v>122.79833348592122</v>
      </c>
      <c r="BO385" s="121">
        <f t="shared" si="49"/>
        <v>74.36666666666666</v>
      </c>
      <c r="BP385" s="121">
        <f t="shared" si="49"/>
        <v>48.431666819254559</v>
      </c>
      <c r="BQ385" s="121">
        <f t="shared" si="49"/>
        <v>308.28333333333336</v>
      </c>
      <c r="BR385" s="121">
        <f t="shared" si="49"/>
        <v>91.122033437093094</v>
      </c>
      <c r="BS385" s="121">
        <f t="shared" ref="BS385:ED385" si="50">AVERAGEA(BS44:BS103)</f>
        <v>26.336999956766764</v>
      </c>
      <c r="BT385" s="121">
        <f t="shared" si="50"/>
        <v>46.579183069864911</v>
      </c>
      <c r="BU385" s="121">
        <f t="shared" si="50"/>
        <v>44.274966748555499</v>
      </c>
      <c r="BV385" s="121">
        <f t="shared" si="50"/>
        <v>69.128333409627274</v>
      </c>
      <c r="BW385" s="121">
        <f t="shared" si="50"/>
        <v>6.7483333269755041</v>
      </c>
      <c r="BX385" s="121">
        <f t="shared" si="50"/>
        <v>13.694999980926514</v>
      </c>
      <c r="BY385" s="121">
        <f t="shared" si="50"/>
        <v>28.383333333333333</v>
      </c>
      <c r="BZ385" s="121">
        <f t="shared" si="50"/>
        <v>4.3201329373599338</v>
      </c>
      <c r="CA385" s="121">
        <f t="shared" si="50"/>
        <v>4.55</v>
      </c>
      <c r="CB385" s="121">
        <f t="shared" si="50"/>
        <v>29.35495964686076</v>
      </c>
      <c r="CC385" s="121" t="e">
        <f t="shared" si="50"/>
        <v>#DIV/0!</v>
      </c>
      <c r="CD385" s="121">
        <f t="shared" si="50"/>
        <v>422.51871999104816</v>
      </c>
      <c r="CE385" s="121">
        <f t="shared" si="50"/>
        <v>70.586977195739749</v>
      </c>
      <c r="CF385" s="121">
        <f t="shared" si="50"/>
        <v>29.51463311513265</v>
      </c>
      <c r="CG385" s="121">
        <f t="shared" si="50"/>
        <v>35.338191986083984</v>
      </c>
      <c r="CH385" s="121">
        <f t="shared" si="50"/>
        <v>302.08246917724608</v>
      </c>
      <c r="CI385" s="121">
        <f t="shared" si="50"/>
        <v>105.3904301961263</v>
      </c>
      <c r="CJ385" s="121">
        <f t="shared" si="50"/>
        <v>50.756565666198732</v>
      </c>
      <c r="CK385" s="121">
        <f t="shared" si="50"/>
        <v>58.904242769877115</v>
      </c>
      <c r="CL385" s="121">
        <f t="shared" si="50"/>
        <v>43.784085146586101</v>
      </c>
      <c r="CM385" s="121">
        <f t="shared" si="50"/>
        <v>294.76020406087241</v>
      </c>
      <c r="CN385" s="121">
        <f t="shared" si="50"/>
        <v>111.8880179087321</v>
      </c>
      <c r="CO385" s="121">
        <f t="shared" si="50"/>
        <v>89.486742401123053</v>
      </c>
      <c r="CP385" s="121">
        <f t="shared" si="50"/>
        <v>88.630774561564124</v>
      </c>
      <c r="CQ385" s="121">
        <f t="shared" si="50"/>
        <v>0</v>
      </c>
      <c r="CR385" s="121">
        <f t="shared" si="50"/>
        <v>61.578831164042157</v>
      </c>
      <c r="CS385" s="121">
        <f t="shared" si="50"/>
        <v>11.385991303126017</v>
      </c>
      <c r="CT385" s="121">
        <f t="shared" si="50"/>
        <v>48.648088900248212</v>
      </c>
      <c r="CU385" s="121">
        <f t="shared" si="50"/>
        <v>88.365574391682941</v>
      </c>
      <c r="CV385" s="121">
        <f t="shared" si="50"/>
        <v>87.667023722330725</v>
      </c>
      <c r="CW385" s="121">
        <f t="shared" si="50"/>
        <v>3.6166666666666667</v>
      </c>
      <c r="CX385" s="121">
        <f t="shared" si="50"/>
        <v>439.48333333333335</v>
      </c>
      <c r="CY385" s="121">
        <f t="shared" si="50"/>
        <v>206.46950378417969</v>
      </c>
      <c r="CZ385" s="121">
        <f t="shared" si="50"/>
        <v>60.861706161499022</v>
      </c>
      <c r="DA385" s="121">
        <f t="shared" si="50"/>
        <v>22.545016956329345</v>
      </c>
      <c r="DB385" s="121">
        <f t="shared" si="50"/>
        <v>40.913476816813152</v>
      </c>
      <c r="DC385" s="121">
        <f t="shared" si="50"/>
        <v>90.631846618652347</v>
      </c>
      <c r="DD385" s="121">
        <f t="shared" si="50"/>
        <v>396.08333333333331</v>
      </c>
      <c r="DE385" s="121">
        <f t="shared" si="50"/>
        <v>195.98333333333332</v>
      </c>
      <c r="DF385" s="121">
        <f t="shared" si="50"/>
        <v>421.25573031107587</v>
      </c>
      <c r="DG385" s="121">
        <f t="shared" si="50"/>
        <v>93.73838996887207</v>
      </c>
      <c r="DH385" s="121">
        <f t="shared" si="50"/>
        <v>64.064374987284339</v>
      </c>
      <c r="DI385" s="121">
        <f t="shared" si="50"/>
        <v>41.675678253173828</v>
      </c>
      <c r="DJ385" s="121">
        <f t="shared" si="50"/>
        <v>243.61666666666667</v>
      </c>
      <c r="DK385" s="121">
        <f t="shared" si="50"/>
        <v>141.15778388977051</v>
      </c>
      <c r="DL385" s="121">
        <f t="shared" si="50"/>
        <v>29.095666535695393</v>
      </c>
      <c r="DM385" s="121">
        <f t="shared" si="50"/>
        <v>57.770383516947426</v>
      </c>
      <c r="DN385" s="121">
        <f t="shared" si="50"/>
        <v>53.753050104777017</v>
      </c>
      <c r="DO385" s="121">
        <f t="shared" si="50"/>
        <v>114.19394315083822</v>
      </c>
      <c r="DP385" s="121">
        <f t="shared" si="50"/>
        <v>16.845366716384888</v>
      </c>
      <c r="DQ385" s="121" t="e">
        <f t="shared" si="50"/>
        <v>#DIV/0!</v>
      </c>
      <c r="DR385" s="121">
        <f t="shared" si="50"/>
        <v>67</v>
      </c>
      <c r="DS385" s="121">
        <f t="shared" si="50"/>
        <v>47.408333333333331</v>
      </c>
      <c r="DT385" s="121">
        <f t="shared" si="50"/>
        <v>13.166666666666666</v>
      </c>
      <c r="DU385" s="121" t="e">
        <f t="shared" si="50"/>
        <v>#DIV/0!</v>
      </c>
      <c r="DV385" s="121">
        <f t="shared" si="50"/>
        <v>173.68333333333334</v>
      </c>
      <c r="DW385" s="121">
        <f t="shared" si="50"/>
        <v>164.38525772094727</v>
      </c>
      <c r="DX385" s="121">
        <f t="shared" si="50"/>
        <v>11.016666666666667</v>
      </c>
      <c r="DY385" s="121" t="e">
        <f t="shared" si="50"/>
        <v>#DIV/0!</v>
      </c>
      <c r="DZ385" s="121">
        <f t="shared" si="50"/>
        <v>49.75</v>
      </c>
      <c r="EA385" s="121">
        <f t="shared" si="50"/>
        <v>3</v>
      </c>
      <c r="EB385" s="121">
        <f t="shared" si="50"/>
        <v>0</v>
      </c>
      <c r="EC385" s="121">
        <f t="shared" si="50"/>
        <v>1.1166666666666667</v>
      </c>
      <c r="ED385" s="121">
        <f t="shared" si="50"/>
        <v>581.65333506266279</v>
      </c>
      <c r="EE385" s="129"/>
      <c r="EF385" s="129"/>
      <c r="EG385" s="129"/>
    </row>
    <row r="386" spans="1:137" x14ac:dyDescent="0.3">
      <c r="A386" s="5" t="s">
        <v>317</v>
      </c>
      <c r="B386" s="121">
        <f>AVERAGEA(B49:B108)</f>
        <v>286.06666666666666</v>
      </c>
      <c r="C386" s="121">
        <f t="shared" ref="C386:BR386" si="51">AVERAGEA(C49:C108)</f>
        <v>53.394583447774252</v>
      </c>
      <c r="D386" s="121">
        <f t="shared" si="51"/>
        <v>101.12743301391602</v>
      </c>
      <c r="E386" s="121">
        <f t="shared" si="51"/>
        <v>20.338133366902671</v>
      </c>
      <c r="F386" s="121">
        <f t="shared" si="51"/>
        <v>26.903793613115948</v>
      </c>
      <c r="G386" s="121">
        <f t="shared" si="51"/>
        <v>20.040366586049398</v>
      </c>
      <c r="H386" s="121">
        <f t="shared" si="51"/>
        <v>338.83333333333331</v>
      </c>
      <c r="I386" s="121">
        <f t="shared" si="51"/>
        <v>307.26666666666665</v>
      </c>
      <c r="J386" s="121">
        <f t="shared" si="51"/>
        <v>69.429950396219894</v>
      </c>
      <c r="K386" s="121">
        <f t="shared" si="51"/>
        <v>65.454395230611169</v>
      </c>
      <c r="L386" s="121">
        <f t="shared" si="51"/>
        <v>48.428166643778482</v>
      </c>
      <c r="M386" s="121">
        <f t="shared" si="51"/>
        <v>14.108433326085409</v>
      </c>
      <c r="N386" s="121">
        <f t="shared" si="51"/>
        <v>17.233350149790446</v>
      </c>
      <c r="O386" s="121">
        <f t="shared" si="51"/>
        <v>18.616666666666667</v>
      </c>
      <c r="P386" s="121">
        <f t="shared" si="51"/>
        <v>0</v>
      </c>
      <c r="Q386" s="121">
        <f t="shared" si="51"/>
        <v>19.252822399139404</v>
      </c>
      <c r="R386" s="121">
        <f t="shared" si="51"/>
        <v>21.883437474568684</v>
      </c>
      <c r="S386" s="121">
        <f t="shared" si="51"/>
        <v>22.435633611679076</v>
      </c>
      <c r="T386" s="121">
        <f t="shared" si="51"/>
        <v>5.833333333333333</v>
      </c>
      <c r="U386" s="121">
        <f t="shared" si="51"/>
        <v>5.833333333333333</v>
      </c>
      <c r="V386" s="121">
        <f t="shared" si="51"/>
        <v>1048.6333333333334</v>
      </c>
      <c r="W386" s="121">
        <f t="shared" si="51"/>
        <v>33.684331830342607</v>
      </c>
      <c r="X386" s="121">
        <f t="shared" si="51"/>
        <v>35.189733537038165</v>
      </c>
      <c r="Y386" s="121">
        <f t="shared" si="51"/>
        <v>8.5188834428787228</v>
      </c>
      <c r="Z386" s="121">
        <f t="shared" si="51"/>
        <v>0</v>
      </c>
      <c r="AA386" s="121">
        <f t="shared" si="51"/>
        <v>28.860016663869221</v>
      </c>
      <c r="AB386" s="121">
        <f t="shared" si="51"/>
        <v>0</v>
      </c>
      <c r="AC386" s="121">
        <f t="shared" si="51"/>
        <v>61.886838912963867</v>
      </c>
      <c r="AD386" s="121">
        <f t="shared" si="51"/>
        <v>6.0601333379745483</v>
      </c>
      <c r="AE386" s="121">
        <f t="shared" si="51"/>
        <v>0</v>
      </c>
      <c r="AF386" s="121">
        <f t="shared" si="51"/>
        <v>92.063286336263019</v>
      </c>
      <c r="AG386" s="121">
        <f t="shared" si="51"/>
        <v>0</v>
      </c>
      <c r="AH386" s="121">
        <f t="shared" si="51"/>
        <v>74.005560684204099</v>
      </c>
      <c r="AI386" s="121">
        <f t="shared" si="51"/>
        <v>18.425166670481364</v>
      </c>
      <c r="AJ386" s="121">
        <f t="shared" si="51"/>
        <v>26.965084520975747</v>
      </c>
      <c r="AK386" s="121">
        <f t="shared" si="51"/>
        <v>48.495330874125166</v>
      </c>
      <c r="AL386" s="121">
        <f t="shared" si="51"/>
        <v>57.658483378092448</v>
      </c>
      <c r="AM386" s="121">
        <f t="shared" si="51"/>
        <v>57.888033548990883</v>
      </c>
      <c r="AN386" s="121">
        <f t="shared" si="51"/>
        <v>142.43125000000001</v>
      </c>
      <c r="AO386" s="121">
        <f t="shared" si="51"/>
        <v>77.033333333333331</v>
      </c>
      <c r="AP386" s="121">
        <f t="shared" si="51"/>
        <v>75.68019040425618</v>
      </c>
      <c r="AQ386" s="121">
        <f t="shared" si="51"/>
        <v>48.327541923522951</v>
      </c>
      <c r="AR386" s="121">
        <f t="shared" si="51"/>
        <v>98.2</v>
      </c>
      <c r="AS386" s="121" t="e">
        <f t="shared" si="51"/>
        <v>#DIV/0!</v>
      </c>
      <c r="AT386" s="121">
        <f t="shared" si="51"/>
        <v>122.06666666666666</v>
      </c>
      <c r="AU386" s="121" t="e">
        <f t="shared" si="51"/>
        <v>#DIV/0!</v>
      </c>
      <c r="AV386" s="121">
        <f t="shared" si="51"/>
        <v>88.216666666666669</v>
      </c>
      <c r="AW386" s="121" t="e">
        <f t="shared" si="51"/>
        <v>#DIV/0!</v>
      </c>
      <c r="AX386" s="121">
        <f t="shared" si="51"/>
        <v>33.68333333333333</v>
      </c>
      <c r="AY386" s="121">
        <f t="shared" si="51"/>
        <v>35.819183413187666</v>
      </c>
      <c r="AZ386" s="121">
        <f t="shared" si="51"/>
        <v>21.5</v>
      </c>
      <c r="BA386" s="121" t="e">
        <f t="shared" si="51"/>
        <v>#DIV/0!</v>
      </c>
      <c r="BB386" s="121">
        <f t="shared" si="51"/>
        <v>270.14999999999998</v>
      </c>
      <c r="BC386" s="121">
        <f t="shared" si="51"/>
        <v>274.02615814208986</v>
      </c>
      <c r="BD386" s="121">
        <f t="shared" si="51"/>
        <v>7.1683332999547327</v>
      </c>
      <c r="BE386" s="121">
        <f t="shared" si="51"/>
        <v>7.2098170916239424</v>
      </c>
      <c r="BF386" s="121">
        <f t="shared" si="51"/>
        <v>29.916666666666668</v>
      </c>
      <c r="BG386" s="121">
        <f t="shared" si="51"/>
        <v>11.05</v>
      </c>
      <c r="BH386" s="121">
        <f t="shared" si="51"/>
        <v>11.817699511845907</v>
      </c>
      <c r="BI386" s="121" t="e">
        <f t="shared" si="51"/>
        <v>#DIV/0!</v>
      </c>
      <c r="BJ386" s="121">
        <f t="shared" si="51"/>
        <v>16.733333333333334</v>
      </c>
      <c r="BK386" s="121">
        <f t="shared" si="51"/>
        <v>16.733333333333334</v>
      </c>
      <c r="BL386" s="121">
        <f t="shared" si="51"/>
        <v>0</v>
      </c>
      <c r="BM386" s="121" t="e">
        <f t="shared" si="51"/>
        <v>#DIV/0!</v>
      </c>
      <c r="BN386" s="121">
        <f t="shared" si="51"/>
        <v>122.80833346048991</v>
      </c>
      <c r="BO386" s="121">
        <f t="shared" si="51"/>
        <v>74.3</v>
      </c>
      <c r="BP386" s="121">
        <f t="shared" si="51"/>
        <v>48.508333460489908</v>
      </c>
      <c r="BQ386" s="121">
        <f t="shared" si="51"/>
        <v>305.89999999999998</v>
      </c>
      <c r="BR386" s="121">
        <f t="shared" si="51"/>
        <v>89.88548342386882</v>
      </c>
      <c r="BS386" s="121">
        <f t="shared" ref="BS386:ED386" si="52">AVERAGEA(BS49:BS108)</f>
        <v>26.213983249664306</v>
      </c>
      <c r="BT386" s="121">
        <f t="shared" si="52"/>
        <v>46.151983070373532</v>
      </c>
      <c r="BU386" s="121">
        <f t="shared" si="52"/>
        <v>43.757550175984697</v>
      </c>
      <c r="BV386" s="121">
        <f t="shared" si="52"/>
        <v>69.115000152587896</v>
      </c>
      <c r="BW386" s="121">
        <f t="shared" si="52"/>
        <v>6.6950000047683718</v>
      </c>
      <c r="BX386" s="121">
        <f t="shared" si="52"/>
        <v>13.665000009536744</v>
      </c>
      <c r="BY386" s="121">
        <f t="shared" si="52"/>
        <v>28.4</v>
      </c>
      <c r="BZ386" s="121">
        <f t="shared" si="52"/>
        <v>5.9758685778050369</v>
      </c>
      <c r="CA386" s="121">
        <f t="shared" si="52"/>
        <v>6.1166666666666663</v>
      </c>
      <c r="CB386" s="121">
        <f t="shared" si="52"/>
        <v>29.412423261006673</v>
      </c>
      <c r="CC386" s="121" t="e">
        <f t="shared" si="52"/>
        <v>#DIV/0!</v>
      </c>
      <c r="CD386" s="121">
        <f t="shared" si="52"/>
        <v>418.77706400553387</v>
      </c>
      <c r="CE386" s="121">
        <f t="shared" si="52"/>
        <v>68.834283892313636</v>
      </c>
      <c r="CF386" s="121">
        <f t="shared" si="52"/>
        <v>28.957188288370769</v>
      </c>
      <c r="CG386" s="121">
        <f t="shared" si="52"/>
        <v>35.338191986083984</v>
      </c>
      <c r="CH386" s="121">
        <f t="shared" si="52"/>
        <v>300.89507802327472</v>
      </c>
      <c r="CI386" s="121">
        <f t="shared" si="52"/>
        <v>103.65430806477865</v>
      </c>
      <c r="CJ386" s="121">
        <f t="shared" si="52"/>
        <v>49.747394053141278</v>
      </c>
      <c r="CK386" s="121">
        <f t="shared" si="52"/>
        <v>58.256881777445479</v>
      </c>
      <c r="CL386" s="121">
        <f t="shared" si="52"/>
        <v>43.099752298990886</v>
      </c>
      <c r="CM386" s="121">
        <f t="shared" si="52"/>
        <v>287.89332682291666</v>
      </c>
      <c r="CN386" s="121">
        <f t="shared" si="52"/>
        <v>107.19720319112142</v>
      </c>
      <c r="CO386" s="121">
        <f t="shared" si="52"/>
        <v>88.994592666625977</v>
      </c>
      <c r="CP386" s="121">
        <f t="shared" si="52"/>
        <v>86.879785664876309</v>
      </c>
      <c r="CQ386" s="121">
        <f t="shared" si="52"/>
        <v>0</v>
      </c>
      <c r="CR386" s="121">
        <f t="shared" si="52"/>
        <v>60.650843175252277</v>
      </c>
      <c r="CS386" s="121">
        <f t="shared" si="52"/>
        <v>11.296346044540405</v>
      </c>
      <c r="CT386" s="121">
        <f t="shared" si="52"/>
        <v>47.704417546590172</v>
      </c>
      <c r="CU386" s="121">
        <f t="shared" si="52"/>
        <v>77.840927314758304</v>
      </c>
      <c r="CV386" s="121">
        <f t="shared" si="52"/>
        <v>86.534373219807946</v>
      </c>
      <c r="CW386" s="121">
        <f t="shared" si="52"/>
        <v>3.55</v>
      </c>
      <c r="CX386" s="121">
        <f t="shared" si="52"/>
        <v>435.35</v>
      </c>
      <c r="CY386" s="121">
        <f t="shared" si="52"/>
        <v>204.31660232543945</v>
      </c>
      <c r="CZ386" s="121">
        <f t="shared" si="52"/>
        <v>60.115020179748534</v>
      </c>
      <c r="DA386" s="121">
        <f t="shared" si="52"/>
        <v>22.406769657135008</v>
      </c>
      <c r="DB386" s="121">
        <f t="shared" si="52"/>
        <v>40.34356327056885</v>
      </c>
      <c r="DC386" s="121">
        <f t="shared" si="52"/>
        <v>90.381230672200516</v>
      </c>
      <c r="DD386" s="121">
        <f t="shared" si="52"/>
        <v>347.11666666666667</v>
      </c>
      <c r="DE386" s="121">
        <f t="shared" si="52"/>
        <v>194.65</v>
      </c>
      <c r="DF386" s="121">
        <f t="shared" si="52"/>
        <v>372.61064313252768</v>
      </c>
      <c r="DG386" s="121">
        <f t="shared" si="52"/>
        <v>92.623751195271808</v>
      </c>
      <c r="DH386" s="121">
        <f t="shared" si="52"/>
        <v>63.437627601623532</v>
      </c>
      <c r="DI386" s="121">
        <f t="shared" si="52"/>
        <v>41.495378939310712</v>
      </c>
      <c r="DJ386" s="121">
        <f t="shared" si="52"/>
        <v>241.31666666666666</v>
      </c>
      <c r="DK386" s="121">
        <f t="shared" si="52"/>
        <v>139.24928398132323</v>
      </c>
      <c r="DL386" s="121">
        <f t="shared" si="52"/>
        <v>28.890216573079428</v>
      </c>
      <c r="DM386" s="121">
        <f t="shared" si="52"/>
        <v>56.333116912841795</v>
      </c>
      <c r="DN386" s="121">
        <f t="shared" si="52"/>
        <v>53.543950144449873</v>
      </c>
      <c r="DO386" s="121">
        <f t="shared" si="52"/>
        <v>113.90347302754721</v>
      </c>
      <c r="DP386" s="121">
        <f t="shared" si="52"/>
        <v>16.722850036621093</v>
      </c>
      <c r="DQ386" s="121" t="e">
        <f t="shared" si="52"/>
        <v>#DIV/0!</v>
      </c>
      <c r="DR386" s="121">
        <f t="shared" si="52"/>
        <v>63.65</v>
      </c>
      <c r="DS386" s="121">
        <f t="shared" si="52"/>
        <v>46.15000006357829</v>
      </c>
      <c r="DT386" s="121">
        <f t="shared" si="52"/>
        <v>13.116666666666667</v>
      </c>
      <c r="DU386" s="121" t="e">
        <f t="shared" si="52"/>
        <v>#DIV/0!</v>
      </c>
      <c r="DV386" s="121">
        <f t="shared" si="52"/>
        <v>173.46666666666667</v>
      </c>
      <c r="DW386" s="121">
        <f t="shared" si="52"/>
        <v>164.51960245768228</v>
      </c>
      <c r="DX386" s="121">
        <f t="shared" si="52"/>
        <v>10.866666666666667</v>
      </c>
      <c r="DY386" s="121" t="e">
        <f t="shared" si="52"/>
        <v>#DIV/0!</v>
      </c>
      <c r="DZ386" s="121">
        <f t="shared" si="52"/>
        <v>49.35</v>
      </c>
      <c r="EA386" s="121">
        <f t="shared" si="52"/>
        <v>3</v>
      </c>
      <c r="EB386" s="121">
        <f t="shared" si="52"/>
        <v>0</v>
      </c>
      <c r="EC386" s="121">
        <f t="shared" si="52"/>
        <v>1.1333333333333333</v>
      </c>
      <c r="ED386" s="121">
        <f t="shared" si="52"/>
        <v>534.69500020345049</v>
      </c>
      <c r="EE386" s="129"/>
      <c r="EF386" s="129"/>
      <c r="EG386" s="129"/>
    </row>
    <row r="387" spans="1:137" x14ac:dyDescent="0.3">
      <c r="A387" s="5" t="s">
        <v>318</v>
      </c>
      <c r="B387" s="121">
        <f>AVERAGEA(B54:B113)</f>
        <v>284.98333333333335</v>
      </c>
      <c r="C387" s="121">
        <f t="shared" ref="C387:BR387" si="53">AVERAGEA(C54:C113)</f>
        <v>53.030783462524411</v>
      </c>
      <c r="D387" s="121">
        <f t="shared" si="53"/>
        <v>100.97471656799317</v>
      </c>
      <c r="E387" s="121">
        <f t="shared" si="53"/>
        <v>20.511566702524821</v>
      </c>
      <c r="F387" s="121">
        <f t="shared" si="53"/>
        <v>28.872986610730489</v>
      </c>
      <c r="G387" s="121">
        <f t="shared" si="53"/>
        <v>19.772699928283693</v>
      </c>
      <c r="H387" s="121">
        <f t="shared" si="53"/>
        <v>335.66666666666669</v>
      </c>
      <c r="I387" s="121">
        <f t="shared" si="53"/>
        <v>304.18333333333334</v>
      </c>
      <c r="J387" s="121">
        <f t="shared" si="53"/>
        <v>68.979433631896967</v>
      </c>
      <c r="K387" s="121">
        <f t="shared" si="53"/>
        <v>65.358602523803711</v>
      </c>
      <c r="L387" s="121">
        <f t="shared" si="53"/>
        <v>48.068850008646649</v>
      </c>
      <c r="M387" s="121">
        <f t="shared" si="53"/>
        <v>13.965183337529501</v>
      </c>
      <c r="N387" s="121">
        <f t="shared" si="53"/>
        <v>17.259866809844972</v>
      </c>
      <c r="O387" s="121">
        <f t="shared" si="53"/>
        <v>18.8</v>
      </c>
      <c r="P387" s="121">
        <f t="shared" si="53"/>
        <v>0</v>
      </c>
      <c r="Q387" s="121">
        <f t="shared" si="53"/>
        <v>19.393747234344481</v>
      </c>
      <c r="R387" s="121">
        <f t="shared" si="53"/>
        <v>20.916718753178916</v>
      </c>
      <c r="S387" s="121">
        <f t="shared" si="53"/>
        <v>21.37113316853841</v>
      </c>
      <c r="T387" s="121">
        <f t="shared" si="53"/>
        <v>5.8833333333333337</v>
      </c>
      <c r="U387" s="121">
        <f t="shared" si="53"/>
        <v>5.8833333333333337</v>
      </c>
      <c r="V387" s="121">
        <f t="shared" si="53"/>
        <v>1032.6333333333334</v>
      </c>
      <c r="W387" s="121">
        <f t="shared" si="53"/>
        <v>33.074552663167317</v>
      </c>
      <c r="X387" s="121">
        <f t="shared" si="53"/>
        <v>34.795783519744873</v>
      </c>
      <c r="Y387" s="121">
        <f t="shared" si="53"/>
        <v>8.4754167795181274</v>
      </c>
      <c r="Z387" s="121">
        <f t="shared" si="53"/>
        <v>0</v>
      </c>
      <c r="AA387" s="121">
        <f t="shared" si="53"/>
        <v>28.319033368428549</v>
      </c>
      <c r="AB387" s="121">
        <f t="shared" si="53"/>
        <v>0</v>
      </c>
      <c r="AC387" s="121">
        <f t="shared" si="53"/>
        <v>61.501795832316084</v>
      </c>
      <c r="AD387" s="121">
        <f t="shared" si="53"/>
        <v>6.0728666623433432</v>
      </c>
      <c r="AE387" s="121">
        <f t="shared" si="53"/>
        <v>0</v>
      </c>
      <c r="AF387" s="121">
        <f t="shared" si="53"/>
        <v>91.219136683146161</v>
      </c>
      <c r="AG387" s="121">
        <f t="shared" si="53"/>
        <v>0</v>
      </c>
      <c r="AH387" s="121">
        <f t="shared" si="53"/>
        <v>73.249061330159506</v>
      </c>
      <c r="AI387" s="121">
        <f t="shared" si="53"/>
        <v>18.117683299382527</v>
      </c>
      <c r="AJ387" s="121">
        <f t="shared" si="53"/>
        <v>26.437665271759034</v>
      </c>
      <c r="AK387" s="121">
        <f t="shared" si="53"/>
        <v>48.193290646870928</v>
      </c>
      <c r="AL387" s="121">
        <f t="shared" si="53"/>
        <v>57.360999933878581</v>
      </c>
      <c r="AM387" s="121">
        <f t="shared" si="53"/>
        <v>57.669600105285646</v>
      </c>
      <c r="AN387" s="121">
        <f t="shared" si="53"/>
        <v>140.49895833333332</v>
      </c>
      <c r="AO387" s="121">
        <f t="shared" si="53"/>
        <v>76.033333333333331</v>
      </c>
      <c r="AP387" s="121">
        <f t="shared" si="53"/>
        <v>74.657854207356777</v>
      </c>
      <c r="AQ387" s="121">
        <f t="shared" si="53"/>
        <v>47.68409932454427</v>
      </c>
      <c r="AR387" s="121">
        <f t="shared" si="53"/>
        <v>94.13333333333334</v>
      </c>
      <c r="AS387" s="121" t="e">
        <f t="shared" si="53"/>
        <v>#DIV/0!</v>
      </c>
      <c r="AT387" s="121">
        <f t="shared" si="53"/>
        <v>122.1</v>
      </c>
      <c r="AU387" s="121" t="e">
        <f t="shared" si="53"/>
        <v>#DIV/0!</v>
      </c>
      <c r="AV387" s="121">
        <f t="shared" si="53"/>
        <v>86.316666666666663</v>
      </c>
      <c r="AW387" s="121" t="e">
        <f t="shared" si="53"/>
        <v>#DIV/0!</v>
      </c>
      <c r="AX387" s="121">
        <f t="shared" si="53"/>
        <v>33.383333333333333</v>
      </c>
      <c r="AY387" s="121">
        <f t="shared" si="53"/>
        <v>35.562130800882976</v>
      </c>
      <c r="AZ387" s="121">
        <f t="shared" si="53"/>
        <v>20.933333333333334</v>
      </c>
      <c r="BA387" s="121" t="e">
        <f t="shared" si="53"/>
        <v>#DIV/0!</v>
      </c>
      <c r="BB387" s="121">
        <f t="shared" si="53"/>
        <v>278.81666666666666</v>
      </c>
      <c r="BC387" s="121">
        <f t="shared" si="53"/>
        <v>282.0840784708659</v>
      </c>
      <c r="BD387" s="121">
        <f t="shared" si="53"/>
        <v>7.1449999491373699</v>
      </c>
      <c r="BE387" s="121">
        <f t="shared" si="53"/>
        <v>7.1883446931838986</v>
      </c>
      <c r="BF387" s="121">
        <f t="shared" si="53"/>
        <v>29.85</v>
      </c>
      <c r="BG387" s="121">
        <f t="shared" si="53"/>
        <v>11.05</v>
      </c>
      <c r="BH387" s="121">
        <f t="shared" si="53"/>
        <v>11.755963611602784</v>
      </c>
      <c r="BI387" s="121" t="e">
        <f t="shared" si="53"/>
        <v>#DIV/0!</v>
      </c>
      <c r="BJ387" s="121">
        <f t="shared" si="53"/>
        <v>16.683333333333334</v>
      </c>
      <c r="BK387" s="121">
        <f t="shared" si="53"/>
        <v>16.683333333333334</v>
      </c>
      <c r="BL387" s="121">
        <f t="shared" si="53"/>
        <v>0</v>
      </c>
      <c r="BM387" s="121" t="e">
        <f t="shared" si="53"/>
        <v>#DIV/0!</v>
      </c>
      <c r="BN387" s="121">
        <f t="shared" si="53"/>
        <v>122.78500010172526</v>
      </c>
      <c r="BO387" s="121">
        <f t="shared" si="53"/>
        <v>74.2</v>
      </c>
      <c r="BP387" s="121">
        <f t="shared" si="53"/>
        <v>48.585000101725264</v>
      </c>
      <c r="BQ387" s="121">
        <f t="shared" si="53"/>
        <v>303.33333333333331</v>
      </c>
      <c r="BR387" s="121">
        <f t="shared" si="53"/>
        <v>88.4642333984375</v>
      </c>
      <c r="BS387" s="121">
        <f t="shared" ref="BS387:ED387" si="54">AVERAGEA(BS54:BS113)</f>
        <v>26.129149850209554</v>
      </c>
      <c r="BT387" s="121">
        <f t="shared" si="54"/>
        <v>45.967233085632323</v>
      </c>
      <c r="BU387" s="121">
        <f t="shared" si="54"/>
        <v>43.277250099182126</v>
      </c>
      <c r="BV387" s="121">
        <f t="shared" si="54"/>
        <v>69.078333409627277</v>
      </c>
      <c r="BW387" s="121">
        <f t="shared" si="54"/>
        <v>6.6350000143051151</v>
      </c>
      <c r="BX387" s="121">
        <f t="shared" si="54"/>
        <v>13.633333381017049</v>
      </c>
      <c r="BY387" s="121">
        <f t="shared" si="54"/>
        <v>28.433333333333334</v>
      </c>
      <c r="BZ387" s="121">
        <f t="shared" si="54"/>
        <v>7.6328773896209894</v>
      </c>
      <c r="CA387" s="121">
        <f t="shared" si="54"/>
        <v>7.7</v>
      </c>
      <c r="CB387" s="121">
        <f t="shared" si="54"/>
        <v>29.443042119344074</v>
      </c>
      <c r="CC387" s="121" t="e">
        <f t="shared" si="54"/>
        <v>#DIV/0!</v>
      </c>
      <c r="CD387" s="121">
        <f t="shared" si="54"/>
        <v>415.22927042643227</v>
      </c>
      <c r="CE387" s="121">
        <f t="shared" si="54"/>
        <v>67.18891277313233</v>
      </c>
      <c r="CF387" s="121">
        <f t="shared" si="54"/>
        <v>28.444125143686929</v>
      </c>
      <c r="CG387" s="121">
        <f t="shared" si="54"/>
        <v>35.338191986083984</v>
      </c>
      <c r="CH387" s="121">
        <f t="shared" si="54"/>
        <v>299.70220896402992</v>
      </c>
      <c r="CI387" s="121">
        <f t="shared" si="54"/>
        <v>102.5114060719808</v>
      </c>
      <c r="CJ387" s="121">
        <f t="shared" si="54"/>
        <v>49.092545382181804</v>
      </c>
      <c r="CK387" s="121">
        <f t="shared" si="54"/>
        <v>57.718145624796549</v>
      </c>
      <c r="CL387" s="121">
        <f t="shared" si="54"/>
        <v>42.358338483174641</v>
      </c>
      <c r="CM387" s="121">
        <f t="shared" si="54"/>
        <v>281.51322987874352</v>
      </c>
      <c r="CN387" s="121">
        <f t="shared" si="54"/>
        <v>102.66261418660481</v>
      </c>
      <c r="CO387" s="121">
        <f t="shared" si="54"/>
        <v>88.786431503295901</v>
      </c>
      <c r="CP387" s="121">
        <f t="shared" si="54"/>
        <v>85.232385762532559</v>
      </c>
      <c r="CQ387" s="121">
        <f t="shared" si="54"/>
        <v>0</v>
      </c>
      <c r="CR387" s="121">
        <f t="shared" si="54"/>
        <v>59.883008448282879</v>
      </c>
      <c r="CS387" s="121">
        <f t="shared" si="54"/>
        <v>11.215860176086426</v>
      </c>
      <c r="CT387" s="121">
        <f t="shared" si="54"/>
        <v>46.370431582132973</v>
      </c>
      <c r="CU387" s="121">
        <f t="shared" si="54"/>
        <v>67.255062611897785</v>
      </c>
      <c r="CV387" s="121">
        <f t="shared" si="54"/>
        <v>85.289125569661465</v>
      </c>
      <c r="CW387" s="121">
        <f t="shared" si="54"/>
        <v>3.3833333333333333</v>
      </c>
      <c r="CX387" s="121">
        <f t="shared" si="54"/>
        <v>432.11666666666667</v>
      </c>
      <c r="CY387" s="121">
        <f t="shared" si="54"/>
        <v>202.25604807535808</v>
      </c>
      <c r="CZ387" s="121">
        <f t="shared" si="54"/>
        <v>59.898391660054521</v>
      </c>
      <c r="DA387" s="121">
        <f t="shared" si="54"/>
        <v>22.27445952097575</v>
      </c>
      <c r="DB387" s="121">
        <f t="shared" si="54"/>
        <v>39.900906753540042</v>
      </c>
      <c r="DC387" s="121">
        <f t="shared" si="54"/>
        <v>89.920803960164392</v>
      </c>
      <c r="DD387" s="121">
        <f t="shared" si="54"/>
        <v>297.85000000000002</v>
      </c>
      <c r="DE387" s="121">
        <f t="shared" si="54"/>
        <v>193.31666666666666</v>
      </c>
      <c r="DF387" s="121">
        <f t="shared" si="54"/>
        <v>323.6503791809082</v>
      </c>
      <c r="DG387" s="121">
        <f t="shared" si="54"/>
        <v>91.579751714070639</v>
      </c>
      <c r="DH387" s="121">
        <f t="shared" si="54"/>
        <v>62.622213808695477</v>
      </c>
      <c r="DI387" s="121">
        <f t="shared" si="54"/>
        <v>41.352886136372881</v>
      </c>
      <c r="DJ387" s="121">
        <f t="shared" si="54"/>
        <v>239.21666666666667</v>
      </c>
      <c r="DK387" s="121">
        <f t="shared" si="54"/>
        <v>137.1880839029948</v>
      </c>
      <c r="DL387" s="121">
        <f t="shared" si="54"/>
        <v>28.562266635894776</v>
      </c>
      <c r="DM387" s="121">
        <f t="shared" si="54"/>
        <v>54.604233551025388</v>
      </c>
      <c r="DN387" s="121">
        <f t="shared" si="54"/>
        <v>53.196433448791502</v>
      </c>
      <c r="DO387" s="121">
        <f t="shared" si="54"/>
        <v>113.88427251180013</v>
      </c>
      <c r="DP387" s="121">
        <f t="shared" si="54"/>
        <v>16.630916690826417</v>
      </c>
      <c r="DQ387" s="121" t="e">
        <f t="shared" si="54"/>
        <v>#DIV/0!</v>
      </c>
      <c r="DR387" s="121">
        <f t="shared" si="54"/>
        <v>58.06666666666667</v>
      </c>
      <c r="DS387" s="121">
        <f t="shared" si="54"/>
        <v>44.40666675567627</v>
      </c>
      <c r="DT387" s="121">
        <f t="shared" si="54"/>
        <v>13.05</v>
      </c>
      <c r="DU387" s="121" t="e">
        <f t="shared" si="54"/>
        <v>#DIV/0!</v>
      </c>
      <c r="DV387" s="121">
        <f t="shared" si="54"/>
        <v>173.48333333333332</v>
      </c>
      <c r="DW387" s="121">
        <f t="shared" si="54"/>
        <v>164.45333582560221</v>
      </c>
      <c r="DX387" s="121">
        <f t="shared" si="54"/>
        <v>10.783333333333333</v>
      </c>
      <c r="DY387" s="121" t="e">
        <f t="shared" si="54"/>
        <v>#DIV/0!</v>
      </c>
      <c r="DZ387" s="121">
        <f t="shared" si="54"/>
        <v>48.85</v>
      </c>
      <c r="EA387" s="121">
        <f t="shared" si="54"/>
        <v>3</v>
      </c>
      <c r="EB387" s="121">
        <f t="shared" si="54"/>
        <v>0</v>
      </c>
      <c r="EC387" s="121">
        <f t="shared" si="54"/>
        <v>1.1000000000000001</v>
      </c>
      <c r="ED387" s="121">
        <f t="shared" si="54"/>
        <v>487.35666656494141</v>
      </c>
      <c r="EE387" s="129"/>
      <c r="EF387" s="129"/>
      <c r="EG387" s="129"/>
    </row>
    <row r="388" spans="1:137" x14ac:dyDescent="0.3">
      <c r="A388" s="5" t="s">
        <v>319</v>
      </c>
      <c r="B388" s="121">
        <f>AVERAGEA(B59:B118)</f>
        <v>283.68333333333334</v>
      </c>
      <c r="C388" s="121">
        <f t="shared" ref="C388:BR388" si="55">AVERAGEA(C59:C118)</f>
        <v>52.929000155131021</v>
      </c>
      <c r="D388" s="121">
        <f t="shared" si="55"/>
        <v>100.89370015462239</v>
      </c>
      <c r="E388" s="121">
        <f t="shared" si="55"/>
        <v>20.72268336613973</v>
      </c>
      <c r="F388" s="121">
        <f t="shared" si="55"/>
        <v>30.853517572085064</v>
      </c>
      <c r="G388" s="121">
        <f t="shared" si="55"/>
        <v>19.495599937438964</v>
      </c>
      <c r="H388" s="121">
        <f t="shared" si="55"/>
        <v>332.76666666666665</v>
      </c>
      <c r="I388" s="121">
        <f t="shared" si="55"/>
        <v>301.45</v>
      </c>
      <c r="J388" s="121">
        <f t="shared" si="55"/>
        <v>68.647683525085455</v>
      </c>
      <c r="K388" s="121">
        <f t="shared" si="55"/>
        <v>65.429485321044922</v>
      </c>
      <c r="L388" s="121">
        <f t="shared" si="55"/>
        <v>47.774333254496256</v>
      </c>
      <c r="M388" s="121">
        <f t="shared" si="55"/>
        <v>13.850216690699259</v>
      </c>
      <c r="N388" s="121">
        <f t="shared" si="55"/>
        <v>17.314983431498209</v>
      </c>
      <c r="O388" s="121">
        <f t="shared" si="55"/>
        <v>19.083333333333332</v>
      </c>
      <c r="P388" s="121">
        <f t="shared" si="55"/>
        <v>0</v>
      </c>
      <c r="Q388" s="121">
        <f t="shared" si="55"/>
        <v>19.698949527740478</v>
      </c>
      <c r="R388" s="121">
        <f t="shared" si="55"/>
        <v>19.866718753178915</v>
      </c>
      <c r="S388" s="121">
        <f t="shared" si="55"/>
        <v>20.281038236618041</v>
      </c>
      <c r="T388" s="121">
        <f t="shared" si="55"/>
        <v>5.1333333333333337</v>
      </c>
      <c r="U388" s="121">
        <f t="shared" si="55"/>
        <v>5.1333333333333337</v>
      </c>
      <c r="V388" s="121">
        <f t="shared" si="55"/>
        <v>1016</v>
      </c>
      <c r="W388" s="121">
        <f t="shared" si="55"/>
        <v>32.426754411061602</v>
      </c>
      <c r="X388" s="121">
        <f t="shared" si="55"/>
        <v>34.13230012257894</v>
      </c>
      <c r="Y388" s="121">
        <f t="shared" si="55"/>
        <v>8.3185000975926719</v>
      </c>
      <c r="Z388" s="121">
        <f t="shared" si="55"/>
        <v>0</v>
      </c>
      <c r="AA388" s="121">
        <f t="shared" si="55"/>
        <v>28.194616699218749</v>
      </c>
      <c r="AB388" s="121">
        <f t="shared" si="55"/>
        <v>0</v>
      </c>
      <c r="AC388" s="121">
        <f t="shared" si="55"/>
        <v>61.115374310811362</v>
      </c>
      <c r="AD388" s="121">
        <f t="shared" si="55"/>
        <v>6.0770999987920122</v>
      </c>
      <c r="AE388" s="121">
        <f t="shared" si="55"/>
        <v>0</v>
      </c>
      <c r="AF388" s="121">
        <f t="shared" si="55"/>
        <v>90.458812204996747</v>
      </c>
      <c r="AG388" s="121">
        <f t="shared" si="55"/>
        <v>0</v>
      </c>
      <c r="AH388" s="121">
        <f t="shared" si="55"/>
        <v>72.214676793416345</v>
      </c>
      <c r="AI388" s="121">
        <f t="shared" si="55"/>
        <v>17.610850000381468</v>
      </c>
      <c r="AJ388" s="121">
        <f t="shared" si="55"/>
        <v>26.168605613708497</v>
      </c>
      <c r="AK388" s="121">
        <f t="shared" si="55"/>
        <v>47.817556444803877</v>
      </c>
      <c r="AL388" s="121">
        <f t="shared" si="55"/>
        <v>56.957516670227051</v>
      </c>
      <c r="AM388" s="121">
        <f t="shared" si="55"/>
        <v>57.443750063578285</v>
      </c>
      <c r="AN388" s="121">
        <f t="shared" si="55"/>
        <v>138.66874999999999</v>
      </c>
      <c r="AO388" s="121">
        <f t="shared" si="55"/>
        <v>74.983333333333334</v>
      </c>
      <c r="AP388" s="121">
        <f t="shared" si="55"/>
        <v>73.519965616861981</v>
      </c>
      <c r="AQ388" s="121">
        <f t="shared" si="55"/>
        <v>47.042524592081705</v>
      </c>
      <c r="AR388" s="121">
        <f t="shared" si="55"/>
        <v>92.716666666666669</v>
      </c>
      <c r="AS388" s="121" t="e">
        <f t="shared" si="55"/>
        <v>#DIV/0!</v>
      </c>
      <c r="AT388" s="121">
        <f t="shared" si="55"/>
        <v>122.26666666666667</v>
      </c>
      <c r="AU388" s="121" t="e">
        <f t="shared" si="55"/>
        <v>#DIV/0!</v>
      </c>
      <c r="AV388" s="121">
        <f t="shared" si="55"/>
        <v>84.666666666666671</v>
      </c>
      <c r="AW388" s="121" t="e">
        <f t="shared" si="55"/>
        <v>#DIV/0!</v>
      </c>
      <c r="AX388" s="121">
        <f t="shared" si="55"/>
        <v>33.116666666666667</v>
      </c>
      <c r="AY388" s="121">
        <f t="shared" si="55"/>
        <v>35.281034914652508</v>
      </c>
      <c r="AZ388" s="121">
        <f t="shared" si="55"/>
        <v>20.3</v>
      </c>
      <c r="BA388" s="121" t="e">
        <f t="shared" si="55"/>
        <v>#DIV/0!</v>
      </c>
      <c r="BB388" s="121">
        <f t="shared" si="55"/>
        <v>287.66666666666669</v>
      </c>
      <c r="BC388" s="121">
        <f t="shared" si="55"/>
        <v>290.64400812784828</v>
      </c>
      <c r="BD388" s="121">
        <f t="shared" si="55"/>
        <v>7.1299999237060545</v>
      </c>
      <c r="BE388" s="121">
        <f t="shared" si="55"/>
        <v>7.1759383042653404</v>
      </c>
      <c r="BF388" s="121">
        <f t="shared" si="55"/>
        <v>29.85</v>
      </c>
      <c r="BG388" s="121">
        <f t="shared" si="55"/>
        <v>11.033333333333333</v>
      </c>
      <c r="BH388" s="121">
        <f t="shared" si="55"/>
        <v>11.702529493967692</v>
      </c>
      <c r="BI388" s="121" t="e">
        <f t="shared" si="55"/>
        <v>#DIV/0!</v>
      </c>
      <c r="BJ388" s="121">
        <f t="shared" si="55"/>
        <v>16.633333333333333</v>
      </c>
      <c r="BK388" s="121">
        <f t="shared" si="55"/>
        <v>16.633333333333333</v>
      </c>
      <c r="BL388" s="121">
        <f t="shared" si="55"/>
        <v>0</v>
      </c>
      <c r="BM388" s="121" t="e">
        <f t="shared" si="55"/>
        <v>#DIV/0!</v>
      </c>
      <c r="BN388" s="121">
        <f t="shared" si="55"/>
        <v>122.79500007629395</v>
      </c>
      <c r="BO388" s="121">
        <f t="shared" si="55"/>
        <v>74.13333333333334</v>
      </c>
      <c r="BP388" s="121">
        <f t="shared" si="55"/>
        <v>48.661666742960612</v>
      </c>
      <c r="BQ388" s="121">
        <f t="shared" si="55"/>
        <v>300.51666666666665</v>
      </c>
      <c r="BR388" s="121">
        <f t="shared" si="55"/>
        <v>86.929866663614902</v>
      </c>
      <c r="BS388" s="121">
        <f t="shared" ref="BS388:ED388" si="56">AVERAGEA(BS59:BS118)</f>
        <v>26.082499821980793</v>
      </c>
      <c r="BT388" s="121">
        <f t="shared" si="56"/>
        <v>45.730583127339678</v>
      </c>
      <c r="BU388" s="121">
        <f t="shared" si="56"/>
        <v>42.725900204976398</v>
      </c>
      <c r="BV388" s="121">
        <f t="shared" si="56"/>
        <v>69.113333638509118</v>
      </c>
      <c r="BW388" s="121">
        <f t="shared" si="56"/>
        <v>6.578333346048991</v>
      </c>
      <c r="BX388" s="121">
        <f t="shared" si="56"/>
        <v>13.650000047683715</v>
      </c>
      <c r="BY388" s="121">
        <f t="shared" si="56"/>
        <v>28.366666666666667</v>
      </c>
      <c r="BZ388" s="121">
        <f t="shared" si="56"/>
        <v>9.2913513734005395</v>
      </c>
      <c r="CA388" s="121">
        <f t="shared" si="56"/>
        <v>9.25</v>
      </c>
      <c r="CB388" s="121">
        <f t="shared" si="56"/>
        <v>29.427586142222086</v>
      </c>
      <c r="CC388" s="121" t="e">
        <f t="shared" si="56"/>
        <v>#DIV/0!</v>
      </c>
      <c r="CD388" s="121">
        <f t="shared" si="56"/>
        <v>411.44709421793618</v>
      </c>
      <c r="CE388" s="121">
        <f t="shared" si="56"/>
        <v>65.608246803283691</v>
      </c>
      <c r="CF388" s="121">
        <f t="shared" si="56"/>
        <v>27.921799310048421</v>
      </c>
      <c r="CG388" s="121">
        <f t="shared" si="56"/>
        <v>35.338191986083984</v>
      </c>
      <c r="CH388" s="121">
        <f t="shared" si="56"/>
        <v>298.22048288981119</v>
      </c>
      <c r="CI388" s="121">
        <f t="shared" si="56"/>
        <v>101.09599049886067</v>
      </c>
      <c r="CJ388" s="121">
        <f t="shared" si="56"/>
        <v>48.222386614481607</v>
      </c>
      <c r="CK388" s="121">
        <f t="shared" si="56"/>
        <v>57.110219891866045</v>
      </c>
      <c r="CL388" s="121">
        <f t="shared" si="56"/>
        <v>41.837310854593916</v>
      </c>
      <c r="CM388" s="121">
        <f t="shared" si="56"/>
        <v>274.84042307535805</v>
      </c>
      <c r="CN388" s="121">
        <f t="shared" si="56"/>
        <v>97.968344497680661</v>
      </c>
      <c r="CO388" s="121">
        <f t="shared" si="56"/>
        <v>88.470539347330728</v>
      </c>
      <c r="CP388" s="121">
        <f t="shared" si="56"/>
        <v>83.659384155273443</v>
      </c>
      <c r="CQ388" s="121">
        <f t="shared" si="56"/>
        <v>0</v>
      </c>
      <c r="CR388" s="121">
        <f t="shared" si="56"/>
        <v>59.036089960734053</v>
      </c>
      <c r="CS388" s="121">
        <f t="shared" si="56"/>
        <v>11.094221750895182</v>
      </c>
      <c r="CT388" s="121">
        <f t="shared" si="56"/>
        <v>45.31775557200114</v>
      </c>
      <c r="CU388" s="121">
        <f t="shared" si="56"/>
        <v>60.364164161682126</v>
      </c>
      <c r="CV388" s="121">
        <f t="shared" si="56"/>
        <v>84.032259496053058</v>
      </c>
      <c r="CW388" s="121">
        <f t="shared" si="56"/>
        <v>3.5</v>
      </c>
      <c r="CX388" s="121">
        <f t="shared" si="56"/>
        <v>428.26666666666665</v>
      </c>
      <c r="CY388" s="121">
        <f t="shared" si="56"/>
        <v>200.37080891927084</v>
      </c>
      <c r="CZ388" s="121">
        <f t="shared" si="56"/>
        <v>59.449381319681805</v>
      </c>
      <c r="DA388" s="121">
        <f t="shared" si="56"/>
        <v>22.130591424306235</v>
      </c>
      <c r="DB388" s="121">
        <f t="shared" si="56"/>
        <v>39.253838475545244</v>
      </c>
      <c r="DC388" s="121">
        <f t="shared" si="56"/>
        <v>89.361534245808926</v>
      </c>
      <c r="DD388" s="121">
        <f t="shared" si="56"/>
        <v>247.85</v>
      </c>
      <c r="DE388" s="121">
        <f t="shared" si="56"/>
        <v>192.01666666666668</v>
      </c>
      <c r="DF388" s="121">
        <f t="shared" si="56"/>
        <v>274.6457556406657</v>
      </c>
      <c r="DG388" s="121">
        <f t="shared" si="56"/>
        <v>90.61499048868815</v>
      </c>
      <c r="DH388" s="121">
        <f t="shared" si="56"/>
        <v>61.754864120483397</v>
      </c>
      <c r="DI388" s="121">
        <f t="shared" si="56"/>
        <v>41.092797915140785</v>
      </c>
      <c r="DJ388" s="121">
        <f t="shared" si="56"/>
        <v>236.93333333333334</v>
      </c>
      <c r="DK388" s="121">
        <f t="shared" si="56"/>
        <v>135.13533388773601</v>
      </c>
      <c r="DL388" s="121">
        <f t="shared" si="56"/>
        <v>28.368116601308188</v>
      </c>
      <c r="DM388" s="121">
        <f t="shared" si="56"/>
        <v>52.728116798400876</v>
      </c>
      <c r="DN388" s="121">
        <f t="shared" si="56"/>
        <v>52.984400113423668</v>
      </c>
      <c r="DO388" s="121">
        <f t="shared" si="56"/>
        <v>113.70657297770182</v>
      </c>
      <c r="DP388" s="121">
        <f t="shared" si="56"/>
        <v>16.536666679382325</v>
      </c>
      <c r="DQ388" s="121" t="e">
        <f t="shared" si="56"/>
        <v>#DIV/0!</v>
      </c>
      <c r="DR388" s="121">
        <f t="shared" si="56"/>
        <v>52.483333333333334</v>
      </c>
      <c r="DS388" s="121">
        <f t="shared" si="56"/>
        <v>42.600000127156576</v>
      </c>
      <c r="DT388" s="121">
        <f t="shared" si="56"/>
        <v>12.983333333333333</v>
      </c>
      <c r="DU388" s="121" t="e">
        <f t="shared" si="56"/>
        <v>#DIV/0!</v>
      </c>
      <c r="DV388" s="121">
        <f t="shared" si="56"/>
        <v>173.46666666666667</v>
      </c>
      <c r="DW388" s="121">
        <f t="shared" si="56"/>
        <v>164.46431147257488</v>
      </c>
      <c r="DX388" s="121">
        <f t="shared" si="56"/>
        <v>10.683333333333334</v>
      </c>
      <c r="DY388" s="121" t="e">
        <f t="shared" si="56"/>
        <v>#DIV/0!</v>
      </c>
      <c r="DZ388" s="121">
        <f t="shared" si="56"/>
        <v>48.4</v>
      </c>
      <c r="EA388" s="121">
        <f t="shared" si="56"/>
        <v>3</v>
      </c>
      <c r="EB388" s="121">
        <f t="shared" si="56"/>
        <v>0</v>
      </c>
      <c r="EC388" s="121">
        <f t="shared" si="56"/>
        <v>1.1000000000000001</v>
      </c>
      <c r="ED388" s="121">
        <f t="shared" si="56"/>
        <v>439.73166656494141</v>
      </c>
      <c r="EE388" s="129"/>
      <c r="EF388" s="129"/>
      <c r="EG388" s="129"/>
    </row>
    <row r="389" spans="1:137" x14ac:dyDescent="0.3">
      <c r="A389" s="160" t="s">
        <v>646</v>
      </c>
      <c r="B389" s="121">
        <f>AVERAGEA(B64:B123)</f>
        <v>281.3</v>
      </c>
      <c r="C389" s="121">
        <f t="shared" ref="C389:BR389" si="57">AVERAGEA(C64:C123)</f>
        <v>52.512450154622393</v>
      </c>
      <c r="D389" s="121">
        <f t="shared" si="57"/>
        <v>100.64110018412272</v>
      </c>
      <c r="E389" s="121">
        <f t="shared" si="57"/>
        <v>20.673683325449627</v>
      </c>
      <c r="F389" s="121">
        <f t="shared" si="57"/>
        <v>31.517283586661019</v>
      </c>
      <c r="G389" s="121">
        <f t="shared" si="57"/>
        <v>19.393833287556966</v>
      </c>
      <c r="H389" s="121">
        <f t="shared" si="57"/>
        <v>330.4</v>
      </c>
      <c r="I389" s="121">
        <f t="shared" si="57"/>
        <v>299.10000000000002</v>
      </c>
      <c r="J389" s="121">
        <f t="shared" si="57"/>
        <v>68.118000094095862</v>
      </c>
      <c r="K389" s="121">
        <f t="shared" si="57"/>
        <v>65.583211898803711</v>
      </c>
      <c r="L389" s="121">
        <f t="shared" si="57"/>
        <v>47.659466616312663</v>
      </c>
      <c r="M389" s="121">
        <f t="shared" si="57"/>
        <v>13.742766698201498</v>
      </c>
      <c r="N389" s="121">
        <f t="shared" si="57"/>
        <v>17.343633460998536</v>
      </c>
      <c r="O389" s="121">
        <f t="shared" si="57"/>
        <v>19.3</v>
      </c>
      <c r="P389" s="121">
        <f t="shared" si="57"/>
        <v>0</v>
      </c>
      <c r="Q389" s="121">
        <f t="shared" si="57"/>
        <v>19.871204566955566</v>
      </c>
      <c r="R389" s="121">
        <f t="shared" si="57"/>
        <v>19.133437474568684</v>
      </c>
      <c r="S389" s="121">
        <f t="shared" si="57"/>
        <v>19.41357528368632</v>
      </c>
      <c r="T389" s="121">
        <f t="shared" si="57"/>
        <v>4.6500000000000004</v>
      </c>
      <c r="U389" s="121">
        <f t="shared" si="57"/>
        <v>4.6500000000000004</v>
      </c>
      <c r="V389" s="121">
        <f t="shared" si="57"/>
        <v>1007.4333333333333</v>
      </c>
      <c r="W389" s="121">
        <f t="shared" si="57"/>
        <v>31.867155520121255</v>
      </c>
      <c r="X389" s="121">
        <f t="shared" si="57"/>
        <v>33.544183444976809</v>
      </c>
      <c r="Y389" s="121">
        <f t="shared" si="57"/>
        <v>8.1870167732238777</v>
      </c>
      <c r="Z389" s="121">
        <f t="shared" si="57"/>
        <v>0</v>
      </c>
      <c r="AA389" s="121">
        <f t="shared" si="57"/>
        <v>27.813850053151448</v>
      </c>
      <c r="AB389" s="121">
        <f t="shared" si="57"/>
        <v>0</v>
      </c>
      <c r="AC389" s="121">
        <f t="shared" si="57"/>
        <v>60.815565808614096</v>
      </c>
      <c r="AD389" s="121">
        <f t="shared" si="57"/>
        <v>6.0983166535695394</v>
      </c>
      <c r="AE389" s="121">
        <f t="shared" si="57"/>
        <v>0</v>
      </c>
      <c r="AF389" s="121">
        <f t="shared" si="57"/>
        <v>89.724145634969076</v>
      </c>
      <c r="AG389" s="121">
        <f t="shared" si="57"/>
        <v>0</v>
      </c>
      <c r="AH389" s="121">
        <f t="shared" si="57"/>
        <v>71.204516728719071</v>
      </c>
      <c r="AI389" s="121">
        <f t="shared" si="57"/>
        <v>17.339416662851971</v>
      </c>
      <c r="AJ389" s="121">
        <f t="shared" si="57"/>
        <v>25.754690424601236</v>
      </c>
      <c r="AK389" s="121">
        <f t="shared" si="57"/>
        <v>47.554607836405438</v>
      </c>
      <c r="AL389" s="121">
        <f t="shared" si="57"/>
        <v>56.724816640218101</v>
      </c>
      <c r="AM389" s="121">
        <f t="shared" si="57"/>
        <v>57.171266682942708</v>
      </c>
      <c r="AN389" s="121">
        <f t="shared" si="57"/>
        <v>136.93020833333333</v>
      </c>
      <c r="AO389" s="121">
        <f t="shared" si="57"/>
        <v>73.900000000000006</v>
      </c>
      <c r="AP389" s="121">
        <f t="shared" si="57"/>
        <v>72.511245727539063</v>
      </c>
      <c r="AQ389" s="121">
        <f t="shared" si="57"/>
        <v>46.31555201212565</v>
      </c>
      <c r="AR389" s="121">
        <f t="shared" si="57"/>
        <v>91.25</v>
      </c>
      <c r="AS389" s="121" t="e">
        <f t="shared" si="57"/>
        <v>#DIV/0!</v>
      </c>
      <c r="AT389" s="121">
        <f t="shared" si="57"/>
        <v>122.36666666666666</v>
      </c>
      <c r="AU389" s="121" t="e">
        <f t="shared" si="57"/>
        <v>#DIV/0!</v>
      </c>
      <c r="AV389" s="121">
        <f t="shared" si="57"/>
        <v>83.11666666666666</v>
      </c>
      <c r="AW389" s="121" t="e">
        <f t="shared" si="57"/>
        <v>#DIV/0!</v>
      </c>
      <c r="AX389" s="121">
        <f t="shared" si="57"/>
        <v>32.93333333333333</v>
      </c>
      <c r="AY389" s="121">
        <f t="shared" si="57"/>
        <v>35.099434407552081</v>
      </c>
      <c r="AZ389" s="121">
        <f t="shared" si="57"/>
        <v>19.733333333333334</v>
      </c>
      <c r="BA389" s="121" t="e">
        <f t="shared" si="57"/>
        <v>#DIV/0!</v>
      </c>
      <c r="BB389" s="121">
        <f t="shared" si="57"/>
        <v>296.43333333333334</v>
      </c>
      <c r="BC389" s="121">
        <f t="shared" si="57"/>
        <v>298.89674352010093</v>
      </c>
      <c r="BD389" s="121">
        <f t="shared" si="57"/>
        <v>7.1116665919621784</v>
      </c>
      <c r="BE389" s="121">
        <f t="shared" si="57"/>
        <v>7.1587239821751911</v>
      </c>
      <c r="BF389" s="121">
        <f t="shared" si="57"/>
        <v>29.85</v>
      </c>
      <c r="BG389" s="121">
        <f t="shared" si="57"/>
        <v>11</v>
      </c>
      <c r="BH389" s="121">
        <f t="shared" si="57"/>
        <v>11.634389384587605</v>
      </c>
      <c r="BI389" s="121" t="e">
        <f t="shared" si="57"/>
        <v>#DIV/0!</v>
      </c>
      <c r="BJ389" s="121">
        <f t="shared" si="57"/>
        <v>16.55</v>
      </c>
      <c r="BK389" s="121">
        <f t="shared" si="57"/>
        <v>16.55</v>
      </c>
      <c r="BL389" s="121">
        <f t="shared" si="57"/>
        <v>0</v>
      </c>
      <c r="BM389" s="121" t="e">
        <f t="shared" si="57"/>
        <v>#DIV/0!</v>
      </c>
      <c r="BN389" s="121">
        <f t="shared" si="57"/>
        <v>122.76166674296061</v>
      </c>
      <c r="BO389" s="121">
        <f t="shared" si="57"/>
        <v>74.016666666666666</v>
      </c>
      <c r="BP389" s="121">
        <f t="shared" si="57"/>
        <v>48.745000076293948</v>
      </c>
      <c r="BQ389" s="121">
        <f t="shared" si="57"/>
        <v>298.51666666666665</v>
      </c>
      <c r="BR389" s="121">
        <f t="shared" si="57"/>
        <v>85.977983347574863</v>
      </c>
      <c r="BS389" s="121">
        <f t="shared" ref="BS389:ED389" si="58">AVERAGEA(BS64:BS123)</f>
        <v>26.057033157348634</v>
      </c>
      <c r="BT389" s="121">
        <f t="shared" si="58"/>
        <v>45.441916592915852</v>
      </c>
      <c r="BU389" s="121">
        <f t="shared" si="58"/>
        <v>41.827833557128905</v>
      </c>
      <c r="BV389" s="121">
        <f t="shared" si="58"/>
        <v>69.083333587646479</v>
      </c>
      <c r="BW389" s="121">
        <f t="shared" si="58"/>
        <v>6.5183333555857343</v>
      </c>
      <c r="BX389" s="121">
        <f t="shared" si="58"/>
        <v>13.635000069936117</v>
      </c>
      <c r="BY389" s="121">
        <f t="shared" si="58"/>
        <v>28.35</v>
      </c>
      <c r="BZ389" s="121">
        <f t="shared" si="58"/>
        <v>10.949993280523147</v>
      </c>
      <c r="CA389" s="121">
        <f t="shared" si="58"/>
        <v>10.833333333333334</v>
      </c>
      <c r="CB389" s="121">
        <f t="shared" si="58"/>
        <v>29.435271612803142</v>
      </c>
      <c r="CC389" s="121" t="e">
        <f t="shared" si="58"/>
        <v>#DIV/0!</v>
      </c>
      <c r="CD389" s="121">
        <f t="shared" si="58"/>
        <v>407.36761576334635</v>
      </c>
      <c r="CE389" s="121">
        <f t="shared" si="58"/>
        <v>64.066843605041498</v>
      </c>
      <c r="CF389" s="121">
        <f t="shared" si="58"/>
        <v>27.375203323364257</v>
      </c>
      <c r="CG389" s="121">
        <f t="shared" si="58"/>
        <v>35.338191986083984</v>
      </c>
      <c r="CH389" s="121">
        <f t="shared" si="58"/>
        <v>296.74687449137372</v>
      </c>
      <c r="CI389" s="121">
        <f t="shared" si="58"/>
        <v>99.673364766438809</v>
      </c>
      <c r="CJ389" s="121">
        <f t="shared" si="58"/>
        <v>47.412960179646809</v>
      </c>
      <c r="CK389" s="121">
        <f t="shared" si="58"/>
        <v>56.339336903889972</v>
      </c>
      <c r="CL389" s="121">
        <f t="shared" si="58"/>
        <v>41.145365651448564</v>
      </c>
      <c r="CM389" s="121">
        <f t="shared" si="58"/>
        <v>267.65036697387694</v>
      </c>
      <c r="CN389" s="121">
        <f t="shared" si="58"/>
        <v>92.722680664062494</v>
      </c>
      <c r="CO389" s="121">
        <f t="shared" si="58"/>
        <v>88.325986735026035</v>
      </c>
      <c r="CP389" s="121">
        <f t="shared" si="58"/>
        <v>81.915403747558599</v>
      </c>
      <c r="CQ389" s="121">
        <f t="shared" si="58"/>
        <v>0</v>
      </c>
      <c r="CR389" s="121">
        <f t="shared" si="58"/>
        <v>58.245583534240723</v>
      </c>
      <c r="CS389" s="121">
        <f t="shared" si="58"/>
        <v>10.981293010711671</v>
      </c>
      <c r="CT389" s="121">
        <f t="shared" si="58"/>
        <v>44.461941464742026</v>
      </c>
      <c r="CU389" s="121">
        <f t="shared" si="58"/>
        <v>59.605601946512856</v>
      </c>
      <c r="CV389" s="121">
        <f t="shared" si="58"/>
        <v>82.714994430541992</v>
      </c>
      <c r="CW389" s="121">
        <f t="shared" si="58"/>
        <v>3.35</v>
      </c>
      <c r="CX389" s="121">
        <f t="shared" si="58"/>
        <v>424.71666666666664</v>
      </c>
      <c r="CY389" s="121">
        <f t="shared" si="58"/>
        <v>198.7578224182129</v>
      </c>
      <c r="CZ389" s="121">
        <f t="shared" si="58"/>
        <v>58.873161443074544</v>
      </c>
      <c r="DA389" s="121">
        <f t="shared" si="58"/>
        <v>22.080390898386636</v>
      </c>
      <c r="DB389" s="121">
        <f t="shared" si="58"/>
        <v>38.644938913981122</v>
      </c>
      <c r="DC389" s="121">
        <f t="shared" si="58"/>
        <v>88.702596028645829</v>
      </c>
      <c r="DD389" s="121">
        <f t="shared" si="58"/>
        <v>198.38333333333333</v>
      </c>
      <c r="DE389" s="121">
        <f t="shared" si="58"/>
        <v>190.58333333333334</v>
      </c>
      <c r="DF389" s="121">
        <f t="shared" si="58"/>
        <v>225.6059523264567</v>
      </c>
      <c r="DG389" s="121">
        <f t="shared" si="58"/>
        <v>89.487030410766607</v>
      </c>
      <c r="DH389" s="121">
        <f t="shared" si="58"/>
        <v>60.827620887756346</v>
      </c>
      <c r="DI389" s="121">
        <f t="shared" si="58"/>
        <v>41.040555191040042</v>
      </c>
      <c r="DJ389" s="121">
        <f t="shared" si="58"/>
        <v>234.35</v>
      </c>
      <c r="DK389" s="121">
        <f t="shared" si="58"/>
        <v>132.50156745910644</v>
      </c>
      <c r="DL389" s="121">
        <f t="shared" si="58"/>
        <v>28.072199948628743</v>
      </c>
      <c r="DM389" s="121">
        <f t="shared" si="58"/>
        <v>50.516266791025799</v>
      </c>
      <c r="DN389" s="121">
        <f t="shared" si="58"/>
        <v>52.772366650899251</v>
      </c>
      <c r="DO389" s="121">
        <f t="shared" si="58"/>
        <v>113.68356030782064</v>
      </c>
      <c r="DP389" s="121">
        <f t="shared" si="58"/>
        <v>16.3872833887736</v>
      </c>
      <c r="DQ389" s="121" t="e">
        <f t="shared" si="58"/>
        <v>#DIV/0!</v>
      </c>
      <c r="DR389" s="121">
        <f t="shared" si="58"/>
        <v>46.9</v>
      </c>
      <c r="DS389" s="121">
        <f t="shared" si="58"/>
        <v>40.960000165303548</v>
      </c>
      <c r="DT389" s="121">
        <f t="shared" si="58"/>
        <v>12.933333333333334</v>
      </c>
      <c r="DU389" s="121" t="e">
        <f t="shared" si="58"/>
        <v>#DIV/0!</v>
      </c>
      <c r="DV389" s="121">
        <f t="shared" si="58"/>
        <v>173.11666666666667</v>
      </c>
      <c r="DW389" s="121">
        <f t="shared" si="58"/>
        <v>164.4882901509603</v>
      </c>
      <c r="DX389" s="121">
        <f t="shared" si="58"/>
        <v>10.583333333333334</v>
      </c>
      <c r="DY389" s="121" t="e">
        <f t="shared" si="58"/>
        <v>#DIV/0!</v>
      </c>
      <c r="DZ389" s="121">
        <f t="shared" si="58"/>
        <v>47.966666666666669</v>
      </c>
      <c r="EA389" s="121">
        <f t="shared" si="58"/>
        <v>3</v>
      </c>
      <c r="EB389" s="121">
        <f t="shared" si="58"/>
        <v>0</v>
      </c>
      <c r="EC389" s="121">
        <f t="shared" si="58"/>
        <v>1.1000000000000001</v>
      </c>
      <c r="ED389" s="121">
        <f t="shared" si="58"/>
        <v>392.15666605631509</v>
      </c>
      <c r="EE389" s="129"/>
      <c r="EF389" s="129"/>
      <c r="EG389" s="129"/>
    </row>
    <row r="390" spans="1:137" x14ac:dyDescent="0.3">
      <c r="A390" s="160" t="s">
        <v>320</v>
      </c>
      <c r="B390" s="121">
        <f>AVERAGEA(B69:B128)</f>
        <v>277.39999999999998</v>
      </c>
      <c r="C390" s="121">
        <f t="shared" ref="C390:BR390" si="59">AVERAGEA(C69:C128)</f>
        <v>52.095866775512697</v>
      </c>
      <c r="D390" s="121">
        <f t="shared" si="59"/>
        <v>100.20378354390462</v>
      </c>
      <c r="E390" s="121">
        <f t="shared" si="59"/>
        <v>20.345716651280721</v>
      </c>
      <c r="F390" s="121">
        <f t="shared" si="59"/>
        <v>30.873943430185317</v>
      </c>
      <c r="G390" s="121">
        <f t="shared" si="59"/>
        <v>19.258133284250896</v>
      </c>
      <c r="H390" s="121">
        <f t="shared" si="59"/>
        <v>328.38333333333333</v>
      </c>
      <c r="I390" s="121">
        <f t="shared" si="59"/>
        <v>296.8</v>
      </c>
      <c r="J390" s="121">
        <f t="shared" si="59"/>
        <v>67.806966845194495</v>
      </c>
      <c r="K390" s="121">
        <f t="shared" si="59"/>
        <v>65.78869241078695</v>
      </c>
      <c r="L390" s="121">
        <f t="shared" si="59"/>
        <v>47.412083307902016</v>
      </c>
      <c r="M390" s="121">
        <f t="shared" si="59"/>
        <v>13.69373337427775</v>
      </c>
      <c r="N390" s="121">
        <f t="shared" si="59"/>
        <v>17.335150114695232</v>
      </c>
      <c r="O390" s="121">
        <f t="shared" si="59"/>
        <v>19.45</v>
      </c>
      <c r="P390" s="121">
        <f t="shared" si="59"/>
        <v>0</v>
      </c>
      <c r="Q390" s="121">
        <f t="shared" si="59"/>
        <v>19.94312178293864</v>
      </c>
      <c r="R390" s="121">
        <f t="shared" si="59"/>
        <v>18.1334375222524</v>
      </c>
      <c r="S390" s="121">
        <f t="shared" si="59"/>
        <v>18.30688869158427</v>
      </c>
      <c r="T390" s="121">
        <f t="shared" si="59"/>
        <v>5.4</v>
      </c>
      <c r="U390" s="121">
        <f t="shared" si="59"/>
        <v>5.4</v>
      </c>
      <c r="V390" s="121">
        <f t="shared" si="59"/>
        <v>999.2</v>
      </c>
      <c r="W390" s="121">
        <f t="shared" si="59"/>
        <v>31.449092324574789</v>
      </c>
      <c r="X390" s="121">
        <f t="shared" si="59"/>
        <v>33.023966757456463</v>
      </c>
      <c r="Y390" s="121">
        <f t="shared" si="59"/>
        <v>8.0947667678197224</v>
      </c>
      <c r="Z390" s="121">
        <f t="shared" si="59"/>
        <v>0</v>
      </c>
      <c r="AA390" s="121">
        <f t="shared" si="59"/>
        <v>27.455716768900555</v>
      </c>
      <c r="AB390" s="121">
        <f t="shared" si="59"/>
        <v>0</v>
      </c>
      <c r="AC390" s="121">
        <f t="shared" si="59"/>
        <v>60.416761779785155</v>
      </c>
      <c r="AD390" s="121">
        <f t="shared" si="59"/>
        <v>6.1152999718983967</v>
      </c>
      <c r="AE390" s="121">
        <f t="shared" si="59"/>
        <v>0</v>
      </c>
      <c r="AF390" s="121">
        <f t="shared" si="59"/>
        <v>88.894641494750971</v>
      </c>
      <c r="AG390" s="121">
        <f t="shared" si="59"/>
        <v>0</v>
      </c>
      <c r="AH390" s="121">
        <f t="shared" si="59"/>
        <v>70.486067581176755</v>
      </c>
      <c r="AI390" s="121">
        <f t="shared" si="59"/>
        <v>16.87399999300639</v>
      </c>
      <c r="AJ390" s="121">
        <f t="shared" si="59"/>
        <v>25.287591234842935</v>
      </c>
      <c r="AK390" s="121">
        <f t="shared" si="59"/>
        <v>47.337691561381021</v>
      </c>
      <c r="AL390" s="121">
        <f t="shared" si="59"/>
        <v>56.492149861653644</v>
      </c>
      <c r="AM390" s="121">
        <f t="shared" si="59"/>
        <v>56.763049952189128</v>
      </c>
      <c r="AN390" s="121">
        <f t="shared" si="59"/>
        <v>135.37083333333334</v>
      </c>
      <c r="AO390" s="121">
        <f t="shared" si="59"/>
        <v>73.016666666666666</v>
      </c>
      <c r="AP390" s="121">
        <f t="shared" si="59"/>
        <v>71.715183130900058</v>
      </c>
      <c r="AQ390" s="121">
        <f t="shared" si="59"/>
        <v>45.545003445943195</v>
      </c>
      <c r="AR390" s="121">
        <f t="shared" si="59"/>
        <v>87.783333333333331</v>
      </c>
      <c r="AS390" s="121" t="e">
        <f t="shared" si="59"/>
        <v>#DIV/0!</v>
      </c>
      <c r="AT390" s="121">
        <f t="shared" si="59"/>
        <v>122.33333333333333</v>
      </c>
      <c r="AU390" s="121" t="e">
        <f t="shared" si="59"/>
        <v>#DIV/0!</v>
      </c>
      <c r="AV390" s="121">
        <f t="shared" si="59"/>
        <v>81.55</v>
      </c>
      <c r="AW390" s="121" t="e">
        <f t="shared" si="59"/>
        <v>#DIV/0!</v>
      </c>
      <c r="AX390" s="121">
        <f t="shared" si="59"/>
        <v>32.716666666666669</v>
      </c>
      <c r="AY390" s="121">
        <f t="shared" si="59"/>
        <v>34.847975667317705</v>
      </c>
      <c r="AZ390" s="121">
        <f t="shared" si="59"/>
        <v>19.283333333333335</v>
      </c>
      <c r="BA390" s="121" t="e">
        <f t="shared" si="59"/>
        <v>#DIV/0!</v>
      </c>
      <c r="BB390" s="121">
        <f t="shared" si="59"/>
        <v>302.45</v>
      </c>
      <c r="BC390" s="121">
        <f t="shared" si="59"/>
        <v>305.24087626139323</v>
      </c>
      <c r="BD390" s="121">
        <f t="shared" si="59"/>
        <v>7.0883332570393884</v>
      </c>
      <c r="BE390" s="121">
        <f t="shared" si="59"/>
        <v>7.1364173332850136</v>
      </c>
      <c r="BF390" s="121">
        <f t="shared" si="59"/>
        <v>29.816666666666666</v>
      </c>
      <c r="BG390" s="121">
        <f t="shared" si="59"/>
        <v>11</v>
      </c>
      <c r="BH390" s="121">
        <f t="shared" si="59"/>
        <v>11.56033509572347</v>
      </c>
      <c r="BI390" s="121" t="e">
        <f t="shared" si="59"/>
        <v>#DIV/0!</v>
      </c>
      <c r="BJ390" s="121">
        <f t="shared" si="59"/>
        <v>16.45</v>
      </c>
      <c r="BK390" s="121">
        <f t="shared" si="59"/>
        <v>16.45</v>
      </c>
      <c r="BL390" s="121">
        <f t="shared" si="59"/>
        <v>0</v>
      </c>
      <c r="BM390" s="121" t="e">
        <f t="shared" si="59"/>
        <v>#DIV/0!</v>
      </c>
      <c r="BN390" s="121">
        <f t="shared" si="59"/>
        <v>122.75500011444092</v>
      </c>
      <c r="BO390" s="121">
        <f t="shared" si="59"/>
        <v>73.933333333333337</v>
      </c>
      <c r="BP390" s="121">
        <f t="shared" si="59"/>
        <v>48.821666781107588</v>
      </c>
      <c r="BQ390" s="121">
        <f t="shared" si="59"/>
        <v>296.01666666666665</v>
      </c>
      <c r="BR390" s="121">
        <f t="shared" si="59"/>
        <v>84.782916641235346</v>
      </c>
      <c r="BS390" s="121">
        <f t="shared" ref="BS390:ED390" si="60">AVERAGEA(BS69:BS128)</f>
        <v>25.96794983545939</v>
      </c>
      <c r="BT390" s="121">
        <f t="shared" si="60"/>
        <v>44.830016708374025</v>
      </c>
      <c r="BU390" s="121">
        <f t="shared" si="60"/>
        <v>41.244650204976402</v>
      </c>
      <c r="BV390" s="121">
        <f t="shared" si="60"/>
        <v>69.066667048136395</v>
      </c>
      <c r="BW390" s="121">
        <f t="shared" si="60"/>
        <v>6.4683333476384481</v>
      </c>
      <c r="BX390" s="121">
        <f t="shared" si="60"/>
        <v>13.610000054041544</v>
      </c>
      <c r="BY390" s="121">
        <f t="shared" si="60"/>
        <v>28.316666666666666</v>
      </c>
      <c r="BZ390" s="121">
        <f t="shared" si="60"/>
        <v>12.608416095857198</v>
      </c>
      <c r="CA390" s="121">
        <f t="shared" si="60"/>
        <v>12.4</v>
      </c>
      <c r="CB390" s="121">
        <f t="shared" si="60"/>
        <v>29.429203065236411</v>
      </c>
      <c r="CC390" s="121" t="e">
        <f t="shared" si="60"/>
        <v>#DIV/0!</v>
      </c>
      <c r="CD390" s="121">
        <f t="shared" si="60"/>
        <v>403.54757436116535</v>
      </c>
      <c r="CE390" s="121">
        <f t="shared" si="60"/>
        <v>62.54351202646891</v>
      </c>
      <c r="CF390" s="121">
        <f t="shared" si="60"/>
        <v>26.802764256795246</v>
      </c>
      <c r="CG390" s="121">
        <f t="shared" si="60"/>
        <v>35.338191986083984</v>
      </c>
      <c r="CH390" s="121">
        <f t="shared" si="60"/>
        <v>295.27339019775388</v>
      </c>
      <c r="CI390" s="121">
        <f t="shared" si="60"/>
        <v>97.896886062622073</v>
      </c>
      <c r="CJ390" s="121">
        <f t="shared" si="60"/>
        <v>46.223675537109372</v>
      </c>
      <c r="CK390" s="121">
        <f t="shared" si="60"/>
        <v>55.708870506286623</v>
      </c>
      <c r="CL390" s="121">
        <f t="shared" si="60"/>
        <v>40.604388999938962</v>
      </c>
      <c r="CM390" s="121">
        <f t="shared" si="60"/>
        <v>259.89188435872398</v>
      </c>
      <c r="CN390" s="121">
        <f t="shared" si="60"/>
        <v>87.127219136555993</v>
      </c>
      <c r="CO390" s="121">
        <f t="shared" si="60"/>
        <v>87.381148783365887</v>
      </c>
      <c r="CP390" s="121">
        <f t="shared" si="60"/>
        <v>80.76157697041829</v>
      </c>
      <c r="CQ390" s="121">
        <f t="shared" si="60"/>
        <v>0</v>
      </c>
      <c r="CR390" s="121">
        <f t="shared" si="60"/>
        <v>57.409231058756511</v>
      </c>
      <c r="CS390" s="121">
        <f t="shared" si="60"/>
        <v>10.892358843485514</v>
      </c>
      <c r="CT390" s="121">
        <f t="shared" si="60"/>
        <v>43.545020294189456</v>
      </c>
      <c r="CU390" s="121">
        <f t="shared" si="60"/>
        <v>58.599168141682945</v>
      </c>
      <c r="CV390" s="121">
        <f t="shared" si="60"/>
        <v>81.522439829508457</v>
      </c>
      <c r="CW390" s="121">
        <f t="shared" si="60"/>
        <v>3.3333333333333335</v>
      </c>
      <c r="CX390" s="121">
        <f t="shared" si="60"/>
        <v>420.6</v>
      </c>
      <c r="CY390" s="121">
        <f t="shared" si="60"/>
        <v>196.80808410644531</v>
      </c>
      <c r="CZ390" s="121">
        <f t="shared" si="60"/>
        <v>58.16676870981852</v>
      </c>
      <c r="DA390" s="121">
        <f t="shared" si="60"/>
        <v>21.870853296915691</v>
      </c>
      <c r="DB390" s="121">
        <f t="shared" si="60"/>
        <v>38.093941370646156</v>
      </c>
      <c r="DC390" s="121">
        <f t="shared" si="60"/>
        <v>88.061288324991864</v>
      </c>
      <c r="DD390" s="121">
        <f t="shared" si="60"/>
        <v>149.4</v>
      </c>
      <c r="DE390" s="121">
        <f t="shared" si="60"/>
        <v>189.03333333333333</v>
      </c>
      <c r="DF390" s="121">
        <f t="shared" si="60"/>
        <v>176.78601214090983</v>
      </c>
      <c r="DG390" s="121">
        <f t="shared" si="60"/>
        <v>88.030957031249997</v>
      </c>
      <c r="DH390" s="121">
        <f t="shared" si="60"/>
        <v>60.208219782511392</v>
      </c>
      <c r="DI390" s="121">
        <f t="shared" si="60"/>
        <v>40.856310653686521</v>
      </c>
      <c r="DJ390" s="121">
        <f t="shared" si="60"/>
        <v>231.01666666666668</v>
      </c>
      <c r="DK390" s="121">
        <f t="shared" si="60"/>
        <v>129.71086730957032</v>
      </c>
      <c r="DL390" s="121">
        <f t="shared" si="60"/>
        <v>27.666950035095216</v>
      </c>
      <c r="DM390" s="121">
        <f t="shared" si="60"/>
        <v>47.650566736857094</v>
      </c>
      <c r="DN390" s="121">
        <f t="shared" si="60"/>
        <v>52.648650042215984</v>
      </c>
      <c r="DO390" s="121">
        <f t="shared" si="60"/>
        <v>113.37913118998209</v>
      </c>
      <c r="DP390" s="121">
        <f t="shared" si="60"/>
        <v>16.309516684214273</v>
      </c>
      <c r="DQ390" s="121" t="e">
        <f t="shared" si="60"/>
        <v>#DIV/0!</v>
      </c>
      <c r="DR390" s="121">
        <f t="shared" si="60"/>
        <v>41.31666666666667</v>
      </c>
      <c r="DS390" s="121">
        <f t="shared" si="60"/>
        <v>39.466666857401528</v>
      </c>
      <c r="DT390" s="121">
        <f t="shared" si="60"/>
        <v>12.916666666666666</v>
      </c>
      <c r="DU390" s="121" t="e">
        <f t="shared" si="60"/>
        <v>#DIV/0!</v>
      </c>
      <c r="DV390" s="121">
        <f t="shared" si="60"/>
        <v>172.7</v>
      </c>
      <c r="DW390" s="121">
        <f t="shared" si="60"/>
        <v>164.45783437093098</v>
      </c>
      <c r="DX390" s="121">
        <f t="shared" si="60"/>
        <v>10.5</v>
      </c>
      <c r="DY390" s="121" t="e">
        <f t="shared" si="60"/>
        <v>#DIV/0!</v>
      </c>
      <c r="DZ390" s="121">
        <f t="shared" si="60"/>
        <v>47.56666666666667</v>
      </c>
      <c r="EA390" s="121">
        <f t="shared" si="60"/>
        <v>3</v>
      </c>
      <c r="EB390" s="121">
        <f t="shared" si="60"/>
        <v>0</v>
      </c>
      <c r="EC390" s="121">
        <f t="shared" si="60"/>
        <v>1.0666666666666667</v>
      </c>
      <c r="ED390" s="121">
        <f t="shared" si="60"/>
        <v>344.76999969482421</v>
      </c>
      <c r="EE390" s="129"/>
      <c r="EF390" s="129"/>
      <c r="EG390" s="129"/>
    </row>
    <row r="391" spans="1:137" x14ac:dyDescent="0.3">
      <c r="A391" s="160" t="s">
        <v>321</v>
      </c>
      <c r="B391" s="121">
        <f>AVERAGEA(B74:B133)</f>
        <v>275</v>
      </c>
      <c r="C391" s="121">
        <f t="shared" ref="C391:BR391" si="61">AVERAGEA(C74:C133)</f>
        <v>51.673616790771483</v>
      </c>
      <c r="D391" s="121">
        <f t="shared" si="61"/>
        <v>100.36025021870931</v>
      </c>
      <c r="E391" s="121">
        <f t="shared" si="61"/>
        <v>20.285383367538451</v>
      </c>
      <c r="F391" s="121">
        <f t="shared" si="61"/>
        <v>30.95300717751185</v>
      </c>
      <c r="G391" s="121">
        <f t="shared" si="61"/>
        <v>19.09599994023641</v>
      </c>
      <c r="H391" s="121">
        <f t="shared" si="61"/>
        <v>326.2</v>
      </c>
      <c r="I391" s="121">
        <f t="shared" si="61"/>
        <v>294.14999999999998</v>
      </c>
      <c r="J391" s="121">
        <f t="shared" si="61"/>
        <v>67.3583335240682</v>
      </c>
      <c r="K391" s="121">
        <f t="shared" si="61"/>
        <v>65.969200642903644</v>
      </c>
      <c r="L391" s="121">
        <f t="shared" si="61"/>
        <v>47.049850018819171</v>
      </c>
      <c r="M391" s="121">
        <f t="shared" si="61"/>
        <v>13.610783370335897</v>
      </c>
      <c r="N391" s="121">
        <f t="shared" si="61"/>
        <v>17.346816794077554</v>
      </c>
      <c r="O391" s="121">
        <f t="shared" si="61"/>
        <v>19.350000000000001</v>
      </c>
      <c r="P391" s="121">
        <f t="shared" si="61"/>
        <v>0</v>
      </c>
      <c r="Q391" s="121">
        <f t="shared" si="61"/>
        <v>19.83632386525472</v>
      </c>
      <c r="R391" s="121">
        <f t="shared" si="61"/>
        <v>17.050156259536742</v>
      </c>
      <c r="S391" s="121">
        <f t="shared" si="61"/>
        <v>17.072175089518229</v>
      </c>
      <c r="T391" s="121">
        <f t="shared" si="61"/>
        <v>6.15</v>
      </c>
      <c r="U391" s="121">
        <f t="shared" si="61"/>
        <v>6.15</v>
      </c>
      <c r="V391" s="121">
        <f t="shared" si="61"/>
        <v>991.25</v>
      </c>
      <c r="W391" s="121">
        <f t="shared" si="61"/>
        <v>31.15178944269816</v>
      </c>
      <c r="X391" s="121">
        <f t="shared" si="61"/>
        <v>32.479216766357425</v>
      </c>
      <c r="Y391" s="121">
        <f t="shared" si="61"/>
        <v>7.9813167651494341</v>
      </c>
      <c r="Z391" s="121">
        <f t="shared" si="61"/>
        <v>0</v>
      </c>
      <c r="AA391" s="121">
        <f t="shared" si="61"/>
        <v>26.984483400980633</v>
      </c>
      <c r="AB391" s="121">
        <f t="shared" si="61"/>
        <v>0</v>
      </c>
      <c r="AC391" s="121">
        <f t="shared" si="61"/>
        <v>60.05854899088542</v>
      </c>
      <c r="AD391" s="121">
        <f t="shared" si="61"/>
        <v>6.132266640663147</v>
      </c>
      <c r="AE391" s="121">
        <f t="shared" si="61"/>
        <v>0</v>
      </c>
      <c r="AF391" s="121">
        <f t="shared" si="61"/>
        <v>88.067173512776691</v>
      </c>
      <c r="AG391" s="121">
        <f t="shared" si="61"/>
        <v>0</v>
      </c>
      <c r="AH391" s="121">
        <f t="shared" si="61"/>
        <v>69.959368769327796</v>
      </c>
      <c r="AI391" s="121">
        <f t="shared" si="61"/>
        <v>16.42651669184367</v>
      </c>
      <c r="AJ391" s="121">
        <f t="shared" si="61"/>
        <v>24.766633701324462</v>
      </c>
      <c r="AK391" s="121">
        <f t="shared" si="61"/>
        <v>47.188932545979817</v>
      </c>
      <c r="AL391" s="121">
        <f t="shared" si="61"/>
        <v>55.988516489664711</v>
      </c>
      <c r="AM391" s="121">
        <f t="shared" si="61"/>
        <v>56.543583297729491</v>
      </c>
      <c r="AN391" s="121">
        <f t="shared" si="61"/>
        <v>133.68541666666667</v>
      </c>
      <c r="AO391" s="121">
        <f t="shared" si="61"/>
        <v>72</v>
      </c>
      <c r="AP391" s="121">
        <f t="shared" si="61"/>
        <v>70.995139185587561</v>
      </c>
      <c r="AQ391" s="121">
        <f t="shared" si="61"/>
        <v>44.719601949055992</v>
      </c>
      <c r="AR391" s="121">
        <f t="shared" si="61"/>
        <v>84.45</v>
      </c>
      <c r="AS391" s="121" t="e">
        <f t="shared" si="61"/>
        <v>#DIV/0!</v>
      </c>
      <c r="AT391" s="121">
        <f t="shared" si="61"/>
        <v>122.25</v>
      </c>
      <c r="AU391" s="121" t="e">
        <f t="shared" si="61"/>
        <v>#DIV/0!</v>
      </c>
      <c r="AV391" s="121">
        <f t="shared" si="61"/>
        <v>80.083333333333329</v>
      </c>
      <c r="AW391" s="121" t="e">
        <f t="shared" si="61"/>
        <v>#DIV/0!</v>
      </c>
      <c r="AX391" s="121">
        <f t="shared" si="61"/>
        <v>32.616666666666667</v>
      </c>
      <c r="AY391" s="121">
        <f t="shared" si="61"/>
        <v>34.771622149149579</v>
      </c>
      <c r="AZ391" s="121">
        <f t="shared" si="61"/>
        <v>18.899999999999999</v>
      </c>
      <c r="BA391" s="121" t="e">
        <f t="shared" si="61"/>
        <v>#DIV/0!</v>
      </c>
      <c r="BB391" s="121">
        <f t="shared" si="61"/>
        <v>302.58333333333331</v>
      </c>
      <c r="BC391" s="121">
        <f t="shared" si="61"/>
        <v>304.87654317220051</v>
      </c>
      <c r="BD391" s="121">
        <f t="shared" si="61"/>
        <v>7.0716666062672937</v>
      </c>
      <c r="BE391" s="121">
        <f t="shared" si="61"/>
        <v>7.1135010480880734</v>
      </c>
      <c r="BF391" s="121">
        <f t="shared" si="61"/>
        <v>29.883333333333333</v>
      </c>
      <c r="BG391" s="121">
        <f t="shared" si="61"/>
        <v>10.916666666666666</v>
      </c>
      <c r="BH391" s="121">
        <f t="shared" si="61"/>
        <v>11.490768655141194</v>
      </c>
      <c r="BI391" s="121" t="e">
        <f t="shared" si="61"/>
        <v>#DIV/0!</v>
      </c>
      <c r="BJ391" s="121">
        <f t="shared" si="61"/>
        <v>16.283333333333335</v>
      </c>
      <c r="BK391" s="121">
        <f t="shared" si="61"/>
        <v>16.283333333333335</v>
      </c>
      <c r="BL391" s="121">
        <f t="shared" si="61"/>
        <v>0</v>
      </c>
      <c r="BM391" s="121" t="e">
        <f t="shared" si="61"/>
        <v>#DIV/0!</v>
      </c>
      <c r="BN391" s="121">
        <f t="shared" si="61"/>
        <v>122.7183334350586</v>
      </c>
      <c r="BO391" s="121">
        <f t="shared" si="61"/>
        <v>73.833333333333329</v>
      </c>
      <c r="BP391" s="121">
        <f t="shared" si="61"/>
        <v>48.885000101725261</v>
      </c>
      <c r="BQ391" s="121">
        <f t="shared" si="61"/>
        <v>293.46666666666664</v>
      </c>
      <c r="BR391" s="121">
        <f t="shared" si="61"/>
        <v>83.538816579182949</v>
      </c>
      <c r="BS391" s="121">
        <f t="shared" ref="BS391:ED391" si="62">AVERAGEA(BS74:BS133)</f>
        <v>25.883133188883463</v>
      </c>
      <c r="BT391" s="121">
        <f t="shared" si="62"/>
        <v>44.379750061035153</v>
      </c>
      <c r="BU391" s="121">
        <f t="shared" si="62"/>
        <v>40.784500185648604</v>
      </c>
      <c r="BV391" s="121">
        <f t="shared" si="62"/>
        <v>69.123333485921222</v>
      </c>
      <c r="BW391" s="121">
        <f t="shared" si="62"/>
        <v>6.4216666777928673</v>
      </c>
      <c r="BX391" s="121">
        <f t="shared" si="62"/>
        <v>13.615000073115031</v>
      </c>
      <c r="BY391" s="121">
        <f t="shared" si="62"/>
        <v>28.366666666666667</v>
      </c>
      <c r="BZ391" s="121">
        <f t="shared" si="62"/>
        <v>12.942469399794936</v>
      </c>
      <c r="CA391" s="121">
        <f t="shared" si="62"/>
        <v>12.766666666666667</v>
      </c>
      <c r="CB391" s="121">
        <f t="shared" si="62"/>
        <v>29.428077729543052</v>
      </c>
      <c r="CC391" s="121" t="e">
        <f t="shared" si="62"/>
        <v>#DIV/0!</v>
      </c>
      <c r="CD391" s="121">
        <f t="shared" si="62"/>
        <v>400.21060282389323</v>
      </c>
      <c r="CE391" s="121">
        <f t="shared" si="62"/>
        <v>60.992858568827309</v>
      </c>
      <c r="CF391" s="121">
        <f t="shared" si="62"/>
        <v>26.316771634419759</v>
      </c>
      <c r="CG391" s="121">
        <f t="shared" si="62"/>
        <v>35.338191986083984</v>
      </c>
      <c r="CH391" s="121">
        <f t="shared" si="62"/>
        <v>293.91670989990234</v>
      </c>
      <c r="CI391" s="121">
        <f t="shared" si="62"/>
        <v>96.309341939290363</v>
      </c>
      <c r="CJ391" s="121">
        <f t="shared" si="62"/>
        <v>44.959059206644696</v>
      </c>
      <c r="CK391" s="121">
        <f t="shared" si="62"/>
        <v>55.208628527323405</v>
      </c>
      <c r="CL391" s="121">
        <f t="shared" si="62"/>
        <v>40.019444592793782</v>
      </c>
      <c r="CM391" s="121">
        <f t="shared" si="62"/>
        <v>252.7287686665853</v>
      </c>
      <c r="CN391" s="121">
        <f t="shared" si="62"/>
        <v>81.971972147623703</v>
      </c>
      <c r="CO391" s="121">
        <f t="shared" si="62"/>
        <v>86.351051076253256</v>
      </c>
      <c r="CP391" s="121">
        <f t="shared" si="62"/>
        <v>79.807715098063156</v>
      </c>
      <c r="CQ391" s="121">
        <f t="shared" si="62"/>
        <v>0</v>
      </c>
      <c r="CR391" s="121">
        <f t="shared" si="62"/>
        <v>56.67173932393392</v>
      </c>
      <c r="CS391" s="121">
        <f t="shared" si="62"/>
        <v>10.783273553848266</v>
      </c>
      <c r="CT391" s="121">
        <f t="shared" si="62"/>
        <v>42.532982953389485</v>
      </c>
      <c r="CU391" s="121">
        <f t="shared" si="62"/>
        <v>57.425371233622236</v>
      </c>
      <c r="CV391" s="121">
        <f t="shared" si="62"/>
        <v>79.978048706054693</v>
      </c>
      <c r="CW391" s="121">
        <f t="shared" si="62"/>
        <v>3.2666666666666666</v>
      </c>
      <c r="CX391" s="121">
        <f t="shared" si="62"/>
        <v>416.46666666666664</v>
      </c>
      <c r="CY391" s="121">
        <f t="shared" si="62"/>
        <v>195.03824412027996</v>
      </c>
      <c r="CZ391" s="121">
        <f t="shared" si="62"/>
        <v>57.151414934794111</v>
      </c>
      <c r="DA391" s="121">
        <f t="shared" si="62"/>
        <v>21.668384043375649</v>
      </c>
      <c r="DB391" s="121">
        <f t="shared" si="62"/>
        <v>37.6534117380778</v>
      </c>
      <c r="DC391" s="121">
        <f t="shared" si="62"/>
        <v>87.436721293131512</v>
      </c>
      <c r="DD391" s="121">
        <f t="shared" si="62"/>
        <v>101.75</v>
      </c>
      <c r="DE391" s="121">
        <f t="shared" si="62"/>
        <v>187.53333333333333</v>
      </c>
      <c r="DF391" s="121">
        <f t="shared" si="62"/>
        <v>130.2725819905599</v>
      </c>
      <c r="DG391" s="121">
        <f t="shared" si="62"/>
        <v>86.887786229451493</v>
      </c>
      <c r="DH391" s="121">
        <f t="shared" si="62"/>
        <v>59.584588559468585</v>
      </c>
      <c r="DI391" s="121">
        <f t="shared" si="62"/>
        <v>40.610719617207842</v>
      </c>
      <c r="DJ391" s="121">
        <f t="shared" si="62"/>
        <v>228.5</v>
      </c>
      <c r="DK391" s="121">
        <f t="shared" si="62"/>
        <v>127.06441713968913</v>
      </c>
      <c r="DL391" s="121">
        <f t="shared" si="62"/>
        <v>27.535016695658367</v>
      </c>
      <c r="DM391" s="121">
        <f t="shared" si="62"/>
        <v>45.123533407847084</v>
      </c>
      <c r="DN391" s="121">
        <f t="shared" si="62"/>
        <v>52.298183441162109</v>
      </c>
      <c r="DO391" s="121">
        <f t="shared" si="62"/>
        <v>113.209064356486</v>
      </c>
      <c r="DP391" s="121">
        <f t="shared" si="62"/>
        <v>16.264283307393391</v>
      </c>
      <c r="DQ391" s="121" t="e">
        <f t="shared" si="62"/>
        <v>#DIV/0!</v>
      </c>
      <c r="DR391" s="121">
        <f t="shared" si="62"/>
        <v>35.733333333333334</v>
      </c>
      <c r="DS391" s="121">
        <f t="shared" si="62"/>
        <v>38.091666920979819</v>
      </c>
      <c r="DT391" s="121">
        <f t="shared" si="62"/>
        <v>12.85</v>
      </c>
      <c r="DU391" s="121" t="e">
        <f t="shared" si="62"/>
        <v>#DIV/0!</v>
      </c>
      <c r="DV391" s="121">
        <f t="shared" si="62"/>
        <v>172.26666666666668</v>
      </c>
      <c r="DW391" s="121">
        <f t="shared" si="62"/>
        <v>164.30678710937499</v>
      </c>
      <c r="DX391" s="121">
        <f t="shared" si="62"/>
        <v>10.533333333333333</v>
      </c>
      <c r="DY391" s="121" t="e">
        <f t="shared" si="62"/>
        <v>#DIV/0!</v>
      </c>
      <c r="DZ391" s="121">
        <f t="shared" si="62"/>
        <v>47.35</v>
      </c>
      <c r="EA391" s="121">
        <f t="shared" si="62"/>
        <v>3</v>
      </c>
      <c r="EB391" s="121">
        <f t="shared" si="62"/>
        <v>0</v>
      </c>
      <c r="EC391" s="121">
        <f t="shared" si="62"/>
        <v>1.0833333333333333</v>
      </c>
      <c r="ED391" s="121">
        <f t="shared" si="62"/>
        <v>299.72333323160808</v>
      </c>
      <c r="EE391" s="129"/>
      <c r="EF391" s="129"/>
      <c r="EG391" s="129"/>
    </row>
    <row r="392" spans="1:137" x14ac:dyDescent="0.3">
      <c r="A392" s="160" t="s">
        <v>322</v>
      </c>
      <c r="B392" s="121">
        <f>AVERAGEA(B79:B138)</f>
        <v>271</v>
      </c>
      <c r="C392" s="121">
        <f t="shared" ref="C392:BR392" si="63">AVERAGEA(C79:C138)</f>
        <v>50.968633397420248</v>
      </c>
      <c r="D392" s="121">
        <f t="shared" si="63"/>
        <v>100.62036666870117</v>
      </c>
      <c r="E392" s="121">
        <f t="shared" si="63"/>
        <v>19.914066727956136</v>
      </c>
      <c r="F392" s="121">
        <f t="shared" si="63"/>
        <v>28.238663375377655</v>
      </c>
      <c r="G392" s="121">
        <f t="shared" si="63"/>
        <v>18.884849961598714</v>
      </c>
      <c r="H392" s="121">
        <f t="shared" si="63"/>
        <v>323.81666666666666</v>
      </c>
      <c r="I392" s="121">
        <f t="shared" si="63"/>
        <v>291.73333333333335</v>
      </c>
      <c r="J392" s="121">
        <f t="shared" si="63"/>
        <v>66.724966939290368</v>
      </c>
      <c r="K392" s="121">
        <f t="shared" si="63"/>
        <v>66.304311370849604</v>
      </c>
      <c r="L392" s="121">
        <f t="shared" si="63"/>
        <v>46.828950055440266</v>
      </c>
      <c r="M392" s="121">
        <f t="shared" si="63"/>
        <v>13.414766693115235</v>
      </c>
      <c r="N392" s="121">
        <f t="shared" si="63"/>
        <v>17.407266743977864</v>
      </c>
      <c r="O392" s="121">
        <f t="shared" si="63"/>
        <v>19.3</v>
      </c>
      <c r="P392" s="121">
        <f t="shared" si="63"/>
        <v>0</v>
      </c>
      <c r="Q392" s="121">
        <f t="shared" si="63"/>
        <v>19.795978482564291</v>
      </c>
      <c r="R392" s="121">
        <f t="shared" si="63"/>
        <v>16.033437490463257</v>
      </c>
      <c r="S392" s="121">
        <f t="shared" si="63"/>
        <v>15.955066267649332</v>
      </c>
      <c r="T392" s="121">
        <f t="shared" si="63"/>
        <v>5.85</v>
      </c>
      <c r="U392" s="121">
        <f t="shared" si="63"/>
        <v>5.85</v>
      </c>
      <c r="V392" s="121">
        <f t="shared" si="63"/>
        <v>982.26666666666665</v>
      </c>
      <c r="W392" s="121">
        <f t="shared" si="63"/>
        <v>30.702371946970622</v>
      </c>
      <c r="X392" s="121">
        <f t="shared" si="63"/>
        <v>31.740316740671794</v>
      </c>
      <c r="Y392" s="121">
        <f t="shared" si="63"/>
        <v>7.9537500858306887</v>
      </c>
      <c r="Z392" s="121">
        <f t="shared" si="63"/>
        <v>0</v>
      </c>
      <c r="AA392" s="121">
        <f t="shared" si="63"/>
        <v>26.645200030008951</v>
      </c>
      <c r="AB392" s="121">
        <f t="shared" si="63"/>
        <v>0</v>
      </c>
      <c r="AC392" s="121">
        <f t="shared" si="63"/>
        <v>59.685371589660647</v>
      </c>
      <c r="AD392" s="121">
        <f t="shared" si="63"/>
        <v>6.1534666379292808</v>
      </c>
      <c r="AE392" s="121">
        <f t="shared" si="63"/>
        <v>0</v>
      </c>
      <c r="AF392" s="121">
        <f t="shared" si="63"/>
        <v>87.475060399373376</v>
      </c>
      <c r="AG392" s="121">
        <f t="shared" si="63"/>
        <v>0</v>
      </c>
      <c r="AH392" s="121">
        <f t="shared" si="63"/>
        <v>69.305260721842444</v>
      </c>
      <c r="AI392" s="121">
        <f t="shared" si="63"/>
        <v>16.201733366648355</v>
      </c>
      <c r="AJ392" s="121">
        <f t="shared" si="63"/>
        <v>24.194000943501791</v>
      </c>
      <c r="AK392" s="121">
        <f t="shared" si="63"/>
        <v>47.078753662109378</v>
      </c>
      <c r="AL392" s="121">
        <f t="shared" si="63"/>
        <v>54.44518311818441</v>
      </c>
      <c r="AM392" s="121">
        <f t="shared" si="63"/>
        <v>56.448149935404459</v>
      </c>
      <c r="AN392" s="121">
        <f t="shared" si="63"/>
        <v>132.64375000000001</v>
      </c>
      <c r="AO392" s="121">
        <f t="shared" si="63"/>
        <v>71.316666666666663</v>
      </c>
      <c r="AP392" s="121">
        <f t="shared" si="63"/>
        <v>70.331639734903973</v>
      </c>
      <c r="AQ392" s="121">
        <f t="shared" si="63"/>
        <v>44.32993977864583</v>
      </c>
      <c r="AR392" s="121">
        <f t="shared" si="63"/>
        <v>83.88333333333334</v>
      </c>
      <c r="AS392" s="121" t="e">
        <f t="shared" si="63"/>
        <v>#DIV/0!</v>
      </c>
      <c r="AT392" s="121">
        <f t="shared" si="63"/>
        <v>122.33333333333333</v>
      </c>
      <c r="AU392" s="121" t="e">
        <f t="shared" si="63"/>
        <v>#DIV/0!</v>
      </c>
      <c r="AV392" s="121">
        <f t="shared" si="63"/>
        <v>78.3</v>
      </c>
      <c r="AW392" s="121" t="e">
        <f t="shared" si="63"/>
        <v>#DIV/0!</v>
      </c>
      <c r="AX392" s="121">
        <f t="shared" si="63"/>
        <v>32.35</v>
      </c>
      <c r="AY392" s="121">
        <f t="shared" si="63"/>
        <v>34.619322586059567</v>
      </c>
      <c r="AZ392" s="121">
        <f t="shared" si="63"/>
        <v>18.533333333333335</v>
      </c>
      <c r="BA392" s="121" t="e">
        <f t="shared" si="63"/>
        <v>#DIV/0!</v>
      </c>
      <c r="BB392" s="121">
        <f t="shared" si="63"/>
        <v>302.06666666666666</v>
      </c>
      <c r="BC392" s="121">
        <f t="shared" si="63"/>
        <v>304.07329864501952</v>
      </c>
      <c r="BD392" s="121">
        <f t="shared" si="63"/>
        <v>7.05166662534078</v>
      </c>
      <c r="BE392" s="121">
        <f t="shared" si="63"/>
        <v>7.0882835547129313</v>
      </c>
      <c r="BF392" s="121">
        <f t="shared" si="63"/>
        <v>30.033333333333335</v>
      </c>
      <c r="BG392" s="121">
        <f t="shared" si="63"/>
        <v>10.866666666666667</v>
      </c>
      <c r="BH392" s="121">
        <f t="shared" si="63"/>
        <v>11.446583652496338</v>
      </c>
      <c r="BI392" s="121" t="e">
        <f t="shared" si="63"/>
        <v>#DIV/0!</v>
      </c>
      <c r="BJ392" s="121">
        <f t="shared" si="63"/>
        <v>16.116666666666667</v>
      </c>
      <c r="BK392" s="121">
        <f t="shared" si="63"/>
        <v>16.116666666666667</v>
      </c>
      <c r="BL392" s="121">
        <f t="shared" si="63"/>
        <v>0</v>
      </c>
      <c r="BM392" s="121" t="e">
        <f t="shared" si="63"/>
        <v>#DIV/0!</v>
      </c>
      <c r="BN392" s="121">
        <f t="shared" si="63"/>
        <v>122.75000012715658</v>
      </c>
      <c r="BO392" s="121">
        <f t="shared" si="63"/>
        <v>73.783333333333331</v>
      </c>
      <c r="BP392" s="121">
        <f t="shared" si="63"/>
        <v>48.966666793823244</v>
      </c>
      <c r="BQ392" s="121">
        <f t="shared" si="63"/>
        <v>291.45</v>
      </c>
      <c r="BR392" s="121">
        <f t="shared" si="63"/>
        <v>82.191049957275396</v>
      </c>
      <c r="BS392" s="121">
        <f t="shared" ref="BS392:ED392" si="64">AVERAGEA(BS79:BS138)</f>
        <v>25.802583185831704</v>
      </c>
      <c r="BT392" s="121">
        <f t="shared" si="64"/>
        <v>44.108416748046878</v>
      </c>
      <c r="BU392" s="121">
        <f t="shared" si="64"/>
        <v>40.432483545939128</v>
      </c>
      <c r="BV392" s="121">
        <f t="shared" si="64"/>
        <v>69.095000076293942</v>
      </c>
      <c r="BW392" s="121">
        <f t="shared" si="64"/>
        <v>6.3900000254313154</v>
      </c>
      <c r="BX392" s="121">
        <f t="shared" si="64"/>
        <v>13.615000073115031</v>
      </c>
      <c r="BY392" s="121">
        <f t="shared" si="64"/>
        <v>28.316666666666666</v>
      </c>
      <c r="BZ392" s="121">
        <f t="shared" si="64"/>
        <v>12.942401335978259</v>
      </c>
      <c r="CA392" s="121">
        <f t="shared" si="64"/>
        <v>12.85</v>
      </c>
      <c r="CB392" s="121">
        <f t="shared" si="64"/>
        <v>29.397725709279378</v>
      </c>
      <c r="CC392" s="121" t="e">
        <f t="shared" si="64"/>
        <v>#DIV/0!</v>
      </c>
      <c r="CD392" s="121">
        <f t="shared" si="64"/>
        <v>397.10475616455079</v>
      </c>
      <c r="CE392" s="121">
        <f t="shared" si="64"/>
        <v>59.996196238199872</v>
      </c>
      <c r="CF392" s="121">
        <f t="shared" si="64"/>
        <v>25.870451482137046</v>
      </c>
      <c r="CG392" s="121">
        <f t="shared" si="64"/>
        <v>35.338191986083984</v>
      </c>
      <c r="CH392" s="121">
        <f t="shared" si="64"/>
        <v>292.5636006673177</v>
      </c>
      <c r="CI392" s="121">
        <f t="shared" si="64"/>
        <v>94.722922388712561</v>
      </c>
      <c r="CJ392" s="121">
        <f t="shared" si="64"/>
        <v>43.773606554667154</v>
      </c>
      <c r="CK392" s="121">
        <f t="shared" si="64"/>
        <v>54.601721127827965</v>
      </c>
      <c r="CL392" s="121">
        <f t="shared" si="64"/>
        <v>39.451996612548825</v>
      </c>
      <c r="CM392" s="121">
        <f t="shared" si="64"/>
        <v>247.6375732421875</v>
      </c>
      <c r="CN392" s="121">
        <f t="shared" si="64"/>
        <v>78.783696746826166</v>
      </c>
      <c r="CO392" s="121">
        <f t="shared" si="64"/>
        <v>85.295788192749029</v>
      </c>
      <c r="CP392" s="121">
        <f t="shared" si="64"/>
        <v>78.973682785034185</v>
      </c>
      <c r="CQ392" s="121">
        <f t="shared" si="64"/>
        <v>0</v>
      </c>
      <c r="CR392" s="121">
        <f t="shared" si="64"/>
        <v>55.983958307902022</v>
      </c>
      <c r="CS392" s="121">
        <f t="shared" si="64"/>
        <v>10.694821612040203</v>
      </c>
      <c r="CT392" s="121">
        <f t="shared" si="64"/>
        <v>41.422703933715823</v>
      </c>
      <c r="CU392" s="121">
        <f t="shared" si="64"/>
        <v>55.956664148966475</v>
      </c>
      <c r="CV392" s="121">
        <f t="shared" si="64"/>
        <v>78.532402038574219</v>
      </c>
      <c r="CW392" s="121">
        <f t="shared" si="64"/>
        <v>3.1666666666666665</v>
      </c>
      <c r="CX392" s="121">
        <f t="shared" si="64"/>
        <v>410.9</v>
      </c>
      <c r="CY392" s="121">
        <f t="shared" si="64"/>
        <v>190.9935395558675</v>
      </c>
      <c r="CZ392" s="121">
        <f t="shared" si="64"/>
        <v>56.53572209676107</v>
      </c>
      <c r="DA392" s="121">
        <f t="shared" si="64"/>
        <v>21.657132975260417</v>
      </c>
      <c r="DB392" s="121">
        <f t="shared" si="64"/>
        <v>37.230691528320314</v>
      </c>
      <c r="DC392" s="121">
        <f t="shared" si="64"/>
        <v>86.770652643839512</v>
      </c>
      <c r="DD392" s="121">
        <f t="shared" si="64"/>
        <v>88.916666666666671</v>
      </c>
      <c r="DE392" s="121">
        <f t="shared" si="64"/>
        <v>186.68333333333334</v>
      </c>
      <c r="DF392" s="121">
        <f t="shared" si="64"/>
        <v>120.20190734863282</v>
      </c>
      <c r="DG392" s="121">
        <f t="shared" si="64"/>
        <v>85.848671213785806</v>
      </c>
      <c r="DH392" s="121">
        <f t="shared" si="64"/>
        <v>58.914809989929196</v>
      </c>
      <c r="DI392" s="121">
        <f t="shared" si="64"/>
        <v>40.532565752665199</v>
      </c>
      <c r="DJ392" s="121">
        <f t="shared" si="64"/>
        <v>226.13333333333333</v>
      </c>
      <c r="DK392" s="121">
        <f t="shared" si="64"/>
        <v>124.9735169728597</v>
      </c>
      <c r="DL392" s="121">
        <f t="shared" si="64"/>
        <v>27.25413335164388</v>
      </c>
      <c r="DM392" s="121">
        <f t="shared" si="64"/>
        <v>42.726083342234297</v>
      </c>
      <c r="DN392" s="121">
        <f t="shared" si="64"/>
        <v>52.245200157165527</v>
      </c>
      <c r="DO392" s="121">
        <f t="shared" si="64"/>
        <v>113.16187705993653</v>
      </c>
      <c r="DP392" s="121">
        <f t="shared" si="64"/>
        <v>16.155433305104573</v>
      </c>
      <c r="DQ392" s="121" t="e">
        <f t="shared" si="64"/>
        <v>#DIV/0!</v>
      </c>
      <c r="DR392" s="121">
        <f t="shared" si="64"/>
        <v>30.15</v>
      </c>
      <c r="DS392" s="121">
        <f t="shared" si="64"/>
        <v>36.863333574930827</v>
      </c>
      <c r="DT392" s="121">
        <f t="shared" si="64"/>
        <v>12.8</v>
      </c>
      <c r="DU392" s="121" t="e">
        <f t="shared" si="64"/>
        <v>#DIV/0!</v>
      </c>
      <c r="DV392" s="121">
        <f t="shared" si="64"/>
        <v>171.95</v>
      </c>
      <c r="DW392" s="121">
        <f t="shared" si="64"/>
        <v>164.11175765991212</v>
      </c>
      <c r="DX392" s="121">
        <f t="shared" si="64"/>
        <v>10.55</v>
      </c>
      <c r="DY392" s="121" t="e">
        <f t="shared" si="64"/>
        <v>#DIV/0!</v>
      </c>
      <c r="DZ392" s="121">
        <f t="shared" si="64"/>
        <v>47.116666666666667</v>
      </c>
      <c r="EA392" s="121">
        <f t="shared" si="64"/>
        <v>3</v>
      </c>
      <c r="EB392" s="121">
        <f t="shared" si="64"/>
        <v>0</v>
      </c>
      <c r="EC392" s="121">
        <f t="shared" si="64"/>
        <v>1.1000000000000001</v>
      </c>
      <c r="ED392" s="121">
        <f t="shared" si="64"/>
        <v>289.24166615804035</v>
      </c>
      <c r="EE392" s="129"/>
      <c r="EF392" s="129"/>
      <c r="EG392" s="129"/>
    </row>
    <row r="393" spans="1:137" x14ac:dyDescent="0.3">
      <c r="A393" s="5" t="s">
        <v>323</v>
      </c>
      <c r="B393" s="121">
        <f>AVERAGEA(B84:B143)</f>
        <v>267.14999999999998</v>
      </c>
      <c r="C393" s="121">
        <f t="shared" ref="C393:BR393" si="65">AVERAGEA(C84:C143)</f>
        <v>50.725483385721844</v>
      </c>
      <c r="D393" s="121">
        <f t="shared" si="65"/>
        <v>100.85975011189778</v>
      </c>
      <c r="E393" s="121">
        <f t="shared" si="65"/>
        <v>19.544616731007896</v>
      </c>
      <c r="F393" s="121">
        <f t="shared" si="65"/>
        <v>25.849952574570974</v>
      </c>
      <c r="G393" s="121">
        <f t="shared" si="65"/>
        <v>18.752899996439616</v>
      </c>
      <c r="H393" s="121">
        <f t="shared" si="65"/>
        <v>320.91666666666669</v>
      </c>
      <c r="I393" s="121">
        <f t="shared" si="65"/>
        <v>288.81666666666666</v>
      </c>
      <c r="J393" s="121">
        <f t="shared" si="65"/>
        <v>66.280133501688638</v>
      </c>
      <c r="K393" s="121">
        <f t="shared" si="65"/>
        <v>66.161460113525393</v>
      </c>
      <c r="L393" s="121">
        <f t="shared" si="65"/>
        <v>46.622800127665201</v>
      </c>
      <c r="M393" s="121">
        <f t="shared" si="65"/>
        <v>13.343150027592976</v>
      </c>
      <c r="N393" s="121">
        <f t="shared" si="65"/>
        <v>17.434833367665608</v>
      </c>
      <c r="O393" s="121">
        <f t="shared" si="65"/>
        <v>19.399999999999999</v>
      </c>
      <c r="P393" s="121">
        <f t="shared" si="65"/>
        <v>0</v>
      </c>
      <c r="Q393" s="121">
        <f t="shared" si="65"/>
        <v>19.945795726776122</v>
      </c>
      <c r="R393" s="121">
        <f t="shared" si="65"/>
        <v>15.100156243642171</v>
      </c>
      <c r="S393" s="121">
        <f t="shared" si="65"/>
        <v>15.025679604212444</v>
      </c>
      <c r="T393" s="121">
        <f t="shared" si="65"/>
        <v>5.0999999999999996</v>
      </c>
      <c r="U393" s="121">
        <f t="shared" si="65"/>
        <v>5.0999999999999996</v>
      </c>
      <c r="V393" s="121">
        <f t="shared" si="65"/>
        <v>975.01666666666665</v>
      </c>
      <c r="W393" s="121">
        <f t="shared" si="65"/>
        <v>30.321706867218019</v>
      </c>
      <c r="X393" s="121">
        <f t="shared" si="65"/>
        <v>31.052300008138022</v>
      </c>
      <c r="Y393" s="121">
        <f t="shared" si="65"/>
        <v>7.8848500649134321</v>
      </c>
      <c r="Z393" s="121">
        <f t="shared" si="65"/>
        <v>0</v>
      </c>
      <c r="AA393" s="121">
        <f t="shared" si="65"/>
        <v>26.204150040944416</v>
      </c>
      <c r="AB393" s="121">
        <f t="shared" si="65"/>
        <v>0</v>
      </c>
      <c r="AC393" s="121">
        <f t="shared" si="65"/>
        <v>59.353317515055338</v>
      </c>
      <c r="AD393" s="121">
        <f t="shared" si="65"/>
        <v>6.1661833127339678</v>
      </c>
      <c r="AE393" s="121">
        <f t="shared" si="65"/>
        <v>0</v>
      </c>
      <c r="AF393" s="121">
        <f t="shared" si="65"/>
        <v>87.185844167073569</v>
      </c>
      <c r="AG393" s="121">
        <f t="shared" si="65"/>
        <v>0</v>
      </c>
      <c r="AH393" s="121">
        <f t="shared" si="65"/>
        <v>68.594758860270176</v>
      </c>
      <c r="AI393" s="121">
        <f t="shared" si="65"/>
        <v>15.90061674118042</v>
      </c>
      <c r="AJ393" s="121">
        <f t="shared" si="65"/>
        <v>23.734110005696614</v>
      </c>
      <c r="AK393" s="121">
        <f t="shared" si="65"/>
        <v>46.89998645782471</v>
      </c>
      <c r="AL393" s="121">
        <f t="shared" si="65"/>
        <v>52.910699717203777</v>
      </c>
      <c r="AM393" s="121">
        <f t="shared" si="65"/>
        <v>56.17883326212565</v>
      </c>
      <c r="AN393" s="121">
        <f t="shared" si="65"/>
        <v>131.46250000000001</v>
      </c>
      <c r="AO393" s="121">
        <f t="shared" si="65"/>
        <v>70.466666666666669</v>
      </c>
      <c r="AP393" s="121">
        <f t="shared" si="65"/>
        <v>69.678431193033859</v>
      </c>
      <c r="AQ393" s="121">
        <f t="shared" si="65"/>
        <v>43.656286048889157</v>
      </c>
      <c r="AR393" s="121">
        <f t="shared" si="65"/>
        <v>84</v>
      </c>
      <c r="AS393" s="121" t="e">
        <f t="shared" si="65"/>
        <v>#DIV/0!</v>
      </c>
      <c r="AT393" s="121">
        <f t="shared" si="65"/>
        <v>122.43333333333334</v>
      </c>
      <c r="AU393" s="121" t="e">
        <f t="shared" si="65"/>
        <v>#DIV/0!</v>
      </c>
      <c r="AV393" s="121">
        <f t="shared" si="65"/>
        <v>76.86666666666666</v>
      </c>
      <c r="AW393" s="121" t="e">
        <f t="shared" si="65"/>
        <v>#DIV/0!</v>
      </c>
      <c r="AX393" s="121">
        <f t="shared" si="65"/>
        <v>32.016666666666666</v>
      </c>
      <c r="AY393" s="121">
        <f t="shared" si="65"/>
        <v>34.356942939758298</v>
      </c>
      <c r="AZ393" s="121">
        <f t="shared" si="65"/>
        <v>18.25</v>
      </c>
      <c r="BA393" s="121" t="e">
        <f t="shared" si="65"/>
        <v>#DIV/0!</v>
      </c>
      <c r="BB393" s="121">
        <f t="shared" si="65"/>
        <v>301.45</v>
      </c>
      <c r="BC393" s="121">
        <f t="shared" si="65"/>
        <v>303.35722910563152</v>
      </c>
      <c r="BD393" s="121">
        <f t="shared" si="65"/>
        <v>7.0249999761581421</v>
      </c>
      <c r="BE393" s="121">
        <f t="shared" si="65"/>
        <v>7.062747033437093</v>
      </c>
      <c r="BF393" s="121">
        <f t="shared" si="65"/>
        <v>30.166666666666668</v>
      </c>
      <c r="BG393" s="121">
        <f t="shared" si="65"/>
        <v>10.783333333333333</v>
      </c>
      <c r="BH393" s="121">
        <f t="shared" si="65"/>
        <v>11.403349685668946</v>
      </c>
      <c r="BI393" s="121" t="e">
        <f t="shared" si="65"/>
        <v>#DIV/0!</v>
      </c>
      <c r="BJ393" s="121">
        <f t="shared" si="65"/>
        <v>15.883333333333333</v>
      </c>
      <c r="BK393" s="121">
        <f t="shared" si="65"/>
        <v>15.883333333333333</v>
      </c>
      <c r="BL393" s="121">
        <f t="shared" si="65"/>
        <v>0</v>
      </c>
      <c r="BM393" s="121" t="e">
        <f t="shared" si="65"/>
        <v>#DIV/0!</v>
      </c>
      <c r="BN393" s="121">
        <f t="shared" si="65"/>
        <v>122.60166676839192</v>
      </c>
      <c r="BO393" s="121">
        <f t="shared" si="65"/>
        <v>73.63333333333334</v>
      </c>
      <c r="BP393" s="121">
        <f t="shared" si="65"/>
        <v>48.968333435058597</v>
      </c>
      <c r="BQ393" s="121">
        <f t="shared" si="65"/>
        <v>289.48333333333335</v>
      </c>
      <c r="BR393" s="121">
        <f t="shared" si="65"/>
        <v>80.911149724324545</v>
      </c>
      <c r="BS393" s="121">
        <f t="shared" ref="BS393:ED393" si="66">AVERAGEA(BS84:BS143)</f>
        <v>25.688066546122233</v>
      </c>
      <c r="BT393" s="121">
        <f t="shared" si="66"/>
        <v>43.727433395385745</v>
      </c>
      <c r="BU393" s="121">
        <f t="shared" si="66"/>
        <v>40.085750198364259</v>
      </c>
      <c r="BV393" s="121">
        <f t="shared" si="66"/>
        <v>69.076666768391931</v>
      </c>
      <c r="BW393" s="121">
        <f t="shared" si="66"/>
        <v>6.3733333746592207</v>
      </c>
      <c r="BX393" s="121">
        <f t="shared" si="66"/>
        <v>13.621666717529298</v>
      </c>
      <c r="BY393" s="121">
        <f t="shared" si="66"/>
        <v>28.316666666666666</v>
      </c>
      <c r="BZ393" s="121">
        <f t="shared" si="66"/>
        <v>12.942463427906235</v>
      </c>
      <c r="CA393" s="121">
        <f t="shared" si="66"/>
        <v>12.95</v>
      </c>
      <c r="CB393" s="121">
        <f t="shared" si="66"/>
        <v>29.375090535481771</v>
      </c>
      <c r="CC393" s="121" t="e">
        <f t="shared" si="66"/>
        <v>#DIV/0!</v>
      </c>
      <c r="CD393" s="121">
        <f t="shared" si="66"/>
        <v>393.90421447753909</v>
      </c>
      <c r="CE393" s="121">
        <f t="shared" si="66"/>
        <v>59.297884941101074</v>
      </c>
      <c r="CF393" s="121">
        <f t="shared" si="66"/>
        <v>25.379879728953043</v>
      </c>
      <c r="CG393" s="121">
        <f t="shared" si="66"/>
        <v>35.338191986083984</v>
      </c>
      <c r="CH393" s="121">
        <f t="shared" si="66"/>
        <v>291.23692016601564</v>
      </c>
      <c r="CI393" s="121">
        <f t="shared" si="66"/>
        <v>93.024836095174152</v>
      </c>
      <c r="CJ393" s="121">
        <f t="shared" si="66"/>
        <v>42.682684898376465</v>
      </c>
      <c r="CK393" s="121">
        <f t="shared" si="66"/>
        <v>53.888978640238442</v>
      </c>
      <c r="CL393" s="121">
        <f t="shared" si="66"/>
        <v>39.005823262532552</v>
      </c>
      <c r="CM393" s="121">
        <f t="shared" si="66"/>
        <v>244.78197682698567</v>
      </c>
      <c r="CN393" s="121">
        <f t="shared" si="66"/>
        <v>78.032320276896158</v>
      </c>
      <c r="CO393" s="121">
        <f t="shared" si="66"/>
        <v>84.194909032185876</v>
      </c>
      <c r="CP393" s="121">
        <f t="shared" si="66"/>
        <v>77.957049306233728</v>
      </c>
      <c r="CQ393" s="121">
        <f t="shared" si="66"/>
        <v>0</v>
      </c>
      <c r="CR393" s="121">
        <f t="shared" si="66"/>
        <v>55.299573453267413</v>
      </c>
      <c r="CS393" s="121">
        <f t="shared" si="66"/>
        <v>10.582107750574748</v>
      </c>
      <c r="CT393" s="121">
        <f t="shared" si="66"/>
        <v>40.65254389444987</v>
      </c>
      <c r="CU393" s="121">
        <f t="shared" si="66"/>
        <v>54.558037948608401</v>
      </c>
      <c r="CV393" s="121">
        <f t="shared" si="66"/>
        <v>76.993342081705734</v>
      </c>
      <c r="CW393" s="121">
        <f t="shared" si="66"/>
        <v>3.1333333333333333</v>
      </c>
      <c r="CX393" s="121">
        <f t="shared" si="66"/>
        <v>402.86666666666667</v>
      </c>
      <c r="CY393" s="121">
        <f t="shared" si="66"/>
        <v>184.69390385945638</v>
      </c>
      <c r="CZ393" s="121">
        <f t="shared" si="66"/>
        <v>55.802395502726235</v>
      </c>
      <c r="DA393" s="121">
        <f t="shared" si="66"/>
        <v>21.644924132029214</v>
      </c>
      <c r="DB393" s="121">
        <f t="shared" si="66"/>
        <v>36.787831687927245</v>
      </c>
      <c r="DC393" s="121">
        <f t="shared" si="66"/>
        <v>86.261589940389001</v>
      </c>
      <c r="DD393" s="121">
        <f t="shared" si="66"/>
        <v>85.916666666666671</v>
      </c>
      <c r="DE393" s="121">
        <f t="shared" si="66"/>
        <v>186.08333333333334</v>
      </c>
      <c r="DF393" s="121">
        <f t="shared" si="66"/>
        <v>118.89285901387532</v>
      </c>
      <c r="DG393" s="121">
        <f t="shared" si="66"/>
        <v>84.49262835184733</v>
      </c>
      <c r="DH393" s="121">
        <f t="shared" si="66"/>
        <v>58.104017066955564</v>
      </c>
      <c r="DI393" s="121">
        <f t="shared" si="66"/>
        <v>40.241512107849118</v>
      </c>
      <c r="DJ393" s="121">
        <f t="shared" si="66"/>
        <v>223.73333333333332</v>
      </c>
      <c r="DK393" s="121">
        <f t="shared" si="66"/>
        <v>122.41185035705567</v>
      </c>
      <c r="DL393" s="121">
        <f t="shared" si="66"/>
        <v>26.950616709391277</v>
      </c>
      <c r="DM393" s="121">
        <f t="shared" si="66"/>
        <v>40.272683334350589</v>
      </c>
      <c r="DN393" s="121">
        <f t="shared" si="66"/>
        <v>52.033133570353193</v>
      </c>
      <c r="DO393" s="121">
        <f t="shared" si="66"/>
        <v>113.16178894042969</v>
      </c>
      <c r="DP393" s="121">
        <f t="shared" si="66"/>
        <v>16.107366673151652</v>
      </c>
      <c r="DQ393" s="121" t="e">
        <f t="shared" si="66"/>
        <v>#DIV/0!</v>
      </c>
      <c r="DR393" s="121">
        <f t="shared" si="66"/>
        <v>24.566666666666666</v>
      </c>
      <c r="DS393" s="121">
        <f t="shared" si="66"/>
        <v>35.951666895548506</v>
      </c>
      <c r="DT393" s="121">
        <f t="shared" si="66"/>
        <v>12.766666666666667</v>
      </c>
      <c r="DU393" s="121" t="e">
        <f t="shared" si="66"/>
        <v>#DIV/0!</v>
      </c>
      <c r="DV393" s="121">
        <f t="shared" si="66"/>
        <v>171.25</v>
      </c>
      <c r="DW393" s="121">
        <f t="shared" si="66"/>
        <v>162.94358062744141</v>
      </c>
      <c r="DX393" s="121">
        <f t="shared" si="66"/>
        <v>10.516666666666667</v>
      </c>
      <c r="DY393" s="121" t="e">
        <f t="shared" si="66"/>
        <v>#DIV/0!</v>
      </c>
      <c r="DZ393" s="121">
        <f t="shared" si="66"/>
        <v>46.9</v>
      </c>
      <c r="EA393" s="121">
        <f t="shared" si="66"/>
        <v>3</v>
      </c>
      <c r="EB393" s="121">
        <f t="shared" si="66"/>
        <v>0</v>
      </c>
      <c r="EC393" s="121">
        <f t="shared" si="66"/>
        <v>1.0833333333333333</v>
      </c>
      <c r="ED393" s="121">
        <f t="shared" si="66"/>
        <v>285.76833292643227</v>
      </c>
      <c r="EE393" s="129"/>
      <c r="EF393" s="129"/>
      <c r="EG393" s="129"/>
    </row>
    <row r="394" spans="1:137" x14ac:dyDescent="0.3">
      <c r="A394" s="5" t="s">
        <v>324</v>
      </c>
      <c r="B394" s="121">
        <f>AVERAGEA(B89:B148)</f>
        <v>263.5</v>
      </c>
      <c r="C394" s="121">
        <f t="shared" ref="C394:BR394" si="67">AVERAGEA(C89:C148)</f>
        <v>50.621816762288411</v>
      </c>
      <c r="D394" s="121">
        <f t="shared" si="67"/>
        <v>101.09910011291504</v>
      </c>
      <c r="E394" s="121">
        <f t="shared" si="67"/>
        <v>19.263766702016195</v>
      </c>
      <c r="F394" s="121">
        <f t="shared" si="67"/>
        <v>22.902760954697928</v>
      </c>
      <c r="G394" s="121">
        <f t="shared" si="67"/>
        <v>18.613433361053467</v>
      </c>
      <c r="H394" s="121">
        <f t="shared" si="67"/>
        <v>318.95</v>
      </c>
      <c r="I394" s="121">
        <f t="shared" si="67"/>
        <v>286.93333333333334</v>
      </c>
      <c r="J394" s="121">
        <f t="shared" si="67"/>
        <v>66.050166829427084</v>
      </c>
      <c r="K394" s="121">
        <f t="shared" si="67"/>
        <v>65.758266321818027</v>
      </c>
      <c r="L394" s="121">
        <f t="shared" si="67"/>
        <v>46.35183340708415</v>
      </c>
      <c r="M394" s="121">
        <f t="shared" si="67"/>
        <v>13.243216721216838</v>
      </c>
      <c r="N394" s="121">
        <f t="shared" si="67"/>
        <v>17.447550010681152</v>
      </c>
      <c r="O394" s="121">
        <f t="shared" si="67"/>
        <v>19.283333333333335</v>
      </c>
      <c r="P394" s="121">
        <f t="shared" si="67"/>
        <v>0</v>
      </c>
      <c r="Q394" s="121">
        <f t="shared" si="67"/>
        <v>19.832475407918295</v>
      </c>
      <c r="R394" s="121">
        <f t="shared" si="67"/>
        <v>14.450156180063884</v>
      </c>
      <c r="S394" s="121">
        <f t="shared" si="67"/>
        <v>14.364679463704427</v>
      </c>
      <c r="T394" s="121">
        <f t="shared" si="67"/>
        <v>4.916666666666667</v>
      </c>
      <c r="U394" s="121">
        <f t="shared" si="67"/>
        <v>4.916666666666667</v>
      </c>
      <c r="V394" s="121">
        <f t="shared" si="67"/>
        <v>968.31666666666672</v>
      </c>
      <c r="W394" s="121">
        <f t="shared" si="67"/>
        <v>29.999094899495443</v>
      </c>
      <c r="X394" s="121">
        <f t="shared" si="67"/>
        <v>30.511349995930988</v>
      </c>
      <c r="Y394" s="121">
        <f t="shared" si="67"/>
        <v>7.7586834033330279</v>
      </c>
      <c r="Z394" s="121">
        <f t="shared" si="67"/>
        <v>0</v>
      </c>
      <c r="AA394" s="121">
        <f t="shared" si="67"/>
        <v>25.646200084686278</v>
      </c>
      <c r="AB394" s="121">
        <f t="shared" si="67"/>
        <v>0</v>
      </c>
      <c r="AC394" s="121">
        <f t="shared" si="67"/>
        <v>58.822469075520836</v>
      </c>
      <c r="AD394" s="121">
        <f t="shared" si="67"/>
        <v>6.1958833058675129</v>
      </c>
      <c r="AE394" s="121">
        <f t="shared" si="67"/>
        <v>0</v>
      </c>
      <c r="AF394" s="121">
        <f t="shared" si="67"/>
        <v>86.83456192016601</v>
      </c>
      <c r="AG394" s="121">
        <f t="shared" si="67"/>
        <v>0</v>
      </c>
      <c r="AH394" s="121">
        <f t="shared" si="67"/>
        <v>68.076440048217776</v>
      </c>
      <c r="AI394" s="121">
        <f t="shared" si="67"/>
        <v>15.64720009167989</v>
      </c>
      <c r="AJ394" s="121">
        <f t="shared" si="67"/>
        <v>23.344129530588784</v>
      </c>
      <c r="AK394" s="121">
        <f t="shared" si="67"/>
        <v>46.730046653747557</v>
      </c>
      <c r="AL394" s="121">
        <f t="shared" si="67"/>
        <v>51.508766492207847</v>
      </c>
      <c r="AM394" s="121">
        <f t="shared" si="67"/>
        <v>56.002849833170572</v>
      </c>
      <c r="AN394" s="121">
        <f t="shared" si="67"/>
        <v>130.56874999999999</v>
      </c>
      <c r="AO394" s="121">
        <f t="shared" si="67"/>
        <v>69.75</v>
      </c>
      <c r="AP394" s="121">
        <f t="shared" si="67"/>
        <v>69.209521230061853</v>
      </c>
      <c r="AQ394" s="121">
        <f t="shared" si="67"/>
        <v>43.07206236521403</v>
      </c>
      <c r="AR394" s="121">
        <f t="shared" si="67"/>
        <v>84.05</v>
      </c>
      <c r="AS394" s="121" t="e">
        <f t="shared" si="67"/>
        <v>#DIV/0!</v>
      </c>
      <c r="AT394" s="121">
        <f t="shared" si="67"/>
        <v>122.53333333333333</v>
      </c>
      <c r="AU394" s="121" t="e">
        <f t="shared" si="67"/>
        <v>#DIV/0!</v>
      </c>
      <c r="AV394" s="121">
        <f t="shared" si="67"/>
        <v>76.25</v>
      </c>
      <c r="AW394" s="121" t="e">
        <f t="shared" si="67"/>
        <v>#DIV/0!</v>
      </c>
      <c r="AX394" s="121">
        <f t="shared" si="67"/>
        <v>31.75</v>
      </c>
      <c r="AY394" s="121">
        <f t="shared" si="67"/>
        <v>34.13678607940674</v>
      </c>
      <c r="AZ394" s="121">
        <f t="shared" si="67"/>
        <v>17.833333333333332</v>
      </c>
      <c r="BA394" s="121" t="e">
        <f t="shared" si="67"/>
        <v>#DIV/0!</v>
      </c>
      <c r="BB394" s="121">
        <f t="shared" si="67"/>
        <v>300.76666666666665</v>
      </c>
      <c r="BC394" s="121">
        <f t="shared" si="67"/>
        <v>302.38178354899088</v>
      </c>
      <c r="BD394" s="121">
        <f t="shared" si="67"/>
        <v>7.0099999904632568</v>
      </c>
      <c r="BE394" s="121">
        <f t="shared" si="67"/>
        <v>7.0397841374079384</v>
      </c>
      <c r="BF394" s="121">
        <f t="shared" si="67"/>
        <v>30.216666666666665</v>
      </c>
      <c r="BG394" s="121">
        <f t="shared" si="67"/>
        <v>10.733333333333333</v>
      </c>
      <c r="BH394" s="121">
        <f t="shared" si="67"/>
        <v>11.374379046758015</v>
      </c>
      <c r="BI394" s="121" t="e">
        <f t="shared" si="67"/>
        <v>#DIV/0!</v>
      </c>
      <c r="BJ394" s="121">
        <f t="shared" si="67"/>
        <v>15.683333333333334</v>
      </c>
      <c r="BK394" s="121">
        <f t="shared" si="67"/>
        <v>15.683333333333334</v>
      </c>
      <c r="BL394" s="121">
        <f t="shared" si="67"/>
        <v>0</v>
      </c>
      <c r="BM394" s="121" t="e">
        <f t="shared" si="67"/>
        <v>#DIV/0!</v>
      </c>
      <c r="BN394" s="121">
        <f t="shared" si="67"/>
        <v>122.52166678110758</v>
      </c>
      <c r="BO394" s="121">
        <f t="shared" si="67"/>
        <v>73.55</v>
      </c>
      <c r="BP394" s="121">
        <f t="shared" si="67"/>
        <v>48.971666781107587</v>
      </c>
      <c r="BQ394" s="121">
        <f t="shared" si="67"/>
        <v>287.51666666666665</v>
      </c>
      <c r="BR394" s="121">
        <f t="shared" si="67"/>
        <v>79.742482884724936</v>
      </c>
      <c r="BS394" s="121">
        <f t="shared" ref="BS394:ED394" si="68">AVERAGEA(BS89:BS148)</f>
        <v>25.514199860890706</v>
      </c>
      <c r="BT394" s="121">
        <f t="shared" si="68"/>
        <v>43.444583320617674</v>
      </c>
      <c r="BU394" s="121">
        <f t="shared" si="68"/>
        <v>39.771883519490558</v>
      </c>
      <c r="BV394" s="121">
        <f t="shared" si="68"/>
        <v>69.13333333333334</v>
      </c>
      <c r="BW394" s="121">
        <f t="shared" si="68"/>
        <v>6.3333333810170496</v>
      </c>
      <c r="BX394" s="121">
        <f t="shared" si="68"/>
        <v>13.618333387374879</v>
      </c>
      <c r="BY394" s="121">
        <f t="shared" si="68"/>
        <v>28.35</v>
      </c>
      <c r="BZ394" s="121">
        <f t="shared" si="68"/>
        <v>12.942586478559921</v>
      </c>
      <c r="CA394" s="121">
        <f t="shared" si="68"/>
        <v>13.016666666666667</v>
      </c>
      <c r="CB394" s="121">
        <f t="shared" si="68"/>
        <v>29.364458560943604</v>
      </c>
      <c r="CC394" s="121" t="e">
        <f t="shared" si="68"/>
        <v>#DIV/0!</v>
      </c>
      <c r="CD394" s="121">
        <f t="shared" si="68"/>
        <v>390.79046173095702</v>
      </c>
      <c r="CE394" s="121">
        <f t="shared" si="68"/>
        <v>58.323392677307126</v>
      </c>
      <c r="CF394" s="121">
        <f t="shared" si="68"/>
        <v>24.892146174112955</v>
      </c>
      <c r="CG394" s="121">
        <f t="shared" si="68"/>
        <v>35.338191986083984</v>
      </c>
      <c r="CH394" s="121">
        <f t="shared" si="68"/>
        <v>289.72465922037759</v>
      </c>
      <c r="CI394" s="121">
        <f t="shared" si="68"/>
        <v>91.888050206502285</v>
      </c>
      <c r="CJ394" s="121">
        <f t="shared" si="68"/>
        <v>41.798206202189128</v>
      </c>
      <c r="CK394" s="121">
        <f t="shared" si="68"/>
        <v>53.518166605631514</v>
      </c>
      <c r="CL394" s="121">
        <f t="shared" si="68"/>
        <v>38.495481046040851</v>
      </c>
      <c r="CM394" s="121">
        <f t="shared" si="68"/>
        <v>242.19980112711588</v>
      </c>
      <c r="CN394" s="121">
        <f t="shared" si="68"/>
        <v>77.624729283650723</v>
      </c>
      <c r="CO394" s="121">
        <f t="shared" si="68"/>
        <v>82.941727320353195</v>
      </c>
      <c r="CP394" s="121">
        <f t="shared" si="68"/>
        <v>77.138350677490237</v>
      </c>
      <c r="CQ394" s="121">
        <f t="shared" si="68"/>
        <v>0</v>
      </c>
      <c r="CR394" s="121">
        <f t="shared" si="68"/>
        <v>54.461837959289554</v>
      </c>
      <c r="CS394" s="121">
        <f t="shared" si="68"/>
        <v>10.469118229548137</v>
      </c>
      <c r="CT394" s="121">
        <f t="shared" si="68"/>
        <v>39.904449780782066</v>
      </c>
      <c r="CU394" s="121">
        <f t="shared" si="68"/>
        <v>53.437545013427737</v>
      </c>
      <c r="CV394" s="121">
        <f t="shared" si="68"/>
        <v>75.716015370686847</v>
      </c>
      <c r="CW394" s="121">
        <f t="shared" si="68"/>
        <v>3.3166666666666669</v>
      </c>
      <c r="CX394" s="121">
        <f t="shared" si="68"/>
        <v>394.5</v>
      </c>
      <c r="CY394" s="121">
        <f t="shared" si="68"/>
        <v>178.39103317260742</v>
      </c>
      <c r="CZ394" s="121">
        <f t="shared" si="68"/>
        <v>55.424779192606607</v>
      </c>
      <c r="DA394" s="121">
        <f t="shared" si="68"/>
        <v>21.498461723327637</v>
      </c>
      <c r="DB394" s="121">
        <f t="shared" si="68"/>
        <v>36.23474801381429</v>
      </c>
      <c r="DC394" s="121">
        <f t="shared" si="68"/>
        <v>85.509397633870449</v>
      </c>
      <c r="DD394" s="121">
        <f t="shared" si="68"/>
        <v>82.833333333333329</v>
      </c>
      <c r="DE394" s="121">
        <f t="shared" si="68"/>
        <v>185.46666666666667</v>
      </c>
      <c r="DF394" s="121">
        <f t="shared" si="68"/>
        <v>117.13553237915039</v>
      </c>
      <c r="DG394" s="121">
        <f t="shared" si="68"/>
        <v>83.168440500895187</v>
      </c>
      <c r="DH394" s="121">
        <f t="shared" si="68"/>
        <v>57.277298037211104</v>
      </c>
      <c r="DI394" s="121">
        <f t="shared" si="68"/>
        <v>39.986613782246906</v>
      </c>
      <c r="DJ394" s="121">
        <f t="shared" si="68"/>
        <v>221.28333333333333</v>
      </c>
      <c r="DK394" s="121">
        <f t="shared" si="68"/>
        <v>119.90531730651855</v>
      </c>
      <c r="DL394" s="121">
        <f t="shared" si="68"/>
        <v>26.77151673634847</v>
      </c>
      <c r="DM394" s="121">
        <f t="shared" si="68"/>
        <v>37.866433270772298</v>
      </c>
      <c r="DN394" s="121">
        <f t="shared" si="68"/>
        <v>51.738617006937666</v>
      </c>
      <c r="DO394" s="121">
        <f t="shared" si="68"/>
        <v>113.01642405192057</v>
      </c>
      <c r="DP394" s="121">
        <f t="shared" si="68"/>
        <v>16.033383369445801</v>
      </c>
      <c r="DQ394" s="121" t="e">
        <f t="shared" si="68"/>
        <v>#DIV/0!</v>
      </c>
      <c r="DR394" s="121">
        <f t="shared" si="68"/>
        <v>18.983333333333334</v>
      </c>
      <c r="DS394" s="121">
        <f t="shared" si="68"/>
        <v>35.595000203450518</v>
      </c>
      <c r="DT394" s="121">
        <f t="shared" si="68"/>
        <v>12.683333333333334</v>
      </c>
      <c r="DU394" s="121" t="e">
        <f t="shared" si="68"/>
        <v>#DIV/0!</v>
      </c>
      <c r="DV394" s="121">
        <f t="shared" si="68"/>
        <v>157.83333333333334</v>
      </c>
      <c r="DW394" s="121">
        <f t="shared" si="68"/>
        <v>149.41743135849634</v>
      </c>
      <c r="DX394" s="121">
        <f t="shared" si="68"/>
        <v>10.45</v>
      </c>
      <c r="DY394" s="121" t="e">
        <f t="shared" si="68"/>
        <v>#DIV/0!</v>
      </c>
      <c r="DZ394" s="121">
        <f t="shared" si="68"/>
        <v>46.65</v>
      </c>
      <c r="EA394" s="121">
        <f t="shared" si="68"/>
        <v>3</v>
      </c>
      <c r="EB394" s="121">
        <f t="shared" si="68"/>
        <v>0</v>
      </c>
      <c r="EC394" s="121">
        <f t="shared" si="68"/>
        <v>1.1000000000000001</v>
      </c>
      <c r="ED394" s="121">
        <f t="shared" si="68"/>
        <v>282.03999989827474</v>
      </c>
      <c r="EE394" s="129"/>
      <c r="EF394" s="129"/>
      <c r="EG394" s="129"/>
    </row>
    <row r="395" spans="1:137" x14ac:dyDescent="0.3">
      <c r="A395" s="5" t="s">
        <v>325</v>
      </c>
      <c r="B395" s="121">
        <f>AVERAGEA(B94:B153)</f>
        <v>259.78333333333336</v>
      </c>
      <c r="C395" s="121">
        <f t="shared" ref="C395:BR395" si="69">AVERAGEA(C94:C153)</f>
        <v>50.471016756693523</v>
      </c>
      <c r="D395" s="121">
        <f t="shared" si="69"/>
        <v>101.32906684875488</v>
      </c>
      <c r="E395" s="121">
        <f t="shared" si="69"/>
        <v>18.894316625595092</v>
      </c>
      <c r="F395" s="121">
        <f t="shared" si="69"/>
        <v>20.051528815428416</v>
      </c>
      <c r="G395" s="121">
        <f t="shared" si="69"/>
        <v>18.496550019582113</v>
      </c>
      <c r="H395" s="121">
        <f t="shared" si="69"/>
        <v>317.5</v>
      </c>
      <c r="I395" s="121">
        <f t="shared" si="69"/>
        <v>285.38333333333333</v>
      </c>
      <c r="J395" s="121">
        <f t="shared" si="69"/>
        <v>65.820233281453454</v>
      </c>
      <c r="K395" s="121">
        <f t="shared" si="69"/>
        <v>65.358690706888837</v>
      </c>
      <c r="L395" s="121">
        <f t="shared" si="69"/>
        <v>45.904150136311848</v>
      </c>
      <c r="M395" s="121">
        <f t="shared" si="69"/>
        <v>13.199866739908854</v>
      </c>
      <c r="N395" s="121">
        <f t="shared" si="69"/>
        <v>17.488916619618735</v>
      </c>
      <c r="O395" s="121">
        <f t="shared" si="69"/>
        <v>19.233333333333334</v>
      </c>
      <c r="P395" s="121">
        <f t="shared" si="69"/>
        <v>0</v>
      </c>
      <c r="Q395" s="121">
        <f t="shared" si="69"/>
        <v>19.743063354492186</v>
      </c>
      <c r="R395" s="121">
        <f t="shared" si="69"/>
        <v>13.700312407811483</v>
      </c>
      <c r="S395" s="121">
        <f t="shared" si="69"/>
        <v>13.544692420959473</v>
      </c>
      <c r="T395" s="121">
        <f t="shared" si="69"/>
        <v>5.666666666666667</v>
      </c>
      <c r="U395" s="121">
        <f t="shared" si="69"/>
        <v>5.666666666666667</v>
      </c>
      <c r="V395" s="121">
        <f t="shared" si="69"/>
        <v>961.05</v>
      </c>
      <c r="W395" s="121">
        <f t="shared" si="69"/>
        <v>29.606705570220946</v>
      </c>
      <c r="X395" s="121">
        <f t="shared" si="69"/>
        <v>30.043883387247721</v>
      </c>
      <c r="Y395" s="121">
        <f t="shared" si="69"/>
        <v>7.7279333988825476</v>
      </c>
      <c r="Z395" s="121">
        <f t="shared" si="69"/>
        <v>0</v>
      </c>
      <c r="AA395" s="121">
        <f t="shared" si="69"/>
        <v>25.248450056711832</v>
      </c>
      <c r="AB395" s="121">
        <f t="shared" si="69"/>
        <v>0</v>
      </c>
      <c r="AC395" s="121">
        <f t="shared" si="69"/>
        <v>58.402040672302249</v>
      </c>
      <c r="AD395" s="121">
        <f t="shared" si="69"/>
        <v>6.2213166395823158</v>
      </c>
      <c r="AE395" s="121">
        <f t="shared" si="69"/>
        <v>0</v>
      </c>
      <c r="AF395" s="121">
        <f t="shared" si="69"/>
        <v>86.508323923746744</v>
      </c>
      <c r="AG395" s="121">
        <f t="shared" si="69"/>
        <v>0</v>
      </c>
      <c r="AH395" s="121">
        <f t="shared" si="69"/>
        <v>67.64658673604329</v>
      </c>
      <c r="AI395" s="121">
        <f t="shared" si="69"/>
        <v>15.184916766484578</v>
      </c>
      <c r="AJ395" s="121">
        <f t="shared" si="69"/>
        <v>22.860155423482258</v>
      </c>
      <c r="AK395" s="121">
        <f t="shared" si="69"/>
        <v>46.551415125528969</v>
      </c>
      <c r="AL395" s="121">
        <f t="shared" si="69"/>
        <v>50.162799835205078</v>
      </c>
      <c r="AM395" s="121">
        <f t="shared" si="69"/>
        <v>55.891499773661295</v>
      </c>
      <c r="AN395" s="121">
        <f t="shared" si="69"/>
        <v>129.296875</v>
      </c>
      <c r="AO395" s="121">
        <f t="shared" si="69"/>
        <v>68.933333333333337</v>
      </c>
      <c r="AP395" s="121">
        <f t="shared" si="69"/>
        <v>68.715279388427732</v>
      </c>
      <c r="AQ395" s="121">
        <f t="shared" si="69"/>
        <v>42.358841451009113</v>
      </c>
      <c r="AR395" s="121">
        <f t="shared" si="69"/>
        <v>84.38333333333334</v>
      </c>
      <c r="AS395" s="121" t="e">
        <f t="shared" si="69"/>
        <v>#DIV/0!</v>
      </c>
      <c r="AT395" s="121">
        <f t="shared" si="69"/>
        <v>122.56666666666666</v>
      </c>
      <c r="AU395" s="121" t="e">
        <f t="shared" si="69"/>
        <v>#DIV/0!</v>
      </c>
      <c r="AV395" s="121">
        <f t="shared" si="69"/>
        <v>76.083333333333329</v>
      </c>
      <c r="AW395" s="121" t="e">
        <f t="shared" si="69"/>
        <v>#DIV/0!</v>
      </c>
      <c r="AX395" s="121">
        <f t="shared" si="69"/>
        <v>31.583333333333332</v>
      </c>
      <c r="AY395" s="121">
        <f t="shared" si="69"/>
        <v>33.971484629313153</v>
      </c>
      <c r="AZ395" s="121">
        <f t="shared" si="69"/>
        <v>17.433333333333334</v>
      </c>
      <c r="BA395" s="121" t="e">
        <f t="shared" si="69"/>
        <v>#DIV/0!</v>
      </c>
      <c r="BB395" s="121">
        <f t="shared" si="69"/>
        <v>300.2</v>
      </c>
      <c r="BC395" s="121">
        <f t="shared" si="69"/>
        <v>301.50498606363931</v>
      </c>
      <c r="BD395" s="121">
        <f t="shared" si="69"/>
        <v>7.0033333301544189</v>
      </c>
      <c r="BE395" s="121">
        <f t="shared" si="69"/>
        <v>7.0259444475173947</v>
      </c>
      <c r="BF395" s="121">
        <f t="shared" si="69"/>
        <v>30.266666666666666</v>
      </c>
      <c r="BG395" s="121">
        <f t="shared" si="69"/>
        <v>10.65</v>
      </c>
      <c r="BH395" s="121">
        <f t="shared" si="69"/>
        <v>11.33301370938619</v>
      </c>
      <c r="BI395" s="121" t="e">
        <f t="shared" si="69"/>
        <v>#DIV/0!</v>
      </c>
      <c r="BJ395" s="121">
        <f t="shared" si="69"/>
        <v>15.483333333333333</v>
      </c>
      <c r="BK395" s="121">
        <f t="shared" si="69"/>
        <v>15.483333333333333</v>
      </c>
      <c r="BL395" s="121">
        <f t="shared" si="69"/>
        <v>0</v>
      </c>
      <c r="BM395" s="121" t="e">
        <f t="shared" si="69"/>
        <v>#DIV/0!</v>
      </c>
      <c r="BN395" s="121">
        <f t="shared" si="69"/>
        <v>122.45833346048991</v>
      </c>
      <c r="BO395" s="121">
        <f t="shared" si="69"/>
        <v>73.483333333333334</v>
      </c>
      <c r="BP395" s="121">
        <f t="shared" si="69"/>
        <v>48.975000127156576</v>
      </c>
      <c r="BQ395" s="121">
        <f t="shared" si="69"/>
        <v>285.68333333333334</v>
      </c>
      <c r="BR395" s="121">
        <f t="shared" si="69"/>
        <v>78.289182917277017</v>
      </c>
      <c r="BS395" s="121">
        <f t="shared" ref="BS395:ED395" si="70">AVERAGEA(BS94:BS153)</f>
        <v>25.395416514078775</v>
      </c>
      <c r="BT395" s="121">
        <f t="shared" si="70"/>
        <v>43.288700103759766</v>
      </c>
      <c r="BU395" s="121">
        <f t="shared" si="70"/>
        <v>39.459083493550615</v>
      </c>
      <c r="BV395" s="121">
        <f t="shared" si="70"/>
        <v>69.144999949137372</v>
      </c>
      <c r="BW395" s="121">
        <f t="shared" si="70"/>
        <v>6.2916667143503826</v>
      </c>
      <c r="BX395" s="121">
        <f t="shared" si="70"/>
        <v>13.660000069936116</v>
      </c>
      <c r="BY395" s="121">
        <f t="shared" si="70"/>
        <v>28.366666666666667</v>
      </c>
      <c r="BZ395" s="121">
        <f t="shared" si="70"/>
        <v>11.950718989145631</v>
      </c>
      <c r="CA395" s="121">
        <f t="shared" si="70"/>
        <v>11.816666666666666</v>
      </c>
      <c r="CB395" s="121">
        <f t="shared" si="70"/>
        <v>29.359712092081704</v>
      </c>
      <c r="CC395" s="121" t="e">
        <f t="shared" si="70"/>
        <v>#DIV/0!</v>
      </c>
      <c r="CD395" s="121">
        <f t="shared" si="70"/>
        <v>387.79589691162107</v>
      </c>
      <c r="CE395" s="121">
        <f t="shared" si="70"/>
        <v>57.571759986877439</v>
      </c>
      <c r="CF395" s="121">
        <f t="shared" si="70"/>
        <v>24.414167054494222</v>
      </c>
      <c r="CG395" s="121">
        <f t="shared" si="70"/>
        <v>35.338191986083984</v>
      </c>
      <c r="CH395" s="121">
        <f t="shared" si="70"/>
        <v>288.24025014241539</v>
      </c>
      <c r="CI395" s="121">
        <f t="shared" si="70"/>
        <v>90.875496164957681</v>
      </c>
      <c r="CJ395" s="121">
        <f t="shared" si="70"/>
        <v>41.060966110229494</v>
      </c>
      <c r="CK395" s="121">
        <f t="shared" si="70"/>
        <v>53.217706553141277</v>
      </c>
      <c r="CL395" s="121">
        <f t="shared" si="70"/>
        <v>37.932189242045084</v>
      </c>
      <c r="CM395" s="121">
        <f t="shared" si="70"/>
        <v>239.76192728678384</v>
      </c>
      <c r="CN395" s="121">
        <f t="shared" si="70"/>
        <v>77.16966361999512</v>
      </c>
      <c r="CO395" s="121">
        <f t="shared" si="70"/>
        <v>81.575122833251953</v>
      </c>
      <c r="CP395" s="121">
        <f t="shared" si="70"/>
        <v>76.660317611694339</v>
      </c>
      <c r="CQ395" s="121">
        <f t="shared" si="70"/>
        <v>0</v>
      </c>
      <c r="CR395" s="121">
        <f t="shared" si="70"/>
        <v>53.882323582967125</v>
      </c>
      <c r="CS395" s="121">
        <f t="shared" si="70"/>
        <v>10.336987908681234</v>
      </c>
      <c r="CT395" s="121">
        <f t="shared" si="70"/>
        <v>38.987654304504396</v>
      </c>
      <c r="CU395" s="121">
        <f t="shared" si="70"/>
        <v>52.970235125223795</v>
      </c>
      <c r="CV395" s="121">
        <f t="shared" si="70"/>
        <v>74.450325012207031</v>
      </c>
      <c r="CW395" s="121">
        <f t="shared" si="70"/>
        <v>3.55</v>
      </c>
      <c r="CX395" s="121">
        <f t="shared" si="70"/>
        <v>386.3</v>
      </c>
      <c r="CY395" s="121">
        <f t="shared" si="70"/>
        <v>172.0797171274821</v>
      </c>
      <c r="CZ395" s="121">
        <f t="shared" si="70"/>
        <v>54.872394307454428</v>
      </c>
      <c r="DA395" s="121">
        <f t="shared" si="70"/>
        <v>21.35513817469279</v>
      </c>
      <c r="DB395" s="121">
        <f t="shared" si="70"/>
        <v>35.657826487223311</v>
      </c>
      <c r="DC395" s="121">
        <f t="shared" si="70"/>
        <v>84.840738805135089</v>
      </c>
      <c r="DD395" s="121">
        <f t="shared" si="70"/>
        <v>80.349999999999994</v>
      </c>
      <c r="DE395" s="121">
        <f t="shared" si="70"/>
        <v>184.93333333333334</v>
      </c>
      <c r="DF395" s="121">
        <f t="shared" si="70"/>
        <v>115.69682846069335</v>
      </c>
      <c r="DG395" s="121">
        <f t="shared" si="70"/>
        <v>82.09755363464356</v>
      </c>
      <c r="DH395" s="121">
        <f t="shared" si="70"/>
        <v>56.496663093566895</v>
      </c>
      <c r="DI395" s="121">
        <f t="shared" si="70"/>
        <v>39.851329231262206</v>
      </c>
      <c r="DJ395" s="121">
        <f t="shared" si="70"/>
        <v>218.55</v>
      </c>
      <c r="DK395" s="121">
        <f t="shared" si="70"/>
        <v>117.18251698811849</v>
      </c>
      <c r="DL395" s="121">
        <f t="shared" si="70"/>
        <v>26.520800081888833</v>
      </c>
      <c r="DM395" s="121">
        <f t="shared" si="70"/>
        <v>35.41898326873779</v>
      </c>
      <c r="DN395" s="121">
        <f t="shared" si="70"/>
        <v>51.396966997782393</v>
      </c>
      <c r="DO395" s="121">
        <f t="shared" si="70"/>
        <v>113.02095565795898</v>
      </c>
      <c r="DP395" s="121">
        <f t="shared" si="70"/>
        <v>15.971633354822794</v>
      </c>
      <c r="DQ395" s="121" t="e">
        <f t="shared" si="70"/>
        <v>#DIV/0!</v>
      </c>
      <c r="DR395" s="121">
        <f t="shared" si="70"/>
        <v>17.883333333333333</v>
      </c>
      <c r="DS395" s="121">
        <f t="shared" si="70"/>
        <v>35.003333504994707</v>
      </c>
      <c r="DT395" s="121">
        <f t="shared" si="70"/>
        <v>12.616666666666667</v>
      </c>
      <c r="DU395" s="121" t="e">
        <f t="shared" si="70"/>
        <v>#DIV/0!</v>
      </c>
      <c r="DV395" s="121">
        <f t="shared" si="70"/>
        <v>144.19999999999999</v>
      </c>
      <c r="DW395" s="121">
        <f t="shared" si="70"/>
        <v>135.89759133656818</v>
      </c>
      <c r="DX395" s="121">
        <f t="shared" si="70"/>
        <v>10.433333333333334</v>
      </c>
      <c r="DY395" s="121" t="e">
        <f t="shared" si="70"/>
        <v>#DIV/0!</v>
      </c>
      <c r="DZ395" s="121">
        <f t="shared" si="70"/>
        <v>46.35</v>
      </c>
      <c r="EA395" s="121">
        <f t="shared" si="70"/>
        <v>3</v>
      </c>
      <c r="EB395" s="121">
        <f t="shared" si="70"/>
        <v>0</v>
      </c>
      <c r="EC395" s="121">
        <f t="shared" si="70"/>
        <v>1.1000000000000001</v>
      </c>
      <c r="ED395" s="121">
        <f t="shared" si="70"/>
        <v>278.95833282470704</v>
      </c>
      <c r="EE395" s="129"/>
      <c r="EF395" s="129"/>
      <c r="EG395" s="129"/>
    </row>
    <row r="396" spans="1:137" x14ac:dyDescent="0.3">
      <c r="A396" s="5" t="s">
        <v>326</v>
      </c>
      <c r="B396" s="121">
        <f>AVERAGEA(B99:B158)</f>
        <v>256.2</v>
      </c>
      <c r="C396" s="121">
        <f t="shared" ref="C396:BR396" si="71">AVERAGEA(C99:C158)</f>
        <v>50.069516817728676</v>
      </c>
      <c r="D396" s="121">
        <f t="shared" si="71"/>
        <v>101.50625025431314</v>
      </c>
      <c r="E396" s="121">
        <f t="shared" si="71"/>
        <v>18.604033263524375</v>
      </c>
      <c r="F396" s="121">
        <f t="shared" si="71"/>
        <v>16.986628234386444</v>
      </c>
      <c r="G396" s="121">
        <f t="shared" si="71"/>
        <v>18.325016657511394</v>
      </c>
      <c r="H396" s="121">
        <f t="shared" si="71"/>
        <v>316.23333333333335</v>
      </c>
      <c r="I396" s="121">
        <f t="shared" si="71"/>
        <v>283.86666666666667</v>
      </c>
      <c r="J396" s="121">
        <f t="shared" si="71"/>
        <v>65.439466667175296</v>
      </c>
      <c r="K396" s="121">
        <f t="shared" si="71"/>
        <v>64.857226181030271</v>
      </c>
      <c r="L396" s="121">
        <f t="shared" si="71"/>
        <v>45.659666760762533</v>
      </c>
      <c r="M396" s="121">
        <f t="shared" si="71"/>
        <v>13.156483427683513</v>
      </c>
      <c r="N396" s="121">
        <f t="shared" si="71"/>
        <v>17.548299948374432</v>
      </c>
      <c r="O396" s="121">
        <f t="shared" si="71"/>
        <v>19.149999999999999</v>
      </c>
      <c r="P396" s="121">
        <f t="shared" si="71"/>
        <v>0</v>
      </c>
      <c r="Q396" s="121">
        <f t="shared" si="71"/>
        <v>19.64248514175415</v>
      </c>
      <c r="R396" s="121">
        <f t="shared" si="71"/>
        <v>12.933593654632569</v>
      </c>
      <c r="S396" s="121">
        <f t="shared" si="71"/>
        <v>12.684926501909892</v>
      </c>
      <c r="T396" s="121">
        <f t="shared" si="71"/>
        <v>6.2666666666666666</v>
      </c>
      <c r="U396" s="121">
        <f t="shared" si="71"/>
        <v>6.2666666666666666</v>
      </c>
      <c r="V396" s="121">
        <f t="shared" si="71"/>
        <v>954.13333333333333</v>
      </c>
      <c r="W396" s="121">
        <f t="shared" si="71"/>
        <v>29.196755409240723</v>
      </c>
      <c r="X396" s="121">
        <f t="shared" si="71"/>
        <v>29.565100002288819</v>
      </c>
      <c r="Y396" s="121">
        <f t="shared" si="71"/>
        <v>7.7184000730514528</v>
      </c>
      <c r="Z396" s="121">
        <f t="shared" si="71"/>
        <v>0</v>
      </c>
      <c r="AA396" s="121">
        <f t="shared" si="71"/>
        <v>24.973266696929933</v>
      </c>
      <c r="AB396" s="121">
        <f t="shared" si="71"/>
        <v>0</v>
      </c>
      <c r="AC396" s="121">
        <f t="shared" si="71"/>
        <v>57.99424203236898</v>
      </c>
      <c r="AD396" s="121">
        <f t="shared" si="71"/>
        <v>6.2424999872843427</v>
      </c>
      <c r="AE396" s="121">
        <f t="shared" si="71"/>
        <v>0</v>
      </c>
      <c r="AF396" s="121">
        <f t="shared" si="71"/>
        <v>86.136338551839188</v>
      </c>
      <c r="AG396" s="121">
        <f t="shared" si="71"/>
        <v>0</v>
      </c>
      <c r="AH396" s="121">
        <f t="shared" si="71"/>
        <v>67.054290580749509</v>
      </c>
      <c r="AI396" s="121">
        <f t="shared" si="71"/>
        <v>14.71413345336914</v>
      </c>
      <c r="AJ396" s="121">
        <f t="shared" si="71"/>
        <v>22.418985716501872</v>
      </c>
      <c r="AK396" s="121">
        <f t="shared" si="71"/>
        <v>46.440204683939619</v>
      </c>
      <c r="AL396" s="121">
        <f t="shared" si="71"/>
        <v>48.65191650390625</v>
      </c>
      <c r="AM396" s="121">
        <f t="shared" si="71"/>
        <v>55.665649731953941</v>
      </c>
      <c r="AN396" s="121">
        <f t="shared" si="71"/>
        <v>128.07604166666667</v>
      </c>
      <c r="AO396" s="121">
        <f t="shared" si="71"/>
        <v>68.166666666666671</v>
      </c>
      <c r="AP396" s="121">
        <f t="shared" si="71"/>
        <v>68.142558224995938</v>
      </c>
      <c r="AQ396" s="121">
        <f t="shared" si="71"/>
        <v>41.777746836344399</v>
      </c>
      <c r="AR396" s="121">
        <f t="shared" si="71"/>
        <v>84.533333333333331</v>
      </c>
      <c r="AS396" s="121" t="e">
        <f t="shared" si="71"/>
        <v>#DIV/0!</v>
      </c>
      <c r="AT396" s="121">
        <f t="shared" si="71"/>
        <v>122.51666666666667</v>
      </c>
      <c r="AU396" s="121" t="e">
        <f t="shared" si="71"/>
        <v>#DIV/0!</v>
      </c>
      <c r="AV396" s="121">
        <f t="shared" si="71"/>
        <v>76.333333333333329</v>
      </c>
      <c r="AW396" s="121" t="e">
        <f t="shared" si="71"/>
        <v>#DIV/0!</v>
      </c>
      <c r="AX396" s="121">
        <f t="shared" si="71"/>
        <v>31.533333333333335</v>
      </c>
      <c r="AY396" s="121">
        <f t="shared" si="71"/>
        <v>33.915960756937665</v>
      </c>
      <c r="AZ396" s="121">
        <f t="shared" si="71"/>
        <v>17.233333333333334</v>
      </c>
      <c r="BA396" s="121" t="e">
        <f t="shared" si="71"/>
        <v>#DIV/0!</v>
      </c>
      <c r="BB396" s="121">
        <f t="shared" si="71"/>
        <v>299.66666666666669</v>
      </c>
      <c r="BC396" s="121">
        <f t="shared" si="71"/>
        <v>300.67059427897135</v>
      </c>
      <c r="BD396" s="121">
        <f t="shared" si="71"/>
        <v>6.9800000190734863</v>
      </c>
      <c r="BE396" s="121">
        <f t="shared" si="71"/>
        <v>7.0073538939158118</v>
      </c>
      <c r="BF396" s="121">
        <f t="shared" si="71"/>
        <v>30.266666666666666</v>
      </c>
      <c r="BG396" s="121">
        <f t="shared" si="71"/>
        <v>10.566666666666666</v>
      </c>
      <c r="BH396" s="121">
        <f t="shared" si="71"/>
        <v>11.291636419296264</v>
      </c>
      <c r="BI396" s="121" t="e">
        <f t="shared" si="71"/>
        <v>#DIV/0!</v>
      </c>
      <c r="BJ396" s="121">
        <f t="shared" si="71"/>
        <v>15.25</v>
      </c>
      <c r="BK396" s="121">
        <f t="shared" si="71"/>
        <v>15.25</v>
      </c>
      <c r="BL396" s="121">
        <f t="shared" si="71"/>
        <v>0</v>
      </c>
      <c r="BM396" s="121" t="e">
        <f t="shared" si="71"/>
        <v>#DIV/0!</v>
      </c>
      <c r="BN396" s="121">
        <f t="shared" si="71"/>
        <v>122.40500011444092</v>
      </c>
      <c r="BO396" s="121">
        <f t="shared" si="71"/>
        <v>73.416666666666671</v>
      </c>
      <c r="BP396" s="121">
        <f t="shared" si="71"/>
        <v>48.988333447774252</v>
      </c>
      <c r="BQ396" s="121">
        <f t="shared" si="71"/>
        <v>284</v>
      </c>
      <c r="BR396" s="121">
        <f t="shared" si="71"/>
        <v>77.063966369628901</v>
      </c>
      <c r="BS396" s="121">
        <f t="shared" ref="BS396:ED396" si="72">AVERAGEA(BS99:BS158)</f>
        <v>25.340283203125001</v>
      </c>
      <c r="BT396" s="121">
        <f t="shared" si="72"/>
        <v>42.982766723632814</v>
      </c>
      <c r="BU396" s="121">
        <f t="shared" si="72"/>
        <v>39.173866780598956</v>
      </c>
      <c r="BV396" s="121">
        <f t="shared" si="72"/>
        <v>69.156666564941403</v>
      </c>
      <c r="BW396" s="121">
        <f t="shared" si="72"/>
        <v>6.2716667095820107</v>
      </c>
      <c r="BX396" s="121">
        <f t="shared" si="72"/>
        <v>13.655000050862631</v>
      </c>
      <c r="BY396" s="121">
        <f t="shared" si="72"/>
        <v>28.383333333333333</v>
      </c>
      <c r="BZ396" s="121">
        <f t="shared" si="72"/>
        <v>10.292863149025168</v>
      </c>
      <c r="CA396" s="121">
        <f t="shared" si="72"/>
        <v>10.3</v>
      </c>
      <c r="CB396" s="121">
        <f t="shared" si="72"/>
        <v>29.351461791992186</v>
      </c>
      <c r="CC396" s="121" t="e">
        <f t="shared" si="72"/>
        <v>#DIV/0!</v>
      </c>
      <c r="CD396" s="121">
        <f t="shared" si="72"/>
        <v>384.92656504313152</v>
      </c>
      <c r="CE396" s="121">
        <f t="shared" si="72"/>
        <v>57.009305572509767</v>
      </c>
      <c r="CF396" s="121">
        <f t="shared" si="72"/>
        <v>24.040530331929524</v>
      </c>
      <c r="CG396" s="121">
        <f t="shared" si="72"/>
        <v>35.338191986083984</v>
      </c>
      <c r="CH396" s="121">
        <f t="shared" si="72"/>
        <v>286.6474889119466</v>
      </c>
      <c r="CI396" s="121">
        <f t="shared" si="72"/>
        <v>90.108115259806311</v>
      </c>
      <c r="CJ396" s="121">
        <f t="shared" si="72"/>
        <v>40.530819702148435</v>
      </c>
      <c r="CK396" s="121">
        <f t="shared" si="72"/>
        <v>52.926971944173175</v>
      </c>
      <c r="CL396" s="121">
        <f t="shared" si="72"/>
        <v>37.36018600463867</v>
      </c>
      <c r="CM396" s="121">
        <f t="shared" si="72"/>
        <v>236.0881202697754</v>
      </c>
      <c r="CN396" s="121">
        <f t="shared" si="72"/>
        <v>75.909112167358401</v>
      </c>
      <c r="CO396" s="121">
        <f t="shared" si="72"/>
        <v>80.024849700927732</v>
      </c>
      <c r="CP396" s="121">
        <f t="shared" si="72"/>
        <v>75.888875579833979</v>
      </c>
      <c r="CQ396" s="121">
        <f t="shared" si="72"/>
        <v>0</v>
      </c>
      <c r="CR396" s="121">
        <f t="shared" si="72"/>
        <v>53.373619016011553</v>
      </c>
      <c r="CS396" s="121">
        <f t="shared" si="72"/>
        <v>10.26518144607544</v>
      </c>
      <c r="CT396" s="121">
        <f t="shared" si="72"/>
        <v>38.165174547831221</v>
      </c>
      <c r="CU396" s="121">
        <f t="shared" si="72"/>
        <v>52.30207977294922</v>
      </c>
      <c r="CV396" s="121">
        <f t="shared" si="72"/>
        <v>72.822377840677902</v>
      </c>
      <c r="CW396" s="121">
        <f t="shared" si="72"/>
        <v>5.65</v>
      </c>
      <c r="CX396" s="121">
        <f t="shared" si="72"/>
        <v>378.6</v>
      </c>
      <c r="CY396" s="121">
        <f t="shared" si="72"/>
        <v>165.85216954549153</v>
      </c>
      <c r="CZ396" s="121">
        <f t="shared" si="72"/>
        <v>54.345638084411618</v>
      </c>
      <c r="DA396" s="121">
        <f t="shared" si="72"/>
        <v>21.206427669525148</v>
      </c>
      <c r="DB396" s="121">
        <f t="shared" si="72"/>
        <v>35.35059642791748</v>
      </c>
      <c r="DC396" s="121">
        <f t="shared" si="72"/>
        <v>84.355480957031247</v>
      </c>
      <c r="DD396" s="121">
        <f t="shared" si="72"/>
        <v>77.466666666666669</v>
      </c>
      <c r="DE396" s="121">
        <f t="shared" si="72"/>
        <v>184.3</v>
      </c>
      <c r="DF396" s="121">
        <f t="shared" si="72"/>
        <v>114.5303332010905</v>
      </c>
      <c r="DG396" s="121">
        <f t="shared" si="72"/>
        <v>80.833624903360999</v>
      </c>
      <c r="DH396" s="121">
        <f t="shared" si="72"/>
        <v>55.623586146036786</v>
      </c>
      <c r="DI396" s="121">
        <f t="shared" si="72"/>
        <v>39.489231491088866</v>
      </c>
      <c r="DJ396" s="121">
        <f t="shared" si="72"/>
        <v>216.46666666666667</v>
      </c>
      <c r="DK396" s="121">
        <f t="shared" si="72"/>
        <v>115.12980028788249</v>
      </c>
      <c r="DL396" s="121">
        <f t="shared" si="72"/>
        <v>26.341750113169351</v>
      </c>
      <c r="DM396" s="121">
        <f t="shared" si="72"/>
        <v>33.65184996922811</v>
      </c>
      <c r="DN396" s="121">
        <f t="shared" si="72"/>
        <v>51.105366897583011</v>
      </c>
      <c r="DO396" s="121">
        <f t="shared" si="72"/>
        <v>112.86939023335775</v>
      </c>
      <c r="DP396" s="121">
        <f t="shared" si="72"/>
        <v>15.932533343633017</v>
      </c>
      <c r="DQ396" s="121" t="e">
        <f t="shared" si="72"/>
        <v>#DIV/0!</v>
      </c>
      <c r="DR396" s="121">
        <f t="shared" si="72"/>
        <v>17.899999999999999</v>
      </c>
      <c r="DS396" s="121">
        <f t="shared" si="72"/>
        <v>34.388333479563393</v>
      </c>
      <c r="DT396" s="121">
        <f t="shared" si="72"/>
        <v>12.566666666666666</v>
      </c>
      <c r="DU396" s="121" t="e">
        <f t="shared" si="72"/>
        <v>#DIV/0!</v>
      </c>
      <c r="DV396" s="121">
        <f t="shared" si="72"/>
        <v>130.48333333333332</v>
      </c>
      <c r="DW396" s="121">
        <f t="shared" si="72"/>
        <v>122.36704441905022</v>
      </c>
      <c r="DX396" s="121">
        <f t="shared" si="72"/>
        <v>10.35</v>
      </c>
      <c r="DY396" s="121" t="e">
        <f t="shared" si="72"/>
        <v>#DIV/0!</v>
      </c>
      <c r="DZ396" s="121">
        <f t="shared" si="72"/>
        <v>46.133333333333333</v>
      </c>
      <c r="EA396" s="121">
        <f t="shared" si="72"/>
        <v>3</v>
      </c>
      <c r="EB396" s="121">
        <f t="shared" si="72"/>
        <v>0</v>
      </c>
      <c r="EC396" s="121">
        <f t="shared" si="72"/>
        <v>1.1000000000000001</v>
      </c>
      <c r="ED396" s="121">
        <f t="shared" si="72"/>
        <v>275.67666651407876</v>
      </c>
      <c r="EE396" s="129"/>
      <c r="EF396" s="129"/>
      <c r="EG396" s="129"/>
    </row>
    <row r="397" spans="1:137" x14ac:dyDescent="0.3">
      <c r="A397" s="5" t="s">
        <v>327</v>
      </c>
      <c r="B397" s="121">
        <f>AVERAGEA(B104:B163)</f>
        <v>252.31666666666666</v>
      </c>
      <c r="C397" s="121">
        <f t="shared" ref="C397:BR397" si="73">AVERAGEA(C104:C163)</f>
        <v>49.724583498636882</v>
      </c>
      <c r="D397" s="121">
        <f t="shared" si="73"/>
        <v>101.67211697896322</v>
      </c>
      <c r="E397" s="121">
        <f t="shared" si="73"/>
        <v>18.145983282725016</v>
      </c>
      <c r="F397" s="121">
        <f t="shared" si="73"/>
        <v>14.0459770321846</v>
      </c>
      <c r="G397" s="121">
        <f t="shared" si="73"/>
        <v>18.127083333333335</v>
      </c>
      <c r="H397" s="121">
        <f t="shared" si="73"/>
        <v>314.81666666666666</v>
      </c>
      <c r="I397" s="121">
        <f t="shared" si="73"/>
        <v>282.05</v>
      </c>
      <c r="J397" s="121">
        <f t="shared" si="73"/>
        <v>64.97199999491373</v>
      </c>
      <c r="K397" s="121">
        <f t="shared" si="73"/>
        <v>64.341911760965985</v>
      </c>
      <c r="L397" s="121">
        <f t="shared" si="73"/>
        <v>45.456433359781904</v>
      </c>
      <c r="M397" s="121">
        <f t="shared" si="73"/>
        <v>13.077283430099488</v>
      </c>
      <c r="N397" s="121">
        <f t="shared" si="73"/>
        <v>17.567416604359945</v>
      </c>
      <c r="O397" s="121">
        <f t="shared" si="73"/>
        <v>19</v>
      </c>
      <c r="P397" s="121">
        <f t="shared" si="73"/>
        <v>0</v>
      </c>
      <c r="Q397" s="121">
        <f t="shared" si="73"/>
        <v>19.482388909657796</v>
      </c>
      <c r="R397" s="121">
        <f t="shared" si="73"/>
        <v>12.03343744277954</v>
      </c>
      <c r="S397" s="121">
        <f t="shared" si="73"/>
        <v>11.759685373306274</v>
      </c>
      <c r="T397" s="121">
        <f t="shared" si="73"/>
        <v>5.8166666666666664</v>
      </c>
      <c r="U397" s="121">
        <f t="shared" si="73"/>
        <v>5.8166666666666664</v>
      </c>
      <c r="V397" s="121">
        <f t="shared" si="73"/>
        <v>947.5</v>
      </c>
      <c r="W397" s="121">
        <f t="shared" si="73"/>
        <v>28.824931971232097</v>
      </c>
      <c r="X397" s="121">
        <f t="shared" si="73"/>
        <v>29.137200037638348</v>
      </c>
      <c r="Y397" s="121">
        <f t="shared" si="73"/>
        <v>7.6314667383829748</v>
      </c>
      <c r="Z397" s="121">
        <f t="shared" si="73"/>
        <v>0</v>
      </c>
      <c r="AA397" s="121">
        <f t="shared" si="73"/>
        <v>24.55855000813802</v>
      </c>
      <c r="AB397" s="121">
        <f t="shared" si="73"/>
        <v>0</v>
      </c>
      <c r="AC397" s="121">
        <f t="shared" si="73"/>
        <v>57.55498243967692</v>
      </c>
      <c r="AD397" s="121">
        <f t="shared" si="73"/>
        <v>6.2679333368937176</v>
      </c>
      <c r="AE397" s="121">
        <f t="shared" si="73"/>
        <v>0</v>
      </c>
      <c r="AF397" s="121">
        <f t="shared" si="73"/>
        <v>85.561776351928714</v>
      </c>
      <c r="AG397" s="121">
        <f t="shared" si="73"/>
        <v>0</v>
      </c>
      <c r="AH397" s="121">
        <f t="shared" si="73"/>
        <v>66.221672757466635</v>
      </c>
      <c r="AI397" s="121">
        <f t="shared" si="73"/>
        <v>14.332433462142944</v>
      </c>
      <c r="AJ397" s="121">
        <f t="shared" si="73"/>
        <v>22.120528602600096</v>
      </c>
      <c r="AK397" s="121">
        <f t="shared" si="73"/>
        <v>46.32785752614339</v>
      </c>
      <c r="AL397" s="121">
        <f t="shared" si="73"/>
        <v>47.302966562906903</v>
      </c>
      <c r="AM397" s="121">
        <f t="shared" si="73"/>
        <v>55.575516446431479</v>
      </c>
      <c r="AN397" s="121">
        <f t="shared" si="73"/>
        <v>126.75937500000001</v>
      </c>
      <c r="AO397" s="121">
        <f t="shared" si="73"/>
        <v>67.3</v>
      </c>
      <c r="AP397" s="121">
        <f t="shared" si="73"/>
        <v>67.4084462483724</v>
      </c>
      <c r="AQ397" s="121">
        <f t="shared" si="73"/>
        <v>41.205648930867511</v>
      </c>
      <c r="AR397" s="121">
        <f t="shared" si="73"/>
        <v>84.9</v>
      </c>
      <c r="AS397" s="121" t="e">
        <f t="shared" si="73"/>
        <v>#DIV/0!</v>
      </c>
      <c r="AT397" s="121">
        <f t="shared" si="73"/>
        <v>122.33333333333333</v>
      </c>
      <c r="AU397" s="121" t="e">
        <f t="shared" si="73"/>
        <v>#DIV/0!</v>
      </c>
      <c r="AV397" s="121">
        <f t="shared" si="73"/>
        <v>76.583333333333329</v>
      </c>
      <c r="AW397" s="121" t="e">
        <f t="shared" si="73"/>
        <v>#DIV/0!</v>
      </c>
      <c r="AX397" s="121">
        <f t="shared" si="73"/>
        <v>31.45</v>
      </c>
      <c r="AY397" s="121">
        <f t="shared" si="73"/>
        <v>33.851713625590008</v>
      </c>
      <c r="AZ397" s="121">
        <f t="shared" si="73"/>
        <v>16.833333333333332</v>
      </c>
      <c r="BA397" s="121" t="e">
        <f t="shared" si="73"/>
        <v>#DIV/0!</v>
      </c>
      <c r="BB397" s="121">
        <f t="shared" si="73"/>
        <v>299.16666666666669</v>
      </c>
      <c r="BC397" s="121">
        <f t="shared" si="73"/>
        <v>300.21464843749999</v>
      </c>
      <c r="BD397" s="121">
        <f t="shared" si="73"/>
        <v>6.9583333571751913</v>
      </c>
      <c r="BE397" s="121">
        <f t="shared" si="73"/>
        <v>6.9924021005630497</v>
      </c>
      <c r="BF397" s="121">
        <f t="shared" si="73"/>
        <v>30.266666666666666</v>
      </c>
      <c r="BG397" s="121">
        <f t="shared" si="73"/>
        <v>10.5</v>
      </c>
      <c r="BH397" s="121">
        <f t="shared" si="73"/>
        <v>11.262530453999837</v>
      </c>
      <c r="BI397" s="121" t="e">
        <f t="shared" si="73"/>
        <v>#DIV/0!</v>
      </c>
      <c r="BJ397" s="121">
        <f t="shared" si="73"/>
        <v>14.95</v>
      </c>
      <c r="BK397" s="121">
        <f t="shared" si="73"/>
        <v>14.95</v>
      </c>
      <c r="BL397" s="121">
        <f t="shared" si="73"/>
        <v>0</v>
      </c>
      <c r="BM397" s="121" t="e">
        <f t="shared" si="73"/>
        <v>#DIV/0!</v>
      </c>
      <c r="BN397" s="121">
        <f t="shared" si="73"/>
        <v>122.30833346048991</v>
      </c>
      <c r="BO397" s="121">
        <f t="shared" si="73"/>
        <v>73.333333333333329</v>
      </c>
      <c r="BP397" s="121">
        <f t="shared" si="73"/>
        <v>48.975000127156576</v>
      </c>
      <c r="BQ397" s="121">
        <f t="shared" si="73"/>
        <v>281.56666666666666</v>
      </c>
      <c r="BR397" s="121">
        <f t="shared" si="73"/>
        <v>75.386316172281894</v>
      </c>
      <c r="BS397" s="121">
        <f t="shared" ref="BS397:ED397" si="74">AVERAGEA(BS104:BS163)</f>
        <v>25.221549892425536</v>
      </c>
      <c r="BT397" s="121">
        <f t="shared" si="74"/>
        <v>42.780716578165688</v>
      </c>
      <c r="BU397" s="121">
        <f t="shared" si="74"/>
        <v>38.883366775512698</v>
      </c>
      <c r="BV397" s="121">
        <f t="shared" si="74"/>
        <v>69.144999949137372</v>
      </c>
      <c r="BW397" s="121">
        <f t="shared" si="74"/>
        <v>6.238333368301392</v>
      </c>
      <c r="BX397" s="121">
        <f t="shared" si="74"/>
        <v>13.646666701634725</v>
      </c>
      <c r="BY397" s="121">
        <f t="shared" si="74"/>
        <v>28.416666666666668</v>
      </c>
      <c r="BZ397" s="121">
        <f t="shared" si="74"/>
        <v>8.6366853526327763</v>
      </c>
      <c r="CA397" s="121">
        <f t="shared" si="74"/>
        <v>8.7833333333333332</v>
      </c>
      <c r="CB397" s="121">
        <f t="shared" si="74"/>
        <v>29.331282711029054</v>
      </c>
      <c r="CC397" s="121" t="e">
        <f t="shared" si="74"/>
        <v>#DIV/0!</v>
      </c>
      <c r="CD397" s="121">
        <f t="shared" si="74"/>
        <v>380.93027140299478</v>
      </c>
      <c r="CE397" s="121">
        <f t="shared" si="74"/>
        <v>54.779323450724284</v>
      </c>
      <c r="CF397" s="121">
        <f t="shared" si="74"/>
        <v>23.748229853312175</v>
      </c>
      <c r="CG397" s="121">
        <f t="shared" si="74"/>
        <v>35.338191986083984</v>
      </c>
      <c r="CH397" s="121">
        <f t="shared" si="74"/>
        <v>285.54095916748048</v>
      </c>
      <c r="CI397" s="121">
        <f t="shared" si="74"/>
        <v>89.288277943929032</v>
      </c>
      <c r="CJ397" s="121">
        <f t="shared" si="74"/>
        <v>39.919765281677243</v>
      </c>
      <c r="CK397" s="121">
        <f t="shared" si="74"/>
        <v>52.649413045247393</v>
      </c>
      <c r="CL397" s="121">
        <f t="shared" si="74"/>
        <v>36.679848353068031</v>
      </c>
      <c r="CM397" s="121">
        <f t="shared" si="74"/>
        <v>232.49147516886393</v>
      </c>
      <c r="CN397" s="121">
        <f t="shared" si="74"/>
        <v>74.612522633870441</v>
      </c>
      <c r="CO397" s="121">
        <f t="shared" si="74"/>
        <v>78.454075876871741</v>
      </c>
      <c r="CP397" s="121">
        <f t="shared" si="74"/>
        <v>75.365254211425778</v>
      </c>
      <c r="CQ397" s="121">
        <f t="shared" si="74"/>
        <v>0</v>
      </c>
      <c r="CR397" s="121">
        <f t="shared" si="74"/>
        <v>52.72158171335856</v>
      </c>
      <c r="CS397" s="121">
        <f t="shared" si="74"/>
        <v>10.101046673456828</v>
      </c>
      <c r="CT397" s="121">
        <f t="shared" si="74"/>
        <v>37.742078844706221</v>
      </c>
      <c r="CU397" s="121">
        <f t="shared" si="74"/>
        <v>51.449792544047035</v>
      </c>
      <c r="CV397" s="121">
        <f t="shared" si="74"/>
        <v>71.564371554056805</v>
      </c>
      <c r="CW397" s="121">
        <f t="shared" si="74"/>
        <v>5.4333333333333336</v>
      </c>
      <c r="CX397" s="121">
        <f t="shared" si="74"/>
        <v>370.9</v>
      </c>
      <c r="CY397" s="121">
        <f t="shared" si="74"/>
        <v>159.56619084676106</v>
      </c>
      <c r="CZ397" s="121">
        <f t="shared" si="74"/>
        <v>53.810680071512856</v>
      </c>
      <c r="DA397" s="121">
        <f t="shared" si="74"/>
        <v>21.109320386250815</v>
      </c>
      <c r="DB397" s="121">
        <f t="shared" si="74"/>
        <v>34.951698080698648</v>
      </c>
      <c r="DC397" s="121">
        <f t="shared" si="74"/>
        <v>83.737764231363926</v>
      </c>
      <c r="DD397" s="121">
        <f t="shared" si="74"/>
        <v>74.88333333333334</v>
      </c>
      <c r="DE397" s="121">
        <f t="shared" si="74"/>
        <v>183.58333333333334</v>
      </c>
      <c r="DF397" s="121">
        <f t="shared" si="74"/>
        <v>113.25679562886556</v>
      </c>
      <c r="DG397" s="121">
        <f t="shared" si="74"/>
        <v>79.411446126302081</v>
      </c>
      <c r="DH397" s="121">
        <f t="shared" si="74"/>
        <v>54.898141161600748</v>
      </c>
      <c r="DI397" s="121">
        <f t="shared" si="74"/>
        <v>39.159029388427733</v>
      </c>
      <c r="DJ397" s="121">
        <f t="shared" si="74"/>
        <v>215.03333333333333</v>
      </c>
      <c r="DK397" s="121">
        <f t="shared" si="74"/>
        <v>113.7005168914795</v>
      </c>
      <c r="DL397" s="121">
        <f t="shared" si="74"/>
        <v>26.196583429972332</v>
      </c>
      <c r="DM397" s="121">
        <f t="shared" si="74"/>
        <v>32.408949915568037</v>
      </c>
      <c r="DN397" s="121">
        <f t="shared" si="74"/>
        <v>50.734266853332521</v>
      </c>
      <c r="DO397" s="121">
        <f t="shared" si="74"/>
        <v>112.79844767252604</v>
      </c>
      <c r="DP397" s="121">
        <f t="shared" si="74"/>
        <v>15.931133365631103</v>
      </c>
      <c r="DQ397" s="121" t="e">
        <f t="shared" si="74"/>
        <v>#DIV/0!</v>
      </c>
      <c r="DR397" s="121">
        <f t="shared" si="74"/>
        <v>17.899999999999999</v>
      </c>
      <c r="DS397" s="121">
        <f t="shared" si="74"/>
        <v>33.978333409627275</v>
      </c>
      <c r="DT397" s="121">
        <f t="shared" si="74"/>
        <v>12.5</v>
      </c>
      <c r="DU397" s="121" t="e">
        <f t="shared" si="74"/>
        <v>#DIV/0!</v>
      </c>
      <c r="DV397" s="121">
        <f t="shared" si="74"/>
        <v>116.78333333333333</v>
      </c>
      <c r="DW397" s="121">
        <f t="shared" si="74"/>
        <v>108.78846834699313</v>
      </c>
      <c r="DX397" s="121">
        <f t="shared" si="74"/>
        <v>10.3</v>
      </c>
      <c r="DY397" s="121" t="e">
        <f t="shared" si="74"/>
        <v>#DIV/0!</v>
      </c>
      <c r="DZ397" s="121">
        <f t="shared" si="74"/>
        <v>45.883333333333333</v>
      </c>
      <c r="EA397" s="121">
        <f t="shared" si="74"/>
        <v>3</v>
      </c>
      <c r="EB397" s="121">
        <f t="shared" si="74"/>
        <v>0</v>
      </c>
      <c r="EC397" s="121">
        <f t="shared" si="74"/>
        <v>1.0833333333333333</v>
      </c>
      <c r="ED397" s="121">
        <f t="shared" si="74"/>
        <v>272.3316660563151</v>
      </c>
      <c r="EE397" s="129"/>
      <c r="EF397" s="129"/>
      <c r="EG397" s="129"/>
    </row>
    <row r="398" spans="1:137" x14ac:dyDescent="0.3">
      <c r="A398" s="5" t="s">
        <v>328</v>
      </c>
      <c r="B398" s="121">
        <f>AVERAGEA(B109:B168)</f>
        <v>248.53333333333333</v>
      </c>
      <c r="C398" s="121">
        <f t="shared" ref="C398:BR398" si="75">AVERAGEA(C109:C168)</f>
        <v>49.698200098673503</v>
      </c>
      <c r="D398" s="121">
        <f t="shared" si="75"/>
        <v>101.77953364054362</v>
      </c>
      <c r="E398" s="121">
        <f t="shared" si="75"/>
        <v>17.793499930699667</v>
      </c>
      <c r="F398" s="121">
        <f t="shared" si="75"/>
        <v>11.547815557320913</v>
      </c>
      <c r="G398" s="121">
        <f t="shared" si="75"/>
        <v>18.010216681162515</v>
      </c>
      <c r="H398" s="121">
        <f t="shared" si="75"/>
        <v>313.51666666666665</v>
      </c>
      <c r="I398" s="121">
        <f t="shared" si="75"/>
        <v>280.35000000000002</v>
      </c>
      <c r="J398" s="121">
        <f t="shared" si="75"/>
        <v>64.357533264160153</v>
      </c>
      <c r="K398" s="121">
        <f t="shared" si="75"/>
        <v>64.079999033610022</v>
      </c>
      <c r="L398" s="121">
        <f t="shared" si="75"/>
        <v>45.10004997253418</v>
      </c>
      <c r="M398" s="121">
        <f t="shared" si="75"/>
        <v>13.06786675453186</v>
      </c>
      <c r="N398" s="121">
        <f t="shared" si="75"/>
        <v>17.602416610717775</v>
      </c>
      <c r="O398" s="121">
        <f t="shared" si="75"/>
        <v>18.783333333333335</v>
      </c>
      <c r="P398" s="121">
        <f t="shared" si="75"/>
        <v>0</v>
      </c>
      <c r="Q398" s="121">
        <f t="shared" si="75"/>
        <v>19.295126628875732</v>
      </c>
      <c r="R398" s="121">
        <f t="shared" si="75"/>
        <v>11.533593718210856</v>
      </c>
      <c r="S398" s="121">
        <f t="shared" si="75"/>
        <v>11.157910100618999</v>
      </c>
      <c r="T398" s="121">
        <f t="shared" si="75"/>
        <v>5.0666666666666664</v>
      </c>
      <c r="U398" s="121">
        <f t="shared" si="75"/>
        <v>5.0666666666666664</v>
      </c>
      <c r="V398" s="121">
        <f t="shared" si="75"/>
        <v>940.85</v>
      </c>
      <c r="W398" s="121">
        <f t="shared" si="75"/>
        <v>28.35254577000936</v>
      </c>
      <c r="X398" s="121">
        <f t="shared" si="75"/>
        <v>28.652750047047935</v>
      </c>
      <c r="Y398" s="121">
        <f t="shared" si="75"/>
        <v>7.5381500641504919</v>
      </c>
      <c r="Z398" s="121">
        <f t="shared" si="75"/>
        <v>0</v>
      </c>
      <c r="AA398" s="121">
        <f t="shared" si="75"/>
        <v>24.164566675821941</v>
      </c>
      <c r="AB398" s="121">
        <f t="shared" si="75"/>
        <v>0</v>
      </c>
      <c r="AC398" s="121">
        <f t="shared" si="75"/>
        <v>57.202376810709637</v>
      </c>
      <c r="AD398" s="121">
        <f t="shared" si="75"/>
        <v>6.3018666744232181</v>
      </c>
      <c r="AE398" s="121">
        <f t="shared" si="75"/>
        <v>0</v>
      </c>
      <c r="AF398" s="121">
        <f t="shared" si="75"/>
        <v>85.065896352132157</v>
      </c>
      <c r="AG398" s="121">
        <f t="shared" si="75"/>
        <v>0</v>
      </c>
      <c r="AH398" s="121">
        <f t="shared" si="75"/>
        <v>65.649769719441736</v>
      </c>
      <c r="AI398" s="121">
        <f t="shared" si="75"/>
        <v>14.116150124867756</v>
      </c>
      <c r="AJ398" s="121">
        <f t="shared" si="75"/>
        <v>21.853794892628986</v>
      </c>
      <c r="AK398" s="121">
        <f t="shared" si="75"/>
        <v>46.22922395070394</v>
      </c>
      <c r="AL398" s="121">
        <f t="shared" si="75"/>
        <v>45.850983238220216</v>
      </c>
      <c r="AM398" s="121">
        <f t="shared" si="75"/>
        <v>55.520383071899417</v>
      </c>
      <c r="AN398" s="121">
        <f t="shared" si="75"/>
        <v>125.375</v>
      </c>
      <c r="AO398" s="121">
        <f t="shared" si="75"/>
        <v>66.416666666666671</v>
      </c>
      <c r="AP398" s="121">
        <f t="shared" si="75"/>
        <v>66.540011978149408</v>
      </c>
      <c r="AQ398" s="121">
        <f t="shared" si="75"/>
        <v>40.657177480061847</v>
      </c>
      <c r="AR398" s="121">
        <f t="shared" si="75"/>
        <v>85.516666666666666</v>
      </c>
      <c r="AS398" s="121" t="e">
        <f t="shared" si="75"/>
        <v>#DIV/0!</v>
      </c>
      <c r="AT398" s="121">
        <f t="shared" si="75"/>
        <v>122.11666666666666</v>
      </c>
      <c r="AU398" s="121" t="e">
        <f t="shared" si="75"/>
        <v>#DIV/0!</v>
      </c>
      <c r="AV398" s="121">
        <f t="shared" si="75"/>
        <v>75.75</v>
      </c>
      <c r="AW398" s="121" t="e">
        <f t="shared" si="75"/>
        <v>#DIV/0!</v>
      </c>
      <c r="AX398" s="121">
        <f t="shared" si="75"/>
        <v>31.35</v>
      </c>
      <c r="AY398" s="121">
        <f t="shared" si="75"/>
        <v>33.76372947692871</v>
      </c>
      <c r="AZ398" s="121">
        <f t="shared" si="75"/>
        <v>16.416666666666668</v>
      </c>
      <c r="BA398" s="121" t="e">
        <f t="shared" si="75"/>
        <v>#DIV/0!</v>
      </c>
      <c r="BB398" s="121">
        <f t="shared" si="75"/>
        <v>298.7</v>
      </c>
      <c r="BC398" s="121">
        <f t="shared" si="75"/>
        <v>299.75419972737632</v>
      </c>
      <c r="BD398" s="121">
        <f t="shared" si="75"/>
        <v>6.946666701634725</v>
      </c>
      <c r="BE398" s="121">
        <f t="shared" si="75"/>
        <v>6.9811314980189003</v>
      </c>
      <c r="BF398" s="121">
        <f t="shared" si="75"/>
        <v>30.283333333333335</v>
      </c>
      <c r="BG398" s="121">
        <f t="shared" si="75"/>
        <v>10.416666666666666</v>
      </c>
      <c r="BH398" s="121">
        <f t="shared" si="75"/>
        <v>11.23178768157959</v>
      </c>
      <c r="BI398" s="121" t="e">
        <f t="shared" si="75"/>
        <v>#DIV/0!</v>
      </c>
      <c r="BJ398" s="121">
        <f t="shared" si="75"/>
        <v>14.716666666666667</v>
      </c>
      <c r="BK398" s="121">
        <f t="shared" si="75"/>
        <v>14.716666666666667</v>
      </c>
      <c r="BL398" s="121">
        <f t="shared" si="75"/>
        <v>0</v>
      </c>
      <c r="BM398" s="121" t="e">
        <f t="shared" si="75"/>
        <v>#DIV/0!</v>
      </c>
      <c r="BN398" s="121">
        <f t="shared" si="75"/>
        <v>122.2116668065389</v>
      </c>
      <c r="BO398" s="121">
        <f t="shared" si="75"/>
        <v>73.25</v>
      </c>
      <c r="BP398" s="121">
        <f t="shared" si="75"/>
        <v>48.961666806538901</v>
      </c>
      <c r="BQ398" s="121">
        <f t="shared" si="75"/>
        <v>279.73333333333335</v>
      </c>
      <c r="BR398" s="121">
        <f t="shared" si="75"/>
        <v>74.172416178385419</v>
      </c>
      <c r="BS398" s="121">
        <f t="shared" ref="BS398:ED398" si="76">AVERAGEA(BS109:BS168)</f>
        <v>25.132533327738443</v>
      </c>
      <c r="BT398" s="121">
        <f t="shared" si="76"/>
        <v>42.451716486612959</v>
      </c>
      <c r="BU398" s="121">
        <f t="shared" si="76"/>
        <v>38.817616780598961</v>
      </c>
      <c r="BV398" s="121">
        <f t="shared" si="76"/>
        <v>69.211666615804035</v>
      </c>
      <c r="BW398" s="121">
        <f t="shared" si="76"/>
        <v>6.2150000174840292</v>
      </c>
      <c r="BX398" s="121">
        <f t="shared" si="76"/>
        <v>13.641666698455811</v>
      </c>
      <c r="BY398" s="121">
        <f t="shared" si="76"/>
        <v>28.366666666666667</v>
      </c>
      <c r="BZ398" s="121">
        <f t="shared" si="76"/>
        <v>6.9809646500740197</v>
      </c>
      <c r="CA398" s="121">
        <f t="shared" si="76"/>
        <v>7.2666666666666666</v>
      </c>
      <c r="CB398" s="121">
        <f t="shared" si="76"/>
        <v>29.25862283706665</v>
      </c>
      <c r="CC398" s="121" t="e">
        <f t="shared" si="76"/>
        <v>#DIV/0!</v>
      </c>
      <c r="CD398" s="121">
        <f t="shared" si="76"/>
        <v>376.96958923339844</v>
      </c>
      <c r="CE398" s="121">
        <f t="shared" si="76"/>
        <v>51.969581604003906</v>
      </c>
      <c r="CF398" s="121">
        <f t="shared" si="76"/>
        <v>23.384661229451499</v>
      </c>
      <c r="CG398" s="121">
        <f t="shared" si="76"/>
        <v>35.338191986083984</v>
      </c>
      <c r="CH398" s="121">
        <f t="shared" si="76"/>
        <v>284.95148518880211</v>
      </c>
      <c r="CI398" s="121">
        <f t="shared" si="76"/>
        <v>88.109125137329102</v>
      </c>
      <c r="CJ398" s="121">
        <f t="shared" si="76"/>
        <v>39.02278289794922</v>
      </c>
      <c r="CK398" s="121">
        <f t="shared" si="76"/>
        <v>52.331338437398273</v>
      </c>
      <c r="CL398" s="121">
        <f t="shared" si="76"/>
        <v>35.982014656066895</v>
      </c>
      <c r="CM398" s="121">
        <f t="shared" si="76"/>
        <v>229.02849070231119</v>
      </c>
      <c r="CN398" s="121">
        <f t="shared" si="76"/>
        <v>73.59536024729411</v>
      </c>
      <c r="CO398" s="121">
        <f t="shared" si="76"/>
        <v>76.862834167480472</v>
      </c>
      <c r="CP398" s="121">
        <f t="shared" si="76"/>
        <v>74.718887964884445</v>
      </c>
      <c r="CQ398" s="121">
        <f t="shared" si="76"/>
        <v>0</v>
      </c>
      <c r="CR398" s="121">
        <f t="shared" si="76"/>
        <v>52.332841873168945</v>
      </c>
      <c r="CS398" s="121">
        <f t="shared" si="76"/>
        <v>9.9440935293833412</v>
      </c>
      <c r="CT398" s="121">
        <f t="shared" si="76"/>
        <v>37.387599881490068</v>
      </c>
      <c r="CU398" s="121">
        <f t="shared" si="76"/>
        <v>50.817954190572102</v>
      </c>
      <c r="CV398" s="121">
        <f t="shared" si="76"/>
        <v>70.07954343159993</v>
      </c>
      <c r="CW398" s="121">
        <f t="shared" si="76"/>
        <v>5.35</v>
      </c>
      <c r="CX398" s="121">
        <f t="shared" si="76"/>
        <v>362.86666666666667</v>
      </c>
      <c r="CY398" s="121">
        <f t="shared" si="76"/>
        <v>153.15200208028156</v>
      </c>
      <c r="CZ398" s="121">
        <f t="shared" si="76"/>
        <v>53.360567283630374</v>
      </c>
      <c r="DA398" s="121">
        <f t="shared" si="76"/>
        <v>21.007313632965086</v>
      </c>
      <c r="DB398" s="121">
        <f t="shared" si="76"/>
        <v>34.520502090454102</v>
      </c>
      <c r="DC398" s="121">
        <f t="shared" si="76"/>
        <v>83.041918182373053</v>
      </c>
      <c r="DD398" s="121">
        <f t="shared" si="76"/>
        <v>72.083333333333329</v>
      </c>
      <c r="DE398" s="121">
        <f t="shared" si="76"/>
        <v>182.96666666666667</v>
      </c>
      <c r="DF398" s="121">
        <f t="shared" si="76"/>
        <v>112.0552963256836</v>
      </c>
      <c r="DG398" s="121">
        <f t="shared" si="76"/>
        <v>77.813736343383795</v>
      </c>
      <c r="DH398" s="121">
        <f t="shared" si="76"/>
        <v>54.092833328247067</v>
      </c>
      <c r="DI398" s="121">
        <f t="shared" si="76"/>
        <v>38.871388626098636</v>
      </c>
      <c r="DJ398" s="121">
        <f t="shared" si="76"/>
        <v>213.21666666666667</v>
      </c>
      <c r="DK398" s="121">
        <f t="shared" si="76"/>
        <v>111.88529993693034</v>
      </c>
      <c r="DL398" s="121">
        <f t="shared" si="76"/>
        <v>25.908183383941651</v>
      </c>
      <c r="DM398" s="121">
        <f t="shared" si="76"/>
        <v>30.962833245595295</v>
      </c>
      <c r="DN398" s="121">
        <f t="shared" si="76"/>
        <v>50.433850097656247</v>
      </c>
      <c r="DO398" s="121">
        <f t="shared" si="76"/>
        <v>112.61831754048666</v>
      </c>
      <c r="DP398" s="121">
        <f t="shared" si="76"/>
        <v>15.936316712697346</v>
      </c>
      <c r="DQ398" s="121" t="e">
        <f t="shared" si="76"/>
        <v>#DIV/0!</v>
      </c>
      <c r="DR398" s="121">
        <f t="shared" si="76"/>
        <v>21.25</v>
      </c>
      <c r="DS398" s="121">
        <f t="shared" si="76"/>
        <v>33.671666685740156</v>
      </c>
      <c r="DT398" s="121">
        <f t="shared" si="76"/>
        <v>12.433333333333334</v>
      </c>
      <c r="DU398" s="121" t="e">
        <f t="shared" si="76"/>
        <v>#DIV/0!</v>
      </c>
      <c r="DV398" s="121">
        <f t="shared" si="76"/>
        <v>103.05</v>
      </c>
      <c r="DW398" s="121">
        <f t="shared" si="76"/>
        <v>95.209108889102936</v>
      </c>
      <c r="DX398" s="121">
        <f t="shared" si="76"/>
        <v>10.266666666666667</v>
      </c>
      <c r="DY398" s="121" t="e">
        <f t="shared" si="76"/>
        <v>#DIV/0!</v>
      </c>
      <c r="DZ398" s="121">
        <f t="shared" si="76"/>
        <v>45.68333333333333</v>
      </c>
      <c r="EA398" s="121">
        <f t="shared" si="76"/>
        <v>3</v>
      </c>
      <c r="EB398" s="121">
        <f t="shared" si="76"/>
        <v>0</v>
      </c>
      <c r="EC398" s="121">
        <f t="shared" si="76"/>
        <v>1.0666666666666667</v>
      </c>
      <c r="ED398" s="121">
        <f t="shared" si="76"/>
        <v>268.92166620890299</v>
      </c>
      <c r="EE398" s="129"/>
      <c r="EF398" s="129"/>
      <c r="EG398" s="129"/>
    </row>
    <row r="399" spans="1:137" x14ac:dyDescent="0.3">
      <c r="A399" s="5" t="s">
        <v>329</v>
      </c>
      <c r="B399" s="121">
        <f>AVERAGEA(B114:B173)</f>
        <v>244.41666666666666</v>
      </c>
      <c r="C399" s="121">
        <f t="shared" ref="C399:BR399" si="77">AVERAGEA(C114:C173)</f>
        <v>49.636000061035155</v>
      </c>
      <c r="D399" s="121">
        <f t="shared" si="77"/>
        <v>101.81346689860025</v>
      </c>
      <c r="E399" s="121">
        <f t="shared" si="77"/>
        <v>17.286433283487955</v>
      </c>
      <c r="F399" s="121">
        <f t="shared" si="77"/>
        <v>8.8476747075716649</v>
      </c>
      <c r="G399" s="121">
        <f t="shared" si="77"/>
        <v>17.866983318328856</v>
      </c>
      <c r="H399" s="121">
        <f t="shared" si="77"/>
        <v>312.10000000000002</v>
      </c>
      <c r="I399" s="121">
        <f t="shared" si="77"/>
        <v>278.86666666666667</v>
      </c>
      <c r="J399" s="121">
        <f t="shared" si="77"/>
        <v>63.839183171590172</v>
      </c>
      <c r="K399" s="121">
        <f t="shared" si="77"/>
        <v>63.820804977416991</v>
      </c>
      <c r="L399" s="121">
        <f t="shared" si="77"/>
        <v>44.776066652933757</v>
      </c>
      <c r="M399" s="121">
        <f t="shared" si="77"/>
        <v>12.984916750590006</v>
      </c>
      <c r="N399" s="121">
        <f t="shared" si="77"/>
        <v>17.61938330332438</v>
      </c>
      <c r="O399" s="121">
        <f t="shared" si="77"/>
        <v>18.383333333333333</v>
      </c>
      <c r="P399" s="121">
        <f t="shared" si="77"/>
        <v>0</v>
      </c>
      <c r="Q399" s="121">
        <f t="shared" si="77"/>
        <v>18.950061575571695</v>
      </c>
      <c r="R399" s="121">
        <f t="shared" si="77"/>
        <v>11.100156227747599</v>
      </c>
      <c r="S399" s="121">
        <f t="shared" si="77"/>
        <v>10.690603661537171</v>
      </c>
      <c r="T399" s="121">
        <f t="shared" si="77"/>
        <v>5</v>
      </c>
      <c r="U399" s="121">
        <f t="shared" si="77"/>
        <v>5</v>
      </c>
      <c r="V399" s="121">
        <f t="shared" si="77"/>
        <v>936.11666666666667</v>
      </c>
      <c r="W399" s="121">
        <f t="shared" si="77"/>
        <v>28.072403176625571</v>
      </c>
      <c r="X399" s="121">
        <f t="shared" si="77"/>
        <v>28.177716732025146</v>
      </c>
      <c r="Y399" s="121">
        <f t="shared" si="77"/>
        <v>7.4077333847681679</v>
      </c>
      <c r="Z399" s="121">
        <f t="shared" si="77"/>
        <v>0</v>
      </c>
      <c r="AA399" s="121">
        <f t="shared" si="77"/>
        <v>23.930833371480308</v>
      </c>
      <c r="AB399" s="121">
        <f t="shared" si="77"/>
        <v>0</v>
      </c>
      <c r="AC399" s="121">
        <f t="shared" si="77"/>
        <v>56.803015645345049</v>
      </c>
      <c r="AD399" s="121">
        <f t="shared" si="77"/>
        <v>6.3272833585739132</v>
      </c>
      <c r="AE399" s="121">
        <f t="shared" si="77"/>
        <v>0</v>
      </c>
      <c r="AF399" s="121">
        <f t="shared" si="77"/>
        <v>84.672670237223301</v>
      </c>
      <c r="AG399" s="121">
        <f t="shared" si="77"/>
        <v>0</v>
      </c>
      <c r="AH399" s="121">
        <f t="shared" si="77"/>
        <v>65.230299631754562</v>
      </c>
      <c r="AI399" s="121">
        <f t="shared" si="77"/>
        <v>13.839400148391723</v>
      </c>
      <c r="AJ399" s="121">
        <f t="shared" si="77"/>
        <v>21.356605720520019</v>
      </c>
      <c r="AK399" s="121">
        <f t="shared" si="77"/>
        <v>45.968496831258136</v>
      </c>
      <c r="AL399" s="121">
        <f t="shared" si="77"/>
        <v>44.331233278910318</v>
      </c>
      <c r="AM399" s="121">
        <f t="shared" si="77"/>
        <v>55.172616449991864</v>
      </c>
      <c r="AN399" s="121">
        <f t="shared" si="77"/>
        <v>124.19270833333333</v>
      </c>
      <c r="AO399" s="121">
        <f t="shared" si="77"/>
        <v>65.566666666666663</v>
      </c>
      <c r="AP399" s="121">
        <f t="shared" si="77"/>
        <v>65.862842305501303</v>
      </c>
      <c r="AQ399" s="121">
        <f t="shared" si="77"/>
        <v>40.068814214070635</v>
      </c>
      <c r="AR399" s="121">
        <f t="shared" si="77"/>
        <v>86</v>
      </c>
      <c r="AS399" s="121" t="e">
        <f t="shared" si="77"/>
        <v>#DIV/0!</v>
      </c>
      <c r="AT399" s="121">
        <f t="shared" si="77"/>
        <v>121.75</v>
      </c>
      <c r="AU399" s="121" t="e">
        <f t="shared" si="77"/>
        <v>#DIV/0!</v>
      </c>
      <c r="AV399" s="121">
        <f t="shared" si="77"/>
        <v>75.283333333333331</v>
      </c>
      <c r="AW399" s="121" t="e">
        <f t="shared" si="77"/>
        <v>#DIV/0!</v>
      </c>
      <c r="AX399" s="121">
        <f t="shared" si="77"/>
        <v>31.333333333333332</v>
      </c>
      <c r="AY399" s="121">
        <f t="shared" si="77"/>
        <v>33.692792320251463</v>
      </c>
      <c r="AZ399" s="121">
        <f t="shared" si="77"/>
        <v>16.083333333333332</v>
      </c>
      <c r="BA399" s="121" t="e">
        <f t="shared" si="77"/>
        <v>#DIV/0!</v>
      </c>
      <c r="BB399" s="121">
        <f t="shared" si="77"/>
        <v>298.31666666666666</v>
      </c>
      <c r="BC399" s="121">
        <f t="shared" si="77"/>
        <v>299.55852559407555</v>
      </c>
      <c r="BD399" s="121">
        <f t="shared" si="77"/>
        <v>6.9266667207082113</v>
      </c>
      <c r="BE399" s="121">
        <f t="shared" si="77"/>
        <v>6.9638988574345904</v>
      </c>
      <c r="BF399" s="121">
        <f t="shared" si="77"/>
        <v>30.333333333333332</v>
      </c>
      <c r="BG399" s="121">
        <f t="shared" si="77"/>
        <v>10.366666666666667</v>
      </c>
      <c r="BH399" s="121">
        <f t="shared" si="77"/>
        <v>11.207884899775188</v>
      </c>
      <c r="BI399" s="121" t="e">
        <f t="shared" si="77"/>
        <v>#DIV/0!</v>
      </c>
      <c r="BJ399" s="121">
        <f t="shared" si="77"/>
        <v>14.5</v>
      </c>
      <c r="BK399" s="121">
        <f t="shared" si="77"/>
        <v>14.5</v>
      </c>
      <c r="BL399" s="121">
        <f t="shared" si="77"/>
        <v>0</v>
      </c>
      <c r="BM399" s="121" t="e">
        <f t="shared" si="77"/>
        <v>#DIV/0!</v>
      </c>
      <c r="BN399" s="121">
        <f t="shared" si="77"/>
        <v>122.0866668065389</v>
      </c>
      <c r="BO399" s="121">
        <f t="shared" si="77"/>
        <v>73.150000000000006</v>
      </c>
      <c r="BP399" s="121">
        <f t="shared" si="77"/>
        <v>48.936666806538902</v>
      </c>
      <c r="BQ399" s="121">
        <f t="shared" si="77"/>
        <v>278.05</v>
      </c>
      <c r="BR399" s="121">
        <f t="shared" si="77"/>
        <v>73.109299468994138</v>
      </c>
      <c r="BS399" s="121">
        <f t="shared" ref="BS399:ED399" si="78">AVERAGEA(BS114:BS173)</f>
        <v>24.988333352406819</v>
      </c>
      <c r="BT399" s="121">
        <f t="shared" si="78"/>
        <v>42.07074972788493</v>
      </c>
      <c r="BU399" s="121">
        <f t="shared" si="78"/>
        <v>38.948033523559573</v>
      </c>
      <c r="BV399" s="121">
        <f t="shared" si="78"/>
        <v>69.24166666666666</v>
      </c>
      <c r="BW399" s="121">
        <f t="shared" si="78"/>
        <v>6.1833333492279055</v>
      </c>
      <c r="BX399" s="121">
        <f t="shared" si="78"/>
        <v>13.646666685740152</v>
      </c>
      <c r="BY399" s="121">
        <f t="shared" si="78"/>
        <v>28.283333333333335</v>
      </c>
      <c r="BZ399" s="121">
        <f t="shared" si="78"/>
        <v>5.324067772536849</v>
      </c>
      <c r="CA399" s="121">
        <f t="shared" si="78"/>
        <v>5.75</v>
      </c>
      <c r="CB399" s="121">
        <f t="shared" si="78"/>
        <v>29.198396046956379</v>
      </c>
      <c r="CC399" s="121" t="e">
        <f t="shared" si="78"/>
        <v>#DIV/0!</v>
      </c>
      <c r="CD399" s="121">
        <f t="shared" si="78"/>
        <v>372.79617004394532</v>
      </c>
      <c r="CE399" s="121">
        <f t="shared" si="78"/>
        <v>49.273039944966634</v>
      </c>
      <c r="CF399" s="121">
        <f t="shared" si="78"/>
        <v>23.02479206720988</v>
      </c>
      <c r="CG399" s="121">
        <f t="shared" si="78"/>
        <v>35.338191986083984</v>
      </c>
      <c r="CH399" s="121">
        <f t="shared" si="78"/>
        <v>284.18665415445963</v>
      </c>
      <c r="CI399" s="121">
        <f t="shared" si="78"/>
        <v>86.710737482706705</v>
      </c>
      <c r="CJ399" s="121">
        <f t="shared" si="78"/>
        <v>37.980852031707762</v>
      </c>
      <c r="CK399" s="121">
        <f t="shared" si="78"/>
        <v>51.914899635314939</v>
      </c>
      <c r="CL399" s="121">
        <f t="shared" si="78"/>
        <v>35.288331667582192</v>
      </c>
      <c r="CM399" s="121">
        <f t="shared" si="78"/>
        <v>224.88617502848308</v>
      </c>
      <c r="CN399" s="121">
        <f t="shared" si="78"/>
        <v>72.003949101765954</v>
      </c>
      <c r="CO399" s="121">
        <f t="shared" si="78"/>
        <v>75.074422073364261</v>
      </c>
      <c r="CP399" s="121">
        <f t="shared" si="78"/>
        <v>74.194590377807614</v>
      </c>
      <c r="CQ399" s="121">
        <f t="shared" si="78"/>
        <v>0</v>
      </c>
      <c r="CR399" s="121">
        <f t="shared" si="78"/>
        <v>51.897539838155112</v>
      </c>
      <c r="CS399" s="121">
        <f t="shared" si="78"/>
        <v>9.7743745803833004</v>
      </c>
      <c r="CT399" s="121">
        <f t="shared" si="78"/>
        <v>36.804015286763509</v>
      </c>
      <c r="CU399" s="121">
        <f t="shared" si="78"/>
        <v>51.198907470703126</v>
      </c>
      <c r="CV399" s="121">
        <f t="shared" si="78"/>
        <v>68.633568827311194</v>
      </c>
      <c r="CW399" s="121">
        <f t="shared" si="78"/>
        <v>5.416666666666667</v>
      </c>
      <c r="CX399" s="121">
        <f t="shared" si="78"/>
        <v>354.43333333333334</v>
      </c>
      <c r="CY399" s="121">
        <f t="shared" si="78"/>
        <v>146.66059392293295</v>
      </c>
      <c r="CZ399" s="121">
        <f t="shared" si="78"/>
        <v>52.591218249003092</v>
      </c>
      <c r="DA399" s="121">
        <f t="shared" si="78"/>
        <v>20.835135746002198</v>
      </c>
      <c r="DB399" s="121">
        <f t="shared" si="78"/>
        <v>34.155710538228355</v>
      </c>
      <c r="DC399" s="121">
        <f t="shared" si="78"/>
        <v>82.455438232421869</v>
      </c>
      <c r="DD399" s="121">
        <f t="shared" si="78"/>
        <v>69.816666666666663</v>
      </c>
      <c r="DE399" s="121">
        <f t="shared" si="78"/>
        <v>182.3</v>
      </c>
      <c r="DF399" s="121">
        <f t="shared" si="78"/>
        <v>110.96591288248698</v>
      </c>
      <c r="DG399" s="121">
        <f t="shared" si="78"/>
        <v>76.447585805257162</v>
      </c>
      <c r="DH399" s="121">
        <f t="shared" si="78"/>
        <v>53.398089917500812</v>
      </c>
      <c r="DI399" s="121">
        <f t="shared" si="78"/>
        <v>38.697895749409994</v>
      </c>
      <c r="DJ399" s="121">
        <f t="shared" si="78"/>
        <v>211.46666666666667</v>
      </c>
      <c r="DK399" s="121">
        <f t="shared" si="78"/>
        <v>110.3796999613444</v>
      </c>
      <c r="DL399" s="121">
        <f t="shared" si="78"/>
        <v>25.723466682434083</v>
      </c>
      <c r="DM399" s="121">
        <f t="shared" si="78"/>
        <v>29.787699921925864</v>
      </c>
      <c r="DN399" s="121">
        <f t="shared" si="78"/>
        <v>50.251216824849443</v>
      </c>
      <c r="DO399" s="121">
        <f t="shared" si="78"/>
        <v>112.26259180704753</v>
      </c>
      <c r="DP399" s="121">
        <f t="shared" si="78"/>
        <v>15.90618340174357</v>
      </c>
      <c r="DQ399" s="121" t="e">
        <f t="shared" si="78"/>
        <v>#DIV/0!</v>
      </c>
      <c r="DR399" s="121">
        <f t="shared" si="78"/>
        <v>26.833333333333332</v>
      </c>
      <c r="DS399" s="121">
        <f t="shared" si="78"/>
        <v>33.403333346048989</v>
      </c>
      <c r="DT399" s="121">
        <f t="shared" si="78"/>
        <v>12.366666666666667</v>
      </c>
      <c r="DU399" s="121" t="e">
        <f t="shared" si="78"/>
        <v>#DIV/0!</v>
      </c>
      <c r="DV399" s="121">
        <f t="shared" si="78"/>
        <v>89.3</v>
      </c>
      <c r="DW399" s="121">
        <f t="shared" si="78"/>
        <v>81.63818298776944</v>
      </c>
      <c r="DX399" s="121">
        <f t="shared" si="78"/>
        <v>10.166666666666666</v>
      </c>
      <c r="DY399" s="121" t="e">
        <f t="shared" si="78"/>
        <v>#DIV/0!</v>
      </c>
      <c r="DZ399" s="121">
        <f t="shared" si="78"/>
        <v>45.466666666666669</v>
      </c>
      <c r="EA399" s="121">
        <f t="shared" si="78"/>
        <v>3</v>
      </c>
      <c r="EB399" s="121">
        <f t="shared" si="78"/>
        <v>0</v>
      </c>
      <c r="EC399" s="121">
        <f t="shared" si="78"/>
        <v>1.1000000000000001</v>
      </c>
      <c r="ED399" s="121">
        <f t="shared" si="78"/>
        <v>266.03666585286459</v>
      </c>
      <c r="EE399" s="129"/>
      <c r="EF399" s="129"/>
      <c r="EG399" s="129"/>
    </row>
    <row r="400" spans="1:137" x14ac:dyDescent="0.3">
      <c r="A400" s="5" t="s">
        <v>330</v>
      </c>
      <c r="B400" s="121">
        <f>AVERAGEA(B119:B178)</f>
        <v>240.85</v>
      </c>
      <c r="C400" s="121">
        <f t="shared" ref="C400:BR400" si="79">AVERAGEA(C119:C178)</f>
        <v>49.368366813659669</v>
      </c>
      <c r="D400" s="121">
        <f t="shared" si="79"/>
        <v>101.90015004475912</v>
      </c>
      <c r="E400" s="121">
        <f t="shared" si="79"/>
        <v>16.947166681289673</v>
      </c>
      <c r="F400" s="121">
        <f t="shared" si="79"/>
        <v>6.5774633328119911</v>
      </c>
      <c r="G400" s="121">
        <f t="shared" si="79"/>
        <v>17.744449996948241</v>
      </c>
      <c r="H400" s="121">
        <f t="shared" si="79"/>
        <v>311.2</v>
      </c>
      <c r="I400" s="121">
        <f t="shared" si="79"/>
        <v>277.64999999999998</v>
      </c>
      <c r="J400" s="121">
        <f t="shared" si="79"/>
        <v>63.563999938964841</v>
      </c>
      <c r="K400" s="121">
        <f t="shared" si="79"/>
        <v>63.449968401590986</v>
      </c>
      <c r="L400" s="121">
        <f t="shared" si="79"/>
        <v>44.564016787211102</v>
      </c>
      <c r="M400" s="121">
        <f t="shared" si="79"/>
        <v>12.898200066884359</v>
      </c>
      <c r="N400" s="121">
        <f t="shared" si="79"/>
        <v>17.60984992980957</v>
      </c>
      <c r="O400" s="121">
        <f t="shared" si="79"/>
        <v>18.016666666666666</v>
      </c>
      <c r="P400" s="121">
        <f t="shared" si="79"/>
        <v>0</v>
      </c>
      <c r="Q400" s="121">
        <f t="shared" si="79"/>
        <v>18.570618279774983</v>
      </c>
      <c r="R400" s="121">
        <f t="shared" si="79"/>
        <v>10.633593734105428</v>
      </c>
      <c r="S400" s="121">
        <f t="shared" si="79"/>
        <v>10.18248275121053</v>
      </c>
      <c r="T400" s="121">
        <f t="shared" si="79"/>
        <v>5.75</v>
      </c>
      <c r="U400" s="121">
        <f t="shared" si="79"/>
        <v>5.75</v>
      </c>
      <c r="V400" s="121">
        <f t="shared" si="79"/>
        <v>928.91666666666663</v>
      </c>
      <c r="W400" s="121">
        <f t="shared" si="79"/>
        <v>27.923445224761963</v>
      </c>
      <c r="X400" s="121">
        <f t="shared" si="79"/>
        <v>27.845966784159341</v>
      </c>
      <c r="Y400" s="121">
        <f t="shared" si="79"/>
        <v>7.3006500482559202</v>
      </c>
      <c r="Z400" s="121">
        <f t="shared" si="79"/>
        <v>0</v>
      </c>
      <c r="AA400" s="121">
        <f t="shared" si="79"/>
        <v>23.519950008392335</v>
      </c>
      <c r="AB400" s="121">
        <f t="shared" si="79"/>
        <v>0</v>
      </c>
      <c r="AC400" s="121">
        <f t="shared" si="79"/>
        <v>56.514595540364581</v>
      </c>
      <c r="AD400" s="121">
        <f t="shared" si="79"/>
        <v>6.3484667062759401</v>
      </c>
      <c r="AE400" s="121">
        <f t="shared" si="79"/>
        <v>0</v>
      </c>
      <c r="AF400" s="121">
        <f t="shared" si="79"/>
        <v>84.227994664510092</v>
      </c>
      <c r="AG400" s="121">
        <f t="shared" si="79"/>
        <v>0</v>
      </c>
      <c r="AH400" s="121">
        <f t="shared" si="79"/>
        <v>64.820283889770508</v>
      </c>
      <c r="AI400" s="121">
        <f t="shared" si="79"/>
        <v>13.520250113805135</v>
      </c>
      <c r="AJ400" s="121">
        <f t="shared" si="79"/>
        <v>20.981822554270426</v>
      </c>
      <c r="AK400" s="121">
        <f t="shared" si="79"/>
        <v>45.866726048787434</v>
      </c>
      <c r="AL400" s="121">
        <f t="shared" si="79"/>
        <v>42.840933291117352</v>
      </c>
      <c r="AM400" s="121">
        <f t="shared" si="79"/>
        <v>55.112199783325195</v>
      </c>
      <c r="AN400" s="121">
        <f t="shared" si="79"/>
        <v>123.30208333333333</v>
      </c>
      <c r="AO400" s="121">
        <f t="shared" si="79"/>
        <v>64.966666666666669</v>
      </c>
      <c r="AP400" s="121">
        <f t="shared" si="79"/>
        <v>65.39781742095947</v>
      </c>
      <c r="AQ400" s="121">
        <f t="shared" si="79"/>
        <v>39.647975222269693</v>
      </c>
      <c r="AR400" s="121">
        <f t="shared" si="79"/>
        <v>86.266666666666666</v>
      </c>
      <c r="AS400" s="121" t="e">
        <f t="shared" si="79"/>
        <v>#DIV/0!</v>
      </c>
      <c r="AT400" s="121">
        <f t="shared" si="79"/>
        <v>121.3</v>
      </c>
      <c r="AU400" s="121" t="e">
        <f t="shared" si="79"/>
        <v>#DIV/0!</v>
      </c>
      <c r="AV400" s="121">
        <f t="shared" si="79"/>
        <v>74.400000000000006</v>
      </c>
      <c r="AW400" s="121" t="e">
        <f t="shared" si="79"/>
        <v>#DIV/0!</v>
      </c>
      <c r="AX400" s="121">
        <f t="shared" si="79"/>
        <v>31.233333333333334</v>
      </c>
      <c r="AY400" s="121">
        <f t="shared" si="79"/>
        <v>33.632819938659665</v>
      </c>
      <c r="AZ400" s="121">
        <f t="shared" si="79"/>
        <v>15.7</v>
      </c>
      <c r="BA400" s="121" t="e">
        <f t="shared" si="79"/>
        <v>#DIV/0!</v>
      </c>
      <c r="BB400" s="121">
        <f t="shared" si="79"/>
        <v>297.88333333333333</v>
      </c>
      <c r="BC400" s="121">
        <f t="shared" si="79"/>
        <v>298.99061075846356</v>
      </c>
      <c r="BD400" s="121">
        <f t="shared" si="79"/>
        <v>6.8966667334238689</v>
      </c>
      <c r="BE400" s="121">
        <f t="shared" si="79"/>
        <v>6.9331615050633753</v>
      </c>
      <c r="BF400" s="121">
        <f t="shared" si="79"/>
        <v>30.3</v>
      </c>
      <c r="BG400" s="121">
        <f t="shared" si="79"/>
        <v>10.3</v>
      </c>
      <c r="BH400" s="121">
        <f t="shared" si="79"/>
        <v>11.181857045491537</v>
      </c>
      <c r="BI400" s="121" t="e">
        <f t="shared" si="79"/>
        <v>#DIV/0!</v>
      </c>
      <c r="BJ400" s="121">
        <f t="shared" si="79"/>
        <v>14.233333333333333</v>
      </c>
      <c r="BK400" s="121">
        <f t="shared" si="79"/>
        <v>14.233333333333333</v>
      </c>
      <c r="BL400" s="121">
        <f t="shared" si="79"/>
        <v>0</v>
      </c>
      <c r="BM400" s="121" t="e">
        <f t="shared" si="79"/>
        <v>#DIV/0!</v>
      </c>
      <c r="BN400" s="121">
        <f t="shared" si="79"/>
        <v>121.99500013987223</v>
      </c>
      <c r="BO400" s="121">
        <f t="shared" si="79"/>
        <v>73.066666666666663</v>
      </c>
      <c r="BP400" s="121">
        <f t="shared" si="79"/>
        <v>48.928333473205569</v>
      </c>
      <c r="BQ400" s="121">
        <f t="shared" si="79"/>
        <v>276.55</v>
      </c>
      <c r="BR400" s="121">
        <f t="shared" si="79"/>
        <v>72.276149495442709</v>
      </c>
      <c r="BS400" s="121">
        <f t="shared" ref="BS400:ED400" si="80">AVERAGEA(BS119:BS178)</f>
        <v>24.92473341623942</v>
      </c>
      <c r="BT400" s="121">
        <f t="shared" si="80"/>
        <v>41.845632998148602</v>
      </c>
      <c r="BU400" s="121">
        <f t="shared" si="80"/>
        <v>38.75295009613037</v>
      </c>
      <c r="BV400" s="121">
        <f t="shared" si="80"/>
        <v>69.24166666666666</v>
      </c>
      <c r="BW400" s="121">
        <f t="shared" si="80"/>
        <v>6.165000009536743</v>
      </c>
      <c r="BX400" s="121">
        <f t="shared" si="80"/>
        <v>13.646666685740152</v>
      </c>
      <c r="BY400" s="121">
        <f t="shared" si="80"/>
        <v>28.283333333333335</v>
      </c>
      <c r="BZ400" s="121">
        <f t="shared" si="80"/>
        <v>3.6656399557522188</v>
      </c>
      <c r="CA400" s="121">
        <f t="shared" si="80"/>
        <v>4.2666666666666666</v>
      </c>
      <c r="CB400" s="121">
        <f t="shared" si="80"/>
        <v>29.187958685557046</v>
      </c>
      <c r="CC400" s="121" t="e">
        <f t="shared" si="80"/>
        <v>#DIV/0!</v>
      </c>
      <c r="CD400" s="121">
        <f t="shared" si="80"/>
        <v>369.064946492513</v>
      </c>
      <c r="CE400" s="121">
        <f t="shared" si="80"/>
        <v>46.55170281728109</v>
      </c>
      <c r="CF400" s="121">
        <f t="shared" si="80"/>
        <v>22.70849266052246</v>
      </c>
      <c r="CG400" s="121">
        <f t="shared" si="80"/>
        <v>35.338191986083984</v>
      </c>
      <c r="CH400" s="121">
        <f t="shared" si="80"/>
        <v>283.78511352539061</v>
      </c>
      <c r="CI400" s="121">
        <f t="shared" si="80"/>
        <v>85.525624847412104</v>
      </c>
      <c r="CJ400" s="121">
        <f t="shared" si="80"/>
        <v>37.135386053721113</v>
      </c>
      <c r="CK400" s="121">
        <f t="shared" si="80"/>
        <v>51.658089701334639</v>
      </c>
      <c r="CL400" s="121">
        <f t="shared" si="80"/>
        <v>34.517215188344316</v>
      </c>
      <c r="CM400" s="121">
        <f t="shared" si="80"/>
        <v>221.88177693684895</v>
      </c>
      <c r="CN400" s="121">
        <f t="shared" si="80"/>
        <v>70.515080579121914</v>
      </c>
      <c r="CO400" s="121">
        <f t="shared" si="80"/>
        <v>73.317874018351233</v>
      </c>
      <c r="CP400" s="121">
        <f t="shared" si="80"/>
        <v>74.495087941487625</v>
      </c>
      <c r="CQ400" s="121">
        <f t="shared" si="80"/>
        <v>0</v>
      </c>
      <c r="CR400" s="121">
        <f t="shared" si="80"/>
        <v>51.541013272603351</v>
      </c>
      <c r="CS400" s="121">
        <f t="shared" si="80"/>
        <v>9.6334862550099682</v>
      </c>
      <c r="CT400" s="121">
        <f t="shared" si="80"/>
        <v>36.304036013285319</v>
      </c>
      <c r="CU400" s="121">
        <f t="shared" si="80"/>
        <v>51.293081665039061</v>
      </c>
      <c r="CV400" s="121">
        <f t="shared" si="80"/>
        <v>67.50882237752279</v>
      </c>
      <c r="CW400" s="121">
        <f t="shared" si="80"/>
        <v>5.2333333333333334</v>
      </c>
      <c r="CX400" s="121">
        <f t="shared" si="80"/>
        <v>346.53333333333336</v>
      </c>
      <c r="CY400" s="121">
        <f t="shared" si="80"/>
        <v>140.47077331542968</v>
      </c>
      <c r="CZ400" s="121">
        <f t="shared" si="80"/>
        <v>52.184009297688803</v>
      </c>
      <c r="DA400" s="121">
        <f t="shared" si="80"/>
        <v>20.754881572723388</v>
      </c>
      <c r="DB400" s="121">
        <f t="shared" si="80"/>
        <v>33.841126696268717</v>
      </c>
      <c r="DC400" s="121">
        <f t="shared" si="80"/>
        <v>81.909661865234369</v>
      </c>
      <c r="DD400" s="121">
        <f t="shared" si="80"/>
        <v>67.966666666666669</v>
      </c>
      <c r="DE400" s="121">
        <f t="shared" si="80"/>
        <v>181.61666666666667</v>
      </c>
      <c r="DF400" s="121">
        <f t="shared" si="80"/>
        <v>109.98589757283528</v>
      </c>
      <c r="DG400" s="121">
        <f t="shared" si="80"/>
        <v>75.303356679280597</v>
      </c>
      <c r="DH400" s="121">
        <f t="shared" si="80"/>
        <v>52.705645243326821</v>
      </c>
      <c r="DI400" s="121">
        <f t="shared" si="80"/>
        <v>38.581175740559893</v>
      </c>
      <c r="DJ400" s="121">
        <f t="shared" si="80"/>
        <v>210.41666666666666</v>
      </c>
      <c r="DK400" s="121">
        <f t="shared" si="80"/>
        <v>109.33639984130859</v>
      </c>
      <c r="DL400" s="121">
        <f t="shared" si="80"/>
        <v>25.510483328501383</v>
      </c>
      <c r="DM400" s="121">
        <f t="shared" si="80"/>
        <v>28.933583323160807</v>
      </c>
      <c r="DN400" s="121">
        <f t="shared" si="80"/>
        <v>50.142216809590657</v>
      </c>
      <c r="DO400" s="121">
        <f t="shared" si="80"/>
        <v>112.22115961710612</v>
      </c>
      <c r="DP400" s="121">
        <f t="shared" si="80"/>
        <v>15.856233406066895</v>
      </c>
      <c r="DQ400" s="121" t="e">
        <f t="shared" si="80"/>
        <v>#DIV/0!</v>
      </c>
      <c r="DR400" s="121">
        <f t="shared" si="80"/>
        <v>32.416666666666664</v>
      </c>
      <c r="DS400" s="121">
        <f t="shared" si="80"/>
        <v>33.069999980926511</v>
      </c>
      <c r="DT400" s="121">
        <f t="shared" si="80"/>
        <v>12.283333333333333</v>
      </c>
      <c r="DU400" s="121" t="e">
        <f t="shared" si="80"/>
        <v>#DIV/0!</v>
      </c>
      <c r="DV400" s="121">
        <f t="shared" si="80"/>
        <v>75.333333333333329</v>
      </c>
      <c r="DW400" s="121">
        <f t="shared" si="80"/>
        <v>68.055837720632553</v>
      </c>
      <c r="DX400" s="121">
        <f t="shared" si="80"/>
        <v>10.116666666666667</v>
      </c>
      <c r="DY400" s="121" t="e">
        <f t="shared" si="80"/>
        <v>#DIV/0!</v>
      </c>
      <c r="DZ400" s="121">
        <f t="shared" si="80"/>
        <v>45.25</v>
      </c>
      <c r="EA400" s="121">
        <f t="shared" si="80"/>
        <v>3</v>
      </c>
      <c r="EB400" s="121">
        <f t="shared" si="80"/>
        <v>0</v>
      </c>
      <c r="EC400" s="121">
        <f t="shared" si="80"/>
        <v>1.1000000000000001</v>
      </c>
      <c r="ED400" s="121">
        <f t="shared" si="80"/>
        <v>263.41666590372722</v>
      </c>
      <c r="EE400" s="129"/>
      <c r="EF400" s="129"/>
      <c r="EG400" s="129"/>
    </row>
    <row r="401" spans="1:137" x14ac:dyDescent="0.3">
      <c r="A401" s="160" t="s">
        <v>647</v>
      </c>
      <c r="B401" s="121">
        <f>AVERAGEA(B124:B183)</f>
        <v>238.83333333333334</v>
      </c>
      <c r="C401" s="121">
        <f t="shared" ref="C401:BR401" si="81">AVERAGEA(C124:C183)</f>
        <v>49.249600156148276</v>
      </c>
      <c r="D401" s="121">
        <f t="shared" si="81"/>
        <v>102.17156664530437</v>
      </c>
      <c r="E401" s="121">
        <f t="shared" si="81"/>
        <v>16.967900005976357</v>
      </c>
      <c r="F401" s="121">
        <f t="shared" si="81"/>
        <v>5.4103363196055092</v>
      </c>
      <c r="G401" s="121">
        <f t="shared" si="81"/>
        <v>17.49938335418701</v>
      </c>
      <c r="H401" s="121">
        <f t="shared" si="81"/>
        <v>310.3</v>
      </c>
      <c r="I401" s="121">
        <f t="shared" si="81"/>
        <v>276.48333333333335</v>
      </c>
      <c r="J401" s="121">
        <f t="shared" si="81"/>
        <v>63.528199831644692</v>
      </c>
      <c r="K401" s="121">
        <f t="shared" si="81"/>
        <v>63.085815620422366</v>
      </c>
      <c r="L401" s="121">
        <f t="shared" si="81"/>
        <v>44.198800150553389</v>
      </c>
      <c r="M401" s="121">
        <f t="shared" si="81"/>
        <v>12.852966721852621</v>
      </c>
      <c r="N401" s="121">
        <f t="shared" si="81"/>
        <v>17.601349925994874</v>
      </c>
      <c r="O401" s="121">
        <f t="shared" si="81"/>
        <v>17.833333333333332</v>
      </c>
      <c r="P401" s="121">
        <f t="shared" si="81"/>
        <v>0</v>
      </c>
      <c r="Q401" s="121">
        <f t="shared" si="81"/>
        <v>18.409904543558756</v>
      </c>
      <c r="R401" s="121">
        <f t="shared" si="81"/>
        <v>10.116875012715658</v>
      </c>
      <c r="S401" s="121">
        <f t="shared" si="81"/>
        <v>9.7051979780197151</v>
      </c>
      <c r="T401" s="121">
        <f t="shared" si="81"/>
        <v>6.2333333333333334</v>
      </c>
      <c r="U401" s="121">
        <f t="shared" si="81"/>
        <v>6.2333333333333334</v>
      </c>
      <c r="V401" s="121">
        <f t="shared" si="81"/>
        <v>921.38333333333333</v>
      </c>
      <c r="W401" s="121">
        <f t="shared" si="81"/>
        <v>27.668801275889077</v>
      </c>
      <c r="X401" s="121">
        <f t="shared" si="81"/>
        <v>27.512333393096924</v>
      </c>
      <c r="Y401" s="121">
        <f t="shared" si="81"/>
        <v>7.2084000587463377</v>
      </c>
      <c r="Z401" s="121">
        <f t="shared" si="81"/>
        <v>0</v>
      </c>
      <c r="AA401" s="121">
        <f t="shared" si="81"/>
        <v>23.378566646575926</v>
      </c>
      <c r="AB401" s="121">
        <f t="shared" si="81"/>
        <v>0</v>
      </c>
      <c r="AC401" s="121">
        <f t="shared" si="81"/>
        <v>56.202368354797365</v>
      </c>
      <c r="AD401" s="121">
        <f t="shared" si="81"/>
        <v>6.3527000427246092</v>
      </c>
      <c r="AE401" s="121">
        <f t="shared" si="81"/>
        <v>0</v>
      </c>
      <c r="AF401" s="121">
        <f t="shared" si="81"/>
        <v>83.879362614949542</v>
      </c>
      <c r="AG401" s="121">
        <f t="shared" si="81"/>
        <v>0</v>
      </c>
      <c r="AH401" s="121">
        <f t="shared" si="81"/>
        <v>64.246724065144861</v>
      </c>
      <c r="AI401" s="121">
        <f t="shared" si="81"/>
        <v>13.090833441416423</v>
      </c>
      <c r="AJ401" s="121">
        <f t="shared" si="81"/>
        <v>20.510149478912354</v>
      </c>
      <c r="AK401" s="121">
        <f t="shared" si="81"/>
        <v>45.47423006693522</v>
      </c>
      <c r="AL401" s="121">
        <f t="shared" si="81"/>
        <v>41.524416669209799</v>
      </c>
      <c r="AM401" s="121">
        <f t="shared" si="81"/>
        <v>55.050683085123701</v>
      </c>
      <c r="AN401" s="121">
        <f t="shared" si="81"/>
        <v>122.29270833333334</v>
      </c>
      <c r="AO401" s="121">
        <f t="shared" si="81"/>
        <v>64.416666666666671</v>
      </c>
      <c r="AP401" s="121">
        <f t="shared" si="81"/>
        <v>64.91169160207113</v>
      </c>
      <c r="AQ401" s="121">
        <f t="shared" si="81"/>
        <v>39.212235132853188</v>
      </c>
      <c r="AR401" s="121">
        <f t="shared" si="81"/>
        <v>86.45</v>
      </c>
      <c r="AS401" s="121" t="e">
        <f t="shared" si="81"/>
        <v>#DIV/0!</v>
      </c>
      <c r="AT401" s="121">
        <f t="shared" si="81"/>
        <v>120.68333333333334</v>
      </c>
      <c r="AU401" s="121" t="e">
        <f t="shared" si="81"/>
        <v>#DIV/0!</v>
      </c>
      <c r="AV401" s="121">
        <f t="shared" si="81"/>
        <v>74.233333333333334</v>
      </c>
      <c r="AW401" s="121" t="e">
        <f t="shared" si="81"/>
        <v>#DIV/0!</v>
      </c>
      <c r="AX401" s="121">
        <f t="shared" si="81"/>
        <v>31.066666666666666</v>
      </c>
      <c r="AY401" s="121">
        <f t="shared" si="81"/>
        <v>33.512439346313478</v>
      </c>
      <c r="AZ401" s="121">
        <f t="shared" si="81"/>
        <v>15.366666666666667</v>
      </c>
      <c r="BA401" s="121" t="e">
        <f t="shared" si="81"/>
        <v>#DIV/0!</v>
      </c>
      <c r="BB401" s="121">
        <f t="shared" si="81"/>
        <v>297.48333333333335</v>
      </c>
      <c r="BC401" s="121">
        <f t="shared" si="81"/>
        <v>298.57274627685547</v>
      </c>
      <c r="BD401" s="121">
        <f t="shared" si="81"/>
        <v>6.8850000619888307</v>
      </c>
      <c r="BE401" s="121">
        <f t="shared" si="81"/>
        <v>6.9211074511210127</v>
      </c>
      <c r="BF401" s="121">
        <f t="shared" si="81"/>
        <v>30.266666666666666</v>
      </c>
      <c r="BG401" s="121">
        <f t="shared" si="81"/>
        <v>10.25</v>
      </c>
      <c r="BH401" s="121">
        <f t="shared" si="81"/>
        <v>11.166529655456543</v>
      </c>
      <c r="BI401" s="121" t="e">
        <f t="shared" si="81"/>
        <v>#DIV/0!</v>
      </c>
      <c r="BJ401" s="121">
        <f t="shared" si="81"/>
        <v>14.016666666666667</v>
      </c>
      <c r="BK401" s="121">
        <f t="shared" si="81"/>
        <v>14.016666666666667</v>
      </c>
      <c r="BL401" s="121">
        <f t="shared" si="81"/>
        <v>0</v>
      </c>
      <c r="BM401" s="121" t="e">
        <f t="shared" si="81"/>
        <v>#DIV/0!</v>
      </c>
      <c r="BN401" s="121">
        <f t="shared" si="81"/>
        <v>121.94833348592122</v>
      </c>
      <c r="BO401" s="121">
        <f t="shared" si="81"/>
        <v>73.05</v>
      </c>
      <c r="BP401" s="121">
        <f t="shared" si="81"/>
        <v>48.898333485921221</v>
      </c>
      <c r="BQ401" s="121">
        <f t="shared" si="81"/>
        <v>274.78333333333336</v>
      </c>
      <c r="BR401" s="121">
        <f t="shared" si="81"/>
        <v>71.309149424235031</v>
      </c>
      <c r="BS401" s="121">
        <f t="shared" ref="BS401:ED401" si="82">AVERAGEA(BS124:BS183)</f>
        <v>24.865366744995118</v>
      </c>
      <c r="BT401" s="121">
        <f t="shared" si="82"/>
        <v>41.551266161600751</v>
      </c>
      <c r="BU401" s="121">
        <f t="shared" si="82"/>
        <v>38.541966756184898</v>
      </c>
      <c r="BV401" s="121">
        <f t="shared" si="82"/>
        <v>69.213333511352545</v>
      </c>
      <c r="BW401" s="121">
        <f t="shared" si="82"/>
        <v>6.1283333460489908</v>
      </c>
      <c r="BX401" s="121">
        <f t="shared" si="82"/>
        <v>13.621666669845581</v>
      </c>
      <c r="BY401" s="121">
        <f t="shared" si="82"/>
        <v>28.3</v>
      </c>
      <c r="BZ401" s="121">
        <f t="shared" si="82"/>
        <v>2.0070712337891261</v>
      </c>
      <c r="CA401" s="121">
        <f t="shared" si="82"/>
        <v>2.7333333333333334</v>
      </c>
      <c r="CB401" s="121">
        <f t="shared" si="82"/>
        <v>29.179621315002443</v>
      </c>
      <c r="CC401" s="121" t="e">
        <f t="shared" si="82"/>
        <v>#DIV/0!</v>
      </c>
      <c r="CD401" s="121">
        <f t="shared" si="82"/>
        <v>365.52822214762369</v>
      </c>
      <c r="CE401" s="121">
        <f t="shared" si="82"/>
        <v>43.755976867675784</v>
      </c>
      <c r="CF401" s="121">
        <f t="shared" si="82"/>
        <v>22.439131609598796</v>
      </c>
      <c r="CG401" s="121">
        <f t="shared" si="82"/>
        <v>35.338191986083984</v>
      </c>
      <c r="CH401" s="121">
        <f t="shared" si="82"/>
        <v>283.39782155354817</v>
      </c>
      <c r="CI401" s="121">
        <f t="shared" si="82"/>
        <v>84.506720860799149</v>
      </c>
      <c r="CJ401" s="121">
        <f t="shared" si="82"/>
        <v>36.465653387705487</v>
      </c>
      <c r="CK401" s="121">
        <f t="shared" si="82"/>
        <v>51.523686663309732</v>
      </c>
      <c r="CL401" s="121">
        <f t="shared" si="82"/>
        <v>33.802823162078859</v>
      </c>
      <c r="CM401" s="121">
        <f t="shared" si="82"/>
        <v>218.76475575764974</v>
      </c>
      <c r="CN401" s="121">
        <f t="shared" si="82"/>
        <v>68.945770200093591</v>
      </c>
      <c r="CO401" s="121">
        <f t="shared" si="82"/>
        <v>71.294386800130212</v>
      </c>
      <c r="CP401" s="121">
        <f t="shared" si="82"/>
        <v>75.061507288614905</v>
      </c>
      <c r="CQ401" s="121">
        <f t="shared" si="82"/>
        <v>0</v>
      </c>
      <c r="CR401" s="121">
        <f t="shared" si="82"/>
        <v>51.227984174092612</v>
      </c>
      <c r="CS401" s="121">
        <f t="shared" si="82"/>
        <v>9.5107596158981327</v>
      </c>
      <c r="CT401" s="121">
        <f t="shared" si="82"/>
        <v>35.706923802693687</v>
      </c>
      <c r="CU401" s="121">
        <f t="shared" si="82"/>
        <v>51.813220278422037</v>
      </c>
      <c r="CV401" s="121">
        <f t="shared" si="82"/>
        <v>66.227010154724127</v>
      </c>
      <c r="CW401" s="121">
        <f t="shared" si="82"/>
        <v>5.1833333333333336</v>
      </c>
      <c r="CX401" s="121">
        <f t="shared" si="82"/>
        <v>338.85</v>
      </c>
      <c r="CY401" s="121">
        <f t="shared" si="82"/>
        <v>134.25245323181153</v>
      </c>
      <c r="CZ401" s="121">
        <f t="shared" si="82"/>
        <v>51.682393773396811</v>
      </c>
      <c r="DA401" s="121">
        <f t="shared" si="82"/>
        <v>20.641478824615479</v>
      </c>
      <c r="DB401" s="121">
        <f t="shared" si="82"/>
        <v>33.498124249776204</v>
      </c>
      <c r="DC401" s="121">
        <f t="shared" si="82"/>
        <v>81.520672607421872</v>
      </c>
      <c r="DD401" s="121">
        <f t="shared" si="82"/>
        <v>65.783333333333331</v>
      </c>
      <c r="DE401" s="121">
        <f t="shared" si="82"/>
        <v>180.76666666666668</v>
      </c>
      <c r="DF401" s="121">
        <f t="shared" si="82"/>
        <v>109.09340693155924</v>
      </c>
      <c r="DG401" s="121">
        <f t="shared" si="82"/>
        <v>74.086536916097003</v>
      </c>
      <c r="DH401" s="121">
        <f t="shared" si="82"/>
        <v>51.968261273701984</v>
      </c>
      <c r="DI401" s="121">
        <f t="shared" si="82"/>
        <v>38.290585772196451</v>
      </c>
      <c r="DJ401" s="121">
        <f t="shared" si="82"/>
        <v>209.5</v>
      </c>
      <c r="DK401" s="121">
        <f t="shared" si="82"/>
        <v>108.5263500213623</v>
      </c>
      <c r="DL401" s="121">
        <f t="shared" si="82"/>
        <v>25.201316706339519</v>
      </c>
      <c r="DM401" s="121">
        <f t="shared" si="82"/>
        <v>28.323900000254312</v>
      </c>
      <c r="DN401" s="121">
        <f t="shared" si="82"/>
        <v>50.124533526102702</v>
      </c>
      <c r="DO401" s="121">
        <f t="shared" si="82"/>
        <v>112.14053700764974</v>
      </c>
      <c r="DP401" s="121">
        <f t="shared" si="82"/>
        <v>15.838816722234091</v>
      </c>
      <c r="DQ401" s="121" t="e">
        <f t="shared" si="82"/>
        <v>#DIV/0!</v>
      </c>
      <c r="DR401" s="121">
        <f t="shared" si="82"/>
        <v>38</v>
      </c>
      <c r="DS401" s="121">
        <f t="shared" si="82"/>
        <v>32.963333320617679</v>
      </c>
      <c r="DT401" s="121">
        <f t="shared" si="82"/>
        <v>12.2</v>
      </c>
      <c r="DU401" s="121" t="e">
        <f t="shared" si="82"/>
        <v>#DIV/0!</v>
      </c>
      <c r="DV401" s="121">
        <f t="shared" si="82"/>
        <v>61.766666666666666</v>
      </c>
      <c r="DW401" s="121">
        <f t="shared" si="82"/>
        <v>54.431689216693243</v>
      </c>
      <c r="DX401" s="121">
        <f t="shared" si="82"/>
        <v>10.083333333333334</v>
      </c>
      <c r="DY401" s="121" t="e">
        <f t="shared" si="82"/>
        <v>#DIV/0!</v>
      </c>
      <c r="DZ401" s="121">
        <f t="shared" si="82"/>
        <v>45.18333333333333</v>
      </c>
      <c r="EA401" s="121">
        <f t="shared" si="82"/>
        <v>3</v>
      </c>
      <c r="EB401" s="121">
        <f t="shared" si="82"/>
        <v>0</v>
      </c>
      <c r="EC401" s="121">
        <f t="shared" si="82"/>
        <v>1.1166666666666667</v>
      </c>
      <c r="ED401" s="121">
        <f t="shared" si="82"/>
        <v>260.64833272298176</v>
      </c>
      <c r="EE401" s="129"/>
      <c r="EF401" s="129"/>
      <c r="EG401" s="129"/>
    </row>
    <row r="402" spans="1:137" x14ac:dyDescent="0.3">
      <c r="A402" s="160" t="s">
        <v>331</v>
      </c>
      <c r="B402" s="121">
        <f>AVERAGEA(B129:B188)</f>
        <v>237.2</v>
      </c>
      <c r="C402" s="121">
        <f t="shared" ref="C402:BR402" si="83">AVERAGEA(C129:C188)</f>
        <v>49.121433512369791</v>
      </c>
      <c r="D402" s="121">
        <f t="shared" si="83"/>
        <v>102.16778335571288</v>
      </c>
      <c r="E402" s="121">
        <f t="shared" si="83"/>
        <v>16.969750022888185</v>
      </c>
      <c r="F402" s="121">
        <f t="shared" si="83"/>
        <v>5.2849866946538286</v>
      </c>
      <c r="G402" s="121">
        <f t="shared" si="83"/>
        <v>17.363666725158691</v>
      </c>
      <c r="H402" s="121">
        <f t="shared" si="83"/>
        <v>309.43333333333334</v>
      </c>
      <c r="I402" s="121">
        <f t="shared" si="83"/>
        <v>275.85000000000002</v>
      </c>
      <c r="J402" s="121">
        <f t="shared" si="83"/>
        <v>63.449016380310056</v>
      </c>
      <c r="K402" s="121">
        <f t="shared" si="83"/>
        <v>62.716455713907877</v>
      </c>
      <c r="L402" s="121">
        <f t="shared" si="83"/>
        <v>44.136950174967446</v>
      </c>
      <c r="M402" s="121">
        <f t="shared" si="83"/>
        <v>12.721016709009806</v>
      </c>
      <c r="N402" s="121">
        <f t="shared" si="83"/>
        <v>17.65329990386963</v>
      </c>
      <c r="O402" s="121">
        <f t="shared" si="83"/>
        <v>17.600000000000001</v>
      </c>
      <c r="P402" s="121">
        <f t="shared" si="83"/>
        <v>0</v>
      </c>
      <c r="Q402" s="121">
        <f t="shared" si="83"/>
        <v>18.274276034037271</v>
      </c>
      <c r="R402" s="121">
        <f t="shared" si="83"/>
        <v>9.7331249872843433</v>
      </c>
      <c r="S402" s="121">
        <f t="shared" si="83"/>
        <v>9.3442625443140663</v>
      </c>
      <c r="T402" s="121">
        <f t="shared" si="83"/>
        <v>5.65</v>
      </c>
      <c r="U402" s="121">
        <f t="shared" si="83"/>
        <v>5.65</v>
      </c>
      <c r="V402" s="121">
        <f t="shared" si="83"/>
        <v>913.73333333333335</v>
      </c>
      <c r="W402" s="121">
        <f t="shared" si="83"/>
        <v>27.577332687377929</v>
      </c>
      <c r="X402" s="121">
        <f t="shared" si="83"/>
        <v>27.208850034077962</v>
      </c>
      <c r="Y402" s="121">
        <f t="shared" si="83"/>
        <v>6.8733667055765784</v>
      </c>
      <c r="Z402" s="121">
        <f t="shared" si="83"/>
        <v>0</v>
      </c>
      <c r="AA402" s="121">
        <f t="shared" si="83"/>
        <v>23.11468324661255</v>
      </c>
      <c r="AB402" s="121">
        <f t="shared" si="83"/>
        <v>0</v>
      </c>
      <c r="AC402" s="121">
        <f t="shared" si="83"/>
        <v>55.989722188313799</v>
      </c>
      <c r="AD402" s="121">
        <f t="shared" si="83"/>
        <v>6.3654167175292971</v>
      </c>
      <c r="AE402" s="121">
        <f t="shared" si="83"/>
        <v>0</v>
      </c>
      <c r="AF402" s="121">
        <f t="shared" si="83"/>
        <v>83.62977485656738</v>
      </c>
      <c r="AG402" s="121">
        <f t="shared" si="83"/>
        <v>0</v>
      </c>
      <c r="AH402" s="121">
        <f t="shared" si="83"/>
        <v>63.89935595194499</v>
      </c>
      <c r="AI402" s="121">
        <f t="shared" si="83"/>
        <v>12.818300104141235</v>
      </c>
      <c r="AJ402" s="121">
        <f t="shared" si="83"/>
        <v>20.130578708648681</v>
      </c>
      <c r="AK402" s="121">
        <f t="shared" si="83"/>
        <v>44.68390916188558</v>
      </c>
      <c r="AL402" s="121">
        <f t="shared" si="83"/>
        <v>40.12541675567627</v>
      </c>
      <c r="AM402" s="121">
        <f t="shared" si="83"/>
        <v>55.060216458638507</v>
      </c>
      <c r="AN402" s="121">
        <f t="shared" si="83"/>
        <v>121.25937500000001</v>
      </c>
      <c r="AO402" s="121">
        <f t="shared" si="83"/>
        <v>63.7</v>
      </c>
      <c r="AP402" s="121">
        <f t="shared" si="83"/>
        <v>64.41055018107096</v>
      </c>
      <c r="AQ402" s="121">
        <f t="shared" si="83"/>
        <v>38.770627021789551</v>
      </c>
      <c r="AR402" s="121">
        <f t="shared" si="83"/>
        <v>86.75</v>
      </c>
      <c r="AS402" s="121" t="e">
        <f t="shared" si="83"/>
        <v>#DIV/0!</v>
      </c>
      <c r="AT402" s="121">
        <f t="shared" si="83"/>
        <v>119.98333333333333</v>
      </c>
      <c r="AU402" s="121" t="e">
        <f t="shared" si="83"/>
        <v>#DIV/0!</v>
      </c>
      <c r="AV402" s="121">
        <f t="shared" si="83"/>
        <v>73.483333333333334</v>
      </c>
      <c r="AW402" s="121" t="e">
        <f t="shared" si="83"/>
        <v>#DIV/0!</v>
      </c>
      <c r="AX402" s="121">
        <f t="shared" si="83"/>
        <v>30.9</v>
      </c>
      <c r="AY402" s="121">
        <f t="shared" si="83"/>
        <v>33.420375696818034</v>
      </c>
      <c r="AZ402" s="121">
        <f t="shared" si="83"/>
        <v>15.066666666666666</v>
      </c>
      <c r="BA402" s="121" t="e">
        <f t="shared" si="83"/>
        <v>#DIV/0!</v>
      </c>
      <c r="BB402" s="121">
        <f t="shared" si="83"/>
        <v>297.18333333333334</v>
      </c>
      <c r="BC402" s="121">
        <f t="shared" si="83"/>
        <v>298.30431772867837</v>
      </c>
      <c r="BD402" s="121">
        <f t="shared" si="83"/>
        <v>6.8600000460942585</v>
      </c>
      <c r="BE402" s="121">
        <f t="shared" si="83"/>
        <v>6.9023677110671997</v>
      </c>
      <c r="BF402" s="121">
        <f t="shared" si="83"/>
        <v>30.233333333333334</v>
      </c>
      <c r="BG402" s="121">
        <f t="shared" si="83"/>
        <v>10.166666666666666</v>
      </c>
      <c r="BH402" s="121">
        <f t="shared" si="83"/>
        <v>11.143239498138428</v>
      </c>
      <c r="BI402" s="121" t="e">
        <f t="shared" si="83"/>
        <v>#DIV/0!</v>
      </c>
      <c r="BJ402" s="121">
        <f t="shared" si="83"/>
        <v>13.833333333333334</v>
      </c>
      <c r="BK402" s="121">
        <f t="shared" si="83"/>
        <v>13.833333333333334</v>
      </c>
      <c r="BL402" s="121">
        <f t="shared" si="83"/>
        <v>0</v>
      </c>
      <c r="BM402" s="121" t="e">
        <f t="shared" si="83"/>
        <v>#DIV/0!</v>
      </c>
      <c r="BN402" s="121">
        <f t="shared" si="83"/>
        <v>121.89833348592123</v>
      </c>
      <c r="BO402" s="121">
        <f t="shared" si="83"/>
        <v>73.033333333333331</v>
      </c>
      <c r="BP402" s="121">
        <f t="shared" si="83"/>
        <v>48.865000152587889</v>
      </c>
      <c r="BQ402" s="121">
        <f t="shared" si="83"/>
        <v>273.55</v>
      </c>
      <c r="BR402" s="121">
        <f t="shared" si="83"/>
        <v>70.513715998331705</v>
      </c>
      <c r="BS402" s="121">
        <f t="shared" ref="BS402:ED402" si="84">AVERAGEA(BS129:BS188)</f>
        <v>24.772050094604491</v>
      </c>
      <c r="BT402" s="121">
        <f t="shared" si="84"/>
        <v>41.424282646179201</v>
      </c>
      <c r="BU402" s="121">
        <f t="shared" si="84"/>
        <v>38.356450080871582</v>
      </c>
      <c r="BV402" s="121">
        <f t="shared" si="84"/>
        <v>69.25833358764649</v>
      </c>
      <c r="BW402" s="121">
        <f t="shared" si="84"/>
        <v>6.0966667016347253</v>
      </c>
      <c r="BX402" s="121">
        <f t="shared" si="84"/>
        <v>13.625000015894573</v>
      </c>
      <c r="BY402" s="121">
        <f t="shared" si="84"/>
        <v>28.316666666666666</v>
      </c>
      <c r="BZ402" s="121">
        <f t="shared" si="84"/>
        <v>0.34860455294450127</v>
      </c>
      <c r="CA402" s="121">
        <f t="shared" si="84"/>
        <v>1.2333333333333334</v>
      </c>
      <c r="CB402" s="121">
        <f t="shared" si="84"/>
        <v>29.171509997049967</v>
      </c>
      <c r="CC402" s="121" t="e">
        <f t="shared" si="84"/>
        <v>#DIV/0!</v>
      </c>
      <c r="CD402" s="121">
        <f t="shared" si="84"/>
        <v>361.23972066243488</v>
      </c>
      <c r="CE402" s="121">
        <f t="shared" si="84"/>
        <v>40.915380764007566</v>
      </c>
      <c r="CF402" s="121">
        <f t="shared" si="84"/>
        <v>22.153907934824627</v>
      </c>
      <c r="CG402" s="121">
        <f t="shared" si="84"/>
        <v>35.338191986083984</v>
      </c>
      <c r="CH402" s="121">
        <f t="shared" si="84"/>
        <v>282.5504221598307</v>
      </c>
      <c r="CI402" s="121">
        <f t="shared" si="84"/>
        <v>83.889134724934891</v>
      </c>
      <c r="CJ402" s="121">
        <f t="shared" si="84"/>
        <v>35.982450517018634</v>
      </c>
      <c r="CK402" s="121">
        <f t="shared" si="84"/>
        <v>51.396626218159994</v>
      </c>
      <c r="CL402" s="121">
        <f t="shared" si="84"/>
        <v>32.963300895690921</v>
      </c>
      <c r="CM402" s="121">
        <f t="shared" si="84"/>
        <v>216.81923344930013</v>
      </c>
      <c r="CN402" s="121">
        <f t="shared" si="84"/>
        <v>67.649266815185541</v>
      </c>
      <c r="CO402" s="121">
        <f t="shared" si="84"/>
        <v>70.117836252848306</v>
      </c>
      <c r="CP402" s="121">
        <f t="shared" si="84"/>
        <v>75.704995727539057</v>
      </c>
      <c r="CQ402" s="121">
        <f t="shared" si="84"/>
        <v>0</v>
      </c>
      <c r="CR402" s="121">
        <f t="shared" si="84"/>
        <v>50.954274304707845</v>
      </c>
      <c r="CS402" s="121">
        <f t="shared" si="84"/>
        <v>9.3752345164616901</v>
      </c>
      <c r="CT402" s="121">
        <f t="shared" si="84"/>
        <v>35.310200786590578</v>
      </c>
      <c r="CU402" s="121">
        <f t="shared" si="84"/>
        <v>59.991262944539386</v>
      </c>
      <c r="CV402" s="121">
        <f t="shared" si="84"/>
        <v>64.850657653808597</v>
      </c>
      <c r="CW402" s="121">
        <f t="shared" si="84"/>
        <v>5.166666666666667</v>
      </c>
      <c r="CX402" s="121">
        <f t="shared" si="84"/>
        <v>331.65</v>
      </c>
      <c r="CY402" s="121">
        <f t="shared" si="84"/>
        <v>128.3352128346761</v>
      </c>
      <c r="CZ402" s="121">
        <f t="shared" si="84"/>
        <v>51.423917516072592</v>
      </c>
      <c r="DA402" s="121">
        <f t="shared" si="84"/>
        <v>20.520426845550539</v>
      </c>
      <c r="DB402" s="121">
        <f t="shared" si="84"/>
        <v>33.183038266499835</v>
      </c>
      <c r="DC402" s="121">
        <f t="shared" si="84"/>
        <v>81.111936569213867</v>
      </c>
      <c r="DD402" s="121">
        <f t="shared" si="84"/>
        <v>63.916666666666664</v>
      </c>
      <c r="DE402" s="121">
        <f t="shared" si="84"/>
        <v>179.98333333333332</v>
      </c>
      <c r="DF402" s="121">
        <f t="shared" si="84"/>
        <v>107.83285980224609</v>
      </c>
      <c r="DG402" s="121">
        <f t="shared" si="84"/>
        <v>72.996002133687341</v>
      </c>
      <c r="DH402" s="121">
        <f t="shared" si="84"/>
        <v>51.314434369405113</v>
      </c>
      <c r="DI402" s="121">
        <f t="shared" si="84"/>
        <v>38.241922569274905</v>
      </c>
      <c r="DJ402" s="121">
        <f t="shared" si="84"/>
        <v>209.05</v>
      </c>
      <c r="DK402" s="121">
        <f t="shared" si="84"/>
        <v>107.89443346659343</v>
      </c>
      <c r="DL402" s="121">
        <f t="shared" si="84"/>
        <v>25.142883364359538</v>
      </c>
      <c r="DM402" s="121">
        <f t="shared" si="84"/>
        <v>27.964549986521401</v>
      </c>
      <c r="DN402" s="121">
        <f t="shared" si="84"/>
        <v>49.968433634440103</v>
      </c>
      <c r="DO402" s="121">
        <f t="shared" si="84"/>
        <v>112.12773869832357</v>
      </c>
      <c r="DP402" s="121">
        <f t="shared" si="84"/>
        <v>15.815750090281169</v>
      </c>
      <c r="DQ402" s="121" t="e">
        <f t="shared" si="84"/>
        <v>#DIV/0!</v>
      </c>
      <c r="DR402" s="121">
        <f t="shared" si="84"/>
        <v>43.583333333333336</v>
      </c>
      <c r="DS402" s="121">
        <f t="shared" si="84"/>
        <v>32.650000031789141</v>
      </c>
      <c r="DT402" s="121">
        <f t="shared" si="84"/>
        <v>12.133333333333333</v>
      </c>
      <c r="DU402" s="121" t="e">
        <f t="shared" si="84"/>
        <v>#DIV/0!</v>
      </c>
      <c r="DV402" s="121">
        <f t="shared" si="84"/>
        <v>48.2</v>
      </c>
      <c r="DW402" s="121">
        <f t="shared" si="84"/>
        <v>40.860316260655722</v>
      </c>
      <c r="DX402" s="121">
        <f t="shared" si="84"/>
        <v>10.033333333333333</v>
      </c>
      <c r="DY402" s="121" t="e">
        <f t="shared" si="84"/>
        <v>#DIV/0!</v>
      </c>
      <c r="DZ402" s="121">
        <f t="shared" si="84"/>
        <v>45.033333333333331</v>
      </c>
      <c r="EA402" s="121">
        <f t="shared" si="84"/>
        <v>3</v>
      </c>
      <c r="EB402" s="121">
        <f t="shared" si="84"/>
        <v>0</v>
      </c>
      <c r="EC402" s="121">
        <f t="shared" si="84"/>
        <v>1.1166666666666667</v>
      </c>
      <c r="ED402" s="121">
        <f t="shared" si="84"/>
        <v>257.79333318074544</v>
      </c>
      <c r="EE402" s="129"/>
      <c r="EF402" s="129"/>
      <c r="EG402" s="129"/>
    </row>
    <row r="403" spans="1:137" x14ac:dyDescent="0.3">
      <c r="A403" s="160" t="s">
        <v>332</v>
      </c>
      <c r="B403" s="121">
        <f>AVERAGEA(B134:B193)</f>
        <v>234.25</v>
      </c>
      <c r="C403" s="121">
        <f t="shared" ref="C403:BR403" si="85">AVERAGEA(C134:C193)</f>
        <v>49.023450215657554</v>
      </c>
      <c r="D403" s="121">
        <f t="shared" si="85"/>
        <v>101.58156687418619</v>
      </c>
      <c r="E403" s="121">
        <f t="shared" si="85"/>
        <v>16.884933344523112</v>
      </c>
      <c r="F403" s="121">
        <f t="shared" si="85"/>
        <v>4.8123181104660038</v>
      </c>
      <c r="G403" s="121">
        <f t="shared" si="85"/>
        <v>17.243033377329507</v>
      </c>
      <c r="H403" s="121">
        <f t="shared" si="85"/>
        <v>308.56666666666666</v>
      </c>
      <c r="I403" s="121">
        <f t="shared" si="85"/>
        <v>275.31666666666666</v>
      </c>
      <c r="J403" s="121">
        <f t="shared" si="85"/>
        <v>63.349133110046388</v>
      </c>
      <c r="K403" s="121">
        <f t="shared" si="85"/>
        <v>62.300322151184083</v>
      </c>
      <c r="L403" s="121">
        <f t="shared" si="85"/>
        <v>44.022066815694174</v>
      </c>
      <c r="M403" s="121">
        <f t="shared" si="85"/>
        <v>12.656916713714599</v>
      </c>
      <c r="N403" s="121">
        <f t="shared" si="85"/>
        <v>17.661766529083252</v>
      </c>
      <c r="O403" s="121">
        <f t="shared" si="85"/>
        <v>17.533333333333335</v>
      </c>
      <c r="P403" s="121">
        <f t="shared" si="85"/>
        <v>0</v>
      </c>
      <c r="Q403" s="121">
        <f t="shared" si="85"/>
        <v>18.171395206451415</v>
      </c>
      <c r="R403" s="121">
        <f t="shared" si="85"/>
        <v>9.2164062341054276</v>
      </c>
      <c r="S403" s="121">
        <f t="shared" si="85"/>
        <v>8.8678027153015133</v>
      </c>
      <c r="T403" s="121">
        <f t="shared" si="85"/>
        <v>4.9000000000000004</v>
      </c>
      <c r="U403" s="121">
        <f t="shared" si="85"/>
        <v>4.9000000000000004</v>
      </c>
      <c r="V403" s="121">
        <f t="shared" si="85"/>
        <v>906.2166666666667</v>
      </c>
      <c r="W403" s="121">
        <f t="shared" si="85"/>
        <v>27.249229081471761</v>
      </c>
      <c r="X403" s="121">
        <f t="shared" si="85"/>
        <v>26.91855001449585</v>
      </c>
      <c r="Y403" s="121">
        <f t="shared" si="85"/>
        <v>6.7535500367482504</v>
      </c>
      <c r="Z403" s="121">
        <f t="shared" si="85"/>
        <v>0</v>
      </c>
      <c r="AA403" s="121">
        <f t="shared" si="85"/>
        <v>22.752749919891357</v>
      </c>
      <c r="AB403" s="121">
        <f t="shared" si="85"/>
        <v>0</v>
      </c>
      <c r="AC403" s="121">
        <f t="shared" si="85"/>
        <v>55.621171633402504</v>
      </c>
      <c r="AD403" s="121">
        <f t="shared" si="85"/>
        <v>6.3781333843866985</v>
      </c>
      <c r="AE403" s="121">
        <f t="shared" si="85"/>
        <v>0</v>
      </c>
      <c r="AF403" s="121">
        <f t="shared" si="85"/>
        <v>83.29824498494466</v>
      </c>
      <c r="AG403" s="121">
        <f t="shared" si="85"/>
        <v>0</v>
      </c>
      <c r="AH403" s="121">
        <f t="shared" si="85"/>
        <v>63.600087038675944</v>
      </c>
      <c r="AI403" s="121">
        <f t="shared" si="85"/>
        <v>12.658216746648153</v>
      </c>
      <c r="AJ403" s="121">
        <f t="shared" si="85"/>
        <v>19.827915827433269</v>
      </c>
      <c r="AK403" s="121">
        <f t="shared" si="85"/>
        <v>43.855913352966311</v>
      </c>
      <c r="AL403" s="121">
        <f t="shared" si="85"/>
        <v>38.932600021362305</v>
      </c>
      <c r="AM403" s="121">
        <f t="shared" si="85"/>
        <v>54.931933085123696</v>
      </c>
      <c r="AN403" s="121">
        <f t="shared" si="85"/>
        <v>120.40416666666667</v>
      </c>
      <c r="AO403" s="121">
        <f t="shared" si="85"/>
        <v>63.133333333333333</v>
      </c>
      <c r="AP403" s="121">
        <f t="shared" si="85"/>
        <v>63.943821207682291</v>
      </c>
      <c r="AQ403" s="121">
        <f t="shared" si="85"/>
        <v>38.402105585734049</v>
      </c>
      <c r="AR403" s="121">
        <f t="shared" si="85"/>
        <v>87.166666666666671</v>
      </c>
      <c r="AS403" s="121" t="e">
        <f t="shared" si="85"/>
        <v>#DIV/0!</v>
      </c>
      <c r="AT403" s="121">
        <f t="shared" si="85"/>
        <v>119.2</v>
      </c>
      <c r="AU403" s="121" t="e">
        <f t="shared" si="85"/>
        <v>#DIV/0!</v>
      </c>
      <c r="AV403" s="121">
        <f t="shared" si="85"/>
        <v>72.166666666666671</v>
      </c>
      <c r="AW403" s="121" t="e">
        <f t="shared" si="85"/>
        <v>#DIV/0!</v>
      </c>
      <c r="AX403" s="121">
        <f t="shared" si="85"/>
        <v>30.666666666666668</v>
      </c>
      <c r="AY403" s="121">
        <f t="shared" si="85"/>
        <v>33.230389277140297</v>
      </c>
      <c r="AZ403" s="121">
        <f t="shared" si="85"/>
        <v>14.75</v>
      </c>
      <c r="BA403" s="121" t="e">
        <f t="shared" si="85"/>
        <v>#DIV/0!</v>
      </c>
      <c r="BB403" s="121">
        <f t="shared" si="85"/>
        <v>296.86666666666667</v>
      </c>
      <c r="BC403" s="121">
        <f t="shared" si="85"/>
        <v>298.04673461914064</v>
      </c>
      <c r="BD403" s="121">
        <f t="shared" si="85"/>
        <v>6.8283333698908484</v>
      </c>
      <c r="BE403" s="121">
        <f t="shared" si="85"/>
        <v>6.8869572798411047</v>
      </c>
      <c r="BF403" s="121">
        <f t="shared" si="85"/>
        <v>30.166666666666668</v>
      </c>
      <c r="BG403" s="121">
        <f t="shared" si="85"/>
        <v>10.199999999999999</v>
      </c>
      <c r="BH403" s="121">
        <f t="shared" si="85"/>
        <v>11.136039527257283</v>
      </c>
      <c r="BI403" s="121" t="e">
        <f t="shared" si="85"/>
        <v>#DIV/0!</v>
      </c>
      <c r="BJ403" s="121">
        <f t="shared" si="85"/>
        <v>13.666666666666666</v>
      </c>
      <c r="BK403" s="121">
        <f t="shared" si="85"/>
        <v>13.666666666666666</v>
      </c>
      <c r="BL403" s="121">
        <f t="shared" si="85"/>
        <v>0</v>
      </c>
      <c r="BM403" s="121" t="e">
        <f t="shared" si="85"/>
        <v>#DIV/0!</v>
      </c>
      <c r="BN403" s="121">
        <f t="shared" si="85"/>
        <v>121.86166680653891</v>
      </c>
      <c r="BO403" s="121">
        <f t="shared" si="85"/>
        <v>73</v>
      </c>
      <c r="BP403" s="121">
        <f t="shared" si="85"/>
        <v>48.861666806538899</v>
      </c>
      <c r="BQ403" s="121">
        <f t="shared" si="85"/>
        <v>272.53333333333336</v>
      </c>
      <c r="BR403" s="121">
        <f t="shared" si="85"/>
        <v>70.355399195353186</v>
      </c>
      <c r="BS403" s="121">
        <f t="shared" ref="BS403:ED403" si="86">AVERAGEA(BS134:BS193)</f>
        <v>24.657550112406412</v>
      </c>
      <c r="BT403" s="121">
        <f t="shared" si="86"/>
        <v>41.274199231465658</v>
      </c>
      <c r="BU403" s="121">
        <f t="shared" si="86"/>
        <v>38.121066729227699</v>
      </c>
      <c r="BV403" s="121">
        <f t="shared" si="86"/>
        <v>69.240000406901046</v>
      </c>
      <c r="BW403" s="121">
        <f t="shared" si="86"/>
        <v>6.0583333730697628</v>
      </c>
      <c r="BX403" s="121">
        <f t="shared" si="86"/>
        <v>13.619999980926513</v>
      </c>
      <c r="BY403" s="121">
        <f t="shared" si="86"/>
        <v>28.35</v>
      </c>
      <c r="BZ403" s="121">
        <f t="shared" si="86"/>
        <v>1.4611449930816889E-2</v>
      </c>
      <c r="CA403" s="121">
        <f t="shared" si="86"/>
        <v>0.96666666666666667</v>
      </c>
      <c r="CB403" s="121">
        <f t="shared" si="86"/>
        <v>29.18466421763102</v>
      </c>
      <c r="CC403" s="121" t="e">
        <f t="shared" si="86"/>
        <v>#DIV/0!</v>
      </c>
      <c r="CD403" s="121">
        <f t="shared" si="86"/>
        <v>356.86576690673826</v>
      </c>
      <c r="CE403" s="121">
        <f t="shared" si="86"/>
        <v>38.055026340484616</v>
      </c>
      <c r="CF403" s="121">
        <f t="shared" si="86"/>
        <v>21.813898086547852</v>
      </c>
      <c r="CG403" s="121">
        <f t="shared" si="86"/>
        <v>35.338191986083984</v>
      </c>
      <c r="CH403" s="121">
        <f t="shared" si="86"/>
        <v>281.38676249186199</v>
      </c>
      <c r="CI403" s="121">
        <f t="shared" si="86"/>
        <v>83.375534057617188</v>
      </c>
      <c r="CJ403" s="121">
        <f t="shared" si="86"/>
        <v>35.847119681040446</v>
      </c>
      <c r="CK403" s="121">
        <f t="shared" si="86"/>
        <v>51.209763081868488</v>
      </c>
      <c r="CL403" s="121">
        <f t="shared" si="86"/>
        <v>32.23678258260091</v>
      </c>
      <c r="CM403" s="121">
        <f t="shared" si="86"/>
        <v>215.00624999999999</v>
      </c>
      <c r="CN403" s="121">
        <f t="shared" si="86"/>
        <v>66.034113502502436</v>
      </c>
      <c r="CO403" s="121">
        <f t="shared" si="86"/>
        <v>69.012517229715982</v>
      </c>
      <c r="CP403" s="121">
        <f t="shared" si="86"/>
        <v>76.655892181396482</v>
      </c>
      <c r="CQ403" s="121">
        <f t="shared" si="86"/>
        <v>0</v>
      </c>
      <c r="CR403" s="121">
        <f t="shared" si="86"/>
        <v>50.755202611287437</v>
      </c>
      <c r="CS403" s="121">
        <f t="shared" si="86"/>
        <v>9.1949426730473842</v>
      </c>
      <c r="CT403" s="121">
        <f t="shared" si="86"/>
        <v>34.983278052012125</v>
      </c>
      <c r="CU403" s="121">
        <f t="shared" si="86"/>
        <v>68.008034706115723</v>
      </c>
      <c r="CV403" s="121">
        <f t="shared" si="86"/>
        <v>63.864279238382977</v>
      </c>
      <c r="CW403" s="121">
        <f t="shared" si="86"/>
        <v>5.0333333333333332</v>
      </c>
      <c r="CX403" s="121">
        <f t="shared" si="86"/>
        <v>324.25</v>
      </c>
      <c r="CY403" s="121">
        <f t="shared" si="86"/>
        <v>122.32691281636556</v>
      </c>
      <c r="CZ403" s="121">
        <f t="shared" si="86"/>
        <v>51.087953503926592</v>
      </c>
      <c r="DA403" s="121">
        <f t="shared" si="86"/>
        <v>20.397875340779624</v>
      </c>
      <c r="DB403" s="121">
        <f t="shared" si="86"/>
        <v>32.90121895472209</v>
      </c>
      <c r="DC403" s="121">
        <f t="shared" si="86"/>
        <v>80.499288558959961</v>
      </c>
      <c r="DD403" s="121">
        <f t="shared" si="86"/>
        <v>62.25</v>
      </c>
      <c r="DE403" s="121">
        <f t="shared" si="86"/>
        <v>179.26666666666668</v>
      </c>
      <c r="DF403" s="121">
        <f t="shared" si="86"/>
        <v>106.70611343383788</v>
      </c>
      <c r="DG403" s="121">
        <f t="shared" si="86"/>
        <v>72.032448641459141</v>
      </c>
      <c r="DH403" s="121">
        <f t="shared" si="86"/>
        <v>50.677516873677568</v>
      </c>
      <c r="DI403" s="121">
        <f t="shared" si="86"/>
        <v>38.144981129964194</v>
      </c>
      <c r="DJ403" s="121">
        <f t="shared" si="86"/>
        <v>208.23333333333332</v>
      </c>
      <c r="DK403" s="121">
        <f t="shared" si="86"/>
        <v>107.21158332824707</v>
      </c>
      <c r="DL403" s="121">
        <f t="shared" si="86"/>
        <v>24.850683403015136</v>
      </c>
      <c r="DM403" s="121">
        <f t="shared" si="86"/>
        <v>27.581666660308837</v>
      </c>
      <c r="DN403" s="121">
        <f t="shared" si="86"/>
        <v>49.944866943359372</v>
      </c>
      <c r="DO403" s="121">
        <f t="shared" si="86"/>
        <v>112.08207982381185</v>
      </c>
      <c r="DP403" s="121">
        <f t="shared" si="86"/>
        <v>15.741300121943157</v>
      </c>
      <c r="DQ403" s="121" t="e">
        <f t="shared" si="86"/>
        <v>#DIV/0!</v>
      </c>
      <c r="DR403" s="121">
        <f t="shared" si="86"/>
        <v>49.166666666666664</v>
      </c>
      <c r="DS403" s="121">
        <f t="shared" si="86"/>
        <v>32.151666673024494</v>
      </c>
      <c r="DT403" s="121">
        <f t="shared" si="86"/>
        <v>12.15</v>
      </c>
      <c r="DU403" s="121" t="e">
        <f t="shared" si="86"/>
        <v>#DIV/0!</v>
      </c>
      <c r="DV403" s="121">
        <f t="shared" si="86"/>
        <v>34.85</v>
      </c>
      <c r="DW403" s="121">
        <f t="shared" si="86"/>
        <v>27.398842644691467</v>
      </c>
      <c r="DX403" s="121">
        <f t="shared" si="86"/>
        <v>9.9833333333333325</v>
      </c>
      <c r="DY403" s="121" t="e">
        <f t="shared" si="86"/>
        <v>#DIV/0!</v>
      </c>
      <c r="DZ403" s="121">
        <f t="shared" si="86"/>
        <v>45.083333333333336</v>
      </c>
      <c r="EA403" s="121">
        <f t="shared" si="86"/>
        <v>3</v>
      </c>
      <c r="EB403" s="121">
        <f t="shared" si="86"/>
        <v>0</v>
      </c>
      <c r="EC403" s="121">
        <f t="shared" si="86"/>
        <v>1.1000000000000001</v>
      </c>
      <c r="ED403" s="121">
        <f t="shared" si="86"/>
        <v>255.21499938964843</v>
      </c>
      <c r="EE403" s="129"/>
      <c r="EF403" s="129"/>
      <c r="EG403" s="129"/>
    </row>
    <row r="404" spans="1:137" x14ac:dyDescent="0.3">
      <c r="A404" s="160" t="s">
        <v>333</v>
      </c>
      <c r="B404" s="121">
        <f>AVERAGEA(B139:B198)</f>
        <v>231.23333333333332</v>
      </c>
      <c r="C404" s="121">
        <f t="shared" ref="C404:BR404" si="87">AVERAGEA(C139:C198)</f>
        <v>49.076216888427737</v>
      </c>
      <c r="D404" s="121">
        <f t="shared" si="87"/>
        <v>100.91051699320475</v>
      </c>
      <c r="E404" s="121">
        <f t="shared" si="87"/>
        <v>16.884916671117146</v>
      </c>
      <c r="F404" s="121">
        <f t="shared" si="87"/>
        <v>4.4783678452173872</v>
      </c>
      <c r="G404" s="121">
        <f t="shared" si="87"/>
        <v>17.226066684722902</v>
      </c>
      <c r="H404" s="121">
        <f t="shared" si="87"/>
        <v>307.53333333333336</v>
      </c>
      <c r="I404" s="121">
        <f t="shared" si="87"/>
        <v>274.38333333333333</v>
      </c>
      <c r="J404" s="121">
        <f t="shared" si="87"/>
        <v>63.175733184814455</v>
      </c>
      <c r="K404" s="121">
        <f t="shared" si="87"/>
        <v>61.706484921773274</v>
      </c>
      <c r="L404" s="121">
        <f t="shared" si="87"/>
        <v>43.783500162760419</v>
      </c>
      <c r="M404" s="121">
        <f t="shared" si="87"/>
        <v>12.660666720072429</v>
      </c>
      <c r="N404" s="121">
        <f t="shared" si="87"/>
        <v>17.624666563669841</v>
      </c>
      <c r="O404" s="121">
        <f t="shared" si="87"/>
        <v>17.45</v>
      </c>
      <c r="P404" s="121">
        <f t="shared" si="87"/>
        <v>0</v>
      </c>
      <c r="Q404" s="121">
        <f t="shared" si="87"/>
        <v>18.025595887502035</v>
      </c>
      <c r="R404" s="121">
        <f t="shared" si="87"/>
        <v>9.0165624936421711</v>
      </c>
      <c r="S404" s="121">
        <f t="shared" si="87"/>
        <v>8.6498761733373009</v>
      </c>
      <c r="T404" s="121">
        <f t="shared" si="87"/>
        <v>5.05</v>
      </c>
      <c r="U404" s="121">
        <f t="shared" si="87"/>
        <v>5.05</v>
      </c>
      <c r="V404" s="121">
        <f t="shared" si="87"/>
        <v>900.68333333333328</v>
      </c>
      <c r="W404" s="121">
        <f t="shared" si="87"/>
        <v>27.001226584116619</v>
      </c>
      <c r="X404" s="121">
        <f t="shared" si="87"/>
        <v>26.701783370971679</v>
      </c>
      <c r="Y404" s="121">
        <f t="shared" si="87"/>
        <v>6.61146670182546</v>
      </c>
      <c r="Z404" s="121">
        <f t="shared" si="87"/>
        <v>0</v>
      </c>
      <c r="AA404" s="121">
        <f t="shared" si="87"/>
        <v>22.44741662343343</v>
      </c>
      <c r="AB404" s="121">
        <f t="shared" si="87"/>
        <v>0</v>
      </c>
      <c r="AC404" s="121">
        <f t="shared" si="87"/>
        <v>55.312604586283364</v>
      </c>
      <c r="AD404" s="121">
        <f t="shared" si="87"/>
        <v>6.3866167227427164</v>
      </c>
      <c r="AE404" s="121">
        <f t="shared" si="87"/>
        <v>0</v>
      </c>
      <c r="AF404" s="121">
        <f t="shared" si="87"/>
        <v>82.98164329528808</v>
      </c>
      <c r="AG404" s="121">
        <f t="shared" si="87"/>
        <v>0</v>
      </c>
      <c r="AH404" s="121">
        <f t="shared" si="87"/>
        <v>63.311334991455077</v>
      </c>
      <c r="AI404" s="121">
        <f t="shared" si="87"/>
        <v>12.454650068283081</v>
      </c>
      <c r="AJ404" s="121">
        <f t="shared" si="87"/>
        <v>19.707252947489419</v>
      </c>
      <c r="AK404" s="121">
        <f t="shared" si="87"/>
        <v>42.976252555847168</v>
      </c>
      <c r="AL404" s="121">
        <f t="shared" si="87"/>
        <v>38.738233375549314</v>
      </c>
      <c r="AM404" s="121">
        <f t="shared" si="87"/>
        <v>54.807866414388023</v>
      </c>
      <c r="AN404" s="121">
        <f t="shared" si="87"/>
        <v>119.35104166666666</v>
      </c>
      <c r="AO404" s="121">
        <f t="shared" si="87"/>
        <v>62.533333333333331</v>
      </c>
      <c r="AP404" s="121">
        <f t="shared" si="87"/>
        <v>63.53394603729248</v>
      </c>
      <c r="AQ404" s="121">
        <f t="shared" si="87"/>
        <v>37.867894299825032</v>
      </c>
      <c r="AR404" s="121">
        <f t="shared" si="87"/>
        <v>87.7</v>
      </c>
      <c r="AS404" s="121" t="e">
        <f t="shared" si="87"/>
        <v>#DIV/0!</v>
      </c>
      <c r="AT404" s="121">
        <f t="shared" si="87"/>
        <v>118.4</v>
      </c>
      <c r="AU404" s="121" t="e">
        <f t="shared" si="87"/>
        <v>#DIV/0!</v>
      </c>
      <c r="AV404" s="121">
        <f t="shared" si="87"/>
        <v>70.63333333333334</v>
      </c>
      <c r="AW404" s="121" t="e">
        <f t="shared" si="87"/>
        <v>#DIV/0!</v>
      </c>
      <c r="AX404" s="121">
        <f t="shared" si="87"/>
        <v>30.566666666666666</v>
      </c>
      <c r="AY404" s="121">
        <f t="shared" si="87"/>
        <v>33.123497899373369</v>
      </c>
      <c r="AZ404" s="121">
        <f t="shared" si="87"/>
        <v>14.383333333333333</v>
      </c>
      <c r="BA404" s="121" t="e">
        <f t="shared" si="87"/>
        <v>#DIV/0!</v>
      </c>
      <c r="BB404" s="121">
        <f t="shared" si="87"/>
        <v>296.48333333333335</v>
      </c>
      <c r="BC404" s="121">
        <f t="shared" si="87"/>
        <v>297.62345021565756</v>
      </c>
      <c r="BD404" s="121">
        <f t="shared" si="87"/>
        <v>6.8083333571751909</v>
      </c>
      <c r="BE404" s="121">
        <f t="shared" si="87"/>
        <v>6.8753281275431313</v>
      </c>
      <c r="BF404" s="121">
        <f t="shared" si="87"/>
        <v>30.083333333333332</v>
      </c>
      <c r="BG404" s="121">
        <f t="shared" si="87"/>
        <v>10.166666666666666</v>
      </c>
      <c r="BH404" s="121">
        <f t="shared" si="87"/>
        <v>11.117659250895182</v>
      </c>
      <c r="BI404" s="121" t="e">
        <f t="shared" si="87"/>
        <v>#DIV/0!</v>
      </c>
      <c r="BJ404" s="121">
        <f t="shared" si="87"/>
        <v>13.5</v>
      </c>
      <c r="BK404" s="121">
        <f t="shared" si="87"/>
        <v>13.5</v>
      </c>
      <c r="BL404" s="121">
        <f t="shared" si="87"/>
        <v>0</v>
      </c>
      <c r="BM404" s="121" t="e">
        <f t="shared" si="87"/>
        <v>#DIV/0!</v>
      </c>
      <c r="BN404" s="121">
        <f t="shared" si="87"/>
        <v>121.74500013987223</v>
      </c>
      <c r="BO404" s="121">
        <f t="shared" si="87"/>
        <v>72.900000000000006</v>
      </c>
      <c r="BP404" s="121">
        <f t="shared" si="87"/>
        <v>48.845000139872234</v>
      </c>
      <c r="BQ404" s="121">
        <f t="shared" si="87"/>
        <v>271.81666666666666</v>
      </c>
      <c r="BR404" s="121">
        <f t="shared" si="87"/>
        <v>70.364832560221359</v>
      </c>
      <c r="BS404" s="121">
        <f t="shared" ref="BS404:ED404" si="88">AVERAGEA(BS139:BS198)</f>
        <v>24.632100105285645</v>
      </c>
      <c r="BT404" s="121">
        <f t="shared" si="88"/>
        <v>41.14144910176595</v>
      </c>
      <c r="BU404" s="121">
        <f t="shared" si="88"/>
        <v>37.860233434041341</v>
      </c>
      <c r="BV404" s="121">
        <f t="shared" si="88"/>
        <v>69.256667073567712</v>
      </c>
      <c r="BW404" s="121">
        <f t="shared" si="88"/>
        <v>6.0100000460942589</v>
      </c>
      <c r="BX404" s="121">
        <f t="shared" si="88"/>
        <v>13.621666653951008</v>
      </c>
      <c r="BY404" s="121">
        <f t="shared" si="88"/>
        <v>28.35</v>
      </c>
      <c r="BZ404" s="121">
        <f t="shared" si="88"/>
        <v>1.4682220481336116E-2</v>
      </c>
      <c r="CA404" s="121">
        <f t="shared" si="88"/>
        <v>0.95</v>
      </c>
      <c r="CB404" s="121">
        <f t="shared" si="88"/>
        <v>29.208098856608071</v>
      </c>
      <c r="CC404" s="121" t="e">
        <f t="shared" si="88"/>
        <v>#DIV/0!</v>
      </c>
      <c r="CD404" s="121">
        <f t="shared" si="88"/>
        <v>352.55401102701825</v>
      </c>
      <c r="CE404" s="121">
        <f t="shared" si="88"/>
        <v>35.146288394927979</v>
      </c>
      <c r="CF404" s="121">
        <f t="shared" si="88"/>
        <v>21.509141000111899</v>
      </c>
      <c r="CG404" s="121">
        <f t="shared" si="88"/>
        <v>35.338191986083984</v>
      </c>
      <c r="CH404" s="121">
        <f t="shared" si="88"/>
        <v>280.40057576497395</v>
      </c>
      <c r="CI404" s="121">
        <f t="shared" si="88"/>
        <v>82.766739654541013</v>
      </c>
      <c r="CJ404" s="121">
        <f t="shared" si="88"/>
        <v>35.500041421254473</v>
      </c>
      <c r="CK404" s="121">
        <f t="shared" si="88"/>
        <v>51.100934473673504</v>
      </c>
      <c r="CL404" s="121">
        <f t="shared" si="88"/>
        <v>31.515940825144451</v>
      </c>
      <c r="CM404" s="121">
        <f t="shared" si="88"/>
        <v>212.98808110555012</v>
      </c>
      <c r="CN404" s="121">
        <f t="shared" si="88"/>
        <v>64.500612513224283</v>
      </c>
      <c r="CO404" s="121">
        <f t="shared" si="88"/>
        <v>67.735969225565597</v>
      </c>
      <c r="CP404" s="121">
        <f t="shared" si="88"/>
        <v>77.532126617431643</v>
      </c>
      <c r="CQ404" s="121">
        <f t="shared" si="88"/>
        <v>0</v>
      </c>
      <c r="CR404" s="121">
        <f t="shared" si="88"/>
        <v>50.598444684346518</v>
      </c>
      <c r="CS404" s="121">
        <f t="shared" si="88"/>
        <v>8.9644932667414352</v>
      </c>
      <c r="CT404" s="121">
        <f t="shared" si="88"/>
        <v>34.550833797454835</v>
      </c>
      <c r="CU404" s="121">
        <f t="shared" si="88"/>
        <v>69.251436424255374</v>
      </c>
      <c r="CV404" s="121">
        <f t="shared" si="88"/>
        <v>62.621210098266602</v>
      </c>
      <c r="CW404" s="121">
        <f t="shared" si="88"/>
        <v>5.2</v>
      </c>
      <c r="CX404" s="121">
        <f t="shared" si="88"/>
        <v>319.18333333333334</v>
      </c>
      <c r="CY404" s="121">
        <f t="shared" si="88"/>
        <v>118.75156173706054</v>
      </c>
      <c r="CZ404" s="121">
        <f t="shared" si="88"/>
        <v>50.766614532470705</v>
      </c>
      <c r="DA404" s="121">
        <f t="shared" si="88"/>
        <v>20.233935832977295</v>
      </c>
      <c r="DB404" s="121">
        <f t="shared" si="88"/>
        <v>32.725596841176348</v>
      </c>
      <c r="DC404" s="121">
        <f t="shared" si="88"/>
        <v>80.054728317260739</v>
      </c>
      <c r="DD404" s="121">
        <f t="shared" si="88"/>
        <v>60.583333333333336</v>
      </c>
      <c r="DE404" s="121">
        <f t="shared" si="88"/>
        <v>178.48333333333332</v>
      </c>
      <c r="DF404" s="121">
        <f t="shared" si="88"/>
        <v>105.85341695149739</v>
      </c>
      <c r="DG404" s="121">
        <f t="shared" si="88"/>
        <v>71.016378466288245</v>
      </c>
      <c r="DH404" s="121">
        <f t="shared" si="88"/>
        <v>50.039709472656249</v>
      </c>
      <c r="DI404" s="121">
        <f t="shared" si="88"/>
        <v>38.072488466898598</v>
      </c>
      <c r="DJ404" s="121">
        <f t="shared" si="88"/>
        <v>207.56666666666666</v>
      </c>
      <c r="DK404" s="121">
        <f t="shared" si="88"/>
        <v>106.39305013020834</v>
      </c>
      <c r="DL404" s="121">
        <f t="shared" si="88"/>
        <v>24.641483434041341</v>
      </c>
      <c r="DM404" s="121">
        <f t="shared" si="88"/>
        <v>27.195866680145265</v>
      </c>
      <c r="DN404" s="121">
        <f t="shared" si="88"/>
        <v>49.77991695404053</v>
      </c>
      <c r="DO404" s="121">
        <f t="shared" si="88"/>
        <v>111.94774792989095</v>
      </c>
      <c r="DP404" s="121">
        <f t="shared" si="88"/>
        <v>15.708300129572551</v>
      </c>
      <c r="DQ404" s="121" t="e">
        <f t="shared" si="88"/>
        <v>#DIV/0!</v>
      </c>
      <c r="DR404" s="121">
        <f t="shared" si="88"/>
        <v>54.266666666666666</v>
      </c>
      <c r="DS404" s="121">
        <f t="shared" si="88"/>
        <v>31.656666660308836</v>
      </c>
      <c r="DT404" s="121">
        <f t="shared" si="88"/>
        <v>12.116666666666667</v>
      </c>
      <c r="DU404" s="121" t="e">
        <f t="shared" si="88"/>
        <v>#DIV/0!</v>
      </c>
      <c r="DV404" s="121">
        <f t="shared" si="88"/>
        <v>21.466666666666665</v>
      </c>
      <c r="DW404" s="121">
        <f t="shared" si="88"/>
        <v>14.011479878425598</v>
      </c>
      <c r="DX404" s="121">
        <f t="shared" si="88"/>
        <v>9.9833333333333325</v>
      </c>
      <c r="DY404" s="121" t="e">
        <f t="shared" si="88"/>
        <v>#DIV/0!</v>
      </c>
      <c r="DZ404" s="121">
        <f t="shared" si="88"/>
        <v>44.966666666666669</v>
      </c>
      <c r="EA404" s="121">
        <f t="shared" si="88"/>
        <v>3</v>
      </c>
      <c r="EB404" s="121">
        <f t="shared" si="88"/>
        <v>0</v>
      </c>
      <c r="EC404" s="121">
        <f t="shared" si="88"/>
        <v>1.0833333333333333</v>
      </c>
      <c r="ED404" s="121">
        <f t="shared" si="88"/>
        <v>252.72999979654949</v>
      </c>
      <c r="EE404" s="129"/>
      <c r="EF404" s="129"/>
      <c r="EG404" s="129"/>
    </row>
    <row r="405" spans="1:137" x14ac:dyDescent="0.3">
      <c r="A405" s="5" t="s">
        <v>334</v>
      </c>
      <c r="B405" s="121">
        <f>AVERAGEA(B144:B203)</f>
        <v>228.33333333333334</v>
      </c>
      <c r="C405" s="121">
        <f t="shared" ref="C405:BR405" si="89">AVERAGEA(C144:C203)</f>
        <v>49.015900230407716</v>
      </c>
      <c r="D405" s="121">
        <f t="shared" si="89"/>
        <v>100.2583002726237</v>
      </c>
      <c r="E405" s="121">
        <f t="shared" si="89"/>
        <v>16.803866656621299</v>
      </c>
      <c r="F405" s="121">
        <f t="shared" si="89"/>
        <v>4.0826936801274618</v>
      </c>
      <c r="G405" s="121">
        <f t="shared" si="89"/>
        <v>17.14878330230713</v>
      </c>
      <c r="H405" s="121">
        <f t="shared" si="89"/>
        <v>306.81666666666666</v>
      </c>
      <c r="I405" s="121">
        <f t="shared" si="89"/>
        <v>273.63333333333333</v>
      </c>
      <c r="J405" s="121">
        <f t="shared" si="89"/>
        <v>62.990999984741208</v>
      </c>
      <c r="K405" s="121">
        <f t="shared" si="89"/>
        <v>61.202941703796384</v>
      </c>
      <c r="L405" s="121">
        <f t="shared" si="89"/>
        <v>43.618550109863278</v>
      </c>
      <c r="M405" s="121">
        <f t="shared" si="89"/>
        <v>12.615416717529296</v>
      </c>
      <c r="N405" s="121">
        <f t="shared" si="89"/>
        <v>17.623599942525228</v>
      </c>
      <c r="O405" s="121">
        <f t="shared" si="89"/>
        <v>17.283333333333335</v>
      </c>
      <c r="P405" s="121">
        <f t="shared" si="89"/>
        <v>0</v>
      </c>
      <c r="Q405" s="121">
        <f t="shared" si="89"/>
        <v>17.802783743540445</v>
      </c>
      <c r="R405" s="121">
        <f t="shared" si="89"/>
        <v>8.8998437404632575</v>
      </c>
      <c r="S405" s="121">
        <f t="shared" si="89"/>
        <v>8.4762070894241326</v>
      </c>
      <c r="T405" s="121">
        <f t="shared" si="89"/>
        <v>5.8</v>
      </c>
      <c r="U405" s="121">
        <f t="shared" si="89"/>
        <v>5.8</v>
      </c>
      <c r="V405" s="121">
        <f t="shared" si="89"/>
        <v>894.7833333333333</v>
      </c>
      <c r="W405" s="121">
        <f t="shared" si="89"/>
        <v>26.894122918446858</v>
      </c>
      <c r="X405" s="121">
        <f t="shared" si="89"/>
        <v>26.4944167137146</v>
      </c>
      <c r="Y405" s="121">
        <f t="shared" si="89"/>
        <v>6.5139333804448443</v>
      </c>
      <c r="Z405" s="121">
        <f t="shared" si="89"/>
        <v>0</v>
      </c>
      <c r="AA405" s="121">
        <f t="shared" si="89"/>
        <v>22.27398328781128</v>
      </c>
      <c r="AB405" s="121">
        <f t="shared" si="89"/>
        <v>0</v>
      </c>
      <c r="AC405" s="121">
        <f t="shared" si="89"/>
        <v>54.932853507995603</v>
      </c>
      <c r="AD405" s="121">
        <f t="shared" si="89"/>
        <v>6.3908500591913855</v>
      </c>
      <c r="AE405" s="121">
        <f t="shared" si="89"/>
        <v>0</v>
      </c>
      <c r="AF405" s="121">
        <f t="shared" si="89"/>
        <v>82.733044942220047</v>
      </c>
      <c r="AG405" s="121">
        <f t="shared" si="89"/>
        <v>0</v>
      </c>
      <c r="AH405" s="121">
        <f t="shared" si="89"/>
        <v>62.973599624633792</v>
      </c>
      <c r="AI405" s="121">
        <f t="shared" si="89"/>
        <v>12.261666711171468</v>
      </c>
      <c r="AJ405" s="121">
        <f t="shared" si="89"/>
        <v>19.380018170674642</v>
      </c>
      <c r="AK405" s="121">
        <f t="shared" si="89"/>
        <v>42.062376848856609</v>
      </c>
      <c r="AL405" s="121">
        <f t="shared" si="89"/>
        <v>38.641066741943362</v>
      </c>
      <c r="AM405" s="121">
        <f t="shared" si="89"/>
        <v>54.7611998240153</v>
      </c>
      <c r="AN405" s="121">
        <f t="shared" si="89"/>
        <v>118.39479166666666</v>
      </c>
      <c r="AO405" s="121">
        <f t="shared" si="89"/>
        <v>62.016666666666666</v>
      </c>
      <c r="AP405" s="121">
        <f t="shared" si="89"/>
        <v>63.074541791280112</v>
      </c>
      <c r="AQ405" s="121">
        <f t="shared" si="89"/>
        <v>37.640687815348308</v>
      </c>
      <c r="AR405" s="121">
        <f t="shared" si="89"/>
        <v>88.533333333333331</v>
      </c>
      <c r="AS405" s="121" t="e">
        <f t="shared" si="89"/>
        <v>#DIV/0!</v>
      </c>
      <c r="AT405" s="121">
        <f t="shared" si="89"/>
        <v>117.55</v>
      </c>
      <c r="AU405" s="121" t="e">
        <f t="shared" si="89"/>
        <v>#DIV/0!</v>
      </c>
      <c r="AV405" s="121">
        <f t="shared" si="89"/>
        <v>68.5</v>
      </c>
      <c r="AW405" s="121" t="e">
        <f t="shared" si="89"/>
        <v>#DIV/0!</v>
      </c>
      <c r="AX405" s="121">
        <f t="shared" si="89"/>
        <v>30.516666666666666</v>
      </c>
      <c r="AY405" s="121">
        <f t="shared" si="89"/>
        <v>33.037913513183597</v>
      </c>
      <c r="AZ405" s="121">
        <f t="shared" si="89"/>
        <v>14.016666666666667</v>
      </c>
      <c r="BA405" s="121" t="e">
        <f t="shared" si="89"/>
        <v>#DIV/0!</v>
      </c>
      <c r="BB405" s="121">
        <f t="shared" si="89"/>
        <v>292.51666666666665</v>
      </c>
      <c r="BC405" s="121">
        <f t="shared" si="89"/>
        <v>293.5012496948242</v>
      </c>
      <c r="BD405" s="121">
        <f t="shared" si="89"/>
        <v>6.8000000079472862</v>
      </c>
      <c r="BE405" s="121">
        <f t="shared" si="89"/>
        <v>6.8671890974044798</v>
      </c>
      <c r="BF405" s="121">
        <f t="shared" si="89"/>
        <v>29.9</v>
      </c>
      <c r="BG405" s="121">
        <f t="shared" si="89"/>
        <v>10.216666666666667</v>
      </c>
      <c r="BH405" s="121">
        <f t="shared" si="89"/>
        <v>11.122540092468261</v>
      </c>
      <c r="BI405" s="121" t="e">
        <f t="shared" si="89"/>
        <v>#DIV/0!</v>
      </c>
      <c r="BJ405" s="121">
        <f t="shared" si="89"/>
        <v>13.35</v>
      </c>
      <c r="BK405" s="121">
        <f t="shared" si="89"/>
        <v>13.35</v>
      </c>
      <c r="BL405" s="121">
        <f t="shared" si="89"/>
        <v>0</v>
      </c>
      <c r="BM405" s="121" t="e">
        <f t="shared" si="89"/>
        <v>#DIV/0!</v>
      </c>
      <c r="BN405" s="121">
        <f t="shared" si="89"/>
        <v>121.72666683197022</v>
      </c>
      <c r="BO405" s="121">
        <f t="shared" si="89"/>
        <v>72.86666666666666</v>
      </c>
      <c r="BP405" s="121">
        <f t="shared" si="89"/>
        <v>48.860000165303546</v>
      </c>
      <c r="BQ405" s="121">
        <f t="shared" si="89"/>
        <v>270.88333333333333</v>
      </c>
      <c r="BR405" s="121">
        <f t="shared" si="89"/>
        <v>70.134866078694657</v>
      </c>
      <c r="BS405" s="121">
        <f t="shared" ref="BS405:ED405" si="90">AVERAGEA(BS144:BS203)</f>
        <v>24.602416769663492</v>
      </c>
      <c r="BT405" s="121">
        <f t="shared" si="90"/>
        <v>41.106815719604491</v>
      </c>
      <c r="BU405" s="121">
        <f t="shared" si="90"/>
        <v>37.570783424377439</v>
      </c>
      <c r="BV405" s="121">
        <f t="shared" si="90"/>
        <v>69.255000432332352</v>
      </c>
      <c r="BW405" s="121">
        <f t="shared" si="90"/>
        <v>5.9700000365575159</v>
      </c>
      <c r="BX405" s="121">
        <f t="shared" si="90"/>
        <v>13.608333317438762</v>
      </c>
      <c r="BY405" s="121">
        <f t="shared" si="90"/>
        <v>28.383333333333333</v>
      </c>
      <c r="BZ405" s="121">
        <f t="shared" si="90"/>
        <v>1.4648791945849856E-2</v>
      </c>
      <c r="CA405" s="121">
        <f t="shared" si="90"/>
        <v>0.93333333333333335</v>
      </c>
      <c r="CB405" s="121">
        <f t="shared" si="90"/>
        <v>29.216173267364503</v>
      </c>
      <c r="CC405" s="121" t="e">
        <f t="shared" si="90"/>
        <v>#DIV/0!</v>
      </c>
      <c r="CD405" s="121">
        <f t="shared" si="90"/>
        <v>350.43841094970702</v>
      </c>
      <c r="CE405" s="121">
        <f t="shared" si="90"/>
        <v>34.368480904897055</v>
      </c>
      <c r="CF405" s="121">
        <f t="shared" si="90"/>
        <v>21.216381231943767</v>
      </c>
      <c r="CG405" s="121">
        <f t="shared" si="90"/>
        <v>35.338191986083984</v>
      </c>
      <c r="CH405" s="121">
        <f t="shared" si="90"/>
        <v>279.41810607910156</v>
      </c>
      <c r="CI405" s="121">
        <f t="shared" si="90"/>
        <v>82.487107594807938</v>
      </c>
      <c r="CJ405" s="121">
        <f t="shared" si="90"/>
        <v>35.314322312672935</v>
      </c>
      <c r="CK405" s="121">
        <f t="shared" si="90"/>
        <v>51.11212450663249</v>
      </c>
      <c r="CL405" s="121">
        <f t="shared" si="90"/>
        <v>30.741350714365641</v>
      </c>
      <c r="CM405" s="121">
        <f t="shared" si="90"/>
        <v>210.58492380777994</v>
      </c>
      <c r="CN405" s="121">
        <f t="shared" si="90"/>
        <v>62.94151128133138</v>
      </c>
      <c r="CO405" s="121">
        <f t="shared" si="90"/>
        <v>66.547527694702154</v>
      </c>
      <c r="CP405" s="121">
        <f t="shared" si="90"/>
        <v>78.008130391438797</v>
      </c>
      <c r="CQ405" s="121">
        <f t="shared" si="90"/>
        <v>0</v>
      </c>
      <c r="CR405" s="121">
        <f t="shared" si="90"/>
        <v>50.498113568623857</v>
      </c>
      <c r="CS405" s="121">
        <f t="shared" si="90"/>
        <v>8.7963472207387294</v>
      </c>
      <c r="CT405" s="121">
        <f t="shared" si="90"/>
        <v>34.202989673614503</v>
      </c>
      <c r="CU405" s="121">
        <f t="shared" si="90"/>
        <v>68.481726519266758</v>
      </c>
      <c r="CV405" s="121">
        <f t="shared" si="90"/>
        <v>61.786239051818846</v>
      </c>
      <c r="CW405" s="121">
        <f t="shared" si="90"/>
        <v>5.2833333333333332</v>
      </c>
      <c r="CX405" s="121">
        <f t="shared" si="90"/>
        <v>316.78333333333336</v>
      </c>
      <c r="CY405" s="121">
        <f t="shared" si="90"/>
        <v>117.6772996266683</v>
      </c>
      <c r="CZ405" s="121">
        <f t="shared" si="90"/>
        <v>50.44566141764323</v>
      </c>
      <c r="DA405" s="121">
        <f t="shared" si="90"/>
        <v>20.113101959228516</v>
      </c>
      <c r="DB405" s="121">
        <f t="shared" si="90"/>
        <v>32.552154509226483</v>
      </c>
      <c r="DC405" s="121">
        <f t="shared" si="90"/>
        <v>79.533557637532553</v>
      </c>
      <c r="DD405" s="121">
        <f t="shared" si="90"/>
        <v>59.3</v>
      </c>
      <c r="DE405" s="121">
        <f t="shared" si="90"/>
        <v>177.65</v>
      </c>
      <c r="DF405" s="121">
        <f t="shared" si="90"/>
        <v>105.26220982869467</v>
      </c>
      <c r="DG405" s="121">
        <f t="shared" si="90"/>
        <v>70.182250531514484</v>
      </c>
      <c r="DH405" s="121">
        <f t="shared" si="90"/>
        <v>49.354727427164711</v>
      </c>
      <c r="DI405" s="121">
        <f t="shared" si="90"/>
        <v>38.037113380432132</v>
      </c>
      <c r="DJ405" s="121">
        <f t="shared" si="90"/>
        <v>206.68333333333334</v>
      </c>
      <c r="DK405" s="121">
        <f t="shared" si="90"/>
        <v>105.81203346252441</v>
      </c>
      <c r="DL405" s="121">
        <f t="shared" si="90"/>
        <v>24.520866775512694</v>
      </c>
      <c r="DM405" s="121">
        <f t="shared" si="90"/>
        <v>26.815916697184246</v>
      </c>
      <c r="DN405" s="121">
        <f t="shared" si="90"/>
        <v>49.691566975911456</v>
      </c>
      <c r="DO405" s="121">
        <f t="shared" si="90"/>
        <v>111.7822868347168</v>
      </c>
      <c r="DP405" s="121">
        <f t="shared" si="90"/>
        <v>15.679066785176595</v>
      </c>
      <c r="DQ405" s="121" t="e">
        <f t="shared" si="90"/>
        <v>#DIV/0!</v>
      </c>
      <c r="DR405" s="121">
        <f t="shared" si="90"/>
        <v>54.266666666666666</v>
      </c>
      <c r="DS405" s="121">
        <f t="shared" si="90"/>
        <v>31.111666679382324</v>
      </c>
      <c r="DT405" s="121">
        <f t="shared" si="90"/>
        <v>12.066666666666666</v>
      </c>
      <c r="DU405" s="121" t="e">
        <f t="shared" si="90"/>
        <v>#DIV/0!</v>
      </c>
      <c r="DV405" s="121">
        <f t="shared" si="90"/>
        <v>8.4666666666666668</v>
      </c>
      <c r="DW405" s="121">
        <f t="shared" si="90"/>
        <v>1.5299203932285308</v>
      </c>
      <c r="DX405" s="121">
        <f t="shared" si="90"/>
        <v>9.9833333333333325</v>
      </c>
      <c r="DY405" s="121" t="e">
        <f t="shared" si="90"/>
        <v>#DIV/0!</v>
      </c>
      <c r="DZ405" s="121">
        <f t="shared" si="90"/>
        <v>44.93333333333333</v>
      </c>
      <c r="EA405" s="121">
        <f t="shared" si="90"/>
        <v>3</v>
      </c>
      <c r="EB405" s="121">
        <f t="shared" si="90"/>
        <v>0</v>
      </c>
      <c r="EC405" s="121">
        <f t="shared" si="90"/>
        <v>1.0833333333333333</v>
      </c>
      <c r="ED405" s="121">
        <f t="shared" si="90"/>
        <v>250.82666625976563</v>
      </c>
      <c r="EE405" s="129"/>
      <c r="EF405" s="129"/>
      <c r="EG405" s="129"/>
    </row>
    <row r="406" spans="1:137" x14ac:dyDescent="0.3">
      <c r="A406" s="5" t="s">
        <v>335</v>
      </c>
      <c r="B406" s="121">
        <f>AVERAGEA(B149:B208)</f>
        <v>225.58333333333334</v>
      </c>
      <c r="C406" s="121">
        <f t="shared" ref="C406:BR406" si="91">AVERAGEA(C149:C208)</f>
        <v>48.797233454386394</v>
      </c>
      <c r="D406" s="121">
        <f t="shared" si="91"/>
        <v>99.643817138671878</v>
      </c>
      <c r="E406" s="121">
        <f t="shared" si="91"/>
        <v>16.896216630935669</v>
      </c>
      <c r="F406" s="121">
        <f t="shared" si="91"/>
        <v>4.0194853027661646</v>
      </c>
      <c r="G406" s="121">
        <f t="shared" si="91"/>
        <v>17.11674992243449</v>
      </c>
      <c r="H406" s="121">
        <f t="shared" si="91"/>
        <v>306.23333333333335</v>
      </c>
      <c r="I406" s="121">
        <f t="shared" si="91"/>
        <v>273.21666666666664</v>
      </c>
      <c r="J406" s="121">
        <f t="shared" si="91"/>
        <v>62.791200002034508</v>
      </c>
      <c r="K406" s="121">
        <f t="shared" si="91"/>
        <v>61.015244547526045</v>
      </c>
      <c r="L406" s="121">
        <f t="shared" si="91"/>
        <v>43.630333518981935</v>
      </c>
      <c r="M406" s="121">
        <f t="shared" si="91"/>
        <v>12.632383378346761</v>
      </c>
      <c r="N406" s="121">
        <f t="shared" si="91"/>
        <v>17.604533259073893</v>
      </c>
      <c r="O406" s="121">
        <f t="shared" si="91"/>
        <v>17.166666666666668</v>
      </c>
      <c r="P406" s="121">
        <f t="shared" si="91"/>
        <v>0</v>
      </c>
      <c r="Q406" s="121">
        <f t="shared" si="91"/>
        <v>17.671854607264201</v>
      </c>
      <c r="R406" s="121">
        <f t="shared" si="91"/>
        <v>8.4832812468210861</v>
      </c>
      <c r="S406" s="121">
        <f t="shared" si="91"/>
        <v>8.1119836489359542</v>
      </c>
      <c r="T406" s="121">
        <f t="shared" si="91"/>
        <v>6.1</v>
      </c>
      <c r="U406" s="121">
        <f t="shared" si="91"/>
        <v>6.1</v>
      </c>
      <c r="V406" s="121">
        <f t="shared" si="91"/>
        <v>889.16666666666663</v>
      </c>
      <c r="W406" s="121">
        <f t="shared" si="91"/>
        <v>26.721661154429118</v>
      </c>
      <c r="X406" s="121">
        <f t="shared" si="91"/>
        <v>26.221066697438559</v>
      </c>
      <c r="Y406" s="121">
        <f t="shared" si="91"/>
        <v>6.4471500396728514</v>
      </c>
      <c r="Z406" s="121">
        <f t="shared" si="91"/>
        <v>0</v>
      </c>
      <c r="AA406" s="121">
        <f t="shared" si="91"/>
        <v>22.002549934387208</v>
      </c>
      <c r="AB406" s="121">
        <f t="shared" si="91"/>
        <v>0</v>
      </c>
      <c r="AC406" s="121">
        <f t="shared" si="91"/>
        <v>54.540491104125977</v>
      </c>
      <c r="AD406" s="121">
        <f t="shared" si="91"/>
        <v>6.3993167320887245</v>
      </c>
      <c r="AE406" s="121">
        <f t="shared" si="91"/>
        <v>0</v>
      </c>
      <c r="AF406" s="121">
        <f t="shared" si="91"/>
        <v>82.383676783243814</v>
      </c>
      <c r="AG406" s="121">
        <f t="shared" si="91"/>
        <v>0</v>
      </c>
      <c r="AH406" s="121">
        <f t="shared" si="91"/>
        <v>62.532668685913087</v>
      </c>
      <c r="AI406" s="121">
        <f t="shared" si="91"/>
        <v>12.049616702397664</v>
      </c>
      <c r="AJ406" s="121">
        <f t="shared" si="91"/>
        <v>19.149285538991293</v>
      </c>
      <c r="AK406" s="121">
        <f t="shared" si="91"/>
        <v>41.260968144734697</v>
      </c>
      <c r="AL406" s="121">
        <f t="shared" si="91"/>
        <v>38.479099973042807</v>
      </c>
      <c r="AM406" s="121">
        <f t="shared" si="91"/>
        <v>54.784499804178871</v>
      </c>
      <c r="AN406" s="121">
        <f t="shared" si="91"/>
        <v>117.27708333333334</v>
      </c>
      <c r="AO406" s="121">
        <f t="shared" si="91"/>
        <v>61.45</v>
      </c>
      <c r="AP406" s="121">
        <f t="shared" si="91"/>
        <v>62.562813949584964</v>
      </c>
      <c r="AQ406" s="121">
        <f t="shared" si="91"/>
        <v>37.398831494649251</v>
      </c>
      <c r="AR406" s="121">
        <f t="shared" si="91"/>
        <v>89.36666666666666</v>
      </c>
      <c r="AS406" s="121" t="e">
        <f t="shared" si="91"/>
        <v>#DIV/0!</v>
      </c>
      <c r="AT406" s="121">
        <f t="shared" si="91"/>
        <v>116.56666666666666</v>
      </c>
      <c r="AU406" s="121" t="e">
        <f t="shared" si="91"/>
        <v>#DIV/0!</v>
      </c>
      <c r="AV406" s="121">
        <f t="shared" si="91"/>
        <v>67.5</v>
      </c>
      <c r="AW406" s="121" t="e">
        <f t="shared" si="91"/>
        <v>#DIV/0!</v>
      </c>
      <c r="AX406" s="121">
        <f t="shared" si="91"/>
        <v>30.533333333333335</v>
      </c>
      <c r="AY406" s="121">
        <f t="shared" si="91"/>
        <v>33.024914042154947</v>
      </c>
      <c r="AZ406" s="121">
        <f t="shared" si="91"/>
        <v>13.7</v>
      </c>
      <c r="BA406" s="121" t="e">
        <f t="shared" si="91"/>
        <v>#DIV/0!</v>
      </c>
      <c r="BB406" s="121">
        <f t="shared" si="91"/>
        <v>282.71666666666664</v>
      </c>
      <c r="BC406" s="121">
        <f t="shared" si="91"/>
        <v>283.78283538818357</v>
      </c>
      <c r="BD406" s="121">
        <f t="shared" si="91"/>
        <v>6.7783333222071329</v>
      </c>
      <c r="BE406" s="121">
        <f t="shared" si="91"/>
        <v>6.8484068791071575</v>
      </c>
      <c r="BF406" s="121">
        <f t="shared" si="91"/>
        <v>29.783333333333335</v>
      </c>
      <c r="BG406" s="121">
        <f t="shared" si="91"/>
        <v>10.266666666666667</v>
      </c>
      <c r="BH406" s="121">
        <f t="shared" si="91"/>
        <v>11.135392427444458</v>
      </c>
      <c r="BI406" s="121" t="e">
        <f t="shared" si="91"/>
        <v>#DIV/0!</v>
      </c>
      <c r="BJ406" s="121">
        <f t="shared" si="91"/>
        <v>13.066666666666666</v>
      </c>
      <c r="BK406" s="121">
        <f t="shared" si="91"/>
        <v>13.066666666666666</v>
      </c>
      <c r="BL406" s="121">
        <f t="shared" si="91"/>
        <v>0</v>
      </c>
      <c r="BM406" s="121" t="e">
        <f t="shared" si="91"/>
        <v>#DIV/0!</v>
      </c>
      <c r="BN406" s="121">
        <f t="shared" si="91"/>
        <v>121.65666681925455</v>
      </c>
      <c r="BO406" s="121">
        <f t="shared" si="91"/>
        <v>72.8</v>
      </c>
      <c r="BP406" s="121">
        <f t="shared" si="91"/>
        <v>48.856666819254556</v>
      </c>
      <c r="BQ406" s="121">
        <f t="shared" si="91"/>
        <v>270.39999999999998</v>
      </c>
      <c r="BR406" s="121">
        <f t="shared" si="91"/>
        <v>70.134866205851239</v>
      </c>
      <c r="BS406" s="121">
        <f t="shared" ref="BS406:ED406" si="92">AVERAGEA(BS149:BS208)</f>
        <v>24.60663340886434</v>
      </c>
      <c r="BT406" s="121">
        <f t="shared" si="92"/>
        <v>40.956698989868165</v>
      </c>
      <c r="BU406" s="121">
        <f t="shared" si="92"/>
        <v>37.291950098673503</v>
      </c>
      <c r="BV406" s="121">
        <f t="shared" si="92"/>
        <v>69.201667022705081</v>
      </c>
      <c r="BW406" s="121">
        <f t="shared" si="92"/>
        <v>5.9566667079925537</v>
      </c>
      <c r="BX406" s="121">
        <f t="shared" si="92"/>
        <v>13.608333317438762</v>
      </c>
      <c r="BY406" s="121">
        <f t="shared" si="92"/>
        <v>28.433333333333334</v>
      </c>
      <c r="BZ406" s="121">
        <f t="shared" si="92"/>
        <v>1.4594329334795476E-2</v>
      </c>
      <c r="CA406" s="121">
        <f t="shared" si="92"/>
        <v>0.91666666666666663</v>
      </c>
      <c r="CB406" s="121">
        <f t="shared" si="92"/>
        <v>29.226330916086834</v>
      </c>
      <c r="CC406" s="121" t="e">
        <f t="shared" si="92"/>
        <v>#DIV/0!</v>
      </c>
      <c r="CD406" s="121">
        <f t="shared" si="92"/>
        <v>348.84510447184243</v>
      </c>
      <c r="CE406" s="121">
        <f t="shared" si="92"/>
        <v>34.018165016174315</v>
      </c>
      <c r="CF406" s="121">
        <f t="shared" si="92"/>
        <v>20.9576855023702</v>
      </c>
      <c r="CG406" s="121">
        <f t="shared" si="92"/>
        <v>35.338191986083984</v>
      </c>
      <c r="CH406" s="121">
        <f t="shared" si="92"/>
        <v>278.51301778157551</v>
      </c>
      <c r="CI406" s="121">
        <f t="shared" si="92"/>
        <v>82.477605438232416</v>
      </c>
      <c r="CJ406" s="121">
        <f t="shared" si="92"/>
        <v>35.238532733917239</v>
      </c>
      <c r="CK406" s="121">
        <f t="shared" si="92"/>
        <v>51.12259654998779</v>
      </c>
      <c r="CL406" s="121">
        <f t="shared" si="92"/>
        <v>29.906016476949056</v>
      </c>
      <c r="CM406" s="121">
        <f t="shared" si="92"/>
        <v>208.23549270629883</v>
      </c>
      <c r="CN406" s="121">
        <f t="shared" si="92"/>
        <v>61.291628074645999</v>
      </c>
      <c r="CO406" s="121">
        <f t="shared" si="92"/>
        <v>65.435973167419434</v>
      </c>
      <c r="CP406" s="121">
        <f t="shared" si="92"/>
        <v>78.476556523640951</v>
      </c>
      <c r="CQ406" s="121">
        <f t="shared" si="92"/>
        <v>0</v>
      </c>
      <c r="CR406" s="121">
        <f t="shared" si="92"/>
        <v>50.371080080668129</v>
      </c>
      <c r="CS406" s="121">
        <f t="shared" si="92"/>
        <v>8.6773177226384473</v>
      </c>
      <c r="CT406" s="121">
        <f t="shared" si="92"/>
        <v>33.70379638671875</v>
      </c>
      <c r="CU406" s="121">
        <f t="shared" si="92"/>
        <v>67.839462216695154</v>
      </c>
      <c r="CV406" s="121">
        <f t="shared" si="92"/>
        <v>60.874376360575361</v>
      </c>
      <c r="CW406" s="121">
        <f t="shared" si="92"/>
        <v>5.1833333333333336</v>
      </c>
      <c r="CX406" s="121">
        <f t="shared" si="92"/>
        <v>314.36666666666667</v>
      </c>
      <c r="CY406" s="121">
        <f t="shared" si="92"/>
        <v>116.52314758300781</v>
      </c>
      <c r="CZ406" s="121">
        <f t="shared" si="92"/>
        <v>50.052713012695314</v>
      </c>
      <c r="DA406" s="121">
        <f t="shared" si="92"/>
        <v>20.035232575734458</v>
      </c>
      <c r="DB406" s="121">
        <f t="shared" si="92"/>
        <v>32.337215201059976</v>
      </c>
      <c r="DC406" s="121">
        <f t="shared" si="92"/>
        <v>79.014908472696945</v>
      </c>
      <c r="DD406" s="121">
        <f t="shared" si="92"/>
        <v>58.416666666666664</v>
      </c>
      <c r="DE406" s="121">
        <f t="shared" si="92"/>
        <v>176.9</v>
      </c>
      <c r="DF406" s="121">
        <f t="shared" si="92"/>
        <v>104.78587862650554</v>
      </c>
      <c r="DG406" s="121">
        <f t="shared" si="92"/>
        <v>69.410304323832193</v>
      </c>
      <c r="DH406" s="121">
        <f t="shared" si="92"/>
        <v>48.682218996683758</v>
      </c>
      <c r="DI406" s="121">
        <f t="shared" si="92"/>
        <v>38.01167157491048</v>
      </c>
      <c r="DJ406" s="121">
        <f t="shared" si="92"/>
        <v>206.26666666666668</v>
      </c>
      <c r="DK406" s="121">
        <f t="shared" si="92"/>
        <v>105.31579984029135</v>
      </c>
      <c r="DL406" s="121">
        <f t="shared" si="92"/>
        <v>24.503916708628335</v>
      </c>
      <c r="DM406" s="121">
        <f t="shared" si="92"/>
        <v>26.459533373514812</v>
      </c>
      <c r="DN406" s="121">
        <f t="shared" si="92"/>
        <v>49.61500021616618</v>
      </c>
      <c r="DO406" s="121">
        <f t="shared" si="92"/>
        <v>111.78589452107748</v>
      </c>
      <c r="DP406" s="121">
        <f t="shared" si="92"/>
        <v>15.724783468246461</v>
      </c>
      <c r="DQ406" s="121" t="e">
        <f t="shared" si="92"/>
        <v>#DIV/0!</v>
      </c>
      <c r="DR406" s="121">
        <f t="shared" si="92"/>
        <v>54.266666666666666</v>
      </c>
      <c r="DS406" s="121">
        <f t="shared" si="92"/>
        <v>30.578333377838135</v>
      </c>
      <c r="DT406" s="121">
        <f t="shared" si="92"/>
        <v>12.066666666666666</v>
      </c>
      <c r="DU406" s="121" t="e">
        <f t="shared" si="92"/>
        <v>#DIV/0!</v>
      </c>
      <c r="DV406" s="121">
        <f t="shared" si="92"/>
        <v>8.2333333333333325</v>
      </c>
      <c r="DW406" s="121">
        <f t="shared" si="92"/>
        <v>1.4552604516347249</v>
      </c>
      <c r="DX406" s="121">
        <f t="shared" si="92"/>
        <v>10</v>
      </c>
      <c r="DY406" s="121" t="e">
        <f t="shared" si="92"/>
        <v>#DIV/0!</v>
      </c>
      <c r="DZ406" s="121">
        <f t="shared" si="92"/>
        <v>44.85</v>
      </c>
      <c r="EA406" s="121">
        <f t="shared" si="92"/>
        <v>3</v>
      </c>
      <c r="EB406" s="121">
        <f t="shared" si="92"/>
        <v>0</v>
      </c>
      <c r="EC406" s="121">
        <f t="shared" si="92"/>
        <v>1.0666666666666667</v>
      </c>
      <c r="ED406" s="121">
        <f t="shared" si="92"/>
        <v>248.93333307902017</v>
      </c>
      <c r="EE406" s="129"/>
      <c r="EF406" s="129"/>
      <c r="EG406" s="129"/>
    </row>
    <row r="407" spans="1:137" x14ac:dyDescent="0.3">
      <c r="A407" s="5" t="s">
        <v>336</v>
      </c>
      <c r="B407" s="121">
        <f>AVERAGEA(B154:B213)</f>
        <v>223.28333333333333</v>
      </c>
      <c r="C407" s="121">
        <f t="shared" ref="C407:BR407" si="93">AVERAGEA(C154:C213)</f>
        <v>48.725600179036455</v>
      </c>
      <c r="D407" s="121">
        <f t="shared" si="93"/>
        <v>99.114150492350262</v>
      </c>
      <c r="E407" s="121">
        <f t="shared" si="93"/>
        <v>16.869816684722899</v>
      </c>
      <c r="F407" s="121">
        <f t="shared" si="93"/>
        <v>3.9771448493003847</v>
      </c>
      <c r="G407" s="121">
        <f t="shared" si="93"/>
        <v>17.037583271662395</v>
      </c>
      <c r="H407" s="121">
        <f t="shared" si="93"/>
        <v>305.68333333333334</v>
      </c>
      <c r="I407" s="121">
        <f t="shared" si="93"/>
        <v>272.60000000000002</v>
      </c>
      <c r="J407" s="121">
        <f t="shared" si="93"/>
        <v>62.606466674804686</v>
      </c>
      <c r="K407" s="121">
        <f t="shared" si="93"/>
        <v>60.898575592041013</v>
      </c>
      <c r="L407" s="121">
        <f t="shared" si="93"/>
        <v>43.515450159708656</v>
      </c>
      <c r="M407" s="121">
        <f t="shared" si="93"/>
        <v>12.58715001742045</v>
      </c>
      <c r="N407" s="121">
        <f t="shared" si="93"/>
        <v>17.624666595458983</v>
      </c>
      <c r="O407" s="121">
        <f t="shared" si="93"/>
        <v>17.05</v>
      </c>
      <c r="P407" s="121">
        <f t="shared" si="93"/>
        <v>0</v>
      </c>
      <c r="Q407" s="121">
        <f t="shared" si="93"/>
        <v>17.562177499135334</v>
      </c>
      <c r="R407" s="121">
        <f t="shared" si="93"/>
        <v>8.2498437404632572</v>
      </c>
      <c r="S407" s="121">
        <f t="shared" si="93"/>
        <v>7.9036333640416467</v>
      </c>
      <c r="T407" s="121">
        <f t="shared" si="93"/>
        <v>5.5</v>
      </c>
      <c r="U407" s="121">
        <f t="shared" si="93"/>
        <v>5.5</v>
      </c>
      <c r="V407" s="121">
        <f t="shared" si="93"/>
        <v>883.7833333333333</v>
      </c>
      <c r="W407" s="121">
        <f t="shared" si="93"/>
        <v>26.568459955851235</v>
      </c>
      <c r="X407" s="121">
        <f t="shared" si="93"/>
        <v>25.9797833442688</v>
      </c>
      <c r="Y407" s="121">
        <f t="shared" si="93"/>
        <v>6.3496167103449501</v>
      </c>
      <c r="Z407" s="121">
        <f t="shared" si="93"/>
        <v>0</v>
      </c>
      <c r="AA407" s="121">
        <f t="shared" si="93"/>
        <v>21.574683284759523</v>
      </c>
      <c r="AB407" s="121">
        <f t="shared" si="93"/>
        <v>0</v>
      </c>
      <c r="AC407" s="121">
        <f t="shared" si="93"/>
        <v>54.218391927083331</v>
      </c>
      <c r="AD407" s="121">
        <f t="shared" si="93"/>
        <v>6.4035667339960733</v>
      </c>
      <c r="AE407" s="121">
        <f t="shared" si="93"/>
        <v>0</v>
      </c>
      <c r="AF407" s="121">
        <f t="shared" si="93"/>
        <v>81.955285898844394</v>
      </c>
      <c r="AG407" s="121">
        <f t="shared" si="93"/>
        <v>0</v>
      </c>
      <c r="AH407" s="121">
        <f t="shared" si="93"/>
        <v>62.10418752034505</v>
      </c>
      <c r="AI407" s="121">
        <f t="shared" si="93"/>
        <v>11.999783356984457</v>
      </c>
      <c r="AJ407" s="121">
        <f t="shared" si="93"/>
        <v>19.041003513336182</v>
      </c>
      <c r="AK407" s="121">
        <f t="shared" si="93"/>
        <v>40.49131889343262</v>
      </c>
      <c r="AL407" s="121">
        <f t="shared" si="93"/>
        <v>38.155099932352705</v>
      </c>
      <c r="AM407" s="121">
        <f t="shared" si="93"/>
        <v>54.766499837239586</v>
      </c>
      <c r="AN407" s="121">
        <f t="shared" si="93"/>
        <v>116.434375</v>
      </c>
      <c r="AO407" s="121">
        <f t="shared" si="93"/>
        <v>61</v>
      </c>
      <c r="AP407" s="121">
        <f t="shared" si="93"/>
        <v>62.02104714711507</v>
      </c>
      <c r="AQ407" s="121">
        <f t="shared" si="93"/>
        <v>37.262582715352373</v>
      </c>
      <c r="AR407" s="121">
        <f t="shared" si="93"/>
        <v>90.4</v>
      </c>
      <c r="AS407" s="121" t="e">
        <f t="shared" si="93"/>
        <v>#DIV/0!</v>
      </c>
      <c r="AT407" s="121">
        <f t="shared" si="93"/>
        <v>115.55</v>
      </c>
      <c r="AU407" s="121" t="e">
        <f t="shared" si="93"/>
        <v>#DIV/0!</v>
      </c>
      <c r="AV407" s="121">
        <f t="shared" si="93"/>
        <v>65.683333333333337</v>
      </c>
      <c r="AW407" s="121" t="e">
        <f t="shared" si="93"/>
        <v>#DIV/0!</v>
      </c>
      <c r="AX407" s="121">
        <f t="shared" si="93"/>
        <v>30.433333333333334</v>
      </c>
      <c r="AY407" s="121">
        <f t="shared" si="93"/>
        <v>32.95690186818441</v>
      </c>
      <c r="AZ407" s="121">
        <f t="shared" si="93"/>
        <v>13.466666666666667</v>
      </c>
      <c r="BA407" s="121" t="e">
        <f t="shared" si="93"/>
        <v>#DIV/0!</v>
      </c>
      <c r="BB407" s="121">
        <f t="shared" si="93"/>
        <v>272.75</v>
      </c>
      <c r="BC407" s="121">
        <f t="shared" si="93"/>
        <v>273.79198735555013</v>
      </c>
      <c r="BD407" s="121">
        <f t="shared" si="93"/>
        <v>6.758333317438761</v>
      </c>
      <c r="BE407" s="121">
        <f t="shared" si="93"/>
        <v>6.8311404228210453</v>
      </c>
      <c r="BF407" s="121">
        <f t="shared" si="93"/>
        <v>29.7</v>
      </c>
      <c r="BG407" s="121">
        <f t="shared" si="93"/>
        <v>10.283333333333333</v>
      </c>
      <c r="BH407" s="121">
        <f t="shared" si="93"/>
        <v>11.13229029973348</v>
      </c>
      <c r="BI407" s="121" t="e">
        <f t="shared" si="93"/>
        <v>#DIV/0!</v>
      </c>
      <c r="BJ407" s="121">
        <f t="shared" si="93"/>
        <v>12.783333333333333</v>
      </c>
      <c r="BK407" s="121">
        <f t="shared" si="93"/>
        <v>12.783333333333333</v>
      </c>
      <c r="BL407" s="121">
        <f t="shared" si="93"/>
        <v>0</v>
      </c>
      <c r="BM407" s="121" t="e">
        <f t="shared" si="93"/>
        <v>#DIV/0!</v>
      </c>
      <c r="BN407" s="121">
        <f t="shared" si="93"/>
        <v>121.55333347320557</v>
      </c>
      <c r="BO407" s="121">
        <f t="shared" si="93"/>
        <v>72.7</v>
      </c>
      <c r="BP407" s="121">
        <f t="shared" si="93"/>
        <v>48.853333473205566</v>
      </c>
      <c r="BQ407" s="121">
        <f t="shared" si="93"/>
        <v>269.73333333333335</v>
      </c>
      <c r="BR407" s="121">
        <f t="shared" si="93"/>
        <v>70.018016306559247</v>
      </c>
      <c r="BS407" s="121">
        <f t="shared" ref="BS407:ED407" si="94">AVERAGEA(BS154:BS213)</f>
        <v>24.576983451843262</v>
      </c>
      <c r="BT407" s="121">
        <f t="shared" si="94"/>
        <v>40.823948796590166</v>
      </c>
      <c r="BU407" s="121">
        <f t="shared" si="94"/>
        <v>37.015216763814287</v>
      </c>
      <c r="BV407" s="121">
        <f t="shared" si="94"/>
        <v>69.223333485921231</v>
      </c>
      <c r="BW407" s="121">
        <f t="shared" si="94"/>
        <v>5.9516667127609253</v>
      </c>
      <c r="BX407" s="121">
        <f t="shared" si="94"/>
        <v>13.571666653951009</v>
      </c>
      <c r="BY407" s="121">
        <f t="shared" si="94"/>
        <v>28.4</v>
      </c>
      <c r="BZ407" s="121">
        <f t="shared" si="94"/>
        <v>1.4484610284368198E-2</v>
      </c>
      <c r="CA407" s="121">
        <f t="shared" si="94"/>
        <v>0.91666666666666663</v>
      </c>
      <c r="CB407" s="121">
        <f t="shared" si="94"/>
        <v>29.235989220937093</v>
      </c>
      <c r="CC407" s="121" t="e">
        <f t="shared" si="94"/>
        <v>#DIV/0!</v>
      </c>
      <c r="CD407" s="121">
        <f t="shared" si="94"/>
        <v>346.9264836629232</v>
      </c>
      <c r="CE407" s="121">
        <f t="shared" si="94"/>
        <v>33.569371477762857</v>
      </c>
      <c r="CF407" s="121">
        <f t="shared" si="94"/>
        <v>20.688794962565105</v>
      </c>
      <c r="CG407" s="121">
        <f t="shared" si="94"/>
        <v>35.338191986083984</v>
      </c>
      <c r="CH407" s="121">
        <f t="shared" si="94"/>
        <v>277.67942352294921</v>
      </c>
      <c r="CI407" s="121">
        <f t="shared" si="94"/>
        <v>82.397587076822916</v>
      </c>
      <c r="CJ407" s="121">
        <f t="shared" si="94"/>
        <v>35.299842230478923</v>
      </c>
      <c r="CK407" s="121">
        <f t="shared" si="94"/>
        <v>50.995740191141763</v>
      </c>
      <c r="CL407" s="121">
        <f t="shared" si="94"/>
        <v>29.373703988393149</v>
      </c>
      <c r="CM407" s="121">
        <f t="shared" si="94"/>
        <v>205.89623285929363</v>
      </c>
      <c r="CN407" s="121">
        <f t="shared" si="94"/>
        <v>59.740030225117998</v>
      </c>
      <c r="CO407" s="121">
        <f t="shared" si="94"/>
        <v>64.367319742838546</v>
      </c>
      <c r="CP407" s="121">
        <f t="shared" si="94"/>
        <v>78.730850474039713</v>
      </c>
      <c r="CQ407" s="121">
        <f t="shared" si="94"/>
        <v>0</v>
      </c>
      <c r="CR407" s="121">
        <f t="shared" si="94"/>
        <v>50.294086774190269</v>
      </c>
      <c r="CS407" s="121">
        <f t="shared" si="94"/>
        <v>8.5976370175679531</v>
      </c>
      <c r="CT407" s="121">
        <f t="shared" si="94"/>
        <v>33.495027542114258</v>
      </c>
      <c r="CU407" s="121">
        <f t="shared" si="94"/>
        <v>66.859572092692062</v>
      </c>
      <c r="CV407" s="121">
        <f t="shared" si="94"/>
        <v>60.003669484456381</v>
      </c>
      <c r="CW407" s="121">
        <f t="shared" si="94"/>
        <v>5.0999999999999996</v>
      </c>
      <c r="CX407" s="121">
        <f t="shared" si="94"/>
        <v>312.01666666666665</v>
      </c>
      <c r="CY407" s="121">
        <f t="shared" si="94"/>
        <v>115.53204040527343</v>
      </c>
      <c r="CZ407" s="121">
        <f t="shared" si="94"/>
        <v>49.613087590535478</v>
      </c>
      <c r="DA407" s="121">
        <f t="shared" si="94"/>
        <v>19.982468922932942</v>
      </c>
      <c r="DB407" s="121">
        <f t="shared" si="94"/>
        <v>32.096448930104572</v>
      </c>
      <c r="DC407" s="121">
        <f t="shared" si="94"/>
        <v>78.253611755371097</v>
      </c>
      <c r="DD407" s="121">
        <f t="shared" si="94"/>
        <v>57.416666666666664</v>
      </c>
      <c r="DE407" s="121">
        <f t="shared" si="94"/>
        <v>176.21666666666667</v>
      </c>
      <c r="DF407" s="121">
        <f t="shared" si="94"/>
        <v>104.3213623046875</v>
      </c>
      <c r="DG407" s="121">
        <f t="shared" si="94"/>
        <v>68.677770042419439</v>
      </c>
      <c r="DH407" s="121">
        <f t="shared" si="94"/>
        <v>47.983475494384763</v>
      </c>
      <c r="DI407" s="121">
        <f t="shared" si="94"/>
        <v>37.908608309427898</v>
      </c>
      <c r="DJ407" s="121">
        <f t="shared" si="94"/>
        <v>205.76666666666668</v>
      </c>
      <c r="DK407" s="121">
        <f t="shared" si="94"/>
        <v>104.75171661376953</v>
      </c>
      <c r="DL407" s="121">
        <f t="shared" si="94"/>
        <v>24.479399998982746</v>
      </c>
      <c r="DM407" s="121">
        <f t="shared" si="94"/>
        <v>26.038350009918211</v>
      </c>
      <c r="DN407" s="121">
        <f t="shared" si="94"/>
        <v>49.426516787211099</v>
      </c>
      <c r="DO407" s="121">
        <f t="shared" si="94"/>
        <v>111.63317642211913</v>
      </c>
      <c r="DP407" s="121">
        <f t="shared" si="94"/>
        <v>15.743650118509928</v>
      </c>
      <c r="DQ407" s="121" t="e">
        <f t="shared" si="94"/>
        <v>#DIV/0!</v>
      </c>
      <c r="DR407" s="121">
        <f t="shared" si="94"/>
        <v>49.783333333333331</v>
      </c>
      <c r="DS407" s="121">
        <f t="shared" si="94"/>
        <v>30.256666723887125</v>
      </c>
      <c r="DT407" s="121">
        <f t="shared" si="94"/>
        <v>12.066666666666666</v>
      </c>
      <c r="DU407" s="121" t="e">
        <f t="shared" si="94"/>
        <v>#DIV/0!</v>
      </c>
      <c r="DV407" s="121">
        <f t="shared" si="94"/>
        <v>8.1166666666666671</v>
      </c>
      <c r="DW407" s="121">
        <f t="shared" si="94"/>
        <v>1.3742937882741293</v>
      </c>
      <c r="DX407" s="121">
        <f t="shared" si="94"/>
        <v>9.9833333333333325</v>
      </c>
      <c r="DY407" s="121" t="e">
        <f t="shared" si="94"/>
        <v>#DIV/0!</v>
      </c>
      <c r="DZ407" s="121">
        <f t="shared" si="94"/>
        <v>44.833333333333336</v>
      </c>
      <c r="EA407" s="121">
        <f t="shared" si="94"/>
        <v>3</v>
      </c>
      <c r="EB407" s="121">
        <f t="shared" si="94"/>
        <v>0</v>
      </c>
      <c r="EC407" s="121">
        <f t="shared" si="94"/>
        <v>1.05</v>
      </c>
      <c r="ED407" s="121">
        <f t="shared" si="94"/>
        <v>247.14333318074543</v>
      </c>
      <c r="EE407" s="129"/>
      <c r="EF407" s="129"/>
      <c r="EG407" s="129"/>
    </row>
    <row r="408" spans="1:137" x14ac:dyDescent="0.3">
      <c r="A408" s="5" t="s">
        <v>337</v>
      </c>
      <c r="B408" s="121">
        <f>AVERAGEA(B159:B218)</f>
        <v>221.28333333333333</v>
      </c>
      <c r="C408" s="121">
        <f t="shared" ref="C408:BR408" si="95">AVERAGEA(C159:C218)</f>
        <v>48.865116882324216</v>
      </c>
      <c r="D408" s="121">
        <f t="shared" si="95"/>
        <v>98.608983739217123</v>
      </c>
      <c r="E408" s="121">
        <f t="shared" si="95"/>
        <v>16.94144999186198</v>
      </c>
      <c r="F408" s="121">
        <f t="shared" si="95"/>
        <v>3.9870168010393781</v>
      </c>
      <c r="G408" s="121">
        <f t="shared" si="95"/>
        <v>16.928249979019164</v>
      </c>
      <c r="H408" s="121">
        <f t="shared" si="95"/>
        <v>305.10000000000002</v>
      </c>
      <c r="I408" s="121">
        <f t="shared" si="95"/>
        <v>272.16666666666669</v>
      </c>
      <c r="J408" s="121">
        <f t="shared" si="95"/>
        <v>62.419866689046223</v>
      </c>
      <c r="K408" s="121">
        <f t="shared" si="95"/>
        <v>60.803718884785972</v>
      </c>
      <c r="L408" s="121">
        <f t="shared" si="95"/>
        <v>43.447733561197914</v>
      </c>
      <c r="M408" s="121">
        <f t="shared" si="95"/>
        <v>12.524983326594034</v>
      </c>
      <c r="N408" s="121">
        <f t="shared" si="95"/>
        <v>17.573766644795736</v>
      </c>
      <c r="O408" s="121">
        <f t="shared" si="95"/>
        <v>16.866666666666667</v>
      </c>
      <c r="P408" s="121">
        <f t="shared" si="95"/>
        <v>0</v>
      </c>
      <c r="Q408" s="121">
        <f t="shared" si="95"/>
        <v>17.384653425216676</v>
      </c>
      <c r="R408" s="121">
        <f t="shared" si="95"/>
        <v>8.0331249872843422</v>
      </c>
      <c r="S408" s="121">
        <f t="shared" si="95"/>
        <v>7.6891721804936726</v>
      </c>
      <c r="T408" s="121">
        <f t="shared" si="95"/>
        <v>4.75</v>
      </c>
      <c r="U408" s="121">
        <f t="shared" si="95"/>
        <v>4.75</v>
      </c>
      <c r="V408" s="121">
        <f t="shared" si="95"/>
        <v>879</v>
      </c>
      <c r="W408" s="121">
        <f t="shared" si="95"/>
        <v>26.44476146697998</v>
      </c>
      <c r="X408" s="121">
        <f t="shared" si="95"/>
        <v>25.774333286285401</v>
      </c>
      <c r="Y408" s="121">
        <f t="shared" si="95"/>
        <v>6.3167333761850992</v>
      </c>
      <c r="Z408" s="121">
        <f t="shared" si="95"/>
        <v>0</v>
      </c>
      <c r="AA408" s="121">
        <f t="shared" si="95"/>
        <v>21.265550009409587</v>
      </c>
      <c r="AB408" s="121">
        <f t="shared" si="95"/>
        <v>0</v>
      </c>
      <c r="AC408" s="121">
        <f t="shared" si="95"/>
        <v>53.853246943155924</v>
      </c>
      <c r="AD408" s="121">
        <f t="shared" si="95"/>
        <v>6.3950833956400555</v>
      </c>
      <c r="AE408" s="121">
        <f t="shared" si="95"/>
        <v>0</v>
      </c>
      <c r="AF408" s="121">
        <f t="shared" si="95"/>
        <v>81.618616485595709</v>
      </c>
      <c r="AG408" s="121">
        <f t="shared" si="95"/>
        <v>0</v>
      </c>
      <c r="AH408" s="121">
        <f t="shared" si="95"/>
        <v>61.730548222859703</v>
      </c>
      <c r="AI408" s="121">
        <f t="shared" si="95"/>
        <v>12.018866682052613</v>
      </c>
      <c r="AJ408" s="121">
        <f t="shared" si="95"/>
        <v>18.712480958302816</v>
      </c>
      <c r="AK408" s="121">
        <f t="shared" si="95"/>
        <v>39.743839327494307</v>
      </c>
      <c r="AL408" s="121">
        <f t="shared" si="95"/>
        <v>37.990149879455565</v>
      </c>
      <c r="AM408" s="121">
        <f t="shared" si="95"/>
        <v>54.823733139038083</v>
      </c>
      <c r="AN408" s="121">
        <f t="shared" si="95"/>
        <v>115.73333333333333</v>
      </c>
      <c r="AO408" s="121">
        <f t="shared" si="95"/>
        <v>60.466666666666669</v>
      </c>
      <c r="AP408" s="121">
        <f t="shared" si="95"/>
        <v>61.653856976826987</v>
      </c>
      <c r="AQ408" s="121">
        <f t="shared" si="95"/>
        <v>36.945944404602052</v>
      </c>
      <c r="AR408" s="121">
        <f t="shared" si="95"/>
        <v>91.45</v>
      </c>
      <c r="AS408" s="121" t="e">
        <f t="shared" si="95"/>
        <v>#DIV/0!</v>
      </c>
      <c r="AT408" s="121">
        <f t="shared" si="95"/>
        <v>114.51666666666667</v>
      </c>
      <c r="AU408" s="121" t="e">
        <f t="shared" si="95"/>
        <v>#DIV/0!</v>
      </c>
      <c r="AV408" s="121">
        <f t="shared" si="95"/>
        <v>64.11666666666666</v>
      </c>
      <c r="AW408" s="121" t="e">
        <f t="shared" si="95"/>
        <v>#DIV/0!</v>
      </c>
      <c r="AX408" s="121">
        <f t="shared" si="95"/>
        <v>30.283333333333335</v>
      </c>
      <c r="AY408" s="121">
        <f t="shared" si="95"/>
        <v>32.841492780049641</v>
      </c>
      <c r="AZ408" s="121">
        <f t="shared" si="95"/>
        <v>12.983333333333333</v>
      </c>
      <c r="BA408" s="121" t="e">
        <f t="shared" si="95"/>
        <v>#DIV/0!</v>
      </c>
      <c r="BB408" s="121">
        <f t="shared" si="95"/>
        <v>262.83333333333331</v>
      </c>
      <c r="BC408" s="121">
        <f t="shared" si="95"/>
        <v>263.88939844767253</v>
      </c>
      <c r="BD408" s="121">
        <f t="shared" si="95"/>
        <v>6.7449999570846559</v>
      </c>
      <c r="BE408" s="121">
        <f t="shared" si="95"/>
        <v>6.8165661255518595</v>
      </c>
      <c r="BF408" s="121">
        <f t="shared" si="95"/>
        <v>29.616666666666667</v>
      </c>
      <c r="BG408" s="121">
        <f t="shared" si="95"/>
        <v>10.283333333333333</v>
      </c>
      <c r="BH408" s="121">
        <f t="shared" si="95"/>
        <v>11.120329459508261</v>
      </c>
      <c r="BI408" s="121" t="e">
        <f t="shared" si="95"/>
        <v>#DIV/0!</v>
      </c>
      <c r="BJ408" s="121">
        <f t="shared" si="95"/>
        <v>12.55</v>
      </c>
      <c r="BK408" s="121">
        <f t="shared" si="95"/>
        <v>12.55</v>
      </c>
      <c r="BL408" s="121">
        <f t="shared" si="95"/>
        <v>0</v>
      </c>
      <c r="BM408" s="121" t="e">
        <f t="shared" si="95"/>
        <v>#DIV/0!</v>
      </c>
      <c r="BN408" s="121">
        <f t="shared" si="95"/>
        <v>121.54333349863688</v>
      </c>
      <c r="BO408" s="121">
        <f t="shared" si="95"/>
        <v>72.683333333333337</v>
      </c>
      <c r="BP408" s="121">
        <f t="shared" si="95"/>
        <v>48.860000165303546</v>
      </c>
      <c r="BQ408" s="121">
        <f t="shared" si="95"/>
        <v>269.23333333333335</v>
      </c>
      <c r="BR408" s="121">
        <f t="shared" si="95"/>
        <v>69.889832941691083</v>
      </c>
      <c r="BS408" s="121">
        <f t="shared" ref="BS408:ED408" si="96">AVERAGEA(BS159:BS218)</f>
        <v>24.589700094858806</v>
      </c>
      <c r="BT408" s="121">
        <f t="shared" si="96"/>
        <v>40.766215387980147</v>
      </c>
      <c r="BU408" s="121">
        <f t="shared" si="96"/>
        <v>36.787233352661133</v>
      </c>
      <c r="BV408" s="121">
        <f t="shared" si="96"/>
        <v>69.221666717529303</v>
      </c>
      <c r="BW408" s="121">
        <f t="shared" si="96"/>
        <v>5.9366667111714682</v>
      </c>
      <c r="BX408" s="121">
        <f t="shared" si="96"/>
        <v>13.563333336512247</v>
      </c>
      <c r="BY408" s="121">
        <f t="shared" si="96"/>
        <v>28.433333333333334</v>
      </c>
      <c r="BZ408" s="121">
        <f t="shared" si="96"/>
        <v>1.4426387380808592E-2</v>
      </c>
      <c r="CA408" s="121">
        <f t="shared" si="96"/>
        <v>0.91666666666666663</v>
      </c>
      <c r="CB408" s="121">
        <f t="shared" si="96"/>
        <v>29.252945772806804</v>
      </c>
      <c r="CC408" s="121" t="e">
        <f t="shared" si="96"/>
        <v>#DIV/0!</v>
      </c>
      <c r="CD408" s="121">
        <f t="shared" si="96"/>
        <v>345.43795369466147</v>
      </c>
      <c r="CE408" s="121">
        <f t="shared" si="96"/>
        <v>33.125802421569823</v>
      </c>
      <c r="CF408" s="121">
        <f t="shared" si="96"/>
        <v>20.349328072865806</v>
      </c>
      <c r="CG408" s="121">
        <f t="shared" si="96"/>
        <v>35.338191986083984</v>
      </c>
      <c r="CH408" s="121">
        <f t="shared" si="96"/>
        <v>276.78551381429037</v>
      </c>
      <c r="CI408" s="121">
        <f t="shared" si="96"/>
        <v>82.097436396280926</v>
      </c>
      <c r="CJ408" s="121">
        <f t="shared" si="96"/>
        <v>35.134480063120527</v>
      </c>
      <c r="CK408" s="121">
        <f t="shared" si="96"/>
        <v>50.889010683695474</v>
      </c>
      <c r="CL408" s="121">
        <f t="shared" si="96"/>
        <v>28.800881544748943</v>
      </c>
      <c r="CM408" s="121">
        <f t="shared" si="96"/>
        <v>204.57076390584311</v>
      </c>
      <c r="CN408" s="121">
        <f t="shared" si="96"/>
        <v>58.930172220865884</v>
      </c>
      <c r="CO408" s="121">
        <f t="shared" si="96"/>
        <v>63.500521532694499</v>
      </c>
      <c r="CP408" s="121">
        <f t="shared" si="96"/>
        <v>79.106112289428708</v>
      </c>
      <c r="CQ408" s="121">
        <f t="shared" si="96"/>
        <v>0</v>
      </c>
      <c r="CR408" s="121">
        <f t="shared" si="96"/>
        <v>50.192873954772949</v>
      </c>
      <c r="CS408" s="121">
        <f t="shared" si="96"/>
        <v>8.5070281505584724</v>
      </c>
      <c r="CT408" s="121">
        <f t="shared" si="96"/>
        <v>33.452233886718751</v>
      </c>
      <c r="CU408" s="121">
        <f t="shared" si="96"/>
        <v>66.05594692230224</v>
      </c>
      <c r="CV408" s="121">
        <f t="shared" si="96"/>
        <v>59.490374628702803</v>
      </c>
      <c r="CW408" s="121">
        <f t="shared" si="96"/>
        <v>3.3333333333333335</v>
      </c>
      <c r="CX408" s="121">
        <f t="shared" si="96"/>
        <v>309.58333333333331</v>
      </c>
      <c r="CY408" s="121">
        <f t="shared" si="96"/>
        <v>114.61599121093749</v>
      </c>
      <c r="CZ408" s="121">
        <f t="shared" si="96"/>
        <v>49.166661771138507</v>
      </c>
      <c r="DA408" s="121">
        <f t="shared" si="96"/>
        <v>19.959046332041421</v>
      </c>
      <c r="DB408" s="121">
        <f t="shared" si="96"/>
        <v>31.849544334411622</v>
      </c>
      <c r="DC408" s="121">
        <f t="shared" si="96"/>
        <v>77.595966211954746</v>
      </c>
      <c r="DD408" s="121">
        <f t="shared" si="96"/>
        <v>56.766666666666666</v>
      </c>
      <c r="DE408" s="121">
        <f t="shared" si="96"/>
        <v>175.51666666666668</v>
      </c>
      <c r="DF408" s="121">
        <f t="shared" si="96"/>
        <v>103.62695299784342</v>
      </c>
      <c r="DG408" s="121">
        <f t="shared" si="96"/>
        <v>68.11092319488526</v>
      </c>
      <c r="DH408" s="121">
        <f t="shared" si="96"/>
        <v>47.431179364522301</v>
      </c>
      <c r="DI408" s="121">
        <f t="shared" si="96"/>
        <v>37.955871709187825</v>
      </c>
      <c r="DJ408" s="121">
        <f t="shared" si="96"/>
        <v>205.15</v>
      </c>
      <c r="DK408" s="121">
        <f t="shared" si="96"/>
        <v>104.12401657104492</v>
      </c>
      <c r="DL408" s="121">
        <f t="shared" si="96"/>
        <v>24.409633350372314</v>
      </c>
      <c r="DM408" s="121">
        <f t="shared" si="96"/>
        <v>25.596550051371256</v>
      </c>
      <c r="DN408" s="121">
        <f t="shared" si="96"/>
        <v>49.232116762797041</v>
      </c>
      <c r="DO408" s="121">
        <f t="shared" si="96"/>
        <v>111.69945424397787</v>
      </c>
      <c r="DP408" s="121">
        <f t="shared" si="96"/>
        <v>15.717250156402589</v>
      </c>
      <c r="DQ408" s="121" t="e">
        <f t="shared" si="96"/>
        <v>#DIV/0!</v>
      </c>
      <c r="DR408" s="121">
        <f t="shared" si="96"/>
        <v>44.18333333333333</v>
      </c>
      <c r="DS408" s="121">
        <f t="shared" si="96"/>
        <v>30.105000050862632</v>
      </c>
      <c r="DT408" s="121">
        <f t="shared" si="96"/>
        <v>12.1</v>
      </c>
      <c r="DU408" s="121" t="e">
        <f t="shared" si="96"/>
        <v>#DIV/0!</v>
      </c>
      <c r="DV408" s="121">
        <f t="shared" si="96"/>
        <v>8.0500000000000007</v>
      </c>
      <c r="DW408" s="121">
        <f t="shared" si="96"/>
        <v>1.3532158315181733</v>
      </c>
      <c r="DX408" s="121">
        <f t="shared" si="96"/>
        <v>10.016666666666667</v>
      </c>
      <c r="DY408" s="121" t="e">
        <f t="shared" si="96"/>
        <v>#DIV/0!</v>
      </c>
      <c r="DZ408" s="121">
        <f t="shared" si="96"/>
        <v>44.866666666666667</v>
      </c>
      <c r="EA408" s="121">
        <f t="shared" si="96"/>
        <v>3</v>
      </c>
      <c r="EB408" s="121">
        <f t="shared" si="96"/>
        <v>0</v>
      </c>
      <c r="EC408" s="121">
        <f t="shared" si="96"/>
        <v>1.05</v>
      </c>
      <c r="ED408" s="121">
        <f t="shared" si="96"/>
        <v>245.66333287556967</v>
      </c>
      <c r="EE408" s="129"/>
      <c r="EF408" s="129"/>
      <c r="EG408" s="129"/>
    </row>
    <row r="409" spans="1:137" x14ac:dyDescent="0.3">
      <c r="A409" s="5" t="s">
        <v>338</v>
      </c>
      <c r="B409" s="121">
        <f>AVERAGEA(B164:B223)</f>
        <v>219.33333333333334</v>
      </c>
      <c r="C409" s="121">
        <f t="shared" ref="C409:BR409" si="97">AVERAGEA(C164:C223)</f>
        <v>48.804800224304202</v>
      </c>
      <c r="D409" s="121">
        <f t="shared" si="97"/>
        <v>98.06425031026204</v>
      </c>
      <c r="E409" s="121">
        <f t="shared" si="97"/>
        <v>17.354249970118204</v>
      </c>
      <c r="F409" s="121">
        <f t="shared" si="97"/>
        <v>3.8272574941317239</v>
      </c>
      <c r="G409" s="121">
        <f t="shared" si="97"/>
        <v>16.856633297602336</v>
      </c>
      <c r="H409" s="121">
        <f t="shared" si="97"/>
        <v>304.58333333333331</v>
      </c>
      <c r="I409" s="121">
        <f t="shared" si="97"/>
        <v>271.93333333333334</v>
      </c>
      <c r="J409" s="121">
        <f t="shared" si="97"/>
        <v>62.287916755676271</v>
      </c>
      <c r="K409" s="121">
        <f t="shared" si="97"/>
        <v>60.681442006429037</v>
      </c>
      <c r="L409" s="121">
        <f t="shared" si="97"/>
        <v>43.562583605448403</v>
      </c>
      <c r="M409" s="121">
        <f t="shared" si="97"/>
        <v>12.462816651662191</v>
      </c>
      <c r="N409" s="121">
        <f t="shared" si="97"/>
        <v>17.536633300781251</v>
      </c>
      <c r="O409" s="121">
        <f t="shared" si="97"/>
        <v>16.766666666666666</v>
      </c>
      <c r="P409" s="121">
        <f t="shared" si="97"/>
        <v>0</v>
      </c>
      <c r="Q409" s="121">
        <f t="shared" si="97"/>
        <v>17.283804082870482</v>
      </c>
      <c r="R409" s="121">
        <f t="shared" si="97"/>
        <v>7.7331249872843424</v>
      </c>
      <c r="S409" s="121">
        <f t="shared" si="97"/>
        <v>7.4945997953414913</v>
      </c>
      <c r="T409" s="121">
        <f t="shared" si="97"/>
        <v>5.15</v>
      </c>
      <c r="U409" s="121">
        <f t="shared" si="97"/>
        <v>5.15</v>
      </c>
      <c r="V409" s="121">
        <f t="shared" si="97"/>
        <v>874.88333333333333</v>
      </c>
      <c r="W409" s="121">
        <f t="shared" si="97"/>
        <v>26.383353837331136</v>
      </c>
      <c r="X409" s="121">
        <f t="shared" si="97"/>
        <v>25.602816645304362</v>
      </c>
      <c r="Y409" s="121">
        <f t="shared" si="97"/>
        <v>6.2753833691279093</v>
      </c>
      <c r="Z409" s="121">
        <f t="shared" si="97"/>
        <v>0</v>
      </c>
      <c r="AA409" s="121">
        <f t="shared" si="97"/>
        <v>21.035583337148029</v>
      </c>
      <c r="AB409" s="121">
        <f t="shared" si="97"/>
        <v>0</v>
      </c>
      <c r="AC409" s="121">
        <f t="shared" si="97"/>
        <v>53.582324409484862</v>
      </c>
      <c r="AD409" s="121">
        <f t="shared" si="97"/>
        <v>6.3951000610987343</v>
      </c>
      <c r="AE409" s="121">
        <f t="shared" si="97"/>
        <v>0</v>
      </c>
      <c r="AF409" s="121">
        <f t="shared" si="97"/>
        <v>81.388798904418948</v>
      </c>
      <c r="AG409" s="121">
        <f t="shared" si="97"/>
        <v>0</v>
      </c>
      <c r="AH409" s="121">
        <f t="shared" si="97"/>
        <v>61.518962415059406</v>
      </c>
      <c r="AI409" s="121">
        <f t="shared" si="97"/>
        <v>12.063399982452392</v>
      </c>
      <c r="AJ409" s="121">
        <f t="shared" si="97"/>
        <v>18.582103697458901</v>
      </c>
      <c r="AK409" s="121">
        <f t="shared" si="97"/>
        <v>39.00367838541667</v>
      </c>
      <c r="AL409" s="121">
        <f t="shared" si="97"/>
        <v>37.934199905395509</v>
      </c>
      <c r="AM409" s="121">
        <f t="shared" si="97"/>
        <v>54.790883000691728</v>
      </c>
      <c r="AN409" s="121">
        <f t="shared" si="97"/>
        <v>115.08333333333333</v>
      </c>
      <c r="AO409" s="121">
        <f t="shared" si="97"/>
        <v>60</v>
      </c>
      <c r="AP409" s="121">
        <f t="shared" si="97"/>
        <v>61.310054016113284</v>
      </c>
      <c r="AQ409" s="121">
        <f t="shared" si="97"/>
        <v>36.607338778177898</v>
      </c>
      <c r="AR409" s="121">
        <f t="shared" si="97"/>
        <v>92.033333333333331</v>
      </c>
      <c r="AS409" s="121" t="e">
        <f t="shared" si="97"/>
        <v>#DIV/0!</v>
      </c>
      <c r="AT409" s="121">
        <f t="shared" si="97"/>
        <v>113.58333333333333</v>
      </c>
      <c r="AU409" s="121" t="e">
        <f t="shared" si="97"/>
        <v>#DIV/0!</v>
      </c>
      <c r="AV409" s="121">
        <f t="shared" si="97"/>
        <v>62</v>
      </c>
      <c r="AW409" s="121" t="e">
        <f t="shared" si="97"/>
        <v>#DIV/0!</v>
      </c>
      <c r="AX409" s="121">
        <f t="shared" si="97"/>
        <v>30.116666666666667</v>
      </c>
      <c r="AY409" s="121">
        <f t="shared" si="97"/>
        <v>32.713401095072427</v>
      </c>
      <c r="AZ409" s="121">
        <f t="shared" si="97"/>
        <v>12.683333333333334</v>
      </c>
      <c r="BA409" s="121" t="e">
        <f t="shared" si="97"/>
        <v>#DIV/0!</v>
      </c>
      <c r="BB409" s="121">
        <f t="shared" si="97"/>
        <v>252.93333333333334</v>
      </c>
      <c r="BC409" s="121">
        <f t="shared" si="97"/>
        <v>254.04872131347656</v>
      </c>
      <c r="BD409" s="121">
        <f t="shared" si="97"/>
        <v>6.7316666126251219</v>
      </c>
      <c r="BE409" s="121">
        <f t="shared" si="97"/>
        <v>6.8009422302246092</v>
      </c>
      <c r="BF409" s="121">
        <f t="shared" si="97"/>
        <v>29.616666666666667</v>
      </c>
      <c r="BG409" s="121">
        <f t="shared" si="97"/>
        <v>10.283333333333333</v>
      </c>
      <c r="BH409" s="121">
        <f t="shared" si="97"/>
        <v>11.110169712702433</v>
      </c>
      <c r="BI409" s="121" t="e">
        <f t="shared" si="97"/>
        <v>#DIV/0!</v>
      </c>
      <c r="BJ409" s="121">
        <f t="shared" si="97"/>
        <v>12.383333333333333</v>
      </c>
      <c r="BK409" s="121">
        <f t="shared" si="97"/>
        <v>12.383333333333333</v>
      </c>
      <c r="BL409" s="121">
        <f t="shared" si="97"/>
        <v>0</v>
      </c>
      <c r="BM409" s="121" t="e">
        <f t="shared" si="97"/>
        <v>#DIV/0!</v>
      </c>
      <c r="BN409" s="121">
        <f t="shared" si="97"/>
        <v>121.40666681925455</v>
      </c>
      <c r="BO409" s="121">
        <f t="shared" si="97"/>
        <v>72.55</v>
      </c>
      <c r="BP409" s="121">
        <f t="shared" si="97"/>
        <v>48.856666819254556</v>
      </c>
      <c r="BQ409" s="121">
        <f t="shared" si="97"/>
        <v>268.76666666666665</v>
      </c>
      <c r="BR409" s="121">
        <f t="shared" si="97"/>
        <v>69.903033192952478</v>
      </c>
      <c r="BS409" s="121">
        <f t="shared" ref="BS409:ED409" si="98">AVERAGEA(BS164:BS223)</f>
        <v>24.691466744740804</v>
      </c>
      <c r="BT409" s="121">
        <f t="shared" si="98"/>
        <v>40.731582005818687</v>
      </c>
      <c r="BU409" s="121">
        <f t="shared" si="98"/>
        <v>36.512616793314614</v>
      </c>
      <c r="BV409" s="121">
        <f t="shared" si="98"/>
        <v>69.246666590372726</v>
      </c>
      <c r="BW409" s="121">
        <f t="shared" si="98"/>
        <v>5.9216667175292965</v>
      </c>
      <c r="BX409" s="121">
        <f t="shared" si="98"/>
        <v>13.583333365122478</v>
      </c>
      <c r="BY409" s="121">
        <f t="shared" si="98"/>
        <v>28.4</v>
      </c>
      <c r="BZ409" s="121">
        <f t="shared" si="98"/>
        <v>1.4465523449083169E-2</v>
      </c>
      <c r="CA409" s="121">
        <f t="shared" si="98"/>
        <v>0.91666666666666663</v>
      </c>
      <c r="CB409" s="121">
        <f t="shared" si="98"/>
        <v>29.249525356292725</v>
      </c>
      <c r="CC409" s="121" t="e">
        <f t="shared" si="98"/>
        <v>#DIV/0!</v>
      </c>
      <c r="CD409" s="121">
        <f t="shared" si="98"/>
        <v>343.57881927490234</v>
      </c>
      <c r="CE409" s="121">
        <f t="shared" si="98"/>
        <v>32.694038422902423</v>
      </c>
      <c r="CF409" s="121">
        <f t="shared" si="98"/>
        <v>19.979448731740316</v>
      </c>
      <c r="CG409" s="121">
        <f t="shared" si="98"/>
        <v>35.338191986083984</v>
      </c>
      <c r="CH409" s="121">
        <f t="shared" si="98"/>
        <v>276.00795338948569</v>
      </c>
      <c r="CI409" s="121">
        <f t="shared" si="98"/>
        <v>82.015342076619461</v>
      </c>
      <c r="CJ409" s="121">
        <f t="shared" si="98"/>
        <v>35.141068236033121</v>
      </c>
      <c r="CK409" s="121">
        <f t="shared" si="98"/>
        <v>50.859734217325844</v>
      </c>
      <c r="CL409" s="121">
        <f t="shared" si="98"/>
        <v>28.351565456390382</v>
      </c>
      <c r="CM409" s="121">
        <f t="shared" si="98"/>
        <v>203.22748209635418</v>
      </c>
      <c r="CN409" s="121">
        <f t="shared" si="98"/>
        <v>58.054117329915364</v>
      </c>
      <c r="CO409" s="121">
        <f t="shared" si="98"/>
        <v>62.628822517395022</v>
      </c>
      <c r="CP409" s="121">
        <f t="shared" si="98"/>
        <v>79.530160013834632</v>
      </c>
      <c r="CQ409" s="121">
        <f t="shared" si="98"/>
        <v>0</v>
      </c>
      <c r="CR409" s="121">
        <f t="shared" si="98"/>
        <v>50.050637690226239</v>
      </c>
      <c r="CS409" s="121">
        <f t="shared" si="98"/>
        <v>8.4131090561548874</v>
      </c>
      <c r="CT409" s="121">
        <f t="shared" si="98"/>
        <v>33.211448542277019</v>
      </c>
      <c r="CU409" s="121">
        <f t="shared" si="98"/>
        <v>65.429586474100745</v>
      </c>
      <c r="CV409" s="121">
        <f t="shared" si="98"/>
        <v>59.59494711558024</v>
      </c>
      <c r="CW409" s="121">
        <f t="shared" si="98"/>
        <v>3.3833333333333333</v>
      </c>
      <c r="CX409" s="121">
        <f t="shared" si="98"/>
        <v>307.7</v>
      </c>
      <c r="CY409" s="121">
        <f t="shared" si="98"/>
        <v>113.83927103678386</v>
      </c>
      <c r="CZ409" s="121">
        <f t="shared" si="98"/>
        <v>48.82453149159749</v>
      </c>
      <c r="DA409" s="121">
        <f t="shared" si="98"/>
        <v>19.90616331100464</v>
      </c>
      <c r="DB409" s="121">
        <f t="shared" si="98"/>
        <v>31.939793999989828</v>
      </c>
      <c r="DC409" s="121">
        <f t="shared" si="98"/>
        <v>76.990157318115237</v>
      </c>
      <c r="DD409" s="121">
        <f t="shared" si="98"/>
        <v>55.75</v>
      </c>
      <c r="DE409" s="121">
        <f t="shared" si="98"/>
        <v>174.88333333333333</v>
      </c>
      <c r="DF409" s="121">
        <f t="shared" si="98"/>
        <v>103.03826230367025</v>
      </c>
      <c r="DG409" s="121">
        <f t="shared" si="98"/>
        <v>67.673228073120114</v>
      </c>
      <c r="DH409" s="121">
        <f t="shared" si="98"/>
        <v>46.829908180236814</v>
      </c>
      <c r="DI409" s="121">
        <f t="shared" si="98"/>
        <v>37.948141606648761</v>
      </c>
      <c r="DJ409" s="121">
        <f t="shared" si="98"/>
        <v>204.43333333333334</v>
      </c>
      <c r="DK409" s="121">
        <f t="shared" si="98"/>
        <v>103.51754976908366</v>
      </c>
      <c r="DL409" s="121">
        <f t="shared" si="98"/>
        <v>24.275816694895425</v>
      </c>
      <c r="DM409" s="121">
        <f t="shared" si="98"/>
        <v>25.343250052134195</v>
      </c>
      <c r="DN409" s="121">
        <f t="shared" si="98"/>
        <v>49.049500147501625</v>
      </c>
      <c r="DO409" s="121">
        <f t="shared" si="98"/>
        <v>111.66308835347493</v>
      </c>
      <c r="DP409" s="121">
        <f t="shared" si="98"/>
        <v>15.654083490371704</v>
      </c>
      <c r="DQ409" s="121" t="e">
        <f t="shared" si="98"/>
        <v>#DIV/0!</v>
      </c>
      <c r="DR409" s="121">
        <f t="shared" si="98"/>
        <v>38.6</v>
      </c>
      <c r="DS409" s="121">
        <f t="shared" si="98"/>
        <v>29.858333333333334</v>
      </c>
      <c r="DT409" s="121">
        <f t="shared" si="98"/>
        <v>12.166666666666666</v>
      </c>
      <c r="DU409" s="121" t="e">
        <f t="shared" si="98"/>
        <v>#DIV/0!</v>
      </c>
      <c r="DV409" s="121">
        <f t="shared" si="98"/>
        <v>7.95</v>
      </c>
      <c r="DW409" s="121">
        <f t="shared" si="98"/>
        <v>1.4341311633586884</v>
      </c>
      <c r="DX409" s="121">
        <f t="shared" si="98"/>
        <v>10.050000000000001</v>
      </c>
      <c r="DY409" s="121" t="e">
        <f t="shared" si="98"/>
        <v>#DIV/0!</v>
      </c>
      <c r="DZ409" s="121">
        <f t="shared" si="98"/>
        <v>44.983333333333334</v>
      </c>
      <c r="EA409" s="121">
        <f t="shared" si="98"/>
        <v>3</v>
      </c>
      <c r="EB409" s="121">
        <f t="shared" si="98"/>
        <v>0</v>
      </c>
      <c r="EC409" s="121">
        <f t="shared" si="98"/>
        <v>1.05</v>
      </c>
      <c r="ED409" s="121">
        <f t="shared" si="98"/>
        <v>244.14333318074543</v>
      </c>
      <c r="EE409" s="129"/>
      <c r="EF409" s="129"/>
      <c r="EG409" s="129"/>
    </row>
    <row r="410" spans="1:137" x14ac:dyDescent="0.3">
      <c r="A410" s="5" t="s">
        <v>339</v>
      </c>
      <c r="B410" s="121">
        <f>AVERAGEA(B169:B228)</f>
        <v>217.1</v>
      </c>
      <c r="C410" s="121">
        <f t="shared" ref="C410:BR410" si="99">AVERAGEA(C169:C228)</f>
        <v>48.569183603922525</v>
      </c>
      <c r="D410" s="121">
        <f t="shared" si="99"/>
        <v>97.478050486246744</v>
      </c>
      <c r="E410" s="121">
        <f t="shared" si="99"/>
        <v>17.650166670481365</v>
      </c>
      <c r="F410" s="121">
        <f t="shared" si="99"/>
        <v>3.5044864296913145</v>
      </c>
      <c r="G410" s="121">
        <f t="shared" si="99"/>
        <v>16.758616654078164</v>
      </c>
      <c r="H410" s="121">
        <f t="shared" si="99"/>
        <v>305.83333333333331</v>
      </c>
      <c r="I410" s="121">
        <f t="shared" si="99"/>
        <v>273.16666666666669</v>
      </c>
      <c r="J410" s="121">
        <f t="shared" si="99"/>
        <v>62.238900121053057</v>
      </c>
      <c r="K410" s="121">
        <f t="shared" si="99"/>
        <v>60.569367726643883</v>
      </c>
      <c r="L410" s="121">
        <f t="shared" si="99"/>
        <v>46.166183535257979</v>
      </c>
      <c r="M410" s="121">
        <f t="shared" si="99"/>
        <v>12.379883305231731</v>
      </c>
      <c r="N410" s="121">
        <f t="shared" si="99"/>
        <v>17.473033364613851</v>
      </c>
      <c r="O410" s="121">
        <f t="shared" si="99"/>
        <v>16.783333333333335</v>
      </c>
      <c r="P410" s="121">
        <f t="shared" si="99"/>
        <v>0</v>
      </c>
      <c r="Q410" s="121">
        <f t="shared" si="99"/>
        <v>17.261206038792928</v>
      </c>
      <c r="R410" s="121">
        <f t="shared" si="99"/>
        <v>7.3328124682108564</v>
      </c>
      <c r="S410" s="121">
        <f t="shared" si="99"/>
        <v>7.1084035515785216</v>
      </c>
      <c r="T410" s="121">
        <f t="shared" si="99"/>
        <v>5.9</v>
      </c>
      <c r="U410" s="121">
        <f t="shared" si="99"/>
        <v>5.9</v>
      </c>
      <c r="V410" s="121">
        <f t="shared" si="99"/>
        <v>869.65</v>
      </c>
      <c r="W410" s="121">
        <f t="shared" si="99"/>
        <v>26.340192572275797</v>
      </c>
      <c r="X410" s="121">
        <f t="shared" si="99"/>
        <v>25.459566624959312</v>
      </c>
      <c r="Y410" s="121">
        <f t="shared" si="99"/>
        <v>6.2467667102813724</v>
      </c>
      <c r="Z410" s="121">
        <f t="shared" si="99"/>
        <v>0</v>
      </c>
      <c r="AA410" s="121">
        <f t="shared" si="99"/>
        <v>20.766083335876466</v>
      </c>
      <c r="AB410" s="121">
        <f t="shared" si="99"/>
        <v>0</v>
      </c>
      <c r="AC410" s="121">
        <f t="shared" si="99"/>
        <v>53.327707354227705</v>
      </c>
      <c r="AD410" s="121">
        <f t="shared" si="99"/>
        <v>6.3823833862940473</v>
      </c>
      <c r="AE410" s="121">
        <f t="shared" si="99"/>
        <v>0</v>
      </c>
      <c r="AF410" s="121">
        <f t="shared" si="99"/>
        <v>81.138858540852866</v>
      </c>
      <c r="AG410" s="121">
        <f t="shared" si="99"/>
        <v>0</v>
      </c>
      <c r="AH410" s="121">
        <f t="shared" si="99"/>
        <v>61.195858001708984</v>
      </c>
      <c r="AI410" s="121">
        <f t="shared" si="99"/>
        <v>12.045366652806599</v>
      </c>
      <c r="AJ410" s="121">
        <f t="shared" si="99"/>
        <v>18.27381560007731</v>
      </c>
      <c r="AK410" s="121">
        <f t="shared" si="99"/>
        <v>38.23066234588623</v>
      </c>
      <c r="AL410" s="121">
        <f t="shared" si="99"/>
        <v>37.872333208719887</v>
      </c>
      <c r="AM410" s="121">
        <f t="shared" si="99"/>
        <v>54.743183008829753</v>
      </c>
      <c r="AN410" s="121">
        <f t="shared" si="99"/>
        <v>114.48020833333334</v>
      </c>
      <c r="AO410" s="121">
        <f t="shared" si="99"/>
        <v>59.5</v>
      </c>
      <c r="AP410" s="121">
        <f t="shared" si="99"/>
        <v>61.112387975056969</v>
      </c>
      <c r="AQ410" s="121">
        <f t="shared" si="99"/>
        <v>36.288768450419106</v>
      </c>
      <c r="AR410" s="121">
        <f t="shared" si="99"/>
        <v>92.8</v>
      </c>
      <c r="AS410" s="121" t="e">
        <f t="shared" si="99"/>
        <v>#DIV/0!</v>
      </c>
      <c r="AT410" s="121">
        <f t="shared" si="99"/>
        <v>112.63333333333334</v>
      </c>
      <c r="AU410" s="121" t="e">
        <f t="shared" si="99"/>
        <v>#DIV/0!</v>
      </c>
      <c r="AV410" s="121">
        <f t="shared" si="99"/>
        <v>60.583333333333336</v>
      </c>
      <c r="AW410" s="121" t="e">
        <f t="shared" si="99"/>
        <v>#DIV/0!</v>
      </c>
      <c r="AX410" s="121">
        <f t="shared" si="99"/>
        <v>29.983333333333334</v>
      </c>
      <c r="AY410" s="121">
        <f t="shared" si="99"/>
        <v>32.598888524373372</v>
      </c>
      <c r="AZ410" s="121">
        <f t="shared" si="99"/>
        <v>12.483333333333333</v>
      </c>
      <c r="BA410" s="121" t="e">
        <f t="shared" si="99"/>
        <v>#DIV/0!</v>
      </c>
      <c r="BB410" s="121">
        <f t="shared" si="99"/>
        <v>243.1</v>
      </c>
      <c r="BC410" s="121">
        <f t="shared" si="99"/>
        <v>244.11335779825848</v>
      </c>
      <c r="BD410" s="121">
        <f t="shared" si="99"/>
        <v>6.7199999252955118</v>
      </c>
      <c r="BE410" s="121">
        <f t="shared" si="99"/>
        <v>6.7846521298090616</v>
      </c>
      <c r="BF410" s="121">
        <f t="shared" si="99"/>
        <v>29.583333333333332</v>
      </c>
      <c r="BG410" s="121">
        <f t="shared" si="99"/>
        <v>10.283333333333333</v>
      </c>
      <c r="BH410" s="121">
        <f t="shared" si="99"/>
        <v>11.106196784973145</v>
      </c>
      <c r="BI410" s="121" t="e">
        <f t="shared" si="99"/>
        <v>#DIV/0!</v>
      </c>
      <c r="BJ410" s="121">
        <f t="shared" si="99"/>
        <v>12.133333333333333</v>
      </c>
      <c r="BK410" s="121">
        <f t="shared" si="99"/>
        <v>12.133333333333333</v>
      </c>
      <c r="BL410" s="121">
        <f t="shared" si="99"/>
        <v>0</v>
      </c>
      <c r="BM410" s="121" t="e">
        <f t="shared" si="99"/>
        <v>#DIV/0!</v>
      </c>
      <c r="BN410" s="121">
        <f t="shared" si="99"/>
        <v>121.30333347320557</v>
      </c>
      <c r="BO410" s="121">
        <f t="shared" si="99"/>
        <v>72.516666666666666</v>
      </c>
      <c r="BP410" s="121">
        <f t="shared" si="99"/>
        <v>48.786666806538896</v>
      </c>
      <c r="BQ410" s="121">
        <f t="shared" si="99"/>
        <v>268.13333333333333</v>
      </c>
      <c r="BR410" s="121">
        <f t="shared" si="99"/>
        <v>69.637266413370767</v>
      </c>
      <c r="BS410" s="121">
        <f t="shared" ref="BS410:ED410" si="100">AVERAGEA(BS169:BS228)</f>
        <v>24.729600016276041</v>
      </c>
      <c r="BT410" s="121">
        <f t="shared" si="100"/>
        <v>40.720015335083005</v>
      </c>
      <c r="BU410" s="121">
        <f t="shared" si="100"/>
        <v>36.082166735331221</v>
      </c>
      <c r="BV410" s="121">
        <f t="shared" si="100"/>
        <v>69.148333231608078</v>
      </c>
      <c r="BW410" s="121">
        <f t="shared" si="100"/>
        <v>5.8950000683466595</v>
      </c>
      <c r="BX410" s="121">
        <f t="shared" si="100"/>
        <v>13.603333377838135</v>
      </c>
      <c r="BY410" s="121">
        <f t="shared" si="100"/>
        <v>28.416666666666668</v>
      </c>
      <c r="BZ410" s="121">
        <f t="shared" si="100"/>
        <v>1.4488795151313147E-2</v>
      </c>
      <c r="CA410" s="121">
        <f t="shared" si="100"/>
        <v>0.93333333333333335</v>
      </c>
      <c r="CB410" s="121">
        <f t="shared" si="100"/>
        <v>29.254843012491861</v>
      </c>
      <c r="CC410" s="121" t="e">
        <f t="shared" si="100"/>
        <v>#DIV/0!</v>
      </c>
      <c r="CD410" s="121">
        <f t="shared" si="100"/>
        <v>342.57154439290366</v>
      </c>
      <c r="CE410" s="121">
        <f t="shared" si="100"/>
        <v>32.688936456044516</v>
      </c>
      <c r="CF410" s="121">
        <f t="shared" si="100"/>
        <v>19.73756742477417</v>
      </c>
      <c r="CG410" s="121">
        <f t="shared" si="100"/>
        <v>35.338191986083984</v>
      </c>
      <c r="CH410" s="121">
        <f t="shared" si="100"/>
        <v>275.18309631347654</v>
      </c>
      <c r="CI410" s="121">
        <f t="shared" si="100"/>
        <v>81.834076309204107</v>
      </c>
      <c r="CJ410" s="121">
        <f t="shared" si="100"/>
        <v>35.041326236724856</v>
      </c>
      <c r="CK410" s="121">
        <f t="shared" si="100"/>
        <v>50.768629264831546</v>
      </c>
      <c r="CL410" s="121">
        <f t="shared" si="100"/>
        <v>27.992105293273926</v>
      </c>
      <c r="CM410" s="121">
        <f t="shared" si="100"/>
        <v>201.54597524007161</v>
      </c>
      <c r="CN410" s="121">
        <f t="shared" si="100"/>
        <v>56.951255226135252</v>
      </c>
      <c r="CO410" s="121">
        <f t="shared" si="100"/>
        <v>61.842209561665854</v>
      </c>
      <c r="CP410" s="121">
        <f t="shared" si="100"/>
        <v>79.723513158162433</v>
      </c>
      <c r="CQ410" s="121">
        <f t="shared" si="100"/>
        <v>0</v>
      </c>
      <c r="CR410" s="121">
        <f t="shared" si="100"/>
        <v>49.88688093821208</v>
      </c>
      <c r="CS410" s="121">
        <f t="shared" si="100"/>
        <v>8.3352622906366989</v>
      </c>
      <c r="CT410" s="121">
        <f t="shared" si="100"/>
        <v>33.078236325581869</v>
      </c>
      <c r="CU410" s="121">
        <f t="shared" si="100"/>
        <v>64.74918295542399</v>
      </c>
      <c r="CV410" s="121">
        <f t="shared" si="100"/>
        <v>59.952663294474284</v>
      </c>
      <c r="CW410" s="121">
        <f t="shared" si="100"/>
        <v>3.5333333333333332</v>
      </c>
      <c r="CX410" s="121">
        <f t="shared" si="100"/>
        <v>306.13333333333333</v>
      </c>
      <c r="CY410" s="121">
        <f t="shared" si="100"/>
        <v>113.41783180236817</v>
      </c>
      <c r="CZ410" s="121">
        <f t="shared" si="100"/>
        <v>48.519923909505209</v>
      </c>
      <c r="DA410" s="121">
        <f t="shared" si="100"/>
        <v>19.857429281870523</v>
      </c>
      <c r="DB410" s="121">
        <f t="shared" si="100"/>
        <v>31.956665802001954</v>
      </c>
      <c r="DC410" s="121">
        <f t="shared" si="100"/>
        <v>76.383933258056643</v>
      </c>
      <c r="DD410" s="121">
        <f t="shared" si="100"/>
        <v>54.533333333333331</v>
      </c>
      <c r="DE410" s="121">
        <f t="shared" si="100"/>
        <v>174.11666666666667</v>
      </c>
      <c r="DF410" s="121">
        <f t="shared" si="100"/>
        <v>102.59339536031088</v>
      </c>
      <c r="DG410" s="121">
        <f t="shared" si="100"/>
        <v>67.105204137166339</v>
      </c>
      <c r="DH410" s="121">
        <f t="shared" si="100"/>
        <v>46.340593274434404</v>
      </c>
      <c r="DI410" s="121">
        <f t="shared" si="100"/>
        <v>37.826837857564293</v>
      </c>
      <c r="DJ410" s="121">
        <f t="shared" si="100"/>
        <v>204.33333333333334</v>
      </c>
      <c r="DK410" s="121">
        <f t="shared" si="100"/>
        <v>103.20368309020996</v>
      </c>
      <c r="DL410" s="121">
        <f t="shared" si="100"/>
        <v>24.302200063069662</v>
      </c>
      <c r="DM410" s="121">
        <f t="shared" si="100"/>
        <v>25.187166722615562</v>
      </c>
      <c r="DN410" s="121">
        <f t="shared" si="100"/>
        <v>48.934650166829428</v>
      </c>
      <c r="DO410" s="121">
        <f t="shared" si="100"/>
        <v>111.79602190653483</v>
      </c>
      <c r="DP410" s="121">
        <f t="shared" si="100"/>
        <v>15.598000192642212</v>
      </c>
      <c r="DQ410" s="121" t="e">
        <f t="shared" si="100"/>
        <v>#DIV/0!</v>
      </c>
      <c r="DR410" s="121">
        <f t="shared" si="100"/>
        <v>33.016666666666666</v>
      </c>
      <c r="DS410" s="121">
        <f t="shared" si="100"/>
        <v>29.658333333333335</v>
      </c>
      <c r="DT410" s="121">
        <f t="shared" si="100"/>
        <v>12.216666666666667</v>
      </c>
      <c r="DU410" s="121" t="e">
        <f t="shared" si="100"/>
        <v>#DIV/0!</v>
      </c>
      <c r="DV410" s="121">
        <f t="shared" si="100"/>
        <v>7.95</v>
      </c>
      <c r="DW410" s="121">
        <f t="shared" si="100"/>
        <v>1.6500895142555236</v>
      </c>
      <c r="DX410" s="121">
        <f t="shared" si="100"/>
        <v>10.083333333333334</v>
      </c>
      <c r="DY410" s="121" t="e">
        <f t="shared" si="100"/>
        <v>#DIV/0!</v>
      </c>
      <c r="DZ410" s="121">
        <f t="shared" si="100"/>
        <v>45.016666666666666</v>
      </c>
      <c r="EA410" s="121">
        <f t="shared" si="100"/>
        <v>3</v>
      </c>
      <c r="EB410" s="121">
        <f t="shared" si="100"/>
        <v>0</v>
      </c>
      <c r="EC410" s="121">
        <f t="shared" si="100"/>
        <v>1.0666666666666667</v>
      </c>
      <c r="ED410" s="121">
        <f t="shared" si="100"/>
        <v>242.59166666666667</v>
      </c>
      <c r="EE410" s="129"/>
      <c r="EF410" s="129"/>
      <c r="EG410" s="129"/>
    </row>
    <row r="411" spans="1:137" x14ac:dyDescent="0.3">
      <c r="A411" s="5" t="s">
        <v>340</v>
      </c>
      <c r="B411" s="121">
        <f>AVERAGEA(B174:B233)</f>
        <v>215.5</v>
      </c>
      <c r="C411" s="121">
        <f t="shared" ref="C411:BR411" si="101">AVERAGEA(C174:C233)</f>
        <v>48.554100290934244</v>
      </c>
      <c r="D411" s="121">
        <f t="shared" si="101"/>
        <v>96.993633778889972</v>
      </c>
      <c r="E411" s="121">
        <f t="shared" si="101"/>
        <v>17.908416668574016</v>
      </c>
      <c r="F411" s="121">
        <f t="shared" si="101"/>
        <v>3.4155050396919249</v>
      </c>
      <c r="G411" s="121">
        <f t="shared" si="101"/>
        <v>16.801950025558472</v>
      </c>
      <c r="H411" s="121">
        <f t="shared" si="101"/>
        <v>309.95</v>
      </c>
      <c r="I411" s="121">
        <f t="shared" si="101"/>
        <v>276.93333333333334</v>
      </c>
      <c r="J411" s="121">
        <f t="shared" si="101"/>
        <v>61.909016927083336</v>
      </c>
      <c r="K411" s="121">
        <f t="shared" si="101"/>
        <v>60.512319056193036</v>
      </c>
      <c r="L411" s="121">
        <f t="shared" si="101"/>
        <v>50.840283457438154</v>
      </c>
      <c r="M411" s="121">
        <f t="shared" si="101"/>
        <v>12.393083318074543</v>
      </c>
      <c r="N411" s="121">
        <f t="shared" si="101"/>
        <v>17.487883313496908</v>
      </c>
      <c r="O411" s="121">
        <f t="shared" si="101"/>
        <v>16.816666666666666</v>
      </c>
      <c r="P411" s="121">
        <f t="shared" si="101"/>
        <v>0</v>
      </c>
      <c r="Q411" s="121">
        <f t="shared" si="101"/>
        <v>17.282613833745319</v>
      </c>
      <c r="R411" s="121">
        <f t="shared" si="101"/>
        <v>6.8660937150319414</v>
      </c>
      <c r="S411" s="121">
        <f t="shared" si="101"/>
        <v>6.8059304992357887</v>
      </c>
      <c r="T411" s="121">
        <f t="shared" si="101"/>
        <v>5.9666666666666668</v>
      </c>
      <c r="U411" s="121">
        <f t="shared" si="101"/>
        <v>5.9666666666666668</v>
      </c>
      <c r="V411" s="121">
        <f t="shared" si="101"/>
        <v>862.33333333333337</v>
      </c>
      <c r="W411" s="121">
        <f t="shared" si="101"/>
        <v>26.206755987803142</v>
      </c>
      <c r="X411" s="121">
        <f t="shared" si="101"/>
        <v>25.344599914550781</v>
      </c>
      <c r="Y411" s="121">
        <f t="shared" si="101"/>
        <v>6.123783373832703</v>
      </c>
      <c r="Z411" s="121">
        <f t="shared" si="101"/>
        <v>0</v>
      </c>
      <c r="AA411" s="121">
        <f t="shared" si="101"/>
        <v>20.747233295440672</v>
      </c>
      <c r="AB411" s="121">
        <f t="shared" si="101"/>
        <v>0</v>
      </c>
      <c r="AC411" s="121">
        <f t="shared" si="101"/>
        <v>53.082488250732425</v>
      </c>
      <c r="AD411" s="121">
        <f t="shared" si="101"/>
        <v>6.3739167133967083</v>
      </c>
      <c r="AE411" s="121">
        <f t="shared" si="101"/>
        <v>0</v>
      </c>
      <c r="AF411" s="121">
        <f t="shared" si="101"/>
        <v>80.960501480102536</v>
      </c>
      <c r="AG411" s="121">
        <f t="shared" si="101"/>
        <v>0</v>
      </c>
      <c r="AH411" s="121">
        <f t="shared" si="101"/>
        <v>61.028030395507813</v>
      </c>
      <c r="AI411" s="121">
        <f t="shared" si="101"/>
        <v>12.130200004577636</v>
      </c>
      <c r="AJ411" s="121">
        <f t="shared" si="101"/>
        <v>18.082488727569579</v>
      </c>
      <c r="AK411" s="121">
        <f t="shared" si="101"/>
        <v>37.526006253560382</v>
      </c>
      <c r="AL411" s="121">
        <f t="shared" si="101"/>
        <v>37.704466565450033</v>
      </c>
      <c r="AM411" s="121">
        <f t="shared" si="101"/>
        <v>54.998699696858722</v>
      </c>
      <c r="AN411" s="121">
        <f t="shared" si="101"/>
        <v>113.89270833333333</v>
      </c>
      <c r="AO411" s="121">
        <f t="shared" si="101"/>
        <v>59.083333333333336</v>
      </c>
      <c r="AP411" s="121">
        <f t="shared" si="101"/>
        <v>60.88529186248779</v>
      </c>
      <c r="AQ411" s="121">
        <f t="shared" si="101"/>
        <v>36.080599912007649</v>
      </c>
      <c r="AR411" s="121">
        <f t="shared" si="101"/>
        <v>93.5</v>
      </c>
      <c r="AS411" s="121" t="e">
        <f t="shared" si="101"/>
        <v>#DIV/0!</v>
      </c>
      <c r="AT411" s="121">
        <f t="shared" si="101"/>
        <v>111.75</v>
      </c>
      <c r="AU411" s="121" t="e">
        <f t="shared" si="101"/>
        <v>#DIV/0!</v>
      </c>
      <c r="AV411" s="121">
        <f t="shared" si="101"/>
        <v>59.383333333333333</v>
      </c>
      <c r="AW411" s="121" t="e">
        <f t="shared" si="101"/>
        <v>#DIV/0!</v>
      </c>
      <c r="AX411" s="121">
        <f t="shared" si="101"/>
        <v>29.866666666666667</v>
      </c>
      <c r="AY411" s="121">
        <f t="shared" si="101"/>
        <v>32.505854415893552</v>
      </c>
      <c r="AZ411" s="121">
        <f t="shared" si="101"/>
        <v>12.25</v>
      </c>
      <c r="BA411" s="121" t="e">
        <f t="shared" si="101"/>
        <v>#DIV/0!</v>
      </c>
      <c r="BB411" s="121">
        <f t="shared" si="101"/>
        <v>233.23333333333332</v>
      </c>
      <c r="BC411" s="121">
        <f t="shared" si="101"/>
        <v>234.11618169148764</v>
      </c>
      <c r="BD411" s="121">
        <f t="shared" si="101"/>
        <v>6.7016665697097775</v>
      </c>
      <c r="BE411" s="121">
        <f t="shared" si="101"/>
        <v>6.7698953787485756</v>
      </c>
      <c r="BF411" s="121">
        <f t="shared" si="101"/>
        <v>29.483333333333334</v>
      </c>
      <c r="BG411" s="121">
        <f t="shared" si="101"/>
        <v>10.283333333333333</v>
      </c>
      <c r="BH411" s="121">
        <f t="shared" si="101"/>
        <v>11.101777299245198</v>
      </c>
      <c r="BI411" s="121" t="e">
        <f t="shared" si="101"/>
        <v>#DIV/0!</v>
      </c>
      <c r="BJ411" s="121">
        <f t="shared" si="101"/>
        <v>11.833333333333334</v>
      </c>
      <c r="BK411" s="121">
        <f t="shared" si="101"/>
        <v>11.833333333333334</v>
      </c>
      <c r="BL411" s="121">
        <f t="shared" si="101"/>
        <v>0</v>
      </c>
      <c r="BM411" s="121" t="e">
        <f t="shared" si="101"/>
        <v>#DIV/0!</v>
      </c>
      <c r="BN411" s="121">
        <f t="shared" si="101"/>
        <v>121.25833352406819</v>
      </c>
      <c r="BO411" s="121">
        <f t="shared" si="101"/>
        <v>72.516666666666666</v>
      </c>
      <c r="BP411" s="121">
        <f t="shared" si="101"/>
        <v>48.741666857401533</v>
      </c>
      <c r="BQ411" s="121">
        <f t="shared" si="101"/>
        <v>267.43333333333334</v>
      </c>
      <c r="BR411" s="121">
        <f t="shared" si="101"/>
        <v>69.526049804687503</v>
      </c>
      <c r="BS411" s="121">
        <f t="shared" ref="BS411:ED411" si="102">AVERAGEA(BS174:BS233)</f>
        <v>24.674466737111409</v>
      </c>
      <c r="BT411" s="121">
        <f t="shared" si="102"/>
        <v>40.685382016499837</v>
      </c>
      <c r="BU411" s="121">
        <f t="shared" si="102"/>
        <v>35.490516789754231</v>
      </c>
      <c r="BV411" s="121">
        <f t="shared" si="102"/>
        <v>69.11666641235351</v>
      </c>
      <c r="BW411" s="121">
        <f t="shared" si="102"/>
        <v>5.8833334128061932</v>
      </c>
      <c r="BX411" s="121">
        <f t="shared" si="102"/>
        <v>13.616666730244955</v>
      </c>
      <c r="BY411" s="121">
        <f t="shared" si="102"/>
        <v>28.383333333333333</v>
      </c>
      <c r="BZ411" s="121">
        <f t="shared" si="102"/>
        <v>1.4356566732749343E-2</v>
      </c>
      <c r="CA411" s="121">
        <f t="shared" si="102"/>
        <v>0.93333333333333335</v>
      </c>
      <c r="CB411" s="121">
        <f t="shared" si="102"/>
        <v>29.263749758402508</v>
      </c>
      <c r="CC411" s="121" t="e">
        <f t="shared" si="102"/>
        <v>#DIV/0!</v>
      </c>
      <c r="CD411" s="121">
        <f t="shared" si="102"/>
        <v>341.5341506958008</v>
      </c>
      <c r="CE411" s="121">
        <f t="shared" si="102"/>
        <v>32.542429955800372</v>
      </c>
      <c r="CF411" s="121">
        <f t="shared" si="102"/>
        <v>19.566519896189373</v>
      </c>
      <c r="CG411" s="121">
        <f t="shared" si="102"/>
        <v>35.338191986083984</v>
      </c>
      <c r="CH411" s="121">
        <f t="shared" si="102"/>
        <v>274.45888468424477</v>
      </c>
      <c r="CI411" s="121">
        <f t="shared" si="102"/>
        <v>81.56521352132161</v>
      </c>
      <c r="CJ411" s="121">
        <f t="shared" si="102"/>
        <v>34.927150090535484</v>
      </c>
      <c r="CK411" s="121">
        <f t="shared" si="102"/>
        <v>50.717188580830893</v>
      </c>
      <c r="CL411" s="121">
        <f t="shared" si="102"/>
        <v>27.663226826985678</v>
      </c>
      <c r="CM411" s="121">
        <f t="shared" si="102"/>
        <v>200.19662348429361</v>
      </c>
      <c r="CN411" s="121">
        <f t="shared" si="102"/>
        <v>56.315889739990233</v>
      </c>
      <c r="CO411" s="121">
        <f t="shared" si="102"/>
        <v>60.924079958597822</v>
      </c>
      <c r="CP411" s="121">
        <f t="shared" si="102"/>
        <v>79.765571594238281</v>
      </c>
      <c r="CQ411" s="121">
        <f t="shared" si="102"/>
        <v>0</v>
      </c>
      <c r="CR411" s="121">
        <f t="shared" si="102"/>
        <v>49.741991488138837</v>
      </c>
      <c r="CS411" s="121">
        <f t="shared" si="102"/>
        <v>8.2395986398061112</v>
      </c>
      <c r="CT411" s="121">
        <f t="shared" si="102"/>
        <v>33.039189529418948</v>
      </c>
      <c r="CU411" s="121">
        <f t="shared" si="102"/>
        <v>63.376326052347821</v>
      </c>
      <c r="CV411" s="121">
        <f t="shared" si="102"/>
        <v>60.242531458536781</v>
      </c>
      <c r="CW411" s="121">
        <f t="shared" si="102"/>
        <v>3.5833333333333335</v>
      </c>
      <c r="CX411" s="121">
        <f t="shared" si="102"/>
        <v>305.18333333333334</v>
      </c>
      <c r="CY411" s="121">
        <f t="shared" si="102"/>
        <v>113.15171165466309</v>
      </c>
      <c r="CZ411" s="121">
        <f t="shared" si="102"/>
        <v>48.241590309143064</v>
      </c>
      <c r="DA411" s="121">
        <f t="shared" si="102"/>
        <v>19.787509123484295</v>
      </c>
      <c r="DB411" s="121">
        <f t="shared" si="102"/>
        <v>31.954083919525146</v>
      </c>
      <c r="DC411" s="121">
        <f t="shared" si="102"/>
        <v>75.969717661539718</v>
      </c>
      <c r="DD411" s="121">
        <f t="shared" si="102"/>
        <v>53.8</v>
      </c>
      <c r="DE411" s="121">
        <f t="shared" si="102"/>
        <v>173.45</v>
      </c>
      <c r="DF411" s="121">
        <f t="shared" si="102"/>
        <v>102.15262629191081</v>
      </c>
      <c r="DG411" s="121">
        <f t="shared" si="102"/>
        <v>66.545463371276853</v>
      </c>
      <c r="DH411" s="121">
        <f t="shared" si="102"/>
        <v>45.88184954325358</v>
      </c>
      <c r="DI411" s="121">
        <f t="shared" si="102"/>
        <v>37.851732190450029</v>
      </c>
      <c r="DJ411" s="121">
        <f t="shared" si="102"/>
        <v>204.05</v>
      </c>
      <c r="DK411" s="121">
        <f t="shared" si="102"/>
        <v>103.05523300170898</v>
      </c>
      <c r="DL411" s="121">
        <f t="shared" si="102"/>
        <v>24.23056672414144</v>
      </c>
      <c r="DM411" s="121">
        <f t="shared" si="102"/>
        <v>24.936833381652832</v>
      </c>
      <c r="DN411" s="121">
        <f t="shared" si="102"/>
        <v>48.875750096638996</v>
      </c>
      <c r="DO411" s="121">
        <f t="shared" si="102"/>
        <v>111.77073071797689</v>
      </c>
      <c r="DP411" s="121">
        <f t="shared" si="102"/>
        <v>15.578183523813884</v>
      </c>
      <c r="DQ411" s="121" t="e">
        <f t="shared" si="102"/>
        <v>#DIV/0!</v>
      </c>
      <c r="DR411" s="121">
        <f t="shared" si="102"/>
        <v>27.433333333333334</v>
      </c>
      <c r="DS411" s="121">
        <f t="shared" si="102"/>
        <v>29.579999987284342</v>
      </c>
      <c r="DT411" s="121">
        <f t="shared" si="102"/>
        <v>12.216666666666667</v>
      </c>
      <c r="DU411" s="121" t="e">
        <f t="shared" si="102"/>
        <v>#DIV/0!</v>
      </c>
      <c r="DV411" s="121">
        <f t="shared" si="102"/>
        <v>7.9833333333333334</v>
      </c>
      <c r="DW411" s="121">
        <f t="shared" si="102"/>
        <v>1.8433276792367299</v>
      </c>
      <c r="DX411" s="121">
        <f t="shared" si="102"/>
        <v>10.116666666666667</v>
      </c>
      <c r="DY411" s="121" t="e">
        <f t="shared" si="102"/>
        <v>#DIV/0!</v>
      </c>
      <c r="DZ411" s="121">
        <f t="shared" si="102"/>
        <v>44.983333333333334</v>
      </c>
      <c r="EA411" s="121">
        <f t="shared" si="102"/>
        <v>3</v>
      </c>
      <c r="EB411" s="121">
        <f t="shared" si="102"/>
        <v>0</v>
      </c>
      <c r="EC411" s="121">
        <f t="shared" si="102"/>
        <v>1.0333333333333334</v>
      </c>
      <c r="ED411" s="121">
        <f t="shared" si="102"/>
        <v>241.26166661580405</v>
      </c>
      <c r="EE411" s="129"/>
      <c r="EF411" s="129"/>
      <c r="EG411" s="129"/>
    </row>
    <row r="412" spans="1:137" x14ac:dyDescent="0.3">
      <c r="A412" s="5" t="s">
        <v>341</v>
      </c>
      <c r="B412" s="121">
        <f>AVERAGEA(B179:B238)</f>
        <v>213.43333333333334</v>
      </c>
      <c r="C412" s="121">
        <f t="shared" ref="C412:BR412" si="103">AVERAGEA(C179:C238)</f>
        <v>48.644533538818358</v>
      </c>
      <c r="D412" s="121">
        <f t="shared" si="103"/>
        <v>96.533717091878259</v>
      </c>
      <c r="E412" s="121">
        <f t="shared" si="103"/>
        <v>19.218433316548666</v>
      </c>
      <c r="F412" s="121">
        <f t="shared" si="103"/>
        <v>3.0179314057032269</v>
      </c>
      <c r="G412" s="121">
        <f t="shared" si="103"/>
        <v>16.815150022506714</v>
      </c>
      <c r="H412" s="121">
        <f t="shared" si="103"/>
        <v>313.8</v>
      </c>
      <c r="I412" s="121">
        <f t="shared" si="103"/>
        <v>280.33333333333331</v>
      </c>
      <c r="J412" s="121">
        <f t="shared" si="103"/>
        <v>61.45283368428548</v>
      </c>
      <c r="K412" s="121">
        <f t="shared" si="103"/>
        <v>60.453416887919111</v>
      </c>
      <c r="L412" s="121">
        <f t="shared" si="103"/>
        <v>55.470200030008954</v>
      </c>
      <c r="M412" s="121">
        <f t="shared" si="103"/>
        <v>12.374233309427897</v>
      </c>
      <c r="N412" s="121">
        <f t="shared" si="103"/>
        <v>17.52181666692098</v>
      </c>
      <c r="O412" s="121">
        <f t="shared" si="103"/>
        <v>16.8</v>
      </c>
      <c r="P412" s="121">
        <f t="shared" si="103"/>
        <v>0</v>
      </c>
      <c r="Q412" s="121">
        <f t="shared" si="103"/>
        <v>17.23603761990865</v>
      </c>
      <c r="R412" s="121">
        <f t="shared" si="103"/>
        <v>6.4659374554951983</v>
      </c>
      <c r="S412" s="121">
        <f t="shared" si="103"/>
        <v>6.4819890300432839</v>
      </c>
      <c r="T412" s="121">
        <f t="shared" si="103"/>
        <v>5.2166666666666668</v>
      </c>
      <c r="U412" s="121">
        <f t="shared" si="103"/>
        <v>5.2166666666666668</v>
      </c>
      <c r="V412" s="121">
        <f t="shared" si="103"/>
        <v>858.9</v>
      </c>
      <c r="W412" s="121">
        <f t="shared" si="103"/>
        <v>26.116457207997641</v>
      </c>
      <c r="X412" s="121">
        <f t="shared" si="103"/>
        <v>25.203216584523521</v>
      </c>
      <c r="Y412" s="121">
        <f t="shared" si="103"/>
        <v>6.0887833754221594</v>
      </c>
      <c r="Z412" s="121">
        <f t="shared" si="103"/>
        <v>0</v>
      </c>
      <c r="AA412" s="121">
        <f t="shared" si="103"/>
        <v>20.749100017547608</v>
      </c>
      <c r="AB412" s="121">
        <f t="shared" si="103"/>
        <v>0</v>
      </c>
      <c r="AC412" s="121">
        <f t="shared" si="103"/>
        <v>52.740436172485353</v>
      </c>
      <c r="AD412" s="121">
        <f t="shared" si="103"/>
        <v>6.3739167133967083</v>
      </c>
      <c r="AE412" s="121">
        <f t="shared" si="103"/>
        <v>0</v>
      </c>
      <c r="AF412" s="121">
        <f t="shared" si="103"/>
        <v>80.784274673461908</v>
      </c>
      <c r="AG412" s="121">
        <f t="shared" si="103"/>
        <v>0</v>
      </c>
      <c r="AH412" s="121">
        <f t="shared" si="103"/>
        <v>60.898155339558919</v>
      </c>
      <c r="AI412" s="121">
        <f t="shared" si="103"/>
        <v>12.283966668446858</v>
      </c>
      <c r="AJ412" s="121">
        <f t="shared" si="103"/>
        <v>17.902154477437339</v>
      </c>
      <c r="AK412" s="121">
        <f t="shared" si="103"/>
        <v>36.760737101236977</v>
      </c>
      <c r="AL412" s="121">
        <f t="shared" si="103"/>
        <v>37.595483271280926</v>
      </c>
      <c r="AM412" s="121">
        <f t="shared" si="103"/>
        <v>55.016699727376299</v>
      </c>
      <c r="AN412" s="121">
        <f t="shared" si="103"/>
        <v>113.27395833333334</v>
      </c>
      <c r="AO412" s="121">
        <f t="shared" si="103"/>
        <v>58.7</v>
      </c>
      <c r="AP412" s="121">
        <f t="shared" si="103"/>
        <v>60.651104545593263</v>
      </c>
      <c r="AQ412" s="121">
        <f t="shared" si="103"/>
        <v>35.843596331278484</v>
      </c>
      <c r="AR412" s="121">
        <f t="shared" si="103"/>
        <v>94.11666666666666</v>
      </c>
      <c r="AS412" s="121" t="e">
        <f t="shared" si="103"/>
        <v>#DIV/0!</v>
      </c>
      <c r="AT412" s="121">
        <f t="shared" si="103"/>
        <v>110.93333333333334</v>
      </c>
      <c r="AU412" s="121" t="e">
        <f t="shared" si="103"/>
        <v>#DIV/0!</v>
      </c>
      <c r="AV412" s="121">
        <f t="shared" si="103"/>
        <v>58.116666666666667</v>
      </c>
      <c r="AW412" s="121" t="e">
        <f t="shared" si="103"/>
        <v>#DIV/0!</v>
      </c>
      <c r="AX412" s="121">
        <f t="shared" si="103"/>
        <v>29.75</v>
      </c>
      <c r="AY412" s="121">
        <f t="shared" si="103"/>
        <v>32.457546869913735</v>
      </c>
      <c r="AZ412" s="121">
        <f t="shared" si="103"/>
        <v>12.133333333333333</v>
      </c>
      <c r="BA412" s="121" t="e">
        <f t="shared" si="103"/>
        <v>#DIV/0!</v>
      </c>
      <c r="BB412" s="121">
        <f t="shared" si="103"/>
        <v>223.45</v>
      </c>
      <c r="BC412" s="121">
        <f t="shared" si="103"/>
        <v>224.1967648824056</v>
      </c>
      <c r="BD412" s="121">
        <f t="shared" si="103"/>
        <v>6.698333231608073</v>
      </c>
      <c r="BE412" s="121">
        <f t="shared" si="103"/>
        <v>6.7642442385355634</v>
      </c>
      <c r="BF412" s="121">
        <f t="shared" si="103"/>
        <v>29.483333333333334</v>
      </c>
      <c r="BG412" s="121">
        <f t="shared" si="103"/>
        <v>10.283333333333333</v>
      </c>
      <c r="BH412" s="121">
        <f t="shared" si="103"/>
        <v>11.097678295771281</v>
      </c>
      <c r="BI412" s="121" t="e">
        <f t="shared" si="103"/>
        <v>#DIV/0!</v>
      </c>
      <c r="BJ412" s="121">
        <f t="shared" si="103"/>
        <v>11.7</v>
      </c>
      <c r="BK412" s="121">
        <f t="shared" si="103"/>
        <v>11.7</v>
      </c>
      <c r="BL412" s="121">
        <f t="shared" si="103"/>
        <v>0</v>
      </c>
      <c r="BM412" s="121" t="e">
        <f t="shared" si="103"/>
        <v>#DIV/0!</v>
      </c>
      <c r="BN412" s="121">
        <f t="shared" si="103"/>
        <v>121.22333354949951</v>
      </c>
      <c r="BO412" s="121">
        <f t="shared" si="103"/>
        <v>72.516666666666666</v>
      </c>
      <c r="BP412" s="121">
        <f t="shared" si="103"/>
        <v>48.706666882832842</v>
      </c>
      <c r="BQ412" s="121">
        <f t="shared" si="103"/>
        <v>266.73333333333335</v>
      </c>
      <c r="BR412" s="121">
        <f t="shared" si="103"/>
        <v>69.341316350301113</v>
      </c>
      <c r="BS412" s="121">
        <f t="shared" ref="BS412:ED412" si="104">AVERAGEA(BS179:BS238)</f>
        <v>24.729600048065187</v>
      </c>
      <c r="BT412" s="121">
        <f t="shared" si="104"/>
        <v>40.668032010396324</v>
      </c>
      <c r="BU412" s="121">
        <f t="shared" si="104"/>
        <v>35.204233487447105</v>
      </c>
      <c r="BV412" s="121">
        <f t="shared" si="104"/>
        <v>69.044999567667645</v>
      </c>
      <c r="BW412" s="121">
        <f t="shared" si="104"/>
        <v>5.8616667588551836</v>
      </c>
      <c r="BX412" s="121">
        <f t="shared" si="104"/>
        <v>13.585000054041545</v>
      </c>
      <c r="BY412" s="121">
        <f t="shared" si="104"/>
        <v>28.383333333333333</v>
      </c>
      <c r="BZ412" s="121">
        <f t="shared" si="104"/>
        <v>1.4344203270350893E-2</v>
      </c>
      <c r="CA412" s="121">
        <f t="shared" si="104"/>
        <v>0.95</v>
      </c>
      <c r="CB412" s="121">
        <f t="shared" si="104"/>
        <v>29.26607109705607</v>
      </c>
      <c r="CC412" s="121" t="e">
        <f t="shared" si="104"/>
        <v>#DIV/0!</v>
      </c>
      <c r="CD412" s="121">
        <f t="shared" si="104"/>
        <v>340.40199839274089</v>
      </c>
      <c r="CE412" s="121">
        <f t="shared" si="104"/>
        <v>32.376034037272134</v>
      </c>
      <c r="CF412" s="121">
        <f t="shared" si="104"/>
        <v>19.333553059895834</v>
      </c>
      <c r="CG412" s="121">
        <f t="shared" si="104"/>
        <v>35.338191986083984</v>
      </c>
      <c r="CH412" s="121">
        <f t="shared" si="104"/>
        <v>273.79851481119789</v>
      </c>
      <c r="CI412" s="121">
        <f t="shared" si="104"/>
        <v>81.361144129435218</v>
      </c>
      <c r="CJ412" s="121">
        <f t="shared" si="104"/>
        <v>34.917637379964191</v>
      </c>
      <c r="CK412" s="121">
        <f t="shared" si="104"/>
        <v>50.457396888732909</v>
      </c>
      <c r="CL412" s="121">
        <f t="shared" si="104"/>
        <v>27.344240442911783</v>
      </c>
      <c r="CM412" s="121">
        <f t="shared" si="104"/>
        <v>198.3435043334961</v>
      </c>
      <c r="CN412" s="121">
        <f t="shared" si="104"/>
        <v>55.942191314697268</v>
      </c>
      <c r="CO412" s="121">
        <f t="shared" si="104"/>
        <v>60.136212539672854</v>
      </c>
      <c r="CP412" s="121">
        <f t="shared" si="104"/>
        <v>79.121757253011069</v>
      </c>
      <c r="CQ412" s="121">
        <f t="shared" si="104"/>
        <v>0</v>
      </c>
      <c r="CR412" s="121">
        <f t="shared" si="104"/>
        <v>49.554829788208011</v>
      </c>
      <c r="CS412" s="121">
        <f t="shared" si="104"/>
        <v>8.2049682299296069</v>
      </c>
      <c r="CT412" s="121">
        <f t="shared" si="104"/>
        <v>32.937600835164389</v>
      </c>
      <c r="CU412" s="121">
        <f t="shared" si="104"/>
        <v>62.105224545796709</v>
      </c>
      <c r="CV412" s="121">
        <f t="shared" si="104"/>
        <v>60.375855827331542</v>
      </c>
      <c r="CW412" s="121">
        <f t="shared" si="104"/>
        <v>3.6666666666666665</v>
      </c>
      <c r="CX412" s="121">
        <f t="shared" si="104"/>
        <v>303.86666666666667</v>
      </c>
      <c r="CY412" s="121">
        <f t="shared" si="104"/>
        <v>112.81109733581543</v>
      </c>
      <c r="CZ412" s="121">
        <f t="shared" si="104"/>
        <v>47.772500928242998</v>
      </c>
      <c r="DA412" s="121">
        <f t="shared" si="104"/>
        <v>19.750080744425457</v>
      </c>
      <c r="DB412" s="121">
        <f t="shared" si="104"/>
        <v>31.988396199544272</v>
      </c>
      <c r="DC412" s="121">
        <f t="shared" si="104"/>
        <v>75.336104583740237</v>
      </c>
      <c r="DD412" s="121">
        <f t="shared" si="104"/>
        <v>53.25</v>
      </c>
      <c r="DE412" s="121">
        <f t="shared" si="104"/>
        <v>172.7</v>
      </c>
      <c r="DF412" s="121">
        <f t="shared" si="104"/>
        <v>101.64888381958008</v>
      </c>
      <c r="DG412" s="121">
        <f t="shared" si="104"/>
        <v>65.999193636576337</v>
      </c>
      <c r="DH412" s="121">
        <f t="shared" si="104"/>
        <v>45.305282974243163</v>
      </c>
      <c r="DI412" s="121">
        <f t="shared" si="104"/>
        <v>37.877311833699544</v>
      </c>
      <c r="DJ412" s="121">
        <f t="shared" si="104"/>
        <v>203.63333333333333</v>
      </c>
      <c r="DK412" s="121">
        <f t="shared" si="104"/>
        <v>102.67774963378906</v>
      </c>
      <c r="DL412" s="121">
        <f t="shared" si="104"/>
        <v>24.160816733042399</v>
      </c>
      <c r="DM412" s="121">
        <f t="shared" si="104"/>
        <v>24.704150009155274</v>
      </c>
      <c r="DN412" s="121">
        <f t="shared" si="104"/>
        <v>48.793300056457518</v>
      </c>
      <c r="DO412" s="121">
        <f t="shared" si="104"/>
        <v>111.60725390116373</v>
      </c>
      <c r="DP412" s="121">
        <f t="shared" si="104"/>
        <v>15.568750190734864</v>
      </c>
      <c r="DQ412" s="121" t="e">
        <f t="shared" si="104"/>
        <v>#DIV/0!</v>
      </c>
      <c r="DR412" s="121">
        <f t="shared" si="104"/>
        <v>21.85</v>
      </c>
      <c r="DS412" s="121">
        <f t="shared" si="104"/>
        <v>29.548333358764648</v>
      </c>
      <c r="DT412" s="121">
        <f t="shared" si="104"/>
        <v>12.216666666666667</v>
      </c>
      <c r="DU412" s="121" t="e">
        <f t="shared" si="104"/>
        <v>#DIV/0!</v>
      </c>
      <c r="DV412" s="121">
        <f t="shared" si="104"/>
        <v>8.15</v>
      </c>
      <c r="DW412" s="121">
        <f t="shared" si="104"/>
        <v>2.0037821869055432</v>
      </c>
      <c r="DX412" s="121">
        <f t="shared" si="104"/>
        <v>10.15</v>
      </c>
      <c r="DY412" s="121" t="e">
        <f t="shared" si="104"/>
        <v>#DIV/0!</v>
      </c>
      <c r="DZ412" s="121">
        <f t="shared" si="104"/>
        <v>44.93333333333333</v>
      </c>
      <c r="EA412" s="121">
        <f t="shared" si="104"/>
        <v>3</v>
      </c>
      <c r="EB412" s="121">
        <f t="shared" si="104"/>
        <v>0</v>
      </c>
      <c r="EC412" s="121">
        <f t="shared" si="104"/>
        <v>1.0333333333333334</v>
      </c>
      <c r="ED412" s="121">
        <f t="shared" si="104"/>
        <v>239.83833338419598</v>
      </c>
      <c r="EE412" s="129"/>
      <c r="EF412" s="129"/>
      <c r="EG412" s="129"/>
    </row>
    <row r="413" spans="1:137" x14ac:dyDescent="0.3">
      <c r="A413" s="160" t="s">
        <v>648</v>
      </c>
      <c r="B413" s="121">
        <f>AVERAGEA(B184:B243)</f>
        <v>211.66666666666666</v>
      </c>
      <c r="C413" s="121">
        <f t="shared" ref="C413:BR413" si="105">AVERAGEA(C184:C243)</f>
        <v>48.561600112915038</v>
      </c>
      <c r="D413" s="121">
        <f t="shared" si="105"/>
        <v>96.030450312296551</v>
      </c>
      <c r="E413" s="121">
        <f t="shared" si="105"/>
        <v>19.876283327738445</v>
      </c>
      <c r="F413" s="121">
        <f t="shared" si="105"/>
        <v>2.9437295476595562</v>
      </c>
      <c r="G413" s="121">
        <f t="shared" si="105"/>
        <v>16.837783352533975</v>
      </c>
      <c r="H413" s="121">
        <f t="shared" si="105"/>
        <v>317.7</v>
      </c>
      <c r="I413" s="121">
        <f t="shared" si="105"/>
        <v>283.64999999999998</v>
      </c>
      <c r="J413" s="121">
        <f t="shared" si="105"/>
        <v>61.051317151387529</v>
      </c>
      <c r="K413" s="121">
        <f t="shared" si="105"/>
        <v>60.400438117980954</v>
      </c>
      <c r="L413" s="121">
        <f t="shared" si="105"/>
        <v>60.197300275166832</v>
      </c>
      <c r="M413" s="121">
        <f t="shared" si="105"/>
        <v>12.345949951807658</v>
      </c>
      <c r="N413" s="121">
        <f t="shared" si="105"/>
        <v>17.523950004577635</v>
      </c>
      <c r="O413" s="121">
        <f t="shared" si="105"/>
        <v>16.733333333333334</v>
      </c>
      <c r="P413" s="121">
        <f t="shared" si="105"/>
        <v>0</v>
      </c>
      <c r="Q413" s="121">
        <f t="shared" si="105"/>
        <v>17.170849021275838</v>
      </c>
      <c r="R413" s="121">
        <f t="shared" si="105"/>
        <v>6.1157811959584558</v>
      </c>
      <c r="S413" s="121">
        <f t="shared" si="105"/>
        <v>6.1650422533353169</v>
      </c>
      <c r="T413" s="121">
        <f t="shared" si="105"/>
        <v>4.583333333333333</v>
      </c>
      <c r="U413" s="121">
        <f t="shared" si="105"/>
        <v>4.583333333333333</v>
      </c>
      <c r="V413" s="121">
        <f t="shared" si="105"/>
        <v>856.08333333333337</v>
      </c>
      <c r="W413" s="121">
        <f t="shared" si="105"/>
        <v>25.93163029352824</v>
      </c>
      <c r="X413" s="121">
        <f t="shared" si="105"/>
        <v>25.21641664505005</v>
      </c>
      <c r="Y413" s="121">
        <f t="shared" si="105"/>
        <v>6.0548500378926597</v>
      </c>
      <c r="Z413" s="121">
        <f t="shared" si="105"/>
        <v>0</v>
      </c>
      <c r="AA413" s="121">
        <f t="shared" si="105"/>
        <v>20.585133330027261</v>
      </c>
      <c r="AB413" s="121">
        <f t="shared" si="105"/>
        <v>0</v>
      </c>
      <c r="AC413" s="121">
        <f t="shared" si="105"/>
        <v>52.452943356831867</v>
      </c>
      <c r="AD413" s="121">
        <f t="shared" si="105"/>
        <v>6.3612000465393068</v>
      </c>
      <c r="AE413" s="121">
        <f t="shared" si="105"/>
        <v>0</v>
      </c>
      <c r="AF413" s="121">
        <f t="shared" si="105"/>
        <v>80.524900945027667</v>
      </c>
      <c r="AG413" s="121">
        <f t="shared" si="105"/>
        <v>0</v>
      </c>
      <c r="AH413" s="121">
        <f t="shared" si="105"/>
        <v>60.824438412984215</v>
      </c>
      <c r="AI413" s="121">
        <f t="shared" si="105"/>
        <v>12.333783340454101</v>
      </c>
      <c r="AJ413" s="121">
        <f t="shared" si="105"/>
        <v>17.78605146408081</v>
      </c>
      <c r="AK413" s="121">
        <f t="shared" si="105"/>
        <v>36.213463910420735</v>
      </c>
      <c r="AL413" s="121">
        <f t="shared" si="105"/>
        <v>37.242066510518391</v>
      </c>
      <c r="AM413" s="121">
        <f t="shared" si="105"/>
        <v>54.978549766540525</v>
      </c>
      <c r="AN413" s="121">
        <f t="shared" si="105"/>
        <v>113.01875</v>
      </c>
      <c r="AO413" s="121">
        <f t="shared" si="105"/>
        <v>58.4</v>
      </c>
      <c r="AP413" s="121">
        <f t="shared" si="105"/>
        <v>60.511015701293942</v>
      </c>
      <c r="AQ413" s="121">
        <f t="shared" si="105"/>
        <v>35.6909215927124</v>
      </c>
      <c r="AR413" s="121">
        <f t="shared" si="105"/>
        <v>94.766666666666666</v>
      </c>
      <c r="AS413" s="121" t="e">
        <f t="shared" si="105"/>
        <v>#DIV/0!</v>
      </c>
      <c r="AT413" s="121">
        <f t="shared" si="105"/>
        <v>110.13333333333334</v>
      </c>
      <c r="AU413" s="121" t="e">
        <f t="shared" si="105"/>
        <v>#DIV/0!</v>
      </c>
      <c r="AV413" s="121">
        <f t="shared" si="105"/>
        <v>56.93333333333333</v>
      </c>
      <c r="AW413" s="121" t="e">
        <f t="shared" si="105"/>
        <v>#DIV/0!</v>
      </c>
      <c r="AX413" s="121">
        <f t="shared" si="105"/>
        <v>29.716666666666665</v>
      </c>
      <c r="AY413" s="121">
        <f t="shared" si="105"/>
        <v>32.45408900578817</v>
      </c>
      <c r="AZ413" s="121">
        <f t="shared" si="105"/>
        <v>11.866666666666667</v>
      </c>
      <c r="BA413" s="121" t="e">
        <f t="shared" si="105"/>
        <v>#DIV/0!</v>
      </c>
      <c r="BB413" s="121">
        <f t="shared" si="105"/>
        <v>213.56666666666666</v>
      </c>
      <c r="BC413" s="121">
        <f t="shared" si="105"/>
        <v>214.2607307434082</v>
      </c>
      <c r="BD413" s="121">
        <f t="shared" si="105"/>
        <v>6.6749998966852822</v>
      </c>
      <c r="BE413" s="121">
        <f t="shared" si="105"/>
        <v>6.7439888636271155</v>
      </c>
      <c r="BF413" s="121">
        <f t="shared" si="105"/>
        <v>29.466666666666665</v>
      </c>
      <c r="BG413" s="121">
        <f t="shared" si="105"/>
        <v>10.283333333333333</v>
      </c>
      <c r="BH413" s="121">
        <f t="shared" si="105"/>
        <v>11.086482143402099</v>
      </c>
      <c r="BI413" s="121" t="e">
        <f t="shared" si="105"/>
        <v>#DIV/0!</v>
      </c>
      <c r="BJ413" s="121">
        <f t="shared" si="105"/>
        <v>11.583333333333334</v>
      </c>
      <c r="BK413" s="121">
        <f t="shared" si="105"/>
        <v>11.583333333333334</v>
      </c>
      <c r="BL413" s="121">
        <f t="shared" si="105"/>
        <v>0</v>
      </c>
      <c r="BM413" s="121" t="e">
        <f t="shared" si="105"/>
        <v>#DIV/0!</v>
      </c>
      <c r="BN413" s="121">
        <f t="shared" si="105"/>
        <v>121.1300002415975</v>
      </c>
      <c r="BO413" s="121">
        <f t="shared" si="105"/>
        <v>72.466666666666669</v>
      </c>
      <c r="BP413" s="121">
        <f t="shared" si="105"/>
        <v>48.663333574930824</v>
      </c>
      <c r="BQ413" s="121">
        <f t="shared" si="105"/>
        <v>266.41666666666669</v>
      </c>
      <c r="BR413" s="121">
        <f t="shared" si="105"/>
        <v>69.256483141581214</v>
      </c>
      <c r="BS413" s="121">
        <f t="shared" ref="BS413:ED413" si="106">AVERAGEA(BS184:BS243)</f>
        <v>24.708400058746339</v>
      </c>
      <c r="BT413" s="121">
        <f t="shared" si="106"/>
        <v>40.714198748270668</v>
      </c>
      <c r="BU413" s="121">
        <f t="shared" si="106"/>
        <v>34.96463343302409</v>
      </c>
      <c r="BV413" s="121">
        <f t="shared" si="106"/>
        <v>69.026666259765619</v>
      </c>
      <c r="BW413" s="121">
        <f t="shared" si="106"/>
        <v>5.8483334143956505</v>
      </c>
      <c r="BX413" s="121">
        <f t="shared" si="106"/>
        <v>13.588333400090535</v>
      </c>
      <c r="BY413" s="121">
        <f t="shared" si="106"/>
        <v>28.383333333333333</v>
      </c>
      <c r="BZ413" s="121">
        <f t="shared" si="106"/>
        <v>1.436566108216842E-2</v>
      </c>
      <c r="CA413" s="121">
        <f t="shared" si="106"/>
        <v>0.95</v>
      </c>
      <c r="CB413" s="121">
        <f t="shared" si="106"/>
        <v>29.266901938120522</v>
      </c>
      <c r="CC413" s="121" t="e">
        <f t="shared" si="106"/>
        <v>#DIV/0!</v>
      </c>
      <c r="CD413" s="121">
        <f t="shared" si="106"/>
        <v>339.22678527832034</v>
      </c>
      <c r="CE413" s="121">
        <f t="shared" si="106"/>
        <v>32.227817535400391</v>
      </c>
      <c r="CF413" s="121">
        <f t="shared" si="106"/>
        <v>19.054756418863931</v>
      </c>
      <c r="CG413" s="121">
        <f t="shared" si="106"/>
        <v>35.338191986083984</v>
      </c>
      <c r="CH413" s="121">
        <f t="shared" si="106"/>
        <v>273.13560689290364</v>
      </c>
      <c r="CI413" s="121">
        <f t="shared" si="106"/>
        <v>80.970869064331055</v>
      </c>
      <c r="CJ413" s="121">
        <f t="shared" si="106"/>
        <v>34.702323849995928</v>
      </c>
      <c r="CK413" s="121">
        <f t="shared" si="106"/>
        <v>50.134515380859376</v>
      </c>
      <c r="CL413" s="121">
        <f t="shared" si="106"/>
        <v>26.955219395955403</v>
      </c>
      <c r="CM413" s="121">
        <f t="shared" si="106"/>
        <v>196.82983678181967</v>
      </c>
      <c r="CN413" s="121">
        <f t="shared" si="106"/>
        <v>55.537422498067222</v>
      </c>
      <c r="CO413" s="121">
        <f t="shared" si="106"/>
        <v>59.60478108723958</v>
      </c>
      <c r="CP413" s="121">
        <f t="shared" si="106"/>
        <v>78.54081942240397</v>
      </c>
      <c r="CQ413" s="121">
        <f t="shared" si="106"/>
        <v>0</v>
      </c>
      <c r="CR413" s="121">
        <f t="shared" si="106"/>
        <v>49.443747011820477</v>
      </c>
      <c r="CS413" s="121">
        <f t="shared" si="106"/>
        <v>8.2094076712926221</v>
      </c>
      <c r="CT413" s="121">
        <f t="shared" si="106"/>
        <v>32.889538383483888</v>
      </c>
      <c r="CU413" s="121">
        <f t="shared" si="106"/>
        <v>60.354142189025879</v>
      </c>
      <c r="CV413" s="121">
        <f t="shared" si="106"/>
        <v>60.712362162272136</v>
      </c>
      <c r="CW413" s="121">
        <f t="shared" si="106"/>
        <v>3.8</v>
      </c>
      <c r="CX413" s="121">
        <f t="shared" si="106"/>
        <v>302.46666666666664</v>
      </c>
      <c r="CY413" s="121">
        <f t="shared" si="106"/>
        <v>112.35640106201171</v>
      </c>
      <c r="CZ413" s="121">
        <f t="shared" si="106"/>
        <v>47.484773063659667</v>
      </c>
      <c r="DA413" s="121">
        <f t="shared" si="106"/>
        <v>19.672621409098308</v>
      </c>
      <c r="DB413" s="121">
        <f t="shared" si="106"/>
        <v>32.146435546874997</v>
      </c>
      <c r="DC413" s="121">
        <f t="shared" si="106"/>
        <v>74.815651702880857</v>
      </c>
      <c r="DD413" s="121">
        <f t="shared" si="106"/>
        <v>52.8</v>
      </c>
      <c r="DE413" s="121">
        <f t="shared" si="106"/>
        <v>172.28333333333333</v>
      </c>
      <c r="DF413" s="121">
        <f t="shared" si="106"/>
        <v>101.13616371154785</v>
      </c>
      <c r="DG413" s="121">
        <f t="shared" si="106"/>
        <v>65.577385266621903</v>
      </c>
      <c r="DH413" s="121">
        <f t="shared" si="106"/>
        <v>44.901732254028317</v>
      </c>
      <c r="DI413" s="121">
        <f t="shared" si="106"/>
        <v>37.929784456888832</v>
      </c>
      <c r="DJ413" s="121">
        <f t="shared" si="106"/>
        <v>203.36666666666667</v>
      </c>
      <c r="DK413" s="121">
        <f t="shared" si="106"/>
        <v>102.49964930216471</v>
      </c>
      <c r="DL413" s="121">
        <f t="shared" si="106"/>
        <v>24.18153336842855</v>
      </c>
      <c r="DM413" s="121">
        <f t="shared" si="106"/>
        <v>24.444983323415119</v>
      </c>
      <c r="DN413" s="121">
        <f t="shared" si="106"/>
        <v>48.690200042724612</v>
      </c>
      <c r="DO413" s="121">
        <f t="shared" si="106"/>
        <v>111.54225260416666</v>
      </c>
      <c r="DP413" s="121">
        <f t="shared" si="106"/>
        <v>15.525383536020914</v>
      </c>
      <c r="DQ413" s="121" t="e">
        <f t="shared" si="106"/>
        <v>#DIV/0!</v>
      </c>
      <c r="DR413" s="121">
        <f t="shared" si="106"/>
        <v>16.266666666666666</v>
      </c>
      <c r="DS413" s="121">
        <f t="shared" si="106"/>
        <v>29.286666711171467</v>
      </c>
      <c r="DT413" s="121">
        <f t="shared" si="106"/>
        <v>12.233333333333333</v>
      </c>
      <c r="DU413" s="121" t="e">
        <f t="shared" si="106"/>
        <v>#DIV/0!</v>
      </c>
      <c r="DV413" s="121">
        <f t="shared" si="106"/>
        <v>8.3000000000000007</v>
      </c>
      <c r="DW413" s="121">
        <f t="shared" si="106"/>
        <v>2.1554119368394216</v>
      </c>
      <c r="DX413" s="121">
        <f t="shared" si="106"/>
        <v>10.166666666666666</v>
      </c>
      <c r="DY413" s="121" t="e">
        <f t="shared" si="106"/>
        <v>#DIV/0!</v>
      </c>
      <c r="DZ413" s="121">
        <f t="shared" si="106"/>
        <v>44.783333333333331</v>
      </c>
      <c r="EA413" s="121">
        <f t="shared" si="106"/>
        <v>3</v>
      </c>
      <c r="EB413" s="121">
        <f t="shared" si="106"/>
        <v>0</v>
      </c>
      <c r="EC413" s="121">
        <f t="shared" si="106"/>
        <v>1.0166666666666666</v>
      </c>
      <c r="ED413" s="121">
        <f t="shared" si="106"/>
        <v>238.70500005086262</v>
      </c>
      <c r="EE413" s="129"/>
      <c r="EF413" s="129"/>
      <c r="EG413" s="129"/>
    </row>
    <row r="414" spans="1:137" x14ac:dyDescent="0.3">
      <c r="A414" s="160" t="s">
        <v>342</v>
      </c>
      <c r="B414" s="121">
        <f>AVERAGEA(B189:B248)</f>
        <v>210.76666666666668</v>
      </c>
      <c r="C414" s="121">
        <f t="shared" ref="C414:BR414" si="107">AVERAGEA(C189:C248)</f>
        <v>48.565366808573408</v>
      </c>
      <c r="D414" s="121">
        <f t="shared" si="107"/>
        <v>95.870250320434565</v>
      </c>
      <c r="E414" s="121">
        <f t="shared" si="107"/>
        <v>20.995983314514159</v>
      </c>
      <c r="F414" s="121">
        <f t="shared" si="107"/>
        <v>2.8662802020708722</v>
      </c>
      <c r="G414" s="121">
        <f t="shared" si="107"/>
        <v>16.805733346939085</v>
      </c>
      <c r="H414" s="121">
        <f t="shared" si="107"/>
        <v>321.86666666666667</v>
      </c>
      <c r="I414" s="121">
        <f t="shared" si="107"/>
        <v>286.88333333333333</v>
      </c>
      <c r="J414" s="121">
        <f t="shared" si="107"/>
        <v>60.729017194112139</v>
      </c>
      <c r="K414" s="121">
        <f t="shared" si="107"/>
        <v>60.510108375549315</v>
      </c>
      <c r="L414" s="121">
        <f t="shared" si="107"/>
        <v>64.777150217692054</v>
      </c>
      <c r="M414" s="121">
        <f t="shared" si="107"/>
        <v>12.361049954096476</v>
      </c>
      <c r="N414" s="121">
        <f t="shared" si="107"/>
        <v>17.546216646830242</v>
      </c>
      <c r="O414" s="121">
        <f t="shared" si="107"/>
        <v>16.666666666666668</v>
      </c>
      <c r="P414" s="121">
        <f t="shared" si="107"/>
        <v>0</v>
      </c>
      <c r="Q414" s="121">
        <f t="shared" si="107"/>
        <v>17.048254330952961</v>
      </c>
      <c r="R414" s="121">
        <f t="shared" si="107"/>
        <v>5.765937455495199</v>
      </c>
      <c r="S414" s="121">
        <f t="shared" si="107"/>
        <v>5.8497198224067688</v>
      </c>
      <c r="T414" s="121">
        <f t="shared" si="107"/>
        <v>5.166666666666667</v>
      </c>
      <c r="U414" s="121">
        <f t="shared" si="107"/>
        <v>5.166666666666667</v>
      </c>
      <c r="V414" s="121">
        <f t="shared" si="107"/>
        <v>854.43333333333328</v>
      </c>
      <c r="W414" s="121">
        <f t="shared" si="107"/>
        <v>25.752061716715495</v>
      </c>
      <c r="X414" s="121">
        <f t="shared" si="107"/>
        <v>25.159849961598713</v>
      </c>
      <c r="Y414" s="121">
        <f t="shared" si="107"/>
        <v>6.1979833841323853</v>
      </c>
      <c r="Z414" s="121">
        <f t="shared" si="107"/>
        <v>0</v>
      </c>
      <c r="AA414" s="121">
        <f t="shared" si="107"/>
        <v>20.289166673024496</v>
      </c>
      <c r="AB414" s="121">
        <f t="shared" si="107"/>
        <v>0</v>
      </c>
      <c r="AC414" s="121">
        <f t="shared" si="107"/>
        <v>52.184457906087239</v>
      </c>
      <c r="AD414" s="121">
        <f t="shared" si="107"/>
        <v>6.3527167081832889</v>
      </c>
      <c r="AE414" s="121">
        <f t="shared" si="107"/>
        <v>0</v>
      </c>
      <c r="AF414" s="121">
        <f t="shared" si="107"/>
        <v>80.368369420369461</v>
      </c>
      <c r="AG414" s="121">
        <f t="shared" si="107"/>
        <v>0</v>
      </c>
      <c r="AH414" s="121">
        <f t="shared" si="107"/>
        <v>60.639467938741049</v>
      </c>
      <c r="AI414" s="121">
        <f t="shared" si="107"/>
        <v>12.333816655476888</v>
      </c>
      <c r="AJ414" s="121">
        <f t="shared" si="107"/>
        <v>17.741355419158936</v>
      </c>
      <c r="AK414" s="121">
        <f t="shared" si="107"/>
        <v>36.168487103780109</v>
      </c>
      <c r="AL414" s="121">
        <f t="shared" si="107"/>
        <v>36.991733169555665</v>
      </c>
      <c r="AM414" s="121">
        <f t="shared" si="107"/>
        <v>54.910699717203777</v>
      </c>
      <c r="AN414" s="121">
        <f t="shared" si="107"/>
        <v>112.66145833333333</v>
      </c>
      <c r="AO414" s="121">
        <f t="shared" si="107"/>
        <v>58.233333333333334</v>
      </c>
      <c r="AP414" s="121">
        <f t="shared" si="107"/>
        <v>60.450729306538896</v>
      </c>
      <c r="AQ414" s="121">
        <f t="shared" si="107"/>
        <v>35.576082038879392</v>
      </c>
      <c r="AR414" s="121">
        <f t="shared" si="107"/>
        <v>95.316666666666663</v>
      </c>
      <c r="AS414" s="121" t="e">
        <f t="shared" si="107"/>
        <v>#DIV/0!</v>
      </c>
      <c r="AT414" s="121">
        <f t="shared" si="107"/>
        <v>109.36666666666666</v>
      </c>
      <c r="AU414" s="121" t="e">
        <f t="shared" si="107"/>
        <v>#DIV/0!</v>
      </c>
      <c r="AV414" s="121">
        <f t="shared" si="107"/>
        <v>55.733333333333334</v>
      </c>
      <c r="AW414" s="121" t="e">
        <f t="shared" si="107"/>
        <v>#DIV/0!</v>
      </c>
      <c r="AX414" s="121">
        <f t="shared" si="107"/>
        <v>29.7</v>
      </c>
      <c r="AY414" s="121">
        <f t="shared" si="107"/>
        <v>32.438635412851973</v>
      </c>
      <c r="AZ414" s="121">
        <f t="shared" si="107"/>
        <v>11.616666666666667</v>
      </c>
      <c r="BA414" s="121" t="e">
        <f t="shared" si="107"/>
        <v>#DIV/0!</v>
      </c>
      <c r="BB414" s="121">
        <f t="shared" si="107"/>
        <v>203.68333333333334</v>
      </c>
      <c r="BC414" s="121">
        <f t="shared" si="107"/>
        <v>204.11989593505859</v>
      </c>
      <c r="BD414" s="121">
        <f t="shared" si="107"/>
        <v>6.6699999014536537</v>
      </c>
      <c r="BE414" s="121">
        <f t="shared" si="107"/>
        <v>6.7395470221837366</v>
      </c>
      <c r="BF414" s="121">
        <f t="shared" si="107"/>
        <v>29.5</v>
      </c>
      <c r="BG414" s="121">
        <f t="shared" si="107"/>
        <v>10.366666666666667</v>
      </c>
      <c r="BH414" s="121">
        <f t="shared" si="107"/>
        <v>11.135718758900961</v>
      </c>
      <c r="BI414" s="121" t="e">
        <f t="shared" si="107"/>
        <v>#DIV/0!</v>
      </c>
      <c r="BJ414" s="121">
        <f t="shared" si="107"/>
        <v>11.366666666666667</v>
      </c>
      <c r="BK414" s="121">
        <f t="shared" si="107"/>
        <v>11.366666666666667</v>
      </c>
      <c r="BL414" s="121">
        <f t="shared" si="107"/>
        <v>0</v>
      </c>
      <c r="BM414" s="121" t="e">
        <f t="shared" si="107"/>
        <v>#DIV/0!</v>
      </c>
      <c r="BN414" s="121">
        <f t="shared" si="107"/>
        <v>120.97000026702881</v>
      </c>
      <c r="BO414" s="121">
        <f t="shared" si="107"/>
        <v>72.38333333333334</v>
      </c>
      <c r="BP414" s="121">
        <f t="shared" si="107"/>
        <v>48.586666933695476</v>
      </c>
      <c r="BQ414" s="121">
        <f t="shared" si="107"/>
        <v>265.7</v>
      </c>
      <c r="BR414" s="121">
        <f t="shared" si="107"/>
        <v>68.864399846394861</v>
      </c>
      <c r="BS414" s="121">
        <f t="shared" ref="BS414:ED414" si="108">AVERAGEA(BS189:BS248)</f>
        <v>24.71268342336019</v>
      </c>
      <c r="BT414" s="121">
        <f t="shared" si="108"/>
        <v>40.708432070414226</v>
      </c>
      <c r="BU414" s="121">
        <f t="shared" si="108"/>
        <v>34.76528339385986</v>
      </c>
      <c r="BV414" s="121">
        <f t="shared" si="108"/>
        <v>69.006666056315098</v>
      </c>
      <c r="BW414" s="121">
        <f t="shared" si="108"/>
        <v>5.8450000683466596</v>
      </c>
      <c r="BX414" s="121">
        <f t="shared" si="108"/>
        <v>13.598333422342936</v>
      </c>
      <c r="BY414" s="121">
        <f t="shared" si="108"/>
        <v>28.416666666666668</v>
      </c>
      <c r="BZ414" s="121">
        <f t="shared" si="108"/>
        <v>1.4326012491558989E-2</v>
      </c>
      <c r="CA414" s="121">
        <f t="shared" si="108"/>
        <v>0.95</v>
      </c>
      <c r="CB414" s="121">
        <f t="shared" si="108"/>
        <v>29.264333407084148</v>
      </c>
      <c r="CC414" s="121" t="e">
        <f t="shared" si="108"/>
        <v>#DIV/0!</v>
      </c>
      <c r="CD414" s="121">
        <f t="shared" si="108"/>
        <v>338.24392191569012</v>
      </c>
      <c r="CE414" s="121">
        <f t="shared" si="108"/>
        <v>31.943424797058107</v>
      </c>
      <c r="CF414" s="121">
        <f t="shared" si="108"/>
        <v>18.800042692820231</v>
      </c>
      <c r="CG414" s="121">
        <f t="shared" si="108"/>
        <v>35.338191986083984</v>
      </c>
      <c r="CH414" s="121">
        <f t="shared" si="108"/>
        <v>272.81941223144531</v>
      </c>
      <c r="CI414" s="121">
        <f t="shared" si="108"/>
        <v>80.747138214111331</v>
      </c>
      <c r="CJ414" s="121">
        <f t="shared" si="108"/>
        <v>34.733251889546715</v>
      </c>
      <c r="CK414" s="121">
        <f t="shared" si="108"/>
        <v>49.871403185526532</v>
      </c>
      <c r="CL414" s="121">
        <f t="shared" si="108"/>
        <v>26.69736763636271</v>
      </c>
      <c r="CM414" s="121">
        <f t="shared" si="108"/>
        <v>194.78435033162435</v>
      </c>
      <c r="CN414" s="121">
        <f t="shared" si="108"/>
        <v>55.116197903951011</v>
      </c>
      <c r="CO414" s="121">
        <f t="shared" si="108"/>
        <v>58.885608800252278</v>
      </c>
      <c r="CP414" s="121">
        <f t="shared" si="108"/>
        <v>77.659041722615555</v>
      </c>
      <c r="CQ414" s="121">
        <f t="shared" si="108"/>
        <v>0</v>
      </c>
      <c r="CR414" s="121">
        <f t="shared" si="108"/>
        <v>49.276578013102217</v>
      </c>
      <c r="CS414" s="121">
        <f t="shared" si="108"/>
        <v>8.1669496456782031</v>
      </c>
      <c r="CT414" s="121">
        <f t="shared" si="108"/>
        <v>32.546504529317218</v>
      </c>
      <c r="CU414" s="121">
        <f t="shared" si="108"/>
        <v>51.132852681477864</v>
      </c>
      <c r="CV414" s="121">
        <f t="shared" si="108"/>
        <v>60.850486691792803</v>
      </c>
      <c r="CW414" s="121">
        <f t="shared" si="108"/>
        <v>3.85</v>
      </c>
      <c r="CX414" s="121">
        <f t="shared" si="108"/>
        <v>301.48333333333335</v>
      </c>
      <c r="CY414" s="121">
        <f t="shared" si="108"/>
        <v>111.97705446879068</v>
      </c>
      <c r="CZ414" s="121">
        <f t="shared" si="108"/>
        <v>47.213017845153807</v>
      </c>
      <c r="DA414" s="121">
        <f t="shared" si="108"/>
        <v>19.65365810394287</v>
      </c>
      <c r="DB414" s="121">
        <f t="shared" si="108"/>
        <v>32.232210699717207</v>
      </c>
      <c r="DC414" s="121">
        <f t="shared" si="108"/>
        <v>74.336205673217776</v>
      </c>
      <c r="DD414" s="121">
        <f t="shared" si="108"/>
        <v>51.93333333333333</v>
      </c>
      <c r="DE414" s="121">
        <f t="shared" si="108"/>
        <v>171.73333333333332</v>
      </c>
      <c r="DF414" s="121">
        <f t="shared" si="108"/>
        <v>100.91531600952149</v>
      </c>
      <c r="DG414" s="121">
        <f t="shared" si="108"/>
        <v>65.334398841857904</v>
      </c>
      <c r="DH414" s="121">
        <f t="shared" si="108"/>
        <v>44.355239486694337</v>
      </c>
      <c r="DI414" s="121">
        <f t="shared" si="108"/>
        <v>37.826651128133136</v>
      </c>
      <c r="DJ414" s="121">
        <f t="shared" si="108"/>
        <v>203.26666666666668</v>
      </c>
      <c r="DK414" s="121">
        <f t="shared" si="108"/>
        <v>102.43179918924967</v>
      </c>
      <c r="DL414" s="121">
        <f t="shared" si="108"/>
        <v>24.185316721598308</v>
      </c>
      <c r="DM414" s="121">
        <f t="shared" si="108"/>
        <v>24.412600008646645</v>
      </c>
      <c r="DN414" s="121">
        <f t="shared" si="108"/>
        <v>48.663683382670087</v>
      </c>
      <c r="DO414" s="121">
        <f t="shared" si="108"/>
        <v>111.36272875467937</v>
      </c>
      <c r="DP414" s="121">
        <f t="shared" si="108"/>
        <v>15.477316840489705</v>
      </c>
      <c r="DQ414" s="121" t="e">
        <f t="shared" si="108"/>
        <v>#DIV/0!</v>
      </c>
      <c r="DR414" s="121">
        <f t="shared" si="108"/>
        <v>10.683333333333334</v>
      </c>
      <c r="DS414" s="121">
        <f t="shared" si="108"/>
        <v>29.208333365122478</v>
      </c>
      <c r="DT414" s="121">
        <f t="shared" si="108"/>
        <v>12.233333333333333</v>
      </c>
      <c r="DU414" s="121" t="e">
        <f t="shared" si="108"/>
        <v>#DIV/0!</v>
      </c>
      <c r="DV414" s="121">
        <f t="shared" si="108"/>
        <v>8.3666666666666671</v>
      </c>
      <c r="DW414" s="121">
        <f t="shared" si="108"/>
        <v>2.2847841739654542</v>
      </c>
      <c r="DX414" s="121">
        <f t="shared" si="108"/>
        <v>10.199999999999999</v>
      </c>
      <c r="DY414" s="121" t="e">
        <f t="shared" si="108"/>
        <v>#DIV/0!</v>
      </c>
      <c r="DZ414" s="121">
        <f t="shared" si="108"/>
        <v>44.733333333333334</v>
      </c>
      <c r="EA414" s="121">
        <f t="shared" si="108"/>
        <v>3</v>
      </c>
      <c r="EB414" s="121">
        <f t="shared" si="108"/>
        <v>0</v>
      </c>
      <c r="EC414" s="121">
        <f t="shared" si="108"/>
        <v>1.0166666666666666</v>
      </c>
      <c r="ED414" s="121">
        <f t="shared" si="108"/>
        <v>237.81166636149089</v>
      </c>
      <c r="EE414" s="129"/>
      <c r="EF414" s="129"/>
      <c r="EG414" s="129"/>
    </row>
    <row r="415" spans="1:137" x14ac:dyDescent="0.3">
      <c r="A415" s="160" t="s">
        <v>343</v>
      </c>
      <c r="B415" s="121">
        <f>AVERAGEA(B194:B253)</f>
        <v>210.78333333333333</v>
      </c>
      <c r="C415" s="121">
        <f t="shared" ref="C415:BR415" si="109">AVERAGEA(C194:C253)</f>
        <v>48.834900093078616</v>
      </c>
      <c r="D415" s="121">
        <f t="shared" si="109"/>
        <v>95.898500315348301</v>
      </c>
      <c r="E415" s="121">
        <f t="shared" si="109"/>
        <v>22.443616644541422</v>
      </c>
      <c r="F415" s="121">
        <f t="shared" si="109"/>
        <v>2.7082363287607829</v>
      </c>
      <c r="G415" s="121">
        <f t="shared" si="109"/>
        <v>16.794416729609171</v>
      </c>
      <c r="H415" s="121">
        <f t="shared" si="109"/>
        <v>326.26666666666665</v>
      </c>
      <c r="I415" s="121">
        <f t="shared" si="109"/>
        <v>290.73333333333335</v>
      </c>
      <c r="J415" s="121">
        <f t="shared" si="109"/>
        <v>60.574450492858887</v>
      </c>
      <c r="K415" s="121">
        <f t="shared" si="109"/>
        <v>60.698859723409015</v>
      </c>
      <c r="L415" s="121">
        <f t="shared" si="109"/>
        <v>69.463050206502274</v>
      </c>
      <c r="M415" s="121">
        <f t="shared" si="109"/>
        <v>12.379899962743123</v>
      </c>
      <c r="N415" s="121">
        <f t="shared" si="109"/>
        <v>17.547283331553142</v>
      </c>
      <c r="O415" s="121">
        <f t="shared" si="109"/>
        <v>16.516666666666666</v>
      </c>
      <c r="P415" s="121">
        <f t="shared" si="109"/>
        <v>0</v>
      </c>
      <c r="Q415" s="121">
        <f t="shared" si="109"/>
        <v>16.884399986267091</v>
      </c>
      <c r="R415" s="121">
        <f t="shared" si="109"/>
        <v>5.7492187023162842</v>
      </c>
      <c r="S415" s="121">
        <f t="shared" si="109"/>
        <v>5.8637464801470438</v>
      </c>
      <c r="T415" s="121">
        <f t="shared" si="109"/>
        <v>5.916666666666667</v>
      </c>
      <c r="U415" s="121">
        <f t="shared" si="109"/>
        <v>5.916666666666667</v>
      </c>
      <c r="V415" s="121">
        <f t="shared" si="109"/>
        <v>852.2833333333333</v>
      </c>
      <c r="W415" s="121">
        <f t="shared" si="109"/>
        <v>25.817454242706297</v>
      </c>
      <c r="X415" s="121">
        <f t="shared" si="109"/>
        <v>25.110849984486897</v>
      </c>
      <c r="Y415" s="121">
        <f t="shared" si="109"/>
        <v>6.1873667160669958</v>
      </c>
      <c r="Z415" s="121">
        <f t="shared" si="109"/>
        <v>0</v>
      </c>
      <c r="AA415" s="121">
        <f t="shared" si="109"/>
        <v>20.09689998626709</v>
      </c>
      <c r="AB415" s="121">
        <f t="shared" si="109"/>
        <v>0</v>
      </c>
      <c r="AC415" s="121">
        <f t="shared" si="109"/>
        <v>51.995991198221844</v>
      </c>
      <c r="AD415" s="121">
        <f t="shared" si="109"/>
        <v>6.3272833665211996</v>
      </c>
      <c r="AE415" s="121">
        <f t="shared" si="109"/>
        <v>0</v>
      </c>
      <c r="AF415" s="121">
        <f t="shared" si="109"/>
        <v>80.228371938069657</v>
      </c>
      <c r="AG415" s="121">
        <f t="shared" si="109"/>
        <v>0</v>
      </c>
      <c r="AH415" s="121">
        <f t="shared" si="109"/>
        <v>60.372027715047203</v>
      </c>
      <c r="AI415" s="121">
        <f t="shared" si="109"/>
        <v>12.281849972407024</v>
      </c>
      <c r="AJ415" s="121">
        <f t="shared" si="109"/>
        <v>17.634389909108481</v>
      </c>
      <c r="AK415" s="121">
        <f t="shared" si="109"/>
        <v>36.149768066406253</v>
      </c>
      <c r="AL415" s="121">
        <f t="shared" si="109"/>
        <v>36.729599889119463</v>
      </c>
      <c r="AM415" s="121">
        <f t="shared" si="109"/>
        <v>54.928699747721353</v>
      </c>
      <c r="AN415" s="121">
        <f t="shared" si="109"/>
        <v>112.35729166666667</v>
      </c>
      <c r="AO415" s="121">
        <f t="shared" si="109"/>
        <v>58.016666666666666</v>
      </c>
      <c r="AP415" s="121">
        <f t="shared" si="109"/>
        <v>60.33839594523112</v>
      </c>
      <c r="AQ415" s="121">
        <f t="shared" si="109"/>
        <v>35.462664286295571</v>
      </c>
      <c r="AR415" s="121">
        <f t="shared" si="109"/>
        <v>95.25</v>
      </c>
      <c r="AS415" s="121" t="e">
        <f t="shared" si="109"/>
        <v>#DIV/0!</v>
      </c>
      <c r="AT415" s="121">
        <f t="shared" si="109"/>
        <v>108.6</v>
      </c>
      <c r="AU415" s="121" t="e">
        <f t="shared" si="109"/>
        <v>#DIV/0!</v>
      </c>
      <c r="AV415" s="121">
        <f t="shared" si="109"/>
        <v>55.116666666666667</v>
      </c>
      <c r="AW415" s="121" t="e">
        <f t="shared" si="109"/>
        <v>#DIV/0!</v>
      </c>
      <c r="AX415" s="121">
        <f t="shared" si="109"/>
        <v>29.683333333333334</v>
      </c>
      <c r="AY415" s="121">
        <f t="shared" si="109"/>
        <v>32.442565059661867</v>
      </c>
      <c r="AZ415" s="121">
        <f t="shared" si="109"/>
        <v>11.016666666666667</v>
      </c>
      <c r="BA415" s="121" t="e">
        <f t="shared" si="109"/>
        <v>#DIV/0!</v>
      </c>
      <c r="BB415" s="121">
        <f t="shared" si="109"/>
        <v>193.75</v>
      </c>
      <c r="BC415" s="121">
        <f t="shared" si="109"/>
        <v>194.02749888102213</v>
      </c>
      <c r="BD415" s="121">
        <f t="shared" si="109"/>
        <v>6.6716665665308632</v>
      </c>
      <c r="BE415" s="121">
        <f t="shared" si="109"/>
        <v>6.7316311597824097</v>
      </c>
      <c r="BF415" s="121">
        <f t="shared" si="109"/>
        <v>29.45</v>
      </c>
      <c r="BG415" s="121">
        <f t="shared" si="109"/>
        <v>10.383333333333333</v>
      </c>
      <c r="BH415" s="121">
        <f t="shared" si="109"/>
        <v>11.153338114420572</v>
      </c>
      <c r="BI415" s="121" t="e">
        <f t="shared" si="109"/>
        <v>#DIV/0!</v>
      </c>
      <c r="BJ415" s="121">
        <f t="shared" si="109"/>
        <v>11.133333333333333</v>
      </c>
      <c r="BK415" s="121">
        <f t="shared" si="109"/>
        <v>11.133333333333333</v>
      </c>
      <c r="BL415" s="121">
        <f t="shared" si="109"/>
        <v>0</v>
      </c>
      <c r="BM415" s="121" t="e">
        <f t="shared" si="109"/>
        <v>#DIV/0!</v>
      </c>
      <c r="BN415" s="121">
        <f t="shared" si="109"/>
        <v>120.85833358764648</v>
      </c>
      <c r="BO415" s="121">
        <f t="shared" si="109"/>
        <v>72.333333333333329</v>
      </c>
      <c r="BP415" s="121">
        <f t="shared" si="109"/>
        <v>48.525000254313149</v>
      </c>
      <c r="BQ415" s="121">
        <f t="shared" si="109"/>
        <v>264.76666666666665</v>
      </c>
      <c r="BR415" s="121">
        <f t="shared" si="109"/>
        <v>68.19713331858317</v>
      </c>
      <c r="BS415" s="121">
        <f t="shared" ref="BS415:ED415" si="110">AVERAGEA(BS194:BS253)</f>
        <v>24.699950059254963</v>
      </c>
      <c r="BT415" s="121">
        <f t="shared" si="110"/>
        <v>40.673782030741371</v>
      </c>
      <c r="BU415" s="121">
        <f t="shared" si="110"/>
        <v>34.530950101216632</v>
      </c>
      <c r="BV415" s="121">
        <f t="shared" si="110"/>
        <v>69.019999186197921</v>
      </c>
      <c r="BW415" s="121">
        <f t="shared" si="110"/>
        <v>5.8450000762939451</v>
      </c>
      <c r="BX415" s="121">
        <f t="shared" si="110"/>
        <v>13.623333438237507</v>
      </c>
      <c r="BY415" s="121">
        <f t="shared" si="110"/>
        <v>28.433333333333334</v>
      </c>
      <c r="BZ415" s="121">
        <f t="shared" si="110"/>
        <v>1.4257428810621302E-2</v>
      </c>
      <c r="CA415" s="121">
        <f t="shared" si="110"/>
        <v>0.93333333333333335</v>
      </c>
      <c r="CB415" s="121">
        <f t="shared" si="110"/>
        <v>29.265021324157715</v>
      </c>
      <c r="CC415" s="121" t="e">
        <f t="shared" si="110"/>
        <v>#DIV/0!</v>
      </c>
      <c r="CD415" s="121">
        <f t="shared" si="110"/>
        <v>337.62019551595051</v>
      </c>
      <c r="CE415" s="121">
        <f t="shared" si="110"/>
        <v>31.709489250183104</v>
      </c>
      <c r="CF415" s="121">
        <f t="shared" si="110"/>
        <v>18.569091097513834</v>
      </c>
      <c r="CG415" s="121">
        <f t="shared" si="110"/>
        <v>35.338191986083984</v>
      </c>
      <c r="CH415" s="121">
        <f t="shared" si="110"/>
        <v>272.67799072265626</v>
      </c>
      <c r="CI415" s="121">
        <f t="shared" si="110"/>
        <v>80.758411534627285</v>
      </c>
      <c r="CJ415" s="121">
        <f t="shared" si="110"/>
        <v>34.997851371765137</v>
      </c>
      <c r="CK415" s="121">
        <f t="shared" si="110"/>
        <v>49.54062900543213</v>
      </c>
      <c r="CL415" s="121">
        <f t="shared" si="110"/>
        <v>26.461666774749755</v>
      </c>
      <c r="CM415" s="121">
        <f t="shared" si="110"/>
        <v>192.97844975789388</v>
      </c>
      <c r="CN415" s="121">
        <f t="shared" si="110"/>
        <v>54.456233596801759</v>
      </c>
      <c r="CO415" s="121">
        <f t="shared" si="110"/>
        <v>58.302000300089517</v>
      </c>
      <c r="CP415" s="121">
        <f t="shared" si="110"/>
        <v>77.117236963907871</v>
      </c>
      <c r="CQ415" s="121">
        <f t="shared" si="110"/>
        <v>0</v>
      </c>
      <c r="CR415" s="121">
        <f t="shared" si="110"/>
        <v>48.926505788167319</v>
      </c>
      <c r="CS415" s="121">
        <f t="shared" si="110"/>
        <v>8.1900202115376786</v>
      </c>
      <c r="CT415" s="121">
        <f t="shared" si="110"/>
        <v>32.296291987101235</v>
      </c>
      <c r="CU415" s="121">
        <f t="shared" si="110"/>
        <v>42.024493471781412</v>
      </c>
      <c r="CV415" s="121">
        <f t="shared" si="110"/>
        <v>61.021618843078613</v>
      </c>
      <c r="CW415" s="121">
        <f t="shared" si="110"/>
        <v>4.083333333333333</v>
      </c>
      <c r="CX415" s="121">
        <f t="shared" si="110"/>
        <v>300.83333333333331</v>
      </c>
      <c r="CY415" s="121">
        <f t="shared" si="110"/>
        <v>111.58353284200032</v>
      </c>
      <c r="CZ415" s="121">
        <f t="shared" si="110"/>
        <v>47.193813514709475</v>
      </c>
      <c r="DA415" s="121">
        <f t="shared" si="110"/>
        <v>19.71443691253662</v>
      </c>
      <c r="DB415" s="121">
        <f t="shared" si="110"/>
        <v>32.288795153299965</v>
      </c>
      <c r="DC415" s="121">
        <f t="shared" si="110"/>
        <v>73.94805806477865</v>
      </c>
      <c r="DD415" s="121">
        <f t="shared" si="110"/>
        <v>51.666666666666664</v>
      </c>
      <c r="DE415" s="121">
        <f t="shared" si="110"/>
        <v>171.2</v>
      </c>
      <c r="DF415" s="121">
        <f t="shared" si="110"/>
        <v>100.67887954711914</v>
      </c>
      <c r="DG415" s="121">
        <f t="shared" si="110"/>
        <v>65.065169715881353</v>
      </c>
      <c r="DH415" s="121">
        <f t="shared" si="110"/>
        <v>43.861973635355632</v>
      </c>
      <c r="DI415" s="121">
        <f t="shared" si="110"/>
        <v>37.750588734944664</v>
      </c>
      <c r="DJ415" s="121">
        <f t="shared" si="110"/>
        <v>203.3</v>
      </c>
      <c r="DK415" s="121">
        <f t="shared" si="110"/>
        <v>102.4954325358073</v>
      </c>
      <c r="DL415" s="121">
        <f t="shared" si="110"/>
        <v>24.215483347574871</v>
      </c>
      <c r="DM415" s="121">
        <f t="shared" si="110"/>
        <v>24.362550036112467</v>
      </c>
      <c r="DN415" s="121">
        <f t="shared" si="110"/>
        <v>48.560600026448569</v>
      </c>
      <c r="DO415" s="121">
        <f t="shared" si="110"/>
        <v>111.34809646606445</v>
      </c>
      <c r="DP415" s="121">
        <f t="shared" si="110"/>
        <v>15.479666837056477</v>
      </c>
      <c r="DQ415" s="121" t="e">
        <f t="shared" si="110"/>
        <v>#DIV/0!</v>
      </c>
      <c r="DR415" s="121">
        <f t="shared" si="110"/>
        <v>8.9499999999999993</v>
      </c>
      <c r="DS415" s="121">
        <f t="shared" si="110"/>
        <v>29.228333409627279</v>
      </c>
      <c r="DT415" s="121">
        <f t="shared" si="110"/>
        <v>12.25</v>
      </c>
      <c r="DU415" s="121" t="e">
        <f t="shared" si="110"/>
        <v>#DIV/0!</v>
      </c>
      <c r="DV415" s="121">
        <f t="shared" si="110"/>
        <v>8.3666666666666671</v>
      </c>
      <c r="DW415" s="121">
        <f t="shared" si="110"/>
        <v>2.4044274568557737</v>
      </c>
      <c r="DX415" s="121">
        <f t="shared" si="110"/>
        <v>10.25</v>
      </c>
      <c r="DY415" s="121" t="e">
        <f t="shared" si="110"/>
        <v>#DIV/0!</v>
      </c>
      <c r="DZ415" s="121">
        <f t="shared" si="110"/>
        <v>44.583333333333336</v>
      </c>
      <c r="EA415" s="121">
        <f t="shared" si="110"/>
        <v>3</v>
      </c>
      <c r="EB415" s="121">
        <f t="shared" si="110"/>
        <v>0</v>
      </c>
      <c r="EC415" s="121">
        <f t="shared" si="110"/>
        <v>1.0333333333333334</v>
      </c>
      <c r="ED415" s="121">
        <f t="shared" si="110"/>
        <v>236.80500005086262</v>
      </c>
      <c r="EE415" s="129"/>
      <c r="EF415" s="129"/>
      <c r="EG415" s="129"/>
    </row>
    <row r="416" spans="1:137" x14ac:dyDescent="0.3">
      <c r="A416" s="160" t="s">
        <v>344</v>
      </c>
      <c r="B416" s="121">
        <f>AVERAGEA(B199:B258)</f>
        <v>211.43333333333334</v>
      </c>
      <c r="C416" s="121">
        <f t="shared" ref="C416:BR416" si="111">AVERAGEA(C199:C258)</f>
        <v>49.115766716003421</v>
      </c>
      <c r="D416" s="121">
        <f t="shared" si="111"/>
        <v>95.96638348897298</v>
      </c>
      <c r="E416" s="121">
        <f t="shared" si="111"/>
        <v>24.204166730244953</v>
      </c>
      <c r="F416" s="121">
        <f t="shared" si="111"/>
        <v>2.4566532293955485</v>
      </c>
      <c r="G416" s="121">
        <f t="shared" si="111"/>
        <v>16.843416738510133</v>
      </c>
      <c r="H416" s="121">
        <f t="shared" si="111"/>
        <v>330.88333333333333</v>
      </c>
      <c r="I416" s="121">
        <f t="shared" si="111"/>
        <v>294.58333333333331</v>
      </c>
      <c r="J416" s="121">
        <f t="shared" si="111"/>
        <v>60.546167119344076</v>
      </c>
      <c r="K416" s="121">
        <f t="shared" si="111"/>
        <v>60.854732195536293</v>
      </c>
      <c r="L416" s="121">
        <f t="shared" si="111"/>
        <v>74.313866933186844</v>
      </c>
      <c r="M416" s="121">
        <f t="shared" si="111"/>
        <v>12.366716623306274</v>
      </c>
      <c r="N416" s="121">
        <f t="shared" si="111"/>
        <v>17.536666679382325</v>
      </c>
      <c r="O416" s="121">
        <f t="shared" si="111"/>
        <v>16.433333333333334</v>
      </c>
      <c r="P416" s="121">
        <f t="shared" si="111"/>
        <v>0</v>
      </c>
      <c r="Q416" s="121">
        <f t="shared" si="111"/>
        <v>16.788743877410887</v>
      </c>
      <c r="R416" s="121">
        <f t="shared" si="111"/>
        <v>5.3157811959584551</v>
      </c>
      <c r="S416" s="121">
        <f t="shared" si="111"/>
        <v>5.6090702096621197</v>
      </c>
      <c r="T416" s="121">
        <f t="shared" si="111"/>
        <v>5.7666666666666666</v>
      </c>
      <c r="U416" s="121">
        <f t="shared" si="111"/>
        <v>5.7666666666666666</v>
      </c>
      <c r="V416" s="121">
        <f t="shared" si="111"/>
        <v>850</v>
      </c>
      <c r="W416" s="121">
        <f t="shared" si="111"/>
        <v>25.72059113184611</v>
      </c>
      <c r="X416" s="121">
        <f t="shared" si="111"/>
        <v>24.982666651407879</v>
      </c>
      <c r="Y416" s="121">
        <f t="shared" si="111"/>
        <v>6.1683000485102335</v>
      </c>
      <c r="Z416" s="121">
        <f t="shared" si="111"/>
        <v>0</v>
      </c>
      <c r="AA416" s="121">
        <f t="shared" si="111"/>
        <v>19.972483348846435</v>
      </c>
      <c r="AB416" s="121">
        <f t="shared" si="111"/>
        <v>0</v>
      </c>
      <c r="AC416" s="121">
        <f t="shared" si="111"/>
        <v>51.749902915954593</v>
      </c>
      <c r="AD416" s="121">
        <f t="shared" si="111"/>
        <v>6.3060833613077802</v>
      </c>
      <c r="AE416" s="121">
        <f t="shared" si="111"/>
        <v>0</v>
      </c>
      <c r="AF416" s="121">
        <f t="shared" si="111"/>
        <v>80.090518315633133</v>
      </c>
      <c r="AG416" s="121">
        <f t="shared" si="111"/>
        <v>0</v>
      </c>
      <c r="AH416" s="121">
        <f t="shared" si="111"/>
        <v>60.112164815266929</v>
      </c>
      <c r="AI416" s="121">
        <f t="shared" si="111"/>
        <v>12.181116660435995</v>
      </c>
      <c r="AJ416" s="121">
        <f t="shared" si="111"/>
        <v>17.333892202377321</v>
      </c>
      <c r="AK416" s="121">
        <f t="shared" si="111"/>
        <v>36.109808985392256</v>
      </c>
      <c r="AL416" s="121">
        <f t="shared" si="111"/>
        <v>36.614733250935871</v>
      </c>
      <c r="AM416" s="121">
        <f t="shared" si="111"/>
        <v>54.958416430155438</v>
      </c>
      <c r="AN416" s="121">
        <f t="shared" si="111"/>
        <v>112.33333333333333</v>
      </c>
      <c r="AO416" s="121">
        <f t="shared" si="111"/>
        <v>57.9</v>
      </c>
      <c r="AP416" s="121">
        <f t="shared" si="111"/>
        <v>60.179331906636556</v>
      </c>
      <c r="AQ416" s="121">
        <f t="shared" si="111"/>
        <v>35.629824320475258</v>
      </c>
      <c r="AR416" s="121">
        <f t="shared" si="111"/>
        <v>94.833333333333329</v>
      </c>
      <c r="AS416" s="121" t="e">
        <f t="shared" si="111"/>
        <v>#DIV/0!</v>
      </c>
      <c r="AT416" s="121">
        <f t="shared" si="111"/>
        <v>107.76666666666667</v>
      </c>
      <c r="AU416" s="121" t="e">
        <f t="shared" si="111"/>
        <v>#DIV/0!</v>
      </c>
      <c r="AV416" s="121">
        <f t="shared" si="111"/>
        <v>55.2</v>
      </c>
      <c r="AW416" s="121" t="e">
        <f t="shared" si="111"/>
        <v>#DIV/0!</v>
      </c>
      <c r="AX416" s="121">
        <f t="shared" si="111"/>
        <v>29.7</v>
      </c>
      <c r="AY416" s="121">
        <f t="shared" si="111"/>
        <v>32.425832907358803</v>
      </c>
      <c r="AZ416" s="121">
        <f t="shared" si="111"/>
        <v>10.316666666666666</v>
      </c>
      <c r="BA416" s="121" t="e">
        <f t="shared" si="111"/>
        <v>#DIV/0!</v>
      </c>
      <c r="BB416" s="121">
        <f t="shared" si="111"/>
        <v>183.91666666666666</v>
      </c>
      <c r="BC416" s="121">
        <f t="shared" si="111"/>
        <v>184.11688537597655</v>
      </c>
      <c r="BD416" s="121">
        <f t="shared" si="111"/>
        <v>6.6666665633519493</v>
      </c>
      <c r="BE416" s="121">
        <f t="shared" si="111"/>
        <v>6.7260321855545042</v>
      </c>
      <c r="BF416" s="121">
        <f t="shared" si="111"/>
        <v>29.383333333333333</v>
      </c>
      <c r="BG416" s="121">
        <f t="shared" si="111"/>
        <v>10.4</v>
      </c>
      <c r="BH416" s="121">
        <f t="shared" si="111"/>
        <v>11.151197306315105</v>
      </c>
      <c r="BI416" s="121" t="e">
        <f t="shared" si="111"/>
        <v>#DIV/0!</v>
      </c>
      <c r="BJ416" s="121">
        <f t="shared" si="111"/>
        <v>10.95</v>
      </c>
      <c r="BK416" s="121">
        <f t="shared" si="111"/>
        <v>10.95</v>
      </c>
      <c r="BL416" s="121">
        <f t="shared" si="111"/>
        <v>0</v>
      </c>
      <c r="BM416" s="121" t="e">
        <f t="shared" si="111"/>
        <v>#DIV/0!</v>
      </c>
      <c r="BN416" s="121">
        <f t="shared" si="111"/>
        <v>120.79666690826416</v>
      </c>
      <c r="BO416" s="121">
        <f t="shared" si="111"/>
        <v>72.316666666666663</v>
      </c>
      <c r="BP416" s="121">
        <f t="shared" si="111"/>
        <v>48.480000241597494</v>
      </c>
      <c r="BQ416" s="121">
        <f t="shared" si="111"/>
        <v>263.78333333333336</v>
      </c>
      <c r="BR416" s="121">
        <f t="shared" si="111"/>
        <v>67.512899971008295</v>
      </c>
      <c r="BS416" s="121">
        <f t="shared" ref="BS416:ED416" si="112">AVERAGEA(BS199:BS258)</f>
        <v>24.691466712951659</v>
      </c>
      <c r="BT416" s="121">
        <f t="shared" si="112"/>
        <v>40.668015352884929</v>
      </c>
      <c r="BU416" s="121">
        <f t="shared" si="112"/>
        <v>34.35495007832845</v>
      </c>
      <c r="BV416" s="121">
        <f t="shared" si="112"/>
        <v>69.011665852864581</v>
      </c>
      <c r="BW416" s="121">
        <f t="shared" si="112"/>
        <v>5.8383333921432499</v>
      </c>
      <c r="BX416" s="121">
        <f t="shared" si="112"/>
        <v>13.62833342552185</v>
      </c>
      <c r="BY416" s="121">
        <f t="shared" si="112"/>
        <v>28.416666666666668</v>
      </c>
      <c r="BZ416" s="121">
        <f t="shared" si="112"/>
        <v>1.4182013800988595E-2</v>
      </c>
      <c r="CA416" s="121">
        <f t="shared" si="112"/>
        <v>0.91666666666666663</v>
      </c>
      <c r="CB416" s="121">
        <f t="shared" si="112"/>
        <v>29.250781186421712</v>
      </c>
      <c r="CC416" s="121" t="e">
        <f t="shared" si="112"/>
        <v>#DIV/0!</v>
      </c>
      <c r="CD416" s="121">
        <f t="shared" si="112"/>
        <v>337.35225931803387</v>
      </c>
      <c r="CE416" s="121">
        <f t="shared" si="112"/>
        <v>31.707806015014647</v>
      </c>
      <c r="CF416" s="121">
        <f t="shared" si="112"/>
        <v>18.339738114674887</v>
      </c>
      <c r="CG416" s="121">
        <f t="shared" si="112"/>
        <v>35.338191986083984</v>
      </c>
      <c r="CH416" s="121">
        <f t="shared" si="112"/>
        <v>272.44257609049481</v>
      </c>
      <c r="CI416" s="121">
        <f t="shared" si="112"/>
        <v>80.68206787109375</v>
      </c>
      <c r="CJ416" s="121">
        <f t="shared" si="112"/>
        <v>35.134993044535321</v>
      </c>
      <c r="CK416" s="121">
        <f t="shared" si="112"/>
        <v>49.236142603556317</v>
      </c>
      <c r="CL416" s="121">
        <f t="shared" si="112"/>
        <v>26.212065092722575</v>
      </c>
      <c r="CM416" s="121">
        <f t="shared" si="112"/>
        <v>191.42018076578776</v>
      </c>
      <c r="CN416" s="121">
        <f t="shared" si="112"/>
        <v>53.768083063761395</v>
      </c>
      <c r="CO416" s="121">
        <f t="shared" si="112"/>
        <v>57.838673146565753</v>
      </c>
      <c r="CP416" s="121">
        <f t="shared" si="112"/>
        <v>76.770697657267249</v>
      </c>
      <c r="CQ416" s="121">
        <f t="shared" si="112"/>
        <v>0</v>
      </c>
      <c r="CR416" s="121">
        <f t="shared" si="112"/>
        <v>48.658279800415038</v>
      </c>
      <c r="CS416" s="121">
        <f t="shared" si="112"/>
        <v>8.2134310642878212</v>
      </c>
      <c r="CT416" s="121">
        <f t="shared" si="112"/>
        <v>32.14299151102702</v>
      </c>
      <c r="CU416" s="121">
        <f t="shared" si="112"/>
        <v>39.855525970458984</v>
      </c>
      <c r="CV416" s="121">
        <f t="shared" si="112"/>
        <v>61.287292544047041</v>
      </c>
      <c r="CW416" s="121">
        <f t="shared" si="112"/>
        <v>3.9166666666666665</v>
      </c>
      <c r="CX416" s="121">
        <f t="shared" si="112"/>
        <v>299.81666666666666</v>
      </c>
      <c r="CY416" s="121">
        <f t="shared" si="112"/>
        <v>111.24007390340169</v>
      </c>
      <c r="CZ416" s="121">
        <f t="shared" si="112"/>
        <v>47.088481267293297</v>
      </c>
      <c r="DA416" s="121">
        <f t="shared" si="112"/>
        <v>19.796516195933023</v>
      </c>
      <c r="DB416" s="121">
        <f t="shared" si="112"/>
        <v>32.196040789286293</v>
      </c>
      <c r="DC416" s="121">
        <f t="shared" si="112"/>
        <v>73.688654073079434</v>
      </c>
      <c r="DD416" s="121">
        <f t="shared" si="112"/>
        <v>51.3</v>
      </c>
      <c r="DE416" s="121">
        <f t="shared" si="112"/>
        <v>170.76666666666668</v>
      </c>
      <c r="DF416" s="121">
        <f t="shared" si="112"/>
        <v>100.16593119303386</v>
      </c>
      <c r="DG416" s="121">
        <f t="shared" si="112"/>
        <v>65.23785762786865</v>
      </c>
      <c r="DH416" s="121">
        <f t="shared" si="112"/>
        <v>43.343648465474445</v>
      </c>
      <c r="DI416" s="121">
        <f t="shared" si="112"/>
        <v>37.506136194864908</v>
      </c>
      <c r="DJ416" s="121">
        <f t="shared" si="112"/>
        <v>203.3</v>
      </c>
      <c r="DK416" s="121">
        <f t="shared" si="112"/>
        <v>102.70326588948568</v>
      </c>
      <c r="DL416" s="121">
        <f t="shared" si="112"/>
        <v>24.375683339436851</v>
      </c>
      <c r="DM416" s="121">
        <f t="shared" si="112"/>
        <v>24.3713667233785</v>
      </c>
      <c r="DN416" s="121">
        <f t="shared" si="112"/>
        <v>48.646033350626631</v>
      </c>
      <c r="DO416" s="121">
        <f t="shared" si="112"/>
        <v>111.22693659464518</v>
      </c>
      <c r="DP416" s="121">
        <f t="shared" si="112"/>
        <v>15.458466831843058</v>
      </c>
      <c r="DQ416" s="121" t="e">
        <f t="shared" si="112"/>
        <v>#DIV/0!</v>
      </c>
      <c r="DR416" s="121">
        <f t="shared" si="112"/>
        <v>9.4333333333333336</v>
      </c>
      <c r="DS416" s="121">
        <f t="shared" si="112"/>
        <v>29.321666749318442</v>
      </c>
      <c r="DT416" s="121">
        <f t="shared" si="112"/>
        <v>12.3</v>
      </c>
      <c r="DU416" s="121" t="e">
        <f t="shared" si="112"/>
        <v>#DIV/0!</v>
      </c>
      <c r="DV416" s="121">
        <f t="shared" si="112"/>
        <v>8.3000000000000007</v>
      </c>
      <c r="DW416" s="121">
        <f t="shared" si="112"/>
        <v>2.5319473981857299</v>
      </c>
      <c r="DX416" s="121">
        <f t="shared" si="112"/>
        <v>10.283333333333333</v>
      </c>
      <c r="DY416" s="121" t="e">
        <f t="shared" si="112"/>
        <v>#DIV/0!</v>
      </c>
      <c r="DZ416" s="121">
        <f t="shared" si="112"/>
        <v>44.56666666666667</v>
      </c>
      <c r="EA416" s="121">
        <f t="shared" si="112"/>
        <v>3</v>
      </c>
      <c r="EB416" s="121">
        <f t="shared" si="112"/>
        <v>0</v>
      </c>
      <c r="EC416" s="121">
        <f t="shared" si="112"/>
        <v>1.0333333333333334</v>
      </c>
      <c r="ED416" s="121">
        <f t="shared" si="112"/>
        <v>235.94666697184246</v>
      </c>
      <c r="EE416" s="129"/>
      <c r="EF416" s="129"/>
      <c r="EG416" s="129"/>
    </row>
    <row r="417" spans="1:137" x14ac:dyDescent="0.3">
      <c r="A417" s="5" t="s">
        <v>345</v>
      </c>
      <c r="B417" s="121">
        <f>AVERAGEA(B204:B263)</f>
        <v>212.11666666666667</v>
      </c>
      <c r="C417" s="121">
        <f t="shared" ref="C417:BR417" si="113">AVERAGEA(C204:C263)</f>
        <v>49.200599988301597</v>
      </c>
      <c r="D417" s="121">
        <f t="shared" si="113"/>
        <v>95.977700169881189</v>
      </c>
      <c r="E417" s="121">
        <f t="shared" si="113"/>
        <v>24.84316676457723</v>
      </c>
      <c r="F417" s="121">
        <f t="shared" si="113"/>
        <v>2.3839158296585081</v>
      </c>
      <c r="G417" s="121">
        <f t="shared" si="113"/>
        <v>16.913150103886924</v>
      </c>
      <c r="H417" s="121">
        <f t="shared" si="113"/>
        <v>335.4</v>
      </c>
      <c r="I417" s="121">
        <f t="shared" si="113"/>
        <v>298.41666666666669</v>
      </c>
      <c r="J417" s="121">
        <f t="shared" si="113"/>
        <v>60.512250328063963</v>
      </c>
      <c r="K417" s="121">
        <f t="shared" si="113"/>
        <v>60.944791221618651</v>
      </c>
      <c r="L417" s="121">
        <f t="shared" si="113"/>
        <v>79.099900245666504</v>
      </c>
      <c r="M417" s="121">
        <f t="shared" si="113"/>
        <v>12.332783301671347</v>
      </c>
      <c r="N417" s="121">
        <f t="shared" si="113"/>
        <v>17.503783321380617</v>
      </c>
      <c r="O417" s="121">
        <f t="shared" si="113"/>
        <v>16.466666666666665</v>
      </c>
      <c r="P417" s="121">
        <f t="shared" si="113"/>
        <v>0</v>
      </c>
      <c r="Q417" s="121">
        <f t="shared" si="113"/>
        <v>16.841277122497559</v>
      </c>
      <c r="R417" s="121">
        <f t="shared" si="113"/>
        <v>4.8990624427795408</v>
      </c>
      <c r="S417" s="121">
        <f t="shared" si="113"/>
        <v>5.3730186343193056</v>
      </c>
      <c r="T417" s="121">
        <f t="shared" si="113"/>
        <v>5.0166666666666666</v>
      </c>
      <c r="U417" s="121">
        <f t="shared" si="113"/>
        <v>5.0166666666666666</v>
      </c>
      <c r="V417" s="121">
        <f t="shared" si="113"/>
        <v>848.23333333333335</v>
      </c>
      <c r="W417" s="121">
        <f t="shared" si="113"/>
        <v>25.568621921539307</v>
      </c>
      <c r="X417" s="121">
        <f t="shared" si="113"/>
        <v>24.884650007883707</v>
      </c>
      <c r="Y417" s="121">
        <f t="shared" si="113"/>
        <v>6.1725167115529382</v>
      </c>
      <c r="Z417" s="121">
        <f t="shared" si="113"/>
        <v>0</v>
      </c>
      <c r="AA417" s="121">
        <f t="shared" si="113"/>
        <v>19.872583325703939</v>
      </c>
      <c r="AB417" s="121">
        <f t="shared" si="113"/>
        <v>0</v>
      </c>
      <c r="AC417" s="121">
        <f t="shared" si="113"/>
        <v>51.561583900451659</v>
      </c>
      <c r="AD417" s="121">
        <f t="shared" si="113"/>
        <v>6.28488335609436</v>
      </c>
      <c r="AE417" s="121">
        <f t="shared" si="113"/>
        <v>0</v>
      </c>
      <c r="AF417" s="121">
        <f t="shared" si="113"/>
        <v>79.765464528401694</v>
      </c>
      <c r="AG417" s="121">
        <f t="shared" si="113"/>
        <v>0</v>
      </c>
      <c r="AH417" s="121">
        <f t="shared" si="113"/>
        <v>59.860456275939939</v>
      </c>
      <c r="AI417" s="121">
        <f t="shared" si="113"/>
        <v>12.106899992624919</v>
      </c>
      <c r="AJ417" s="121">
        <f t="shared" si="113"/>
        <v>17.133142662048339</v>
      </c>
      <c r="AK417" s="121">
        <f t="shared" si="113"/>
        <v>36.103229331970212</v>
      </c>
      <c r="AL417" s="121">
        <f t="shared" si="113"/>
        <v>36.54108320871989</v>
      </c>
      <c r="AM417" s="121">
        <f t="shared" si="113"/>
        <v>54.970116424560544</v>
      </c>
      <c r="AN417" s="121">
        <f t="shared" si="113"/>
        <v>111.965625</v>
      </c>
      <c r="AO417" s="121">
        <f t="shared" si="113"/>
        <v>57.583333333333336</v>
      </c>
      <c r="AP417" s="121">
        <f t="shared" si="113"/>
        <v>59.955860074361162</v>
      </c>
      <c r="AQ417" s="121">
        <f t="shared" si="113"/>
        <v>35.46002540588379</v>
      </c>
      <c r="AR417" s="121">
        <f t="shared" si="113"/>
        <v>94.316666666666663</v>
      </c>
      <c r="AS417" s="121" t="e">
        <f t="shared" si="113"/>
        <v>#DIV/0!</v>
      </c>
      <c r="AT417" s="121">
        <f t="shared" si="113"/>
        <v>106.98333333333333</v>
      </c>
      <c r="AU417" s="121" t="e">
        <f t="shared" si="113"/>
        <v>#DIV/0!</v>
      </c>
      <c r="AV417" s="121">
        <f t="shared" si="113"/>
        <v>55.133333333333333</v>
      </c>
      <c r="AW417" s="121" t="e">
        <f t="shared" si="113"/>
        <v>#DIV/0!</v>
      </c>
      <c r="AX417" s="121">
        <f t="shared" si="113"/>
        <v>29.666666666666668</v>
      </c>
      <c r="AY417" s="121">
        <f t="shared" si="113"/>
        <v>32.399366474151613</v>
      </c>
      <c r="AZ417" s="121">
        <f t="shared" si="113"/>
        <v>9.65</v>
      </c>
      <c r="BA417" s="121" t="e">
        <f t="shared" si="113"/>
        <v>#DIV/0!</v>
      </c>
      <c r="BB417" s="121">
        <f t="shared" si="113"/>
        <v>177.76666666666668</v>
      </c>
      <c r="BC417" s="121">
        <f t="shared" si="113"/>
        <v>177.70759658813478</v>
      </c>
      <c r="BD417" s="121">
        <f t="shared" si="113"/>
        <v>6.6566665649414061</v>
      </c>
      <c r="BE417" s="121">
        <f t="shared" si="113"/>
        <v>6.7144134759902956</v>
      </c>
      <c r="BF417" s="121">
        <f t="shared" si="113"/>
        <v>29.366666666666667</v>
      </c>
      <c r="BG417" s="121">
        <f t="shared" si="113"/>
        <v>10.35</v>
      </c>
      <c r="BH417" s="121">
        <f t="shared" si="113"/>
        <v>11.121933778127035</v>
      </c>
      <c r="BI417" s="121" t="e">
        <f t="shared" si="113"/>
        <v>#DIV/0!</v>
      </c>
      <c r="BJ417" s="121">
        <f t="shared" si="113"/>
        <v>10.783333333333333</v>
      </c>
      <c r="BK417" s="121">
        <f t="shared" si="113"/>
        <v>10.783333333333333</v>
      </c>
      <c r="BL417" s="121">
        <f t="shared" si="113"/>
        <v>0</v>
      </c>
      <c r="BM417" s="121" t="e">
        <f t="shared" si="113"/>
        <v>#DIV/0!</v>
      </c>
      <c r="BN417" s="121">
        <f t="shared" si="113"/>
        <v>120.72666695912679</v>
      </c>
      <c r="BO417" s="121">
        <f t="shared" si="113"/>
        <v>72.316666666666663</v>
      </c>
      <c r="BP417" s="121">
        <f t="shared" si="113"/>
        <v>48.410000292460126</v>
      </c>
      <c r="BQ417" s="121">
        <f t="shared" si="113"/>
        <v>263.48333333333335</v>
      </c>
      <c r="BR417" s="121">
        <f t="shared" si="113"/>
        <v>67.160433133443192</v>
      </c>
      <c r="BS417" s="121">
        <f t="shared" ref="BS417:ED417" si="114">AVERAGEA(BS204:BS263)</f>
        <v>24.746600023905437</v>
      </c>
      <c r="BT417" s="121">
        <f t="shared" si="114"/>
        <v>40.656465339660642</v>
      </c>
      <c r="BU417" s="121">
        <f t="shared" si="114"/>
        <v>34.205433400472003</v>
      </c>
      <c r="BV417" s="121">
        <f t="shared" si="114"/>
        <v>69.039999008178711</v>
      </c>
      <c r="BW417" s="121">
        <f t="shared" si="114"/>
        <v>5.8300000508626306</v>
      </c>
      <c r="BX417" s="121">
        <f t="shared" si="114"/>
        <v>13.63833343187968</v>
      </c>
      <c r="BY417" s="121">
        <f t="shared" si="114"/>
        <v>28.366666666666667</v>
      </c>
      <c r="BZ417" s="121">
        <f t="shared" si="114"/>
        <v>1.4216904947534203E-2</v>
      </c>
      <c r="CA417" s="121">
        <f t="shared" si="114"/>
        <v>0.91666666666666663</v>
      </c>
      <c r="CB417" s="121">
        <f t="shared" si="114"/>
        <v>29.253018124898276</v>
      </c>
      <c r="CC417" s="121" t="e">
        <f t="shared" si="114"/>
        <v>#DIV/0!</v>
      </c>
      <c r="CD417" s="121">
        <f t="shared" si="114"/>
        <v>336.64139200846353</v>
      </c>
      <c r="CE417" s="121">
        <f t="shared" si="114"/>
        <v>31.607360076904296</v>
      </c>
      <c r="CF417" s="121">
        <f t="shared" si="114"/>
        <v>18.102607250213623</v>
      </c>
      <c r="CG417" s="121">
        <f t="shared" si="114"/>
        <v>35.338191986083984</v>
      </c>
      <c r="CH417" s="121">
        <f t="shared" si="114"/>
        <v>272.15100453694663</v>
      </c>
      <c r="CI417" s="121">
        <f t="shared" si="114"/>
        <v>80.35012512207031</v>
      </c>
      <c r="CJ417" s="121">
        <f t="shared" si="114"/>
        <v>35.158376948038736</v>
      </c>
      <c r="CK417" s="121">
        <f t="shared" si="114"/>
        <v>48.820747566223147</v>
      </c>
      <c r="CL417" s="121">
        <f t="shared" si="114"/>
        <v>25.987676874796549</v>
      </c>
      <c r="CM417" s="121">
        <f t="shared" si="114"/>
        <v>189.86513493855793</v>
      </c>
      <c r="CN417" s="121">
        <f t="shared" si="114"/>
        <v>53.185049565633136</v>
      </c>
      <c r="CO417" s="121">
        <f t="shared" si="114"/>
        <v>57.327282396952313</v>
      </c>
      <c r="CP417" s="121">
        <f t="shared" si="114"/>
        <v>76.357214736938474</v>
      </c>
      <c r="CQ417" s="121">
        <f t="shared" si="114"/>
        <v>0</v>
      </c>
      <c r="CR417" s="121">
        <f t="shared" si="114"/>
        <v>48.331438255310061</v>
      </c>
      <c r="CS417" s="121">
        <f t="shared" si="114"/>
        <v>8.1763831456502274</v>
      </c>
      <c r="CT417" s="121">
        <f t="shared" si="114"/>
        <v>31.998249657948811</v>
      </c>
      <c r="CU417" s="121">
        <f t="shared" si="114"/>
        <v>39.738365046183269</v>
      </c>
      <c r="CV417" s="121">
        <f t="shared" si="114"/>
        <v>61.296633275349933</v>
      </c>
      <c r="CW417" s="121">
        <f t="shared" si="114"/>
        <v>3.9166666666666665</v>
      </c>
      <c r="CX417" s="121">
        <f t="shared" si="114"/>
        <v>299.06666666666666</v>
      </c>
      <c r="CY417" s="121">
        <f t="shared" si="114"/>
        <v>110.68778470357259</v>
      </c>
      <c r="CZ417" s="121">
        <f t="shared" si="114"/>
        <v>47.174806785583499</v>
      </c>
      <c r="DA417" s="121">
        <f t="shared" si="114"/>
        <v>19.857301553090412</v>
      </c>
      <c r="DB417" s="121">
        <f t="shared" si="114"/>
        <v>32.061593373616539</v>
      </c>
      <c r="DC417" s="121">
        <f t="shared" si="114"/>
        <v>73.286525726318359</v>
      </c>
      <c r="DD417" s="121">
        <f t="shared" si="114"/>
        <v>50.68333333333333</v>
      </c>
      <c r="DE417" s="121">
        <f t="shared" si="114"/>
        <v>170.38333333333333</v>
      </c>
      <c r="DF417" s="121">
        <f t="shared" si="114"/>
        <v>99.519121297200527</v>
      </c>
      <c r="DG417" s="121">
        <f t="shared" si="114"/>
        <v>64.999938901265466</v>
      </c>
      <c r="DH417" s="121">
        <f t="shared" si="114"/>
        <v>42.952784220377602</v>
      </c>
      <c r="DI417" s="121">
        <f t="shared" si="114"/>
        <v>37.360544268290205</v>
      </c>
      <c r="DJ417" s="121">
        <f t="shared" si="114"/>
        <v>203.58333333333334</v>
      </c>
      <c r="DK417" s="121">
        <f t="shared" si="114"/>
        <v>102.9110658009847</v>
      </c>
      <c r="DL417" s="121">
        <f t="shared" si="114"/>
        <v>24.449183305104572</v>
      </c>
      <c r="DM417" s="121">
        <f t="shared" si="114"/>
        <v>24.551050059000652</v>
      </c>
      <c r="DN417" s="121">
        <f t="shared" si="114"/>
        <v>48.728499984741212</v>
      </c>
      <c r="DO417" s="121">
        <f t="shared" si="114"/>
        <v>111.10856959025065</v>
      </c>
      <c r="DP417" s="121">
        <f t="shared" si="114"/>
        <v>15.441983524958292</v>
      </c>
      <c r="DQ417" s="121" t="e">
        <f t="shared" si="114"/>
        <v>#DIV/0!</v>
      </c>
      <c r="DR417" s="121">
        <f t="shared" si="114"/>
        <v>15.016666666666667</v>
      </c>
      <c r="DS417" s="121">
        <f t="shared" si="114"/>
        <v>29.301666736602783</v>
      </c>
      <c r="DT417" s="121">
        <f t="shared" si="114"/>
        <v>12.366666666666667</v>
      </c>
      <c r="DU417" s="121" t="e">
        <f t="shared" si="114"/>
        <v>#DIV/0!</v>
      </c>
      <c r="DV417" s="121">
        <f t="shared" si="114"/>
        <v>8.3666666666666671</v>
      </c>
      <c r="DW417" s="121">
        <f t="shared" si="114"/>
        <v>2.6599989473819732</v>
      </c>
      <c r="DX417" s="121">
        <f t="shared" si="114"/>
        <v>10.383333333333333</v>
      </c>
      <c r="DY417" s="121" t="e">
        <f t="shared" si="114"/>
        <v>#DIV/0!</v>
      </c>
      <c r="DZ417" s="121">
        <f t="shared" si="114"/>
        <v>44.43333333333333</v>
      </c>
      <c r="EA417" s="121">
        <f t="shared" si="114"/>
        <v>3</v>
      </c>
      <c r="EB417" s="121">
        <f t="shared" si="114"/>
        <v>0</v>
      </c>
      <c r="EC417" s="121">
        <f t="shared" si="114"/>
        <v>1.0333333333333334</v>
      </c>
      <c r="ED417" s="121">
        <f t="shared" si="114"/>
        <v>234.58000030517579</v>
      </c>
      <c r="EE417" s="129"/>
      <c r="EF417" s="129"/>
      <c r="EG417" s="129"/>
    </row>
    <row r="418" spans="1:137" x14ac:dyDescent="0.3">
      <c r="A418" s="5" t="s">
        <v>346</v>
      </c>
      <c r="B418" s="121">
        <f>AVERAGEA(B209:B268)</f>
        <v>212.63333333333333</v>
      </c>
      <c r="C418" s="121">
        <f t="shared" ref="C418:BR418" si="115">AVERAGEA(C209:C268)</f>
        <v>49.341966819763186</v>
      </c>
      <c r="D418" s="121">
        <f t="shared" si="115"/>
        <v>96.030483373006192</v>
      </c>
      <c r="E418" s="121">
        <f t="shared" si="115"/>
        <v>24.8959667523702</v>
      </c>
      <c r="F418" s="121">
        <f t="shared" si="115"/>
        <v>2.4467768510182699</v>
      </c>
      <c r="G418" s="121">
        <f t="shared" si="115"/>
        <v>16.981016778945921</v>
      </c>
      <c r="H418" s="121">
        <f t="shared" si="115"/>
        <v>339.85</v>
      </c>
      <c r="I418" s="121">
        <f t="shared" si="115"/>
        <v>302.14999999999998</v>
      </c>
      <c r="J418" s="121">
        <f t="shared" si="115"/>
        <v>60.482083638509117</v>
      </c>
      <c r="K418" s="121">
        <f t="shared" si="115"/>
        <v>61.023889732360843</v>
      </c>
      <c r="L418" s="121">
        <f t="shared" si="115"/>
        <v>83.797566858927411</v>
      </c>
      <c r="M418" s="121">
        <f t="shared" si="115"/>
        <v>12.231033277511596</v>
      </c>
      <c r="N418" s="121">
        <f t="shared" si="115"/>
        <v>17.500600051879882</v>
      </c>
      <c r="O418" s="121">
        <f t="shared" si="115"/>
        <v>16.533333333333335</v>
      </c>
      <c r="P418" s="121">
        <f t="shared" si="115"/>
        <v>0</v>
      </c>
      <c r="Q418" s="121">
        <f t="shared" si="115"/>
        <v>16.888157494862874</v>
      </c>
      <c r="R418" s="121">
        <f t="shared" si="115"/>
        <v>4.599062442779541</v>
      </c>
      <c r="S418" s="121">
        <f t="shared" si="115"/>
        <v>5.1838824391365055</v>
      </c>
      <c r="T418" s="121">
        <f t="shared" si="115"/>
        <v>4.45</v>
      </c>
      <c r="U418" s="121">
        <f t="shared" si="115"/>
        <v>4.45</v>
      </c>
      <c r="V418" s="121">
        <f t="shared" si="115"/>
        <v>846.75</v>
      </c>
      <c r="W418" s="121">
        <f t="shared" si="115"/>
        <v>25.725710010528566</v>
      </c>
      <c r="X418" s="121">
        <f t="shared" si="115"/>
        <v>24.77533337275187</v>
      </c>
      <c r="Y418" s="121">
        <f t="shared" si="115"/>
        <v>6.2117500384648645</v>
      </c>
      <c r="Z418" s="121">
        <f t="shared" si="115"/>
        <v>0</v>
      </c>
      <c r="AA418" s="121">
        <f t="shared" si="115"/>
        <v>19.772716681162517</v>
      </c>
      <c r="AB418" s="121">
        <f t="shared" si="115"/>
        <v>0</v>
      </c>
      <c r="AC418" s="121">
        <f t="shared" si="115"/>
        <v>51.525452613830566</v>
      </c>
      <c r="AD418" s="121">
        <f t="shared" si="115"/>
        <v>6.2636833508809406</v>
      </c>
      <c r="AE418" s="121">
        <f t="shared" si="115"/>
        <v>0</v>
      </c>
      <c r="AF418" s="121">
        <f t="shared" si="115"/>
        <v>79.630315399169916</v>
      </c>
      <c r="AG418" s="121">
        <f t="shared" si="115"/>
        <v>0</v>
      </c>
      <c r="AH418" s="121">
        <f t="shared" si="115"/>
        <v>59.883882268269858</v>
      </c>
      <c r="AI418" s="121">
        <f t="shared" si="115"/>
        <v>12.060249996185302</v>
      </c>
      <c r="AJ418" s="121">
        <f t="shared" si="115"/>
        <v>16.921689764658609</v>
      </c>
      <c r="AK418" s="121">
        <f t="shared" si="115"/>
        <v>36.049296824137372</v>
      </c>
      <c r="AL418" s="121">
        <f t="shared" si="115"/>
        <v>36.414433288574216</v>
      </c>
      <c r="AM418" s="121">
        <f t="shared" si="115"/>
        <v>54.941483116149904</v>
      </c>
      <c r="AN418" s="121">
        <f t="shared" si="115"/>
        <v>111.79791666666667</v>
      </c>
      <c r="AO418" s="121">
        <f t="shared" si="115"/>
        <v>57.333333333333336</v>
      </c>
      <c r="AP418" s="121">
        <f t="shared" si="115"/>
        <v>59.824458567301434</v>
      </c>
      <c r="AQ418" s="121">
        <f t="shared" si="115"/>
        <v>35.224030240376791</v>
      </c>
      <c r="AR418" s="121">
        <f t="shared" si="115"/>
        <v>94.016666666666666</v>
      </c>
      <c r="AS418" s="121" t="e">
        <f t="shared" si="115"/>
        <v>#DIV/0!</v>
      </c>
      <c r="AT418" s="121">
        <f t="shared" si="115"/>
        <v>106.18333333333334</v>
      </c>
      <c r="AU418" s="121" t="e">
        <f t="shared" si="115"/>
        <v>#DIV/0!</v>
      </c>
      <c r="AV418" s="121">
        <f t="shared" si="115"/>
        <v>55</v>
      </c>
      <c r="AW418" s="121" t="e">
        <f t="shared" si="115"/>
        <v>#DIV/0!</v>
      </c>
      <c r="AX418" s="121">
        <f t="shared" si="115"/>
        <v>29.616666666666667</v>
      </c>
      <c r="AY418" s="121">
        <f t="shared" si="115"/>
        <v>32.389781729380289</v>
      </c>
      <c r="AZ418" s="121">
        <f t="shared" si="115"/>
        <v>9.0333333333333332</v>
      </c>
      <c r="BA418" s="121" t="e">
        <f t="shared" si="115"/>
        <v>#DIV/0!</v>
      </c>
      <c r="BB418" s="121">
        <f t="shared" si="115"/>
        <v>177.58333333333334</v>
      </c>
      <c r="BC418" s="121">
        <f t="shared" si="115"/>
        <v>177.3850082397461</v>
      </c>
      <c r="BD418" s="121">
        <f t="shared" si="115"/>
        <v>6.6466665744781492</v>
      </c>
      <c r="BE418" s="121">
        <f t="shared" si="115"/>
        <v>6.7057593663533526</v>
      </c>
      <c r="BF418" s="121">
        <f t="shared" si="115"/>
        <v>29.383333333333333</v>
      </c>
      <c r="BG418" s="121">
        <f t="shared" si="115"/>
        <v>10.333333333333334</v>
      </c>
      <c r="BH418" s="121">
        <f t="shared" si="115"/>
        <v>11.112257862091065</v>
      </c>
      <c r="BI418" s="121" t="e">
        <f t="shared" si="115"/>
        <v>#DIV/0!</v>
      </c>
      <c r="BJ418" s="121">
        <f t="shared" si="115"/>
        <v>10.75</v>
      </c>
      <c r="BK418" s="121">
        <f t="shared" si="115"/>
        <v>10.75</v>
      </c>
      <c r="BL418" s="121">
        <f t="shared" si="115"/>
        <v>0</v>
      </c>
      <c r="BM418" s="121" t="e">
        <f t="shared" si="115"/>
        <v>#DIV/0!</v>
      </c>
      <c r="BN418" s="121">
        <f t="shared" si="115"/>
        <v>120.61833362579345</v>
      </c>
      <c r="BO418" s="121">
        <f t="shared" si="115"/>
        <v>72.3</v>
      </c>
      <c r="BP418" s="121">
        <f t="shared" si="115"/>
        <v>48.318333625793457</v>
      </c>
      <c r="BQ418" s="121">
        <f t="shared" si="115"/>
        <v>263.06666666666666</v>
      </c>
      <c r="BR418" s="121">
        <f t="shared" si="115"/>
        <v>66.766466649373371</v>
      </c>
      <c r="BS418" s="121">
        <f t="shared" ref="BS418:ED418" si="116">AVERAGEA(BS209:BS268)</f>
        <v>24.776300048828126</v>
      </c>
      <c r="BT418" s="121">
        <f t="shared" si="116"/>
        <v>40.725748761494955</v>
      </c>
      <c r="BU418" s="121">
        <f t="shared" si="116"/>
        <v>34.064433352152506</v>
      </c>
      <c r="BV418" s="121">
        <f t="shared" si="116"/>
        <v>69.071665954589847</v>
      </c>
      <c r="BW418" s="121">
        <f t="shared" si="116"/>
        <v>5.8216667254765833</v>
      </c>
      <c r="BX418" s="121">
        <f t="shared" si="116"/>
        <v>13.63833343187968</v>
      </c>
      <c r="BY418" s="121">
        <f t="shared" si="116"/>
        <v>28.35</v>
      </c>
      <c r="BZ418" s="121">
        <f t="shared" si="116"/>
        <v>1.4196916328122219E-2</v>
      </c>
      <c r="CA418" s="121">
        <f t="shared" si="116"/>
        <v>0.93333333333333335</v>
      </c>
      <c r="CB418" s="121">
        <f t="shared" si="116"/>
        <v>29.261378574371339</v>
      </c>
      <c r="CC418" s="121" t="e">
        <f t="shared" si="116"/>
        <v>#DIV/0!</v>
      </c>
      <c r="CD418" s="121">
        <f t="shared" si="116"/>
        <v>336.1097462972005</v>
      </c>
      <c r="CE418" s="121">
        <f t="shared" si="116"/>
        <v>31.537718900044759</v>
      </c>
      <c r="CF418" s="121">
        <f t="shared" si="116"/>
        <v>17.916169420878092</v>
      </c>
      <c r="CG418" s="121">
        <f t="shared" si="116"/>
        <v>35.338191986083984</v>
      </c>
      <c r="CH418" s="121">
        <f t="shared" si="116"/>
        <v>272.07348683675133</v>
      </c>
      <c r="CI418" s="121">
        <f t="shared" si="116"/>
        <v>80.076434707641596</v>
      </c>
      <c r="CJ418" s="121">
        <f t="shared" si="116"/>
        <v>35.093154652913412</v>
      </c>
      <c r="CK418" s="121">
        <f t="shared" si="116"/>
        <v>48.501720746358238</v>
      </c>
      <c r="CL418" s="121">
        <f t="shared" si="116"/>
        <v>25.877880668640138</v>
      </c>
      <c r="CM418" s="121">
        <f t="shared" si="116"/>
        <v>188.38033777872721</v>
      </c>
      <c r="CN418" s="121">
        <f t="shared" si="116"/>
        <v>52.666149711608888</v>
      </c>
      <c r="CO418" s="121">
        <f t="shared" si="116"/>
        <v>56.733370208740233</v>
      </c>
      <c r="CP418" s="121">
        <f t="shared" si="116"/>
        <v>75.996053695678711</v>
      </c>
      <c r="CQ418" s="121">
        <f t="shared" si="116"/>
        <v>0</v>
      </c>
      <c r="CR418" s="121">
        <f t="shared" si="116"/>
        <v>48.259956804911297</v>
      </c>
      <c r="CS418" s="121">
        <f t="shared" si="116"/>
        <v>8.1328823566436768</v>
      </c>
      <c r="CT418" s="121">
        <f t="shared" si="116"/>
        <v>31.770484193166098</v>
      </c>
      <c r="CU418" s="121">
        <f t="shared" si="116"/>
        <v>39.509141031901045</v>
      </c>
      <c r="CV418" s="121">
        <f t="shared" si="116"/>
        <v>61.449171257019046</v>
      </c>
      <c r="CW418" s="121">
        <f t="shared" si="116"/>
        <v>3.9833333333333334</v>
      </c>
      <c r="CX418" s="121">
        <f t="shared" si="116"/>
        <v>298.18333333333334</v>
      </c>
      <c r="CY418" s="121">
        <f t="shared" si="116"/>
        <v>110.33213170369466</v>
      </c>
      <c r="CZ418" s="121">
        <f t="shared" si="116"/>
        <v>47.131200599670407</v>
      </c>
      <c r="DA418" s="121">
        <f t="shared" si="116"/>
        <v>19.903969764709473</v>
      </c>
      <c r="DB418" s="121">
        <f t="shared" si="116"/>
        <v>32.102351983388267</v>
      </c>
      <c r="DC418" s="121">
        <f t="shared" si="116"/>
        <v>73.023710505167642</v>
      </c>
      <c r="DD418" s="121">
        <f t="shared" si="116"/>
        <v>49.616666666666667</v>
      </c>
      <c r="DE418" s="121">
        <f t="shared" si="116"/>
        <v>169.95</v>
      </c>
      <c r="DF418" s="121">
        <f t="shared" si="116"/>
        <v>98.90040423075358</v>
      </c>
      <c r="DG418" s="121">
        <f t="shared" si="116"/>
        <v>64.661465009053543</v>
      </c>
      <c r="DH418" s="121">
        <f t="shared" si="116"/>
        <v>42.614397939046221</v>
      </c>
      <c r="DI418" s="121">
        <f t="shared" si="116"/>
        <v>37.163225682576496</v>
      </c>
      <c r="DJ418" s="121">
        <f t="shared" si="116"/>
        <v>204.01666666666668</v>
      </c>
      <c r="DK418" s="121">
        <f t="shared" si="116"/>
        <v>103.24613253275554</v>
      </c>
      <c r="DL418" s="121">
        <f t="shared" si="116"/>
        <v>24.485000006357829</v>
      </c>
      <c r="DM418" s="121">
        <f t="shared" si="116"/>
        <v>24.848533376057944</v>
      </c>
      <c r="DN418" s="121">
        <f t="shared" si="116"/>
        <v>48.707883262634276</v>
      </c>
      <c r="DO418" s="121">
        <f t="shared" si="116"/>
        <v>111.22543004353841</v>
      </c>
      <c r="DP418" s="121">
        <f t="shared" si="116"/>
        <v>15.343033456802369</v>
      </c>
      <c r="DQ418" s="121" t="e">
        <f t="shared" si="116"/>
        <v>#DIV/0!</v>
      </c>
      <c r="DR418" s="121">
        <f t="shared" si="116"/>
        <v>20.6</v>
      </c>
      <c r="DS418" s="121">
        <f t="shared" si="116"/>
        <v>29.28500000635783</v>
      </c>
      <c r="DT418" s="121">
        <f t="shared" si="116"/>
        <v>12.433333333333334</v>
      </c>
      <c r="DU418" s="121" t="e">
        <f t="shared" si="116"/>
        <v>#DIV/0!</v>
      </c>
      <c r="DV418" s="121">
        <f t="shared" si="116"/>
        <v>8.3833333333333329</v>
      </c>
      <c r="DW418" s="121">
        <f t="shared" si="116"/>
        <v>2.7782722671826678</v>
      </c>
      <c r="DX418" s="121">
        <f t="shared" si="116"/>
        <v>10.5</v>
      </c>
      <c r="DY418" s="121" t="e">
        <f t="shared" si="116"/>
        <v>#DIV/0!</v>
      </c>
      <c r="DZ418" s="121">
        <f t="shared" si="116"/>
        <v>44.516666666666666</v>
      </c>
      <c r="EA418" s="121">
        <f t="shared" si="116"/>
        <v>3</v>
      </c>
      <c r="EB418" s="121">
        <f t="shared" si="116"/>
        <v>0</v>
      </c>
      <c r="EC418" s="121">
        <f t="shared" si="116"/>
        <v>1.0666666666666667</v>
      </c>
      <c r="ED418" s="121">
        <f t="shared" si="116"/>
        <v>233.46500015258789</v>
      </c>
      <c r="EE418" s="129"/>
      <c r="EF418" s="129"/>
      <c r="EG418" s="129"/>
    </row>
    <row r="419" spans="1:137" x14ac:dyDescent="0.3">
      <c r="A419" s="5" t="s">
        <v>347</v>
      </c>
      <c r="B419" s="121">
        <f>AVERAGEA(B214:B273)</f>
        <v>213.16666666666666</v>
      </c>
      <c r="C419" s="121">
        <f t="shared" ref="C419:BR419" si="117">AVERAGEA(C214:C273)</f>
        <v>49.315566762288412</v>
      </c>
      <c r="D419" s="121">
        <f t="shared" si="117"/>
        <v>96.109650039672857</v>
      </c>
      <c r="E419" s="121">
        <f t="shared" si="117"/>
        <v>25.738533369700114</v>
      </c>
      <c r="F419" s="121">
        <f t="shared" si="117"/>
        <v>2.1920551379521687</v>
      </c>
      <c r="G419" s="121">
        <f t="shared" si="117"/>
        <v>17.014966773986817</v>
      </c>
      <c r="H419" s="121">
        <f t="shared" si="117"/>
        <v>344.35</v>
      </c>
      <c r="I419" s="121">
        <f t="shared" si="117"/>
        <v>306.03333333333336</v>
      </c>
      <c r="J419" s="121">
        <f t="shared" si="117"/>
        <v>60.493383661905924</v>
      </c>
      <c r="K419" s="121">
        <f t="shared" si="117"/>
        <v>61.098229726155601</v>
      </c>
      <c r="L419" s="121">
        <f t="shared" si="117"/>
        <v>88.498183631896978</v>
      </c>
      <c r="M419" s="121">
        <f t="shared" si="117"/>
        <v>12.14058329264323</v>
      </c>
      <c r="N419" s="121">
        <f t="shared" si="117"/>
        <v>17.473016770680747</v>
      </c>
      <c r="O419" s="121">
        <f t="shared" si="117"/>
        <v>16.55</v>
      </c>
      <c r="P419" s="121">
        <f t="shared" si="117"/>
        <v>0</v>
      </c>
      <c r="Q419" s="121">
        <f t="shared" si="117"/>
        <v>16.890762615203858</v>
      </c>
      <c r="R419" s="121">
        <f t="shared" si="117"/>
        <v>4.4323436896006267</v>
      </c>
      <c r="S419" s="121">
        <f t="shared" si="117"/>
        <v>5.0544361432393394</v>
      </c>
      <c r="T419" s="121">
        <f t="shared" si="117"/>
        <v>5.05</v>
      </c>
      <c r="U419" s="121">
        <f t="shared" si="117"/>
        <v>5.05</v>
      </c>
      <c r="V419" s="121">
        <f t="shared" si="117"/>
        <v>845.61666666666667</v>
      </c>
      <c r="W419" s="121">
        <f t="shared" si="117"/>
        <v>25.683307488759358</v>
      </c>
      <c r="X419" s="121">
        <f t="shared" si="117"/>
        <v>24.654700088500977</v>
      </c>
      <c r="Y419" s="121">
        <f t="shared" si="117"/>
        <v>6.2987166961034138</v>
      </c>
      <c r="Z419" s="121">
        <f t="shared" si="117"/>
        <v>0</v>
      </c>
      <c r="AA419" s="121">
        <f t="shared" si="117"/>
        <v>19.648316669464112</v>
      </c>
      <c r="AB419" s="121">
        <f t="shared" si="117"/>
        <v>0</v>
      </c>
      <c r="AC419" s="121">
        <f t="shared" si="117"/>
        <v>51.410427983601885</v>
      </c>
      <c r="AD419" s="121">
        <f t="shared" si="117"/>
        <v>6.2297500212987265</v>
      </c>
      <c r="AE419" s="121">
        <f t="shared" si="117"/>
        <v>0</v>
      </c>
      <c r="AF419" s="121">
        <f t="shared" si="117"/>
        <v>79.670415115356448</v>
      </c>
      <c r="AG419" s="121">
        <f t="shared" si="117"/>
        <v>0</v>
      </c>
      <c r="AH419" s="121">
        <f t="shared" si="117"/>
        <v>59.836030006408691</v>
      </c>
      <c r="AI419" s="121">
        <f t="shared" si="117"/>
        <v>12.118566656112671</v>
      </c>
      <c r="AJ419" s="121">
        <f t="shared" si="117"/>
        <v>16.604506460825601</v>
      </c>
      <c r="AK419" s="121">
        <f t="shared" si="117"/>
        <v>36.066557121276858</v>
      </c>
      <c r="AL419" s="121">
        <f t="shared" si="117"/>
        <v>36.370266596476235</v>
      </c>
      <c r="AM419" s="121">
        <f t="shared" si="117"/>
        <v>54.967966461181639</v>
      </c>
      <c r="AN419" s="121">
        <f t="shared" si="117"/>
        <v>111.68854166666667</v>
      </c>
      <c r="AO419" s="121">
        <f t="shared" si="117"/>
        <v>57.166666666666664</v>
      </c>
      <c r="AP419" s="121">
        <f t="shared" si="117"/>
        <v>59.717627970377606</v>
      </c>
      <c r="AQ419" s="121">
        <f t="shared" si="117"/>
        <v>35.08937562306722</v>
      </c>
      <c r="AR419" s="121">
        <f t="shared" si="117"/>
        <v>93.433333333333337</v>
      </c>
      <c r="AS419" s="121" t="e">
        <f t="shared" si="117"/>
        <v>#DIV/0!</v>
      </c>
      <c r="AT419" s="121">
        <f t="shared" si="117"/>
        <v>105.4</v>
      </c>
      <c r="AU419" s="121" t="e">
        <f t="shared" si="117"/>
        <v>#DIV/0!</v>
      </c>
      <c r="AV419" s="121">
        <f t="shared" si="117"/>
        <v>54.966666666666669</v>
      </c>
      <c r="AW419" s="121" t="e">
        <f t="shared" si="117"/>
        <v>#DIV/0!</v>
      </c>
      <c r="AX419" s="121">
        <f t="shared" si="117"/>
        <v>29.6</v>
      </c>
      <c r="AY419" s="121">
        <f t="shared" si="117"/>
        <v>32.397281201680499</v>
      </c>
      <c r="AZ419" s="121">
        <f t="shared" si="117"/>
        <v>8.2833333333333332</v>
      </c>
      <c r="BA419" s="121" t="e">
        <f t="shared" si="117"/>
        <v>#DIV/0!</v>
      </c>
      <c r="BB419" s="121">
        <f t="shared" si="117"/>
        <v>177.4</v>
      </c>
      <c r="BC419" s="121">
        <f t="shared" si="117"/>
        <v>177.24713872273762</v>
      </c>
      <c r="BD419" s="121">
        <f t="shared" si="117"/>
        <v>6.6333332379659016</v>
      </c>
      <c r="BE419" s="121">
        <f t="shared" si="117"/>
        <v>6.6943995237350462</v>
      </c>
      <c r="BF419" s="121">
        <f t="shared" si="117"/>
        <v>29.466666666666665</v>
      </c>
      <c r="BG419" s="121">
        <f t="shared" si="117"/>
        <v>10.4</v>
      </c>
      <c r="BH419" s="121">
        <f t="shared" si="117"/>
        <v>11.146354134877523</v>
      </c>
      <c r="BI419" s="121" t="e">
        <f t="shared" si="117"/>
        <v>#DIV/0!</v>
      </c>
      <c r="BJ419" s="121">
        <f t="shared" si="117"/>
        <v>10.733333333333333</v>
      </c>
      <c r="BK419" s="121">
        <f t="shared" si="117"/>
        <v>10.733333333333333</v>
      </c>
      <c r="BL419" s="121">
        <f t="shared" si="117"/>
        <v>0</v>
      </c>
      <c r="BM419" s="121" t="e">
        <f t="shared" si="117"/>
        <v>#DIV/0!</v>
      </c>
      <c r="BN419" s="121">
        <f t="shared" si="117"/>
        <v>120.57833366394043</v>
      </c>
      <c r="BO419" s="121">
        <f t="shared" si="117"/>
        <v>72.333333333333329</v>
      </c>
      <c r="BP419" s="121">
        <f t="shared" si="117"/>
        <v>48.245000330607098</v>
      </c>
      <c r="BQ419" s="121">
        <f t="shared" si="117"/>
        <v>262.64999999999998</v>
      </c>
      <c r="BR419" s="121">
        <f t="shared" si="117"/>
        <v>66.412116622924799</v>
      </c>
      <c r="BS419" s="121">
        <f t="shared" ref="BS419:ED419" si="118">AVERAGEA(BS214:BS273)</f>
        <v>24.793250052134194</v>
      </c>
      <c r="BT419" s="121">
        <f t="shared" si="118"/>
        <v>40.74308211008708</v>
      </c>
      <c r="BU419" s="121">
        <f t="shared" si="118"/>
        <v>33.989166704813641</v>
      </c>
      <c r="BV419" s="121">
        <f t="shared" si="118"/>
        <v>69.039999516805011</v>
      </c>
      <c r="BW419" s="121">
        <f t="shared" si="118"/>
        <v>5.8083333969116211</v>
      </c>
      <c r="BX419" s="121">
        <f t="shared" si="118"/>
        <v>13.63833343187968</v>
      </c>
      <c r="BY419" s="121">
        <f t="shared" si="118"/>
        <v>28.383333333333333</v>
      </c>
      <c r="BZ419" s="121">
        <f t="shared" si="118"/>
        <v>0.34702528125296034</v>
      </c>
      <c r="CA419" s="121">
        <f t="shared" si="118"/>
        <v>1.2333333333333334</v>
      </c>
      <c r="CB419" s="121">
        <f t="shared" si="118"/>
        <v>29.279076099395752</v>
      </c>
      <c r="CC419" s="121" t="e">
        <f t="shared" si="118"/>
        <v>#DIV/0!</v>
      </c>
      <c r="CD419" s="121">
        <f t="shared" si="118"/>
        <v>335.52695922851564</v>
      </c>
      <c r="CE419" s="121">
        <f t="shared" si="118"/>
        <v>31.427354049682616</v>
      </c>
      <c r="CF419" s="121">
        <f t="shared" si="118"/>
        <v>17.789507738749187</v>
      </c>
      <c r="CG419" s="121">
        <f t="shared" si="118"/>
        <v>35.338191986083984</v>
      </c>
      <c r="CH419" s="121">
        <f t="shared" si="118"/>
        <v>271.67447662353516</v>
      </c>
      <c r="CI419" s="121">
        <f t="shared" si="118"/>
        <v>79.733075459798172</v>
      </c>
      <c r="CJ419" s="121">
        <f t="shared" si="118"/>
        <v>34.946756362915039</v>
      </c>
      <c r="CK419" s="121">
        <f t="shared" si="118"/>
        <v>48.277630043029788</v>
      </c>
      <c r="CL419" s="121">
        <f t="shared" si="118"/>
        <v>25.728002389272053</v>
      </c>
      <c r="CM419" s="121">
        <f t="shared" si="118"/>
        <v>188.11267496744793</v>
      </c>
      <c r="CN419" s="121">
        <f t="shared" si="118"/>
        <v>53.328367169698076</v>
      </c>
      <c r="CO419" s="121">
        <f t="shared" si="118"/>
        <v>56.165156428019209</v>
      </c>
      <c r="CP419" s="121">
        <f t="shared" si="118"/>
        <v>75.644198735555008</v>
      </c>
      <c r="CQ419" s="121">
        <f t="shared" si="118"/>
        <v>0</v>
      </c>
      <c r="CR419" s="121">
        <f t="shared" si="118"/>
        <v>48.202179972330732</v>
      </c>
      <c r="CS419" s="121">
        <f t="shared" si="118"/>
        <v>8.1168006181716912</v>
      </c>
      <c r="CT419" s="121">
        <f t="shared" si="118"/>
        <v>31.498206170399985</v>
      </c>
      <c r="CU419" s="121">
        <f t="shared" si="118"/>
        <v>39.337095642089842</v>
      </c>
      <c r="CV419" s="121">
        <f t="shared" si="118"/>
        <v>61.550092379252114</v>
      </c>
      <c r="CW419" s="121">
        <f t="shared" si="118"/>
        <v>3.8</v>
      </c>
      <c r="CX419" s="121">
        <f t="shared" si="118"/>
        <v>297.35000000000002</v>
      </c>
      <c r="CY419" s="121">
        <f t="shared" si="118"/>
        <v>110.07083702087402</v>
      </c>
      <c r="CZ419" s="121">
        <f t="shared" si="118"/>
        <v>47.195857238769534</v>
      </c>
      <c r="DA419" s="121">
        <f t="shared" si="118"/>
        <v>19.871512603759765</v>
      </c>
      <c r="DB419" s="121">
        <f t="shared" si="118"/>
        <v>32.041116619110106</v>
      </c>
      <c r="DC419" s="121">
        <f t="shared" si="118"/>
        <v>72.799261983235681</v>
      </c>
      <c r="DD419" s="121">
        <f t="shared" si="118"/>
        <v>49.06666666666667</v>
      </c>
      <c r="DE419" s="121">
        <f t="shared" si="118"/>
        <v>169.53333333333333</v>
      </c>
      <c r="DF419" s="121">
        <f t="shared" si="118"/>
        <v>98.517634836832684</v>
      </c>
      <c r="DG419" s="121">
        <f t="shared" si="118"/>
        <v>64.342198117574057</v>
      </c>
      <c r="DH419" s="121">
        <f t="shared" si="118"/>
        <v>42.341821034749351</v>
      </c>
      <c r="DI419" s="121">
        <f t="shared" si="118"/>
        <v>37.049126180013019</v>
      </c>
      <c r="DJ419" s="121">
        <f t="shared" si="118"/>
        <v>204.48333333333332</v>
      </c>
      <c r="DK419" s="121">
        <f t="shared" si="118"/>
        <v>103.53451588948568</v>
      </c>
      <c r="DL419" s="121">
        <f t="shared" si="118"/>
        <v>24.417166709899902</v>
      </c>
      <c r="DM419" s="121">
        <f t="shared" si="118"/>
        <v>25.181333414713542</v>
      </c>
      <c r="DN419" s="121">
        <f t="shared" si="118"/>
        <v>48.713766606648761</v>
      </c>
      <c r="DO419" s="121">
        <f t="shared" si="118"/>
        <v>111.40042406717936</v>
      </c>
      <c r="DP419" s="121">
        <f t="shared" si="118"/>
        <v>15.285533459981282</v>
      </c>
      <c r="DQ419" s="121" t="e">
        <f t="shared" si="118"/>
        <v>#DIV/0!</v>
      </c>
      <c r="DR419" s="121">
        <f t="shared" si="118"/>
        <v>26.183333333333334</v>
      </c>
      <c r="DS419" s="121">
        <f t="shared" si="118"/>
        <v>29.226666641235351</v>
      </c>
      <c r="DT419" s="121">
        <f t="shared" si="118"/>
        <v>12.466666666666667</v>
      </c>
      <c r="DU419" s="121" t="e">
        <f t="shared" si="118"/>
        <v>#DIV/0!</v>
      </c>
      <c r="DV419" s="121">
        <f t="shared" si="118"/>
        <v>8.2333333333333325</v>
      </c>
      <c r="DW419" s="121">
        <f t="shared" si="118"/>
        <v>2.8826904376347859</v>
      </c>
      <c r="DX419" s="121">
        <f t="shared" si="118"/>
        <v>10.55</v>
      </c>
      <c r="DY419" s="121" t="e">
        <f t="shared" si="118"/>
        <v>#DIV/0!</v>
      </c>
      <c r="DZ419" s="121">
        <f t="shared" si="118"/>
        <v>44.616666666666667</v>
      </c>
      <c r="EA419" s="121">
        <f t="shared" si="118"/>
        <v>3</v>
      </c>
      <c r="EB419" s="121">
        <f t="shared" si="118"/>
        <v>0</v>
      </c>
      <c r="EC419" s="121">
        <f t="shared" si="118"/>
        <v>1.0666666666666667</v>
      </c>
      <c r="ED419" s="121">
        <f t="shared" si="118"/>
        <v>232.44666697184246</v>
      </c>
      <c r="EE419" s="129"/>
      <c r="EF419" s="129"/>
      <c r="EG419" s="129"/>
    </row>
    <row r="420" spans="1:137" x14ac:dyDescent="0.3">
      <c r="A420" s="5" t="s">
        <v>348</v>
      </c>
      <c r="B420" s="121">
        <f>AVERAGEA(B219:B278)</f>
        <v>213.65</v>
      </c>
      <c r="C420" s="121">
        <f t="shared" ref="C420:BR420" si="119">AVERAGEA(C219:C278)</f>
        <v>49.247683397928874</v>
      </c>
      <c r="D420" s="121">
        <f t="shared" si="119"/>
        <v>96.252916844685871</v>
      </c>
      <c r="E420" s="121">
        <f t="shared" si="119"/>
        <v>26.669700050354002</v>
      </c>
      <c r="F420" s="121">
        <f t="shared" si="119"/>
        <v>2.0417391538619993</v>
      </c>
      <c r="G420" s="121">
        <f t="shared" si="119"/>
        <v>17.131850115458171</v>
      </c>
      <c r="H420" s="121">
        <f t="shared" si="119"/>
        <v>348.88333333333333</v>
      </c>
      <c r="I420" s="121">
        <f t="shared" si="119"/>
        <v>309.91666666666669</v>
      </c>
      <c r="J420" s="121">
        <f t="shared" si="119"/>
        <v>60.446250216166177</v>
      </c>
      <c r="K420" s="121">
        <f t="shared" si="119"/>
        <v>61.21050268809001</v>
      </c>
      <c r="L420" s="121">
        <f t="shared" si="119"/>
        <v>93.148700269063312</v>
      </c>
      <c r="M420" s="121">
        <f t="shared" si="119"/>
        <v>12.129266627629598</v>
      </c>
      <c r="N420" s="121">
        <f t="shared" si="119"/>
        <v>17.51013339360555</v>
      </c>
      <c r="O420" s="121">
        <f t="shared" si="119"/>
        <v>16.716666666666665</v>
      </c>
      <c r="P420" s="121">
        <f t="shared" si="119"/>
        <v>0</v>
      </c>
      <c r="Q420" s="121">
        <f t="shared" si="119"/>
        <v>17.074099175135295</v>
      </c>
      <c r="R420" s="121">
        <f t="shared" si="119"/>
        <v>4.1324999491373697</v>
      </c>
      <c r="S420" s="121">
        <f t="shared" si="119"/>
        <v>4.9928086121877033</v>
      </c>
      <c r="T420" s="121">
        <f t="shared" si="119"/>
        <v>5.8</v>
      </c>
      <c r="U420" s="121">
        <f t="shared" si="119"/>
        <v>5.8</v>
      </c>
      <c r="V420" s="121">
        <f t="shared" si="119"/>
        <v>844.55</v>
      </c>
      <c r="W420" s="121">
        <f t="shared" si="119"/>
        <v>25.745961380004882</v>
      </c>
      <c r="X420" s="121">
        <f t="shared" si="119"/>
        <v>24.664116764068602</v>
      </c>
      <c r="Y420" s="121">
        <f t="shared" si="119"/>
        <v>6.1417833566665649</v>
      </c>
      <c r="Z420" s="121">
        <f t="shared" si="119"/>
        <v>0</v>
      </c>
      <c r="AA420" s="121">
        <f t="shared" si="119"/>
        <v>19.571016629536945</v>
      </c>
      <c r="AB420" s="121">
        <f t="shared" si="119"/>
        <v>0</v>
      </c>
      <c r="AC420" s="121">
        <f t="shared" si="119"/>
        <v>51.3510399500529</v>
      </c>
      <c r="AD420" s="121">
        <f t="shared" si="119"/>
        <v>6.2085666815439859</v>
      </c>
      <c r="AE420" s="121">
        <f t="shared" si="119"/>
        <v>0</v>
      </c>
      <c r="AF420" s="121">
        <f t="shared" si="119"/>
        <v>79.657730738321945</v>
      </c>
      <c r="AG420" s="121">
        <f t="shared" si="119"/>
        <v>0</v>
      </c>
      <c r="AH420" s="121">
        <f t="shared" si="119"/>
        <v>59.919018236796063</v>
      </c>
      <c r="AI420" s="121">
        <f t="shared" si="119"/>
        <v>12.167349974314371</v>
      </c>
      <c r="AJ420" s="121">
        <f t="shared" si="119"/>
        <v>16.400251086552938</v>
      </c>
      <c r="AK420" s="121">
        <f t="shared" si="119"/>
        <v>36.021095784505206</v>
      </c>
      <c r="AL420" s="121">
        <f t="shared" si="119"/>
        <v>36.190633265177411</v>
      </c>
      <c r="AM420" s="121">
        <f t="shared" si="119"/>
        <v>54.891633288065592</v>
      </c>
      <c r="AN420" s="121">
        <f t="shared" si="119"/>
        <v>111.72291666666666</v>
      </c>
      <c r="AO420" s="121">
        <f t="shared" si="119"/>
        <v>57.116666666666667</v>
      </c>
      <c r="AP420" s="121">
        <f t="shared" si="119"/>
        <v>59.639192962646483</v>
      </c>
      <c r="AQ420" s="121">
        <f t="shared" si="119"/>
        <v>35.104718589782713</v>
      </c>
      <c r="AR420" s="121">
        <f t="shared" si="119"/>
        <v>93</v>
      </c>
      <c r="AS420" s="121" t="e">
        <f t="shared" si="119"/>
        <v>#DIV/0!</v>
      </c>
      <c r="AT420" s="121">
        <f t="shared" si="119"/>
        <v>104.68333333333334</v>
      </c>
      <c r="AU420" s="121" t="e">
        <f t="shared" si="119"/>
        <v>#DIV/0!</v>
      </c>
      <c r="AV420" s="121">
        <f t="shared" si="119"/>
        <v>54.45</v>
      </c>
      <c r="AW420" s="121" t="e">
        <f t="shared" si="119"/>
        <v>#DIV/0!</v>
      </c>
      <c r="AX420" s="121">
        <f t="shared" si="119"/>
        <v>29.616666666666667</v>
      </c>
      <c r="AY420" s="121">
        <f t="shared" si="119"/>
        <v>32.436362393697102</v>
      </c>
      <c r="AZ420" s="121">
        <f t="shared" si="119"/>
        <v>7.75</v>
      </c>
      <c r="BA420" s="121" t="e">
        <f t="shared" si="119"/>
        <v>#DIV/0!</v>
      </c>
      <c r="BB420" s="121">
        <f t="shared" si="119"/>
        <v>177.18333333333334</v>
      </c>
      <c r="BC420" s="121">
        <f t="shared" si="119"/>
        <v>176.90868453979493</v>
      </c>
      <c r="BD420" s="121">
        <f t="shared" si="119"/>
        <v>6.6299999078114826</v>
      </c>
      <c r="BE420" s="121">
        <f t="shared" si="119"/>
        <v>6.6895092566808065</v>
      </c>
      <c r="BF420" s="121">
        <f t="shared" si="119"/>
        <v>29.533333333333335</v>
      </c>
      <c r="BG420" s="121">
        <f t="shared" si="119"/>
        <v>10.433333333333334</v>
      </c>
      <c r="BH420" s="121">
        <f t="shared" si="119"/>
        <v>11.152102390925089</v>
      </c>
      <c r="BI420" s="121" t="e">
        <f t="shared" si="119"/>
        <v>#DIV/0!</v>
      </c>
      <c r="BJ420" s="121">
        <f t="shared" si="119"/>
        <v>10.716666666666667</v>
      </c>
      <c r="BK420" s="121">
        <f t="shared" si="119"/>
        <v>10.716666666666667</v>
      </c>
      <c r="BL420" s="121">
        <f t="shared" si="119"/>
        <v>0</v>
      </c>
      <c r="BM420" s="121" t="e">
        <f t="shared" si="119"/>
        <v>#DIV/0!</v>
      </c>
      <c r="BN420" s="121">
        <f t="shared" si="119"/>
        <v>120.48000030517578</v>
      </c>
      <c r="BO420" s="121">
        <f t="shared" si="119"/>
        <v>72.283333333333331</v>
      </c>
      <c r="BP420" s="121">
        <f t="shared" si="119"/>
        <v>48.196666971842447</v>
      </c>
      <c r="BQ420" s="121">
        <f t="shared" si="119"/>
        <v>262.41666666666669</v>
      </c>
      <c r="BR420" s="121">
        <f t="shared" si="119"/>
        <v>66.080383427937832</v>
      </c>
      <c r="BS420" s="121">
        <f t="shared" ref="BS420:ED420" si="120">AVERAGEA(BS219:BS278)</f>
        <v>24.733883349100747</v>
      </c>
      <c r="BT420" s="121">
        <f t="shared" si="120"/>
        <v>40.737332089742026</v>
      </c>
      <c r="BU420" s="121">
        <f t="shared" si="120"/>
        <v>33.883133506774904</v>
      </c>
      <c r="BV420" s="121">
        <f t="shared" si="120"/>
        <v>69.033332951863613</v>
      </c>
      <c r="BW420" s="121">
        <f t="shared" si="120"/>
        <v>5.7833333889643352</v>
      </c>
      <c r="BX420" s="121">
        <f t="shared" si="120"/>
        <v>13.645000123977661</v>
      </c>
      <c r="BY420" s="121">
        <f t="shared" si="120"/>
        <v>28.383333333333333</v>
      </c>
      <c r="BZ420" s="121">
        <f t="shared" si="120"/>
        <v>2.0080224461853504</v>
      </c>
      <c r="CA420" s="121">
        <f t="shared" si="120"/>
        <v>2.7833333333333332</v>
      </c>
      <c r="CB420" s="121">
        <f t="shared" si="120"/>
        <v>29.278156503041586</v>
      </c>
      <c r="CC420" s="121" t="e">
        <f t="shared" si="120"/>
        <v>#DIV/0!</v>
      </c>
      <c r="CD420" s="121">
        <f t="shared" si="120"/>
        <v>334.65153910319009</v>
      </c>
      <c r="CE420" s="121">
        <f t="shared" si="120"/>
        <v>31.222144603729248</v>
      </c>
      <c r="CF420" s="121">
        <f t="shared" si="120"/>
        <v>17.653286043802897</v>
      </c>
      <c r="CG420" s="121">
        <f t="shared" si="120"/>
        <v>35.338191986083984</v>
      </c>
      <c r="CH420" s="121">
        <f t="shared" si="120"/>
        <v>271.54824829101563</v>
      </c>
      <c r="CI420" s="121">
        <f t="shared" si="120"/>
        <v>78.916651153564459</v>
      </c>
      <c r="CJ420" s="121">
        <f t="shared" si="120"/>
        <v>34.506862386067709</v>
      </c>
      <c r="CK420" s="121">
        <f t="shared" si="120"/>
        <v>47.874794514973956</v>
      </c>
      <c r="CL420" s="121">
        <f t="shared" si="120"/>
        <v>25.458730792999269</v>
      </c>
      <c r="CM420" s="121">
        <f t="shared" si="120"/>
        <v>186.8854965209961</v>
      </c>
      <c r="CN420" s="121">
        <f t="shared" si="120"/>
        <v>54.163776906331378</v>
      </c>
      <c r="CO420" s="121">
        <f t="shared" si="120"/>
        <v>55.577905718485518</v>
      </c>
      <c r="CP420" s="121">
        <f t="shared" si="120"/>
        <v>74.190337753295893</v>
      </c>
      <c r="CQ420" s="121">
        <f t="shared" si="120"/>
        <v>0</v>
      </c>
      <c r="CR420" s="121">
        <f t="shared" si="120"/>
        <v>48.088500849405925</v>
      </c>
      <c r="CS420" s="121">
        <f t="shared" si="120"/>
        <v>8.085613560676574</v>
      </c>
      <c r="CT420" s="121">
        <f t="shared" si="120"/>
        <v>31.115923786163329</v>
      </c>
      <c r="CU420" s="121">
        <f t="shared" si="120"/>
        <v>39.474351819356279</v>
      </c>
      <c r="CV420" s="121">
        <f t="shared" si="120"/>
        <v>61.592260106404623</v>
      </c>
      <c r="CW420" s="121">
        <f t="shared" si="120"/>
        <v>3.5166666666666666</v>
      </c>
      <c r="CX420" s="121">
        <f t="shared" si="120"/>
        <v>296.78333333333336</v>
      </c>
      <c r="CY420" s="121">
        <f t="shared" si="120"/>
        <v>109.7533011118571</v>
      </c>
      <c r="CZ420" s="121">
        <f t="shared" si="120"/>
        <v>47.265145556131998</v>
      </c>
      <c r="DA420" s="121">
        <f t="shared" si="120"/>
        <v>19.856279277801512</v>
      </c>
      <c r="DB420" s="121">
        <f t="shared" si="120"/>
        <v>32.096287218729657</v>
      </c>
      <c r="DC420" s="121">
        <f t="shared" si="120"/>
        <v>72.469550704956049</v>
      </c>
      <c r="DD420" s="121">
        <f t="shared" si="120"/>
        <v>47.8</v>
      </c>
      <c r="DE420" s="121">
        <f t="shared" si="120"/>
        <v>169.23333333333332</v>
      </c>
      <c r="DF420" s="121">
        <f t="shared" si="120"/>
        <v>98.276538340250653</v>
      </c>
      <c r="DG420" s="121">
        <f t="shared" si="120"/>
        <v>63.894483629862471</v>
      </c>
      <c r="DH420" s="121">
        <f t="shared" si="120"/>
        <v>41.941203180948897</v>
      </c>
      <c r="DI420" s="121">
        <f t="shared" si="120"/>
        <v>36.946756807963055</v>
      </c>
      <c r="DJ420" s="121">
        <f t="shared" si="120"/>
        <v>205.13333333333333</v>
      </c>
      <c r="DK420" s="121">
        <f t="shared" si="120"/>
        <v>104.13251597086588</v>
      </c>
      <c r="DL420" s="121">
        <f t="shared" si="120"/>
        <v>24.445450051625571</v>
      </c>
      <c r="DM420" s="121">
        <f t="shared" si="120"/>
        <v>25.531816705067953</v>
      </c>
      <c r="DN420" s="121">
        <f t="shared" si="120"/>
        <v>48.890483283996581</v>
      </c>
      <c r="DO420" s="121">
        <f t="shared" si="120"/>
        <v>111.51957550048829</v>
      </c>
      <c r="DP420" s="121">
        <f t="shared" si="120"/>
        <v>15.265733448664347</v>
      </c>
      <c r="DQ420" s="121" t="e">
        <f t="shared" si="120"/>
        <v>#DIV/0!</v>
      </c>
      <c r="DR420" s="121">
        <f t="shared" si="120"/>
        <v>31.766666666666666</v>
      </c>
      <c r="DS420" s="121">
        <f t="shared" si="120"/>
        <v>29.101666641235351</v>
      </c>
      <c r="DT420" s="121">
        <f t="shared" si="120"/>
        <v>12.433333333333334</v>
      </c>
      <c r="DU420" s="121" t="e">
        <f t="shared" si="120"/>
        <v>#DIV/0!</v>
      </c>
      <c r="DV420" s="121">
        <f t="shared" si="120"/>
        <v>8.25</v>
      </c>
      <c r="DW420" s="121">
        <f t="shared" si="120"/>
        <v>2.9597277760505678</v>
      </c>
      <c r="DX420" s="121">
        <f t="shared" si="120"/>
        <v>10.583333333333334</v>
      </c>
      <c r="DY420" s="121" t="e">
        <f t="shared" si="120"/>
        <v>#DIV/0!</v>
      </c>
      <c r="DZ420" s="121">
        <f t="shared" si="120"/>
        <v>44.55</v>
      </c>
      <c r="EA420" s="121">
        <f t="shared" si="120"/>
        <v>3</v>
      </c>
      <c r="EB420" s="121">
        <f t="shared" si="120"/>
        <v>0</v>
      </c>
      <c r="EC420" s="121">
        <f t="shared" si="120"/>
        <v>1.0833333333333333</v>
      </c>
      <c r="ED420" s="121">
        <f t="shared" si="120"/>
        <v>231.16500015258788</v>
      </c>
      <c r="EE420" s="129"/>
      <c r="EF420" s="129"/>
      <c r="EG420" s="129"/>
    </row>
    <row r="421" spans="1:137" x14ac:dyDescent="0.3">
      <c r="A421" s="5" t="s">
        <v>349</v>
      </c>
      <c r="B421" s="121">
        <f>AVERAGEA(B224:B283)</f>
        <v>214.73333333333332</v>
      </c>
      <c r="C421" s="121">
        <f t="shared" ref="C421:BR421" si="121">AVERAGEA(C224:C283)</f>
        <v>49.375866699218747</v>
      </c>
      <c r="D421" s="121">
        <f t="shared" si="121"/>
        <v>96.492300287882486</v>
      </c>
      <c r="E421" s="121">
        <f t="shared" si="121"/>
        <v>26.373766724268595</v>
      </c>
      <c r="F421" s="121">
        <f t="shared" si="121"/>
        <v>2.2794025818506878</v>
      </c>
      <c r="G421" s="121">
        <f t="shared" si="121"/>
        <v>17.235533459981283</v>
      </c>
      <c r="H421" s="121">
        <f t="shared" si="121"/>
        <v>353.73333333333335</v>
      </c>
      <c r="I421" s="121">
        <f t="shared" si="121"/>
        <v>313.95</v>
      </c>
      <c r="J421" s="121">
        <f t="shared" si="121"/>
        <v>60.487733523050942</v>
      </c>
      <c r="K421" s="121">
        <f t="shared" si="121"/>
        <v>61.301583989461264</v>
      </c>
      <c r="L421" s="121">
        <f t="shared" si="121"/>
        <v>97.607816886901858</v>
      </c>
      <c r="M421" s="121">
        <f t="shared" si="121"/>
        <v>12.100966628392538</v>
      </c>
      <c r="N421" s="121">
        <f t="shared" si="121"/>
        <v>17.52818342844645</v>
      </c>
      <c r="O421" s="121">
        <f t="shared" si="121"/>
        <v>16.8</v>
      </c>
      <c r="P421" s="121">
        <f t="shared" si="121"/>
        <v>0</v>
      </c>
      <c r="Q421" s="121">
        <f t="shared" si="121"/>
        <v>17.186893892288207</v>
      </c>
      <c r="R421" s="121">
        <f t="shared" si="121"/>
        <v>4.2989061832427975</v>
      </c>
      <c r="S421" s="121">
        <f t="shared" si="121"/>
        <v>4.9219543019930523</v>
      </c>
      <c r="T421" s="121">
        <f t="shared" si="121"/>
        <v>5.4</v>
      </c>
      <c r="U421" s="121">
        <f t="shared" si="121"/>
        <v>5.4</v>
      </c>
      <c r="V421" s="121">
        <f t="shared" si="121"/>
        <v>843.75</v>
      </c>
      <c r="W421" s="121">
        <f t="shared" si="121"/>
        <v>25.736647796630859</v>
      </c>
      <c r="X421" s="121">
        <f t="shared" si="121"/>
        <v>24.632050100962321</v>
      </c>
      <c r="Y421" s="121">
        <f t="shared" si="121"/>
        <v>6.1417833646138513</v>
      </c>
      <c r="Z421" s="121">
        <f t="shared" si="121"/>
        <v>0</v>
      </c>
      <c r="AA421" s="121">
        <f t="shared" si="121"/>
        <v>19.495616658528647</v>
      </c>
      <c r="AB421" s="121">
        <f t="shared" si="121"/>
        <v>0</v>
      </c>
      <c r="AC421" s="121">
        <f t="shared" si="121"/>
        <v>51.368097178141277</v>
      </c>
      <c r="AD421" s="121">
        <f t="shared" si="121"/>
        <v>6.1831000089645389</v>
      </c>
      <c r="AE421" s="121">
        <f t="shared" si="121"/>
        <v>0</v>
      </c>
      <c r="AF421" s="121">
        <f t="shared" si="121"/>
        <v>79.699626413981122</v>
      </c>
      <c r="AG421" s="121">
        <f t="shared" si="121"/>
        <v>0</v>
      </c>
      <c r="AH421" s="121">
        <f t="shared" si="121"/>
        <v>60.019443194071449</v>
      </c>
      <c r="AI421" s="121">
        <f t="shared" si="121"/>
        <v>12.113283300399781</v>
      </c>
      <c r="AJ421" s="121">
        <f t="shared" si="121"/>
        <v>16.054901170730592</v>
      </c>
      <c r="AK421" s="121">
        <f t="shared" si="121"/>
        <v>36.029205385843916</v>
      </c>
      <c r="AL421" s="121">
        <f t="shared" si="121"/>
        <v>35.981516520182289</v>
      </c>
      <c r="AM421" s="121">
        <f t="shared" si="121"/>
        <v>54.920266723632814</v>
      </c>
      <c r="AN421" s="121">
        <f t="shared" si="121"/>
        <v>111.80520833333334</v>
      </c>
      <c r="AO421" s="121">
        <f t="shared" si="121"/>
        <v>57.033333333333331</v>
      </c>
      <c r="AP421" s="121">
        <f t="shared" si="121"/>
        <v>59.607585525512697</v>
      </c>
      <c r="AQ421" s="121">
        <f t="shared" si="121"/>
        <v>35.054234123229982</v>
      </c>
      <c r="AR421" s="121">
        <f t="shared" si="121"/>
        <v>92.8</v>
      </c>
      <c r="AS421" s="121" t="e">
        <f t="shared" si="121"/>
        <v>#DIV/0!</v>
      </c>
      <c r="AT421" s="121">
        <f t="shared" si="121"/>
        <v>103.96666666666667</v>
      </c>
      <c r="AU421" s="121" t="e">
        <f t="shared" si="121"/>
        <v>#DIV/0!</v>
      </c>
      <c r="AV421" s="121">
        <f t="shared" si="121"/>
        <v>54.416666666666664</v>
      </c>
      <c r="AW421" s="121" t="e">
        <f t="shared" si="121"/>
        <v>#DIV/0!</v>
      </c>
      <c r="AX421" s="121">
        <f t="shared" si="121"/>
        <v>29.633333333333333</v>
      </c>
      <c r="AY421" s="121">
        <f t="shared" si="121"/>
        <v>32.511182085673013</v>
      </c>
      <c r="AZ421" s="121">
        <f t="shared" si="121"/>
        <v>7.2</v>
      </c>
      <c r="BA421" s="121" t="e">
        <f t="shared" si="121"/>
        <v>#DIV/0!</v>
      </c>
      <c r="BB421" s="121">
        <f t="shared" si="121"/>
        <v>177.05</v>
      </c>
      <c r="BC421" s="121">
        <f t="shared" si="121"/>
        <v>176.69520797729493</v>
      </c>
      <c r="BD421" s="121">
        <f t="shared" si="121"/>
        <v>6.6299999078114826</v>
      </c>
      <c r="BE421" s="121">
        <f t="shared" si="121"/>
        <v>6.6831185976664225</v>
      </c>
      <c r="BF421" s="121">
        <f t="shared" si="121"/>
        <v>29.566666666666666</v>
      </c>
      <c r="BG421" s="121">
        <f t="shared" si="121"/>
        <v>10.416666666666666</v>
      </c>
      <c r="BH421" s="121">
        <f t="shared" si="121"/>
        <v>11.144067335128785</v>
      </c>
      <c r="BI421" s="121" t="e">
        <f t="shared" si="121"/>
        <v>#DIV/0!</v>
      </c>
      <c r="BJ421" s="121">
        <f t="shared" si="121"/>
        <v>10.633333333333333</v>
      </c>
      <c r="BK421" s="121">
        <f t="shared" si="121"/>
        <v>10.633333333333333</v>
      </c>
      <c r="BL421" s="121">
        <f t="shared" si="121"/>
        <v>0</v>
      </c>
      <c r="BM421" s="121" t="e">
        <f t="shared" si="121"/>
        <v>#DIV/0!</v>
      </c>
      <c r="BN421" s="121">
        <f t="shared" si="121"/>
        <v>120.48500029246013</v>
      </c>
      <c r="BO421" s="121">
        <f t="shared" si="121"/>
        <v>72.333333333333329</v>
      </c>
      <c r="BP421" s="121">
        <f t="shared" si="121"/>
        <v>48.151666959126793</v>
      </c>
      <c r="BQ421" s="121">
        <f t="shared" si="121"/>
        <v>262.36666666666667</v>
      </c>
      <c r="BR421" s="121">
        <f t="shared" si="121"/>
        <v>66.103033320109049</v>
      </c>
      <c r="BS421" s="121">
        <f t="shared" ref="BS421:ED421" si="122">AVERAGEA(BS224:BS283)</f>
        <v>24.666033331553141</v>
      </c>
      <c r="BT421" s="121">
        <f t="shared" si="122"/>
        <v>40.714232063293458</v>
      </c>
      <c r="BU421" s="121">
        <f t="shared" si="122"/>
        <v>33.798316701253256</v>
      </c>
      <c r="BV421" s="121">
        <f t="shared" si="122"/>
        <v>69.051666259765625</v>
      </c>
      <c r="BW421" s="121">
        <f t="shared" si="122"/>
        <v>5.7900000492731731</v>
      </c>
      <c r="BX421" s="121">
        <f t="shared" si="122"/>
        <v>13.635000133514405</v>
      </c>
      <c r="BY421" s="121">
        <f t="shared" si="122"/>
        <v>28.366666666666667</v>
      </c>
      <c r="BZ421" s="121">
        <f t="shared" si="122"/>
        <v>3.6683658247813584</v>
      </c>
      <c r="CA421" s="121">
        <f t="shared" si="122"/>
        <v>4.333333333333333</v>
      </c>
      <c r="CB421" s="121">
        <f t="shared" si="122"/>
        <v>29.275865936279295</v>
      </c>
      <c r="CC421" s="121" t="e">
        <f t="shared" si="122"/>
        <v>#DIV/0!</v>
      </c>
      <c r="CD421" s="121">
        <f t="shared" si="122"/>
        <v>334.18739166259763</v>
      </c>
      <c r="CE421" s="121">
        <f t="shared" si="122"/>
        <v>31.025650533040366</v>
      </c>
      <c r="CF421" s="121">
        <f t="shared" si="122"/>
        <v>17.488514868418374</v>
      </c>
      <c r="CG421" s="121">
        <f t="shared" si="122"/>
        <v>35.338191986083984</v>
      </c>
      <c r="CH421" s="121">
        <f t="shared" si="122"/>
        <v>271.51519063313805</v>
      </c>
      <c r="CI421" s="121">
        <f t="shared" si="122"/>
        <v>78.140162531534827</v>
      </c>
      <c r="CJ421" s="121">
        <f t="shared" si="122"/>
        <v>34.050428867340088</v>
      </c>
      <c r="CK421" s="121">
        <f t="shared" si="122"/>
        <v>47.645634969075523</v>
      </c>
      <c r="CL421" s="121">
        <f t="shared" si="122"/>
        <v>25.24228754043579</v>
      </c>
      <c r="CM421" s="121">
        <f t="shared" si="122"/>
        <v>185.52474644978841</v>
      </c>
      <c r="CN421" s="121">
        <f t="shared" si="122"/>
        <v>54.885571225484213</v>
      </c>
      <c r="CO421" s="121">
        <f t="shared" si="122"/>
        <v>55.03481438954671</v>
      </c>
      <c r="CP421" s="121">
        <f t="shared" si="122"/>
        <v>72.63469149271647</v>
      </c>
      <c r="CQ421" s="121">
        <f t="shared" si="122"/>
        <v>0</v>
      </c>
      <c r="CR421" s="121">
        <f t="shared" si="122"/>
        <v>48.133124542236331</v>
      </c>
      <c r="CS421" s="121">
        <f t="shared" si="122"/>
        <v>8.0731147766113285</v>
      </c>
      <c r="CT421" s="121">
        <f t="shared" si="122"/>
        <v>30.907301648457846</v>
      </c>
      <c r="CU421" s="121">
        <f t="shared" si="122"/>
        <v>39.850347963968915</v>
      </c>
      <c r="CV421" s="121">
        <f t="shared" si="122"/>
        <v>61.176595497131345</v>
      </c>
      <c r="CW421" s="121">
        <f t="shared" si="122"/>
        <v>3.6</v>
      </c>
      <c r="CX421" s="121">
        <f t="shared" si="122"/>
        <v>296.11666666666667</v>
      </c>
      <c r="CY421" s="121">
        <f t="shared" si="122"/>
        <v>109.40914306640624</v>
      </c>
      <c r="CZ421" s="121">
        <f t="shared" si="122"/>
        <v>47.409594090779621</v>
      </c>
      <c r="DA421" s="121">
        <f t="shared" si="122"/>
        <v>19.864936733245848</v>
      </c>
      <c r="DB421" s="121">
        <f t="shared" si="122"/>
        <v>31.841498915354411</v>
      </c>
      <c r="DC421" s="121">
        <f t="shared" si="122"/>
        <v>72.127297465006507</v>
      </c>
      <c r="DD421" s="121">
        <f t="shared" si="122"/>
        <v>46.833333333333336</v>
      </c>
      <c r="DE421" s="121">
        <f t="shared" si="122"/>
        <v>168.98333333333332</v>
      </c>
      <c r="DF421" s="121">
        <f t="shared" si="122"/>
        <v>97.990584182739255</v>
      </c>
      <c r="DG421" s="121">
        <f t="shared" si="122"/>
        <v>63.493731816609703</v>
      </c>
      <c r="DH421" s="121">
        <f t="shared" si="122"/>
        <v>41.653911590576172</v>
      </c>
      <c r="DI421" s="121">
        <f t="shared" si="122"/>
        <v>36.840826797485349</v>
      </c>
      <c r="DJ421" s="121">
        <f t="shared" si="122"/>
        <v>206.03333333333333</v>
      </c>
      <c r="DK421" s="121">
        <f t="shared" si="122"/>
        <v>104.87471593221029</v>
      </c>
      <c r="DL421" s="121">
        <f t="shared" si="122"/>
        <v>24.456766732533772</v>
      </c>
      <c r="DM421" s="121">
        <f t="shared" si="122"/>
        <v>25.902916717529298</v>
      </c>
      <c r="DN421" s="121">
        <f t="shared" si="122"/>
        <v>49.29988327026367</v>
      </c>
      <c r="DO421" s="121">
        <f t="shared" si="122"/>
        <v>111.68927218119303</v>
      </c>
      <c r="DP421" s="121">
        <f t="shared" si="122"/>
        <v>15.245466756820679</v>
      </c>
      <c r="DQ421" s="121" t="e">
        <f t="shared" si="122"/>
        <v>#DIV/0!</v>
      </c>
      <c r="DR421" s="121">
        <f t="shared" si="122"/>
        <v>37.35</v>
      </c>
      <c r="DS421" s="121">
        <f t="shared" si="122"/>
        <v>29.03833335240682</v>
      </c>
      <c r="DT421" s="121">
        <f t="shared" si="122"/>
        <v>12.416666666666666</v>
      </c>
      <c r="DU421" s="121" t="e">
        <f t="shared" si="122"/>
        <v>#DIV/0!</v>
      </c>
      <c r="DV421" s="121">
        <f t="shared" si="122"/>
        <v>8.2166666666666668</v>
      </c>
      <c r="DW421" s="121">
        <f t="shared" si="122"/>
        <v>2.9716824332873029</v>
      </c>
      <c r="DX421" s="121">
        <f t="shared" si="122"/>
        <v>10.55</v>
      </c>
      <c r="DY421" s="121" t="e">
        <f t="shared" si="122"/>
        <v>#DIV/0!</v>
      </c>
      <c r="DZ421" s="121">
        <f t="shared" si="122"/>
        <v>44.56666666666667</v>
      </c>
      <c r="EA421" s="121">
        <f t="shared" si="122"/>
        <v>3</v>
      </c>
      <c r="EB421" s="121">
        <f t="shared" si="122"/>
        <v>0</v>
      </c>
      <c r="EC421" s="121">
        <f t="shared" si="122"/>
        <v>1.0833333333333333</v>
      </c>
      <c r="ED421" s="121">
        <f t="shared" si="122"/>
        <v>230.07000020345052</v>
      </c>
      <c r="EE421" s="129"/>
      <c r="EF421" s="129"/>
      <c r="EG421" s="129"/>
    </row>
    <row r="422" spans="1:137" x14ac:dyDescent="0.3">
      <c r="A422" s="5" t="s">
        <v>350</v>
      </c>
      <c r="B422" s="121">
        <f>AVERAGEA(B229:B288)</f>
        <v>216.13333333333333</v>
      </c>
      <c r="C422" s="121">
        <f t="shared" ref="C422:BR422" si="123">AVERAGEA(C229:C288)</f>
        <v>49.54738343556722</v>
      </c>
      <c r="D422" s="121">
        <f t="shared" si="123"/>
        <v>96.635550308227536</v>
      </c>
      <c r="E422" s="121">
        <f t="shared" si="123"/>
        <v>26.264466683069866</v>
      </c>
      <c r="F422" s="121">
        <f t="shared" si="123"/>
        <v>2.2654572010040281</v>
      </c>
      <c r="G422" s="121">
        <f t="shared" si="123"/>
        <v>17.316583442687989</v>
      </c>
      <c r="H422" s="121">
        <f t="shared" si="123"/>
        <v>356.93333333333334</v>
      </c>
      <c r="I422" s="121">
        <f t="shared" si="123"/>
        <v>316.8</v>
      </c>
      <c r="J422" s="121">
        <f t="shared" si="123"/>
        <v>60.534866841634113</v>
      </c>
      <c r="K422" s="121">
        <f t="shared" si="123"/>
        <v>61.550804519653319</v>
      </c>
      <c r="L422" s="121">
        <f t="shared" si="123"/>
        <v>99.925716908772785</v>
      </c>
      <c r="M422" s="121">
        <f t="shared" si="123"/>
        <v>12.089633289972941</v>
      </c>
      <c r="N422" s="121">
        <f t="shared" si="123"/>
        <v>17.589683373769123</v>
      </c>
      <c r="O422" s="121">
        <f t="shared" si="123"/>
        <v>16.866666666666667</v>
      </c>
      <c r="P422" s="121">
        <f t="shared" si="123"/>
        <v>0</v>
      </c>
      <c r="Q422" s="121">
        <f t="shared" si="123"/>
        <v>17.247298892339071</v>
      </c>
      <c r="R422" s="121">
        <f t="shared" si="123"/>
        <v>4.4323436896006267</v>
      </c>
      <c r="S422" s="121">
        <f t="shared" si="123"/>
        <v>5.152529859542847</v>
      </c>
      <c r="T422" s="121">
        <f t="shared" si="123"/>
        <v>4.6500000000000004</v>
      </c>
      <c r="U422" s="121">
        <f t="shared" si="123"/>
        <v>4.6500000000000004</v>
      </c>
      <c r="V422" s="121">
        <f t="shared" si="123"/>
        <v>844.3</v>
      </c>
      <c r="W422" s="121">
        <f t="shared" si="123"/>
        <v>25.718369452158608</v>
      </c>
      <c r="X422" s="121">
        <f t="shared" si="123"/>
        <v>24.590566794077557</v>
      </c>
      <c r="Y422" s="121">
        <f t="shared" si="123"/>
        <v>6.2435833613077802</v>
      </c>
      <c r="Z422" s="121">
        <f t="shared" si="123"/>
        <v>0</v>
      </c>
      <c r="AA422" s="121">
        <f t="shared" si="123"/>
        <v>19.457883326212563</v>
      </c>
      <c r="AB422" s="121">
        <f t="shared" si="123"/>
        <v>0</v>
      </c>
      <c r="AC422" s="121">
        <f t="shared" si="123"/>
        <v>51.320355796813963</v>
      </c>
      <c r="AD422" s="121">
        <f t="shared" si="123"/>
        <v>6.1661333401997886</v>
      </c>
      <c r="AE422" s="121">
        <f t="shared" si="123"/>
        <v>0</v>
      </c>
      <c r="AF422" s="121">
        <f t="shared" si="123"/>
        <v>79.748781458536783</v>
      </c>
      <c r="AG422" s="121">
        <f t="shared" si="123"/>
        <v>0</v>
      </c>
      <c r="AH422" s="121">
        <f t="shared" si="123"/>
        <v>60.285297393798828</v>
      </c>
      <c r="AI422" s="121">
        <f t="shared" si="123"/>
        <v>12.135533285140991</v>
      </c>
      <c r="AJ422" s="121">
        <f t="shared" si="123"/>
        <v>16.002013889948525</v>
      </c>
      <c r="AK422" s="121">
        <f t="shared" si="123"/>
        <v>35.97556889851888</v>
      </c>
      <c r="AL422" s="121">
        <f t="shared" si="123"/>
        <v>35.866666539510092</v>
      </c>
      <c r="AM422" s="121">
        <f t="shared" si="123"/>
        <v>54.91918341318766</v>
      </c>
      <c r="AN422" s="121">
        <f t="shared" si="123"/>
        <v>111.92291666666667</v>
      </c>
      <c r="AO422" s="121">
        <f t="shared" si="123"/>
        <v>56.983333333333334</v>
      </c>
      <c r="AP422" s="121">
        <f t="shared" si="123"/>
        <v>59.476046625773115</v>
      </c>
      <c r="AQ422" s="121">
        <f t="shared" si="123"/>
        <v>35.109783045450847</v>
      </c>
      <c r="AR422" s="121">
        <f t="shared" si="123"/>
        <v>92.63333333333334</v>
      </c>
      <c r="AS422" s="121" t="e">
        <f t="shared" si="123"/>
        <v>#DIV/0!</v>
      </c>
      <c r="AT422" s="121">
        <f t="shared" si="123"/>
        <v>103.08333333333333</v>
      </c>
      <c r="AU422" s="121" t="e">
        <f t="shared" si="123"/>
        <v>#DIV/0!</v>
      </c>
      <c r="AV422" s="121">
        <f t="shared" si="123"/>
        <v>55.516666666666666</v>
      </c>
      <c r="AW422" s="121" t="e">
        <f t="shared" si="123"/>
        <v>#DIV/0!</v>
      </c>
      <c r="AX422" s="121">
        <f t="shared" si="123"/>
        <v>29.65</v>
      </c>
      <c r="AY422" s="121">
        <f t="shared" si="123"/>
        <v>32.518084907531737</v>
      </c>
      <c r="AZ422" s="121">
        <f t="shared" si="123"/>
        <v>6.4</v>
      </c>
      <c r="BA422" s="121" t="e">
        <f t="shared" si="123"/>
        <v>#DIV/0!</v>
      </c>
      <c r="BB422" s="121">
        <f t="shared" si="123"/>
        <v>176.86666666666667</v>
      </c>
      <c r="BC422" s="121">
        <f t="shared" si="123"/>
        <v>176.57766621907552</v>
      </c>
      <c r="BD422" s="121">
        <f t="shared" si="123"/>
        <v>6.6183332443237308</v>
      </c>
      <c r="BE422" s="121">
        <f t="shared" si="123"/>
        <v>6.6730266888936365</v>
      </c>
      <c r="BF422" s="121">
        <f t="shared" si="123"/>
        <v>29.633333333333333</v>
      </c>
      <c r="BG422" s="121">
        <f t="shared" si="123"/>
        <v>10.416666666666666</v>
      </c>
      <c r="BH422" s="121">
        <f t="shared" si="123"/>
        <v>11.132994190851848</v>
      </c>
      <c r="BI422" s="121" t="e">
        <f t="shared" si="123"/>
        <v>#DIV/0!</v>
      </c>
      <c r="BJ422" s="121">
        <f t="shared" si="123"/>
        <v>10.6</v>
      </c>
      <c r="BK422" s="121">
        <f t="shared" si="123"/>
        <v>10.6</v>
      </c>
      <c r="BL422" s="121">
        <f t="shared" si="123"/>
        <v>0</v>
      </c>
      <c r="BM422" s="121" t="e">
        <f t="shared" si="123"/>
        <v>#DIV/0!</v>
      </c>
      <c r="BN422" s="121">
        <f t="shared" si="123"/>
        <v>120.50833365122477</v>
      </c>
      <c r="BO422" s="121">
        <f t="shared" si="123"/>
        <v>72.3</v>
      </c>
      <c r="BP422" s="121">
        <f t="shared" si="123"/>
        <v>48.20833365122477</v>
      </c>
      <c r="BQ422" s="121">
        <f t="shared" si="123"/>
        <v>262.45</v>
      </c>
      <c r="BR422" s="121">
        <f t="shared" si="123"/>
        <v>66.429116821289057</v>
      </c>
      <c r="BS422" s="121">
        <f t="shared" ref="BS422:ED422" si="124">AVERAGEA(BS229:BS288)</f>
        <v>24.674533335367837</v>
      </c>
      <c r="BT422" s="121">
        <f t="shared" si="124"/>
        <v>40.702682050069171</v>
      </c>
      <c r="BU422" s="121">
        <f t="shared" si="124"/>
        <v>33.676366742451982</v>
      </c>
      <c r="BV422" s="121">
        <f t="shared" si="124"/>
        <v>69.066666285196945</v>
      </c>
      <c r="BW422" s="121">
        <f t="shared" si="124"/>
        <v>5.798333382606506</v>
      </c>
      <c r="BX422" s="121">
        <f t="shared" si="124"/>
        <v>13.623333485921224</v>
      </c>
      <c r="BY422" s="121">
        <f t="shared" si="124"/>
        <v>28.366666666666667</v>
      </c>
      <c r="BZ422" s="121">
        <f t="shared" si="124"/>
        <v>5.3284572146832945</v>
      </c>
      <c r="CA422" s="121">
        <f t="shared" si="124"/>
        <v>5.8833333333333337</v>
      </c>
      <c r="CB422" s="121">
        <f t="shared" si="124"/>
        <v>29.278938134511311</v>
      </c>
      <c r="CC422" s="121" t="e">
        <f t="shared" si="124"/>
        <v>#DIV/0!</v>
      </c>
      <c r="CD422" s="121">
        <f t="shared" si="124"/>
        <v>333.42084197998048</v>
      </c>
      <c r="CE422" s="121">
        <f t="shared" si="124"/>
        <v>30.569778696695963</v>
      </c>
      <c r="CF422" s="121">
        <f t="shared" si="124"/>
        <v>17.284672451019286</v>
      </c>
      <c r="CG422" s="121">
        <f t="shared" si="124"/>
        <v>35.338191986083984</v>
      </c>
      <c r="CH422" s="121">
        <f t="shared" si="124"/>
        <v>271.59797821044924</v>
      </c>
      <c r="CI422" s="121">
        <f t="shared" si="124"/>
        <v>78.032819875081387</v>
      </c>
      <c r="CJ422" s="121">
        <f t="shared" si="124"/>
        <v>33.936660893758138</v>
      </c>
      <c r="CK422" s="121">
        <f t="shared" si="124"/>
        <v>47.628740755716962</v>
      </c>
      <c r="CL422" s="121">
        <f t="shared" si="124"/>
        <v>25.132712999979656</v>
      </c>
      <c r="CM422" s="121">
        <f t="shared" si="124"/>
        <v>184.45361251831054</v>
      </c>
      <c r="CN422" s="121">
        <f t="shared" si="124"/>
        <v>55.878910764058432</v>
      </c>
      <c r="CO422" s="121">
        <f t="shared" si="124"/>
        <v>54.359912808736162</v>
      </c>
      <c r="CP422" s="121">
        <f t="shared" si="124"/>
        <v>71.150153350830081</v>
      </c>
      <c r="CQ422" s="121">
        <f t="shared" si="124"/>
        <v>0</v>
      </c>
      <c r="CR422" s="121">
        <f t="shared" si="124"/>
        <v>48.309149678548174</v>
      </c>
      <c r="CS422" s="121">
        <f t="shared" si="124"/>
        <v>8.033565131823222</v>
      </c>
      <c r="CT422" s="121">
        <f t="shared" si="124"/>
        <v>30.562617301940918</v>
      </c>
      <c r="CU422" s="121">
        <f t="shared" si="124"/>
        <v>40.36676317850749</v>
      </c>
      <c r="CV422" s="121">
        <f t="shared" si="124"/>
        <v>60.826425552368164</v>
      </c>
      <c r="CW422" s="121">
        <f t="shared" si="124"/>
        <v>3.6333333333333333</v>
      </c>
      <c r="CX422" s="121">
        <f t="shared" si="124"/>
        <v>295.68333333333334</v>
      </c>
      <c r="CY422" s="121">
        <f t="shared" si="124"/>
        <v>109.118851852417</v>
      </c>
      <c r="CZ422" s="121">
        <f t="shared" si="124"/>
        <v>47.454672114054361</v>
      </c>
      <c r="DA422" s="121">
        <f t="shared" si="124"/>
        <v>19.886481507619223</v>
      </c>
      <c r="DB422" s="121">
        <f t="shared" si="124"/>
        <v>31.568162218729654</v>
      </c>
      <c r="DC422" s="121">
        <f t="shared" si="124"/>
        <v>71.846333440144861</v>
      </c>
      <c r="DD422" s="121">
        <f t="shared" si="124"/>
        <v>46.7</v>
      </c>
      <c r="DE422" s="121">
        <f t="shared" si="124"/>
        <v>168.86666666666667</v>
      </c>
      <c r="DF422" s="121">
        <f t="shared" si="124"/>
        <v>97.745544306437168</v>
      </c>
      <c r="DG422" s="121">
        <f t="shared" si="124"/>
        <v>63.494179789225264</v>
      </c>
      <c r="DH422" s="121">
        <f t="shared" si="124"/>
        <v>41.338883590698245</v>
      </c>
      <c r="DI422" s="121">
        <f t="shared" si="124"/>
        <v>36.926770846048989</v>
      </c>
      <c r="DJ422" s="121">
        <f t="shared" si="124"/>
        <v>206.63333333333333</v>
      </c>
      <c r="DK422" s="121">
        <f t="shared" si="124"/>
        <v>105.65934931437174</v>
      </c>
      <c r="DL422" s="121">
        <f t="shared" si="124"/>
        <v>24.39643341700236</v>
      </c>
      <c r="DM422" s="121">
        <f t="shared" si="124"/>
        <v>26.250450038909911</v>
      </c>
      <c r="DN422" s="121">
        <f t="shared" si="124"/>
        <v>49.638566652933754</v>
      </c>
      <c r="DO422" s="121">
        <f t="shared" si="124"/>
        <v>111.57031529744467</v>
      </c>
      <c r="DP422" s="121">
        <f t="shared" si="124"/>
        <v>15.223300075531006</v>
      </c>
      <c r="DQ422" s="121" t="e">
        <f t="shared" si="124"/>
        <v>#DIV/0!</v>
      </c>
      <c r="DR422" s="121">
        <f t="shared" si="124"/>
        <v>42.93333333333333</v>
      </c>
      <c r="DS422" s="121">
        <f t="shared" si="124"/>
        <v>28.961666679382326</v>
      </c>
      <c r="DT422" s="121">
        <f t="shared" si="124"/>
        <v>12.383333333333333</v>
      </c>
      <c r="DU422" s="121" t="e">
        <f t="shared" si="124"/>
        <v>#DIV/0!</v>
      </c>
      <c r="DV422" s="121">
        <f t="shared" si="124"/>
        <v>8.3166666666666664</v>
      </c>
      <c r="DW422" s="121">
        <f t="shared" si="124"/>
        <v>2.8379297534624737</v>
      </c>
      <c r="DX422" s="121">
        <f t="shared" si="124"/>
        <v>10.5</v>
      </c>
      <c r="DY422" s="121" t="e">
        <f t="shared" si="124"/>
        <v>#DIV/0!</v>
      </c>
      <c r="DZ422" s="121">
        <f t="shared" si="124"/>
        <v>44.6</v>
      </c>
      <c r="EA422" s="121">
        <f t="shared" si="124"/>
        <v>3</v>
      </c>
      <c r="EB422" s="121">
        <f t="shared" si="124"/>
        <v>0</v>
      </c>
      <c r="EC422" s="121">
        <f t="shared" si="124"/>
        <v>1.0666666666666667</v>
      </c>
      <c r="ED422" s="121">
        <f t="shared" si="124"/>
        <v>229.65166676839192</v>
      </c>
      <c r="EE422" s="129"/>
      <c r="EF422" s="129"/>
      <c r="EG422" s="129"/>
    </row>
    <row r="423" spans="1:137" x14ac:dyDescent="0.3">
      <c r="A423" s="5" t="s">
        <v>351</v>
      </c>
      <c r="B423" s="121">
        <f>AVERAGEA(B234:B293)</f>
        <v>217.25</v>
      </c>
      <c r="C423" s="121">
        <f t="shared" ref="C423:BR423" si="125">AVERAGEA(C234:C293)</f>
        <v>49.809416707356768</v>
      </c>
      <c r="D423" s="121">
        <f t="shared" si="125"/>
        <v>96.765633646647132</v>
      </c>
      <c r="E423" s="121">
        <f t="shared" si="125"/>
        <v>26.765849955876668</v>
      </c>
      <c r="F423" s="121">
        <f t="shared" si="125"/>
        <v>1.997491216659546</v>
      </c>
      <c r="G423" s="121">
        <f t="shared" si="125"/>
        <v>17.248733456929525</v>
      </c>
      <c r="H423" s="121">
        <f t="shared" si="125"/>
        <v>356.7</v>
      </c>
      <c r="I423" s="121">
        <f t="shared" si="125"/>
        <v>316.28333333333336</v>
      </c>
      <c r="J423" s="121">
        <f t="shared" si="125"/>
        <v>60.672483444213867</v>
      </c>
      <c r="K423" s="121">
        <f t="shared" si="125"/>
        <v>61.758542760213217</v>
      </c>
      <c r="L423" s="121">
        <f t="shared" si="125"/>
        <v>98.32350018819173</v>
      </c>
      <c r="M423" s="121">
        <f t="shared" si="125"/>
        <v>12.051933256785075</v>
      </c>
      <c r="N423" s="121">
        <f t="shared" si="125"/>
        <v>17.587533378601073</v>
      </c>
      <c r="O423" s="121">
        <f t="shared" si="125"/>
        <v>16.95</v>
      </c>
      <c r="P423" s="121">
        <f t="shared" si="125"/>
        <v>0</v>
      </c>
      <c r="Q423" s="121">
        <f t="shared" si="125"/>
        <v>17.364143959681194</v>
      </c>
      <c r="R423" s="121">
        <f t="shared" si="125"/>
        <v>4.5656249364217123</v>
      </c>
      <c r="S423" s="121">
        <f t="shared" si="125"/>
        <v>5.1334993481636051</v>
      </c>
      <c r="T423" s="121">
        <f t="shared" si="125"/>
        <v>4.75</v>
      </c>
      <c r="U423" s="121">
        <f t="shared" si="125"/>
        <v>4.75</v>
      </c>
      <c r="V423" s="121">
        <f t="shared" si="125"/>
        <v>844.85</v>
      </c>
      <c r="W423" s="121">
        <f t="shared" si="125"/>
        <v>25.886321608225504</v>
      </c>
      <c r="X423" s="121">
        <f t="shared" si="125"/>
        <v>24.586800161997477</v>
      </c>
      <c r="Y423" s="121">
        <f t="shared" si="125"/>
        <v>6.470466701189677</v>
      </c>
      <c r="Z423" s="121">
        <f t="shared" si="125"/>
        <v>0</v>
      </c>
      <c r="AA423" s="121">
        <f t="shared" si="125"/>
        <v>19.305200004577635</v>
      </c>
      <c r="AB423" s="121">
        <f t="shared" si="125"/>
        <v>0</v>
      </c>
      <c r="AC423" s="121">
        <f t="shared" si="125"/>
        <v>51.332681083679198</v>
      </c>
      <c r="AD423" s="121">
        <f t="shared" si="125"/>
        <v>6.140683341026306</v>
      </c>
      <c r="AE423" s="121">
        <f t="shared" si="125"/>
        <v>0</v>
      </c>
      <c r="AF423" s="121">
        <f t="shared" si="125"/>
        <v>79.72622985839844</v>
      </c>
      <c r="AG423" s="121">
        <f t="shared" si="125"/>
        <v>0</v>
      </c>
      <c r="AH423" s="121">
        <f t="shared" si="125"/>
        <v>60.298177337646486</v>
      </c>
      <c r="AI423" s="121">
        <f t="shared" si="125"/>
        <v>12.157799943288166</v>
      </c>
      <c r="AJ423" s="121">
        <f t="shared" si="125"/>
        <v>16.048202323913575</v>
      </c>
      <c r="AK423" s="121">
        <f t="shared" si="125"/>
        <v>35.910898844401039</v>
      </c>
      <c r="AL423" s="121">
        <f t="shared" si="125"/>
        <v>35.840149879455566</v>
      </c>
      <c r="AM423" s="121">
        <f t="shared" si="125"/>
        <v>54.843916765848796</v>
      </c>
      <c r="AN423" s="121">
        <f t="shared" si="125"/>
        <v>111.87604166666667</v>
      </c>
      <c r="AO423" s="121">
        <f t="shared" si="125"/>
        <v>56.93333333333333</v>
      </c>
      <c r="AP423" s="121">
        <f t="shared" si="125"/>
        <v>59.332416280110678</v>
      </c>
      <c r="AQ423" s="121">
        <f t="shared" si="125"/>
        <v>35.109130668640134</v>
      </c>
      <c r="AR423" s="121">
        <f t="shared" si="125"/>
        <v>92.88333333333334</v>
      </c>
      <c r="AS423" s="121" t="e">
        <f t="shared" si="125"/>
        <v>#DIV/0!</v>
      </c>
      <c r="AT423" s="121">
        <f t="shared" si="125"/>
        <v>101.95</v>
      </c>
      <c r="AU423" s="121" t="e">
        <f t="shared" si="125"/>
        <v>#DIV/0!</v>
      </c>
      <c r="AV423" s="121">
        <f t="shared" si="125"/>
        <v>59.833333333333336</v>
      </c>
      <c r="AW423" s="121" t="e">
        <f t="shared" si="125"/>
        <v>#DIV/0!</v>
      </c>
      <c r="AX423" s="121">
        <f t="shared" si="125"/>
        <v>29.65</v>
      </c>
      <c r="AY423" s="121">
        <f t="shared" si="125"/>
        <v>32.565332984924318</v>
      </c>
      <c r="AZ423" s="121">
        <f t="shared" si="125"/>
        <v>5.7</v>
      </c>
      <c r="BA423" s="121" t="e">
        <f t="shared" si="125"/>
        <v>#DIV/0!</v>
      </c>
      <c r="BB423" s="121">
        <f t="shared" si="125"/>
        <v>176.63333333333333</v>
      </c>
      <c r="BC423" s="121">
        <f t="shared" si="125"/>
        <v>176.35453440348309</v>
      </c>
      <c r="BD423" s="121">
        <f t="shared" si="125"/>
        <v>6.6149999141693119</v>
      </c>
      <c r="BE423" s="121">
        <f t="shared" si="125"/>
        <v>6.6652063846588137</v>
      </c>
      <c r="BF423" s="121">
        <f t="shared" si="125"/>
        <v>29.7</v>
      </c>
      <c r="BG423" s="121">
        <f t="shared" si="125"/>
        <v>10.383333333333333</v>
      </c>
      <c r="BH423" s="121">
        <f t="shared" si="125"/>
        <v>11.119768635431926</v>
      </c>
      <c r="BI423" s="121" t="e">
        <f t="shared" si="125"/>
        <v>#DIV/0!</v>
      </c>
      <c r="BJ423" s="121">
        <f t="shared" si="125"/>
        <v>10.616666666666667</v>
      </c>
      <c r="BK423" s="121">
        <f t="shared" si="125"/>
        <v>10.616666666666667</v>
      </c>
      <c r="BL423" s="121">
        <f t="shared" si="125"/>
        <v>0</v>
      </c>
      <c r="BM423" s="121" t="e">
        <f t="shared" si="125"/>
        <v>#DIV/0!</v>
      </c>
      <c r="BN423" s="121">
        <f t="shared" si="125"/>
        <v>120.57833360036214</v>
      </c>
      <c r="BO423" s="121">
        <f t="shared" si="125"/>
        <v>72.3</v>
      </c>
      <c r="BP423" s="121">
        <f t="shared" si="125"/>
        <v>48.278333600362139</v>
      </c>
      <c r="BQ423" s="121">
        <f t="shared" si="125"/>
        <v>262.55</v>
      </c>
      <c r="BR423" s="121">
        <f t="shared" si="125"/>
        <v>66.359383392333982</v>
      </c>
      <c r="BS423" s="121">
        <f t="shared" ref="BS423:ED423" si="126">AVERAGEA(BS234:BS293)</f>
        <v>24.716933282216392</v>
      </c>
      <c r="BT423" s="121">
        <f t="shared" si="126"/>
        <v>40.760398737589519</v>
      </c>
      <c r="BU423" s="121">
        <f t="shared" si="126"/>
        <v>33.601083374023439</v>
      </c>
      <c r="BV423" s="121">
        <f t="shared" si="126"/>
        <v>69.061666488647461</v>
      </c>
      <c r="BW423" s="121">
        <f t="shared" si="126"/>
        <v>5.8400000333786011</v>
      </c>
      <c r="BX423" s="121">
        <f t="shared" si="126"/>
        <v>13.610000149408977</v>
      </c>
      <c r="BY423" s="121">
        <f t="shared" si="126"/>
        <v>28.383333333333333</v>
      </c>
      <c r="BZ423" s="121">
        <f t="shared" si="126"/>
        <v>6.9881101647857573</v>
      </c>
      <c r="CA423" s="121">
        <f t="shared" si="126"/>
        <v>7.4</v>
      </c>
      <c r="CB423" s="121">
        <f t="shared" si="126"/>
        <v>29.271015548706053</v>
      </c>
      <c r="CC423" s="121" t="e">
        <f t="shared" si="126"/>
        <v>#DIV/0!</v>
      </c>
      <c r="CD423" s="121">
        <f t="shared" si="126"/>
        <v>333.3553446451823</v>
      </c>
      <c r="CE423" s="121">
        <f t="shared" si="126"/>
        <v>30.248022397359211</v>
      </c>
      <c r="CF423" s="121">
        <f t="shared" si="126"/>
        <v>17.039005168279012</v>
      </c>
      <c r="CG423" s="121">
        <f t="shared" si="126"/>
        <v>35.338191986083984</v>
      </c>
      <c r="CH423" s="121">
        <f t="shared" si="126"/>
        <v>271.93841654459635</v>
      </c>
      <c r="CI423" s="121">
        <f t="shared" si="126"/>
        <v>77.987695948282877</v>
      </c>
      <c r="CJ423" s="121">
        <f t="shared" si="126"/>
        <v>33.888224379221597</v>
      </c>
      <c r="CK423" s="121">
        <f t="shared" si="126"/>
        <v>47.667473793029785</v>
      </c>
      <c r="CL423" s="121">
        <f t="shared" si="126"/>
        <v>25.022547880808514</v>
      </c>
      <c r="CM423" s="121">
        <f t="shared" si="126"/>
        <v>183.93307927449544</v>
      </c>
      <c r="CN423" s="121">
        <f t="shared" si="126"/>
        <v>56.961497561136881</v>
      </c>
      <c r="CO423" s="121">
        <f t="shared" si="126"/>
        <v>54.027002970377602</v>
      </c>
      <c r="CP423" s="121">
        <f t="shared" si="126"/>
        <v>69.811558723449707</v>
      </c>
      <c r="CQ423" s="121">
        <f t="shared" si="126"/>
        <v>0</v>
      </c>
      <c r="CR423" s="121">
        <f t="shared" si="126"/>
        <v>48.38520698547363</v>
      </c>
      <c r="CS423" s="121">
        <f t="shared" si="126"/>
        <v>7.9958566983540855</v>
      </c>
      <c r="CT423" s="121">
        <f t="shared" si="126"/>
        <v>30.274624760945638</v>
      </c>
      <c r="CU423" s="121">
        <f t="shared" si="126"/>
        <v>40.934990946451826</v>
      </c>
      <c r="CV423" s="121">
        <f t="shared" si="126"/>
        <v>60.34326515197754</v>
      </c>
      <c r="CW423" s="121">
        <f t="shared" si="126"/>
        <v>3.6333333333333333</v>
      </c>
      <c r="CX423" s="121">
        <f t="shared" si="126"/>
        <v>295.05</v>
      </c>
      <c r="CY423" s="121">
        <f t="shared" si="126"/>
        <v>108.75837211608886</v>
      </c>
      <c r="CZ423" s="121">
        <f t="shared" si="126"/>
        <v>47.591999689737953</v>
      </c>
      <c r="DA423" s="121">
        <f t="shared" si="126"/>
        <v>19.958384831746418</v>
      </c>
      <c r="DB423" s="121">
        <f t="shared" si="126"/>
        <v>31.542933845520018</v>
      </c>
      <c r="DC423" s="121">
        <f t="shared" si="126"/>
        <v>71.462148030598954</v>
      </c>
      <c r="DD423" s="121">
        <f t="shared" si="126"/>
        <v>46.083333333333336</v>
      </c>
      <c r="DE423" s="121">
        <f t="shared" si="126"/>
        <v>168.76666666666668</v>
      </c>
      <c r="DF423" s="121">
        <f t="shared" si="126"/>
        <v>97.491680145263672</v>
      </c>
      <c r="DG423" s="121">
        <f t="shared" si="126"/>
        <v>63.491637802124025</v>
      </c>
      <c r="DH423" s="121">
        <f t="shared" si="126"/>
        <v>41.019277318318686</v>
      </c>
      <c r="DI423" s="121">
        <f t="shared" si="126"/>
        <v>36.803843625386556</v>
      </c>
      <c r="DJ423" s="121">
        <f t="shared" si="126"/>
        <v>207.61666666666667</v>
      </c>
      <c r="DK423" s="121">
        <f t="shared" si="126"/>
        <v>106.38036613464355</v>
      </c>
      <c r="DL423" s="121">
        <f t="shared" si="126"/>
        <v>24.477450116475424</v>
      </c>
      <c r="DM423" s="121">
        <f t="shared" si="126"/>
        <v>26.72170000076294</v>
      </c>
      <c r="DN423" s="121">
        <f t="shared" si="126"/>
        <v>50.018500010172524</v>
      </c>
      <c r="DO423" s="121">
        <f t="shared" si="126"/>
        <v>111.5687983194987</v>
      </c>
      <c r="DP423" s="121">
        <f t="shared" si="126"/>
        <v>15.216250054041545</v>
      </c>
      <c r="DQ423" s="121" t="e">
        <f t="shared" si="126"/>
        <v>#DIV/0!</v>
      </c>
      <c r="DR423" s="121">
        <f t="shared" si="126"/>
        <v>48.516666666666666</v>
      </c>
      <c r="DS423" s="121">
        <f t="shared" si="126"/>
        <v>28.933333333333334</v>
      </c>
      <c r="DT423" s="121">
        <f t="shared" si="126"/>
        <v>12.433333333333334</v>
      </c>
      <c r="DU423" s="121" t="e">
        <f t="shared" si="126"/>
        <v>#DIV/0!</v>
      </c>
      <c r="DV423" s="121">
        <f t="shared" si="126"/>
        <v>8.3000000000000007</v>
      </c>
      <c r="DW423" s="121">
        <f t="shared" si="126"/>
        <v>2.7476009845733644</v>
      </c>
      <c r="DX423" s="121">
        <f t="shared" si="126"/>
        <v>10.416666666666666</v>
      </c>
      <c r="DY423" s="121" t="e">
        <f t="shared" si="126"/>
        <v>#DIV/0!</v>
      </c>
      <c r="DZ423" s="121">
        <f t="shared" si="126"/>
        <v>44.583333333333336</v>
      </c>
      <c r="EA423" s="121">
        <f t="shared" si="126"/>
        <v>3</v>
      </c>
      <c r="EB423" s="121">
        <f t="shared" si="126"/>
        <v>0</v>
      </c>
      <c r="EC423" s="121">
        <f t="shared" si="126"/>
        <v>1.0833333333333333</v>
      </c>
      <c r="ED423" s="121">
        <f t="shared" si="126"/>
        <v>228.9083335876465</v>
      </c>
      <c r="EE423" s="129"/>
      <c r="EF423" s="129"/>
      <c r="EG423" s="129"/>
    </row>
    <row r="424" spans="1:137" x14ac:dyDescent="0.3">
      <c r="A424" s="5" t="s">
        <v>352</v>
      </c>
      <c r="B424" s="121">
        <f>AVERAGEA(B239:B298)</f>
        <v>218.91666666666666</v>
      </c>
      <c r="C424" s="121">
        <f t="shared" ref="C424:BR424" si="127">AVERAGEA(C239:C298)</f>
        <v>50.156266657511395</v>
      </c>
      <c r="D424" s="121">
        <f t="shared" si="127"/>
        <v>96.929600270589191</v>
      </c>
      <c r="E424" s="121">
        <f t="shared" si="127"/>
        <v>26.136283286412556</v>
      </c>
      <c r="F424" s="121">
        <f t="shared" si="127"/>
        <v>2.1594193379084268</v>
      </c>
      <c r="G424" s="121">
        <f t="shared" si="127"/>
        <v>17.265700085957846</v>
      </c>
      <c r="H424" s="121">
        <f t="shared" si="127"/>
        <v>352.71666666666664</v>
      </c>
      <c r="I424" s="121">
        <f t="shared" si="127"/>
        <v>312.91666666666669</v>
      </c>
      <c r="J424" s="121">
        <f t="shared" si="127"/>
        <v>60.73091665903727</v>
      </c>
      <c r="K424" s="121">
        <f t="shared" si="127"/>
        <v>61.926630020141602</v>
      </c>
      <c r="L424" s="121">
        <f t="shared" si="127"/>
        <v>93.861450258890784</v>
      </c>
      <c r="M424" s="121">
        <f t="shared" si="127"/>
        <v>12.051933272679646</v>
      </c>
      <c r="N424" s="121">
        <f t="shared" si="127"/>
        <v>17.553600088755289</v>
      </c>
      <c r="O424" s="121">
        <f t="shared" si="127"/>
        <v>17</v>
      </c>
      <c r="P424" s="121">
        <f t="shared" si="127"/>
        <v>0</v>
      </c>
      <c r="Q424" s="121">
        <f t="shared" si="127"/>
        <v>17.41913784344991</v>
      </c>
      <c r="R424" s="121">
        <f t="shared" si="127"/>
        <v>4.7489061832427977</v>
      </c>
      <c r="S424" s="121">
        <f t="shared" si="127"/>
        <v>5.2923632502555851</v>
      </c>
      <c r="T424" s="121">
        <f t="shared" si="127"/>
        <v>5.5</v>
      </c>
      <c r="U424" s="121">
        <f t="shared" si="127"/>
        <v>5.5</v>
      </c>
      <c r="V424" s="121">
        <f t="shared" si="127"/>
        <v>844.9</v>
      </c>
      <c r="W424" s="121">
        <f t="shared" si="127"/>
        <v>25.829823080698649</v>
      </c>
      <c r="X424" s="121">
        <f t="shared" si="127"/>
        <v>24.616966819763185</v>
      </c>
      <c r="Y424" s="121">
        <f t="shared" si="127"/>
        <v>6.5764833529790243</v>
      </c>
      <c r="Z424" s="121">
        <f t="shared" si="127"/>
        <v>0</v>
      </c>
      <c r="AA424" s="121">
        <f t="shared" si="127"/>
        <v>19.08090000152588</v>
      </c>
      <c r="AB424" s="121">
        <f t="shared" si="127"/>
        <v>0</v>
      </c>
      <c r="AC424" s="121">
        <f t="shared" si="127"/>
        <v>51.522253036499023</v>
      </c>
      <c r="AD424" s="121">
        <f t="shared" si="127"/>
        <v>6.1110000054041542</v>
      </c>
      <c r="AE424" s="121">
        <f t="shared" si="127"/>
        <v>0</v>
      </c>
      <c r="AF424" s="121">
        <f t="shared" si="127"/>
        <v>79.915600204467779</v>
      </c>
      <c r="AG424" s="121">
        <f t="shared" si="127"/>
        <v>0</v>
      </c>
      <c r="AH424" s="121">
        <f t="shared" si="127"/>
        <v>60.418465360005698</v>
      </c>
      <c r="AI424" s="121">
        <f t="shared" si="127"/>
        <v>12.245799938837687</v>
      </c>
      <c r="AJ424" s="121">
        <f t="shared" si="127"/>
        <v>16.051399596532185</v>
      </c>
      <c r="AK424" s="121">
        <f t="shared" si="127"/>
        <v>35.874720891316734</v>
      </c>
      <c r="AL424" s="121">
        <f t="shared" si="127"/>
        <v>35.813633219401041</v>
      </c>
      <c r="AM424" s="121">
        <f t="shared" si="127"/>
        <v>54.817416763305665</v>
      </c>
      <c r="AN424" s="121">
        <f t="shared" si="127"/>
        <v>111.78958333333334</v>
      </c>
      <c r="AO424" s="121">
        <f t="shared" si="127"/>
        <v>56.783333333333331</v>
      </c>
      <c r="AP424" s="121">
        <f t="shared" si="127"/>
        <v>59.180217170715331</v>
      </c>
      <c r="AQ424" s="121">
        <f t="shared" si="127"/>
        <v>35.078889465332033</v>
      </c>
      <c r="AR424" s="121">
        <f t="shared" si="127"/>
        <v>93.25</v>
      </c>
      <c r="AS424" s="121" t="e">
        <f t="shared" si="127"/>
        <v>#DIV/0!</v>
      </c>
      <c r="AT424" s="121">
        <f t="shared" si="127"/>
        <v>100.76666666666667</v>
      </c>
      <c r="AU424" s="121" t="e">
        <f t="shared" si="127"/>
        <v>#DIV/0!</v>
      </c>
      <c r="AV424" s="121">
        <f t="shared" si="127"/>
        <v>64.216666666666669</v>
      </c>
      <c r="AW424" s="121" t="e">
        <f t="shared" si="127"/>
        <v>#DIV/0!</v>
      </c>
      <c r="AX424" s="121">
        <f t="shared" si="127"/>
        <v>29.633333333333333</v>
      </c>
      <c r="AY424" s="121">
        <f t="shared" si="127"/>
        <v>32.56103515625</v>
      </c>
      <c r="AZ424" s="121">
        <f t="shared" si="127"/>
        <v>4.9333333333333336</v>
      </c>
      <c r="BA424" s="121" t="e">
        <f t="shared" si="127"/>
        <v>#DIV/0!</v>
      </c>
      <c r="BB424" s="121">
        <f t="shared" si="127"/>
        <v>176.38333333333333</v>
      </c>
      <c r="BC424" s="121">
        <f t="shared" si="127"/>
        <v>176.15013834635417</v>
      </c>
      <c r="BD424" s="121">
        <f t="shared" si="127"/>
        <v>6.5966665824254358</v>
      </c>
      <c r="BE424" s="121">
        <f t="shared" si="127"/>
        <v>6.654758278528849</v>
      </c>
      <c r="BF424" s="121">
        <f t="shared" si="127"/>
        <v>29.7</v>
      </c>
      <c r="BG424" s="121">
        <f t="shared" si="127"/>
        <v>10.366666666666667</v>
      </c>
      <c r="BH424" s="121">
        <f t="shared" si="127"/>
        <v>11.100180069605509</v>
      </c>
      <c r="BI424" s="121" t="e">
        <f t="shared" si="127"/>
        <v>#DIV/0!</v>
      </c>
      <c r="BJ424" s="121">
        <f t="shared" si="127"/>
        <v>10.483333333333333</v>
      </c>
      <c r="BK424" s="121">
        <f t="shared" si="127"/>
        <v>10.483333333333333</v>
      </c>
      <c r="BL424" s="121">
        <f t="shared" si="127"/>
        <v>0</v>
      </c>
      <c r="BM424" s="121" t="e">
        <f t="shared" si="127"/>
        <v>#DIV/0!</v>
      </c>
      <c r="BN424" s="121">
        <f t="shared" si="127"/>
        <v>120.56666692097981</v>
      </c>
      <c r="BO424" s="121">
        <f t="shared" si="127"/>
        <v>72.266666666666666</v>
      </c>
      <c r="BP424" s="121">
        <f t="shared" si="127"/>
        <v>48.300000254313154</v>
      </c>
      <c r="BQ424" s="121">
        <f t="shared" si="127"/>
        <v>263</v>
      </c>
      <c r="BR424" s="121">
        <f t="shared" si="127"/>
        <v>66.448000208536783</v>
      </c>
      <c r="BS424" s="121">
        <f t="shared" ref="BS424:ED424" si="128">AVERAGEA(BS239:BS298)</f>
        <v>24.653333314259847</v>
      </c>
      <c r="BT424" s="121">
        <f t="shared" si="128"/>
        <v>40.731548754374188</v>
      </c>
      <c r="BU424" s="121">
        <f t="shared" si="128"/>
        <v>33.690150070190427</v>
      </c>
      <c r="BV424" s="121">
        <f t="shared" si="128"/>
        <v>69.139999898274738</v>
      </c>
      <c r="BW424" s="121">
        <f t="shared" si="128"/>
        <v>5.883333373069763</v>
      </c>
      <c r="BX424" s="121">
        <f t="shared" si="128"/>
        <v>13.61833348274231</v>
      </c>
      <c r="BY424" s="121">
        <f t="shared" si="128"/>
        <v>28.416666666666668</v>
      </c>
      <c r="BZ424" s="121">
        <f t="shared" si="128"/>
        <v>8.6470229860239964</v>
      </c>
      <c r="CA424" s="121">
        <f t="shared" si="128"/>
        <v>8.9166666666666661</v>
      </c>
      <c r="CB424" s="121">
        <f t="shared" si="128"/>
        <v>29.306202061971028</v>
      </c>
      <c r="CC424" s="121" t="e">
        <f t="shared" si="128"/>
        <v>#DIV/0!</v>
      </c>
      <c r="CD424" s="121">
        <f t="shared" si="128"/>
        <v>332.84440612792969</v>
      </c>
      <c r="CE424" s="121">
        <f t="shared" si="128"/>
        <v>29.98115193049113</v>
      </c>
      <c r="CF424" s="121">
        <f t="shared" si="128"/>
        <v>16.869178708394369</v>
      </c>
      <c r="CG424" s="121">
        <f t="shared" si="128"/>
        <v>35.338191986083984</v>
      </c>
      <c r="CH424" s="121">
        <f t="shared" si="128"/>
        <v>271.86585947672523</v>
      </c>
      <c r="CI424" s="121">
        <f t="shared" si="128"/>
        <v>77.963461812337243</v>
      </c>
      <c r="CJ424" s="121">
        <f t="shared" si="128"/>
        <v>33.814937114715576</v>
      </c>
      <c r="CK424" s="121">
        <f t="shared" si="128"/>
        <v>47.632427533467613</v>
      </c>
      <c r="CL424" s="121">
        <f t="shared" si="128"/>
        <v>24.897719828287759</v>
      </c>
      <c r="CM424" s="121">
        <f t="shared" si="128"/>
        <v>182.78716888427735</v>
      </c>
      <c r="CN424" s="121">
        <f t="shared" si="128"/>
        <v>57.766781870524092</v>
      </c>
      <c r="CO424" s="121">
        <f t="shared" si="128"/>
        <v>53.697008323669436</v>
      </c>
      <c r="CP424" s="121">
        <f t="shared" si="128"/>
        <v>68.195528284708658</v>
      </c>
      <c r="CQ424" s="121">
        <f t="shared" si="128"/>
        <v>0</v>
      </c>
      <c r="CR424" s="121">
        <f t="shared" si="128"/>
        <v>48.553720728556314</v>
      </c>
      <c r="CS424" s="121">
        <f t="shared" si="128"/>
        <v>7.9165302832921345</v>
      </c>
      <c r="CT424" s="121">
        <f t="shared" si="128"/>
        <v>29.929259618123371</v>
      </c>
      <c r="CU424" s="121">
        <f t="shared" si="128"/>
        <v>41.497971216837563</v>
      </c>
      <c r="CV424" s="121">
        <f t="shared" si="128"/>
        <v>59.754709243774414</v>
      </c>
      <c r="CW424" s="121">
        <f t="shared" si="128"/>
        <v>3.5833333333333335</v>
      </c>
      <c r="CX424" s="121">
        <f t="shared" si="128"/>
        <v>294.60000000000002</v>
      </c>
      <c r="CY424" s="121">
        <f t="shared" si="128"/>
        <v>108.44937286376953</v>
      </c>
      <c r="CZ424" s="121">
        <f t="shared" si="128"/>
        <v>47.750081125895186</v>
      </c>
      <c r="DA424" s="121">
        <f t="shared" si="128"/>
        <v>20.071895917256672</v>
      </c>
      <c r="DB424" s="121">
        <f t="shared" si="128"/>
        <v>31.337984498341878</v>
      </c>
      <c r="DC424" s="121">
        <f t="shared" si="128"/>
        <v>71.202399826049799</v>
      </c>
      <c r="DD424" s="121">
        <f t="shared" si="128"/>
        <v>45.516666666666666</v>
      </c>
      <c r="DE424" s="121">
        <f t="shared" si="128"/>
        <v>168.68333333333334</v>
      </c>
      <c r="DF424" s="121">
        <f t="shared" si="128"/>
        <v>97.342667897542313</v>
      </c>
      <c r="DG424" s="121">
        <f t="shared" si="128"/>
        <v>63.369382985432942</v>
      </c>
      <c r="DH424" s="121">
        <f t="shared" si="128"/>
        <v>40.891943995157881</v>
      </c>
      <c r="DI424" s="121">
        <f t="shared" si="128"/>
        <v>36.726759974161787</v>
      </c>
      <c r="DJ424" s="121">
        <f t="shared" si="128"/>
        <v>208.5</v>
      </c>
      <c r="DK424" s="121">
        <f t="shared" si="128"/>
        <v>107.26253280639648</v>
      </c>
      <c r="DL424" s="121">
        <f t="shared" si="128"/>
        <v>24.750766785939536</v>
      </c>
      <c r="DM424" s="121">
        <f t="shared" si="128"/>
        <v>26.969116719563804</v>
      </c>
      <c r="DN424" s="121">
        <f t="shared" si="128"/>
        <v>50.165766652425127</v>
      </c>
      <c r="DO424" s="121">
        <f t="shared" si="128"/>
        <v>111.74490865071614</v>
      </c>
      <c r="DP424" s="121">
        <f t="shared" si="128"/>
        <v>15.202566719055175</v>
      </c>
      <c r="DQ424" s="121" t="e">
        <f t="shared" si="128"/>
        <v>#DIV/0!</v>
      </c>
      <c r="DR424" s="121">
        <f t="shared" si="128"/>
        <v>49.633333333333333</v>
      </c>
      <c r="DS424" s="121">
        <f t="shared" si="128"/>
        <v>28.938333320617676</v>
      </c>
      <c r="DT424" s="121">
        <f t="shared" si="128"/>
        <v>12.466666666666667</v>
      </c>
      <c r="DU424" s="121" t="e">
        <f t="shared" si="128"/>
        <v>#DIV/0!</v>
      </c>
      <c r="DV424" s="121">
        <f t="shared" si="128"/>
        <v>8.2833333333333332</v>
      </c>
      <c r="DW424" s="121">
        <f t="shared" si="128"/>
        <v>2.6848395188649494</v>
      </c>
      <c r="DX424" s="121">
        <f t="shared" si="128"/>
        <v>10.416666666666666</v>
      </c>
      <c r="DY424" s="121" t="e">
        <f t="shared" si="128"/>
        <v>#DIV/0!</v>
      </c>
      <c r="DZ424" s="121">
        <f t="shared" si="128"/>
        <v>44.666666666666664</v>
      </c>
      <c r="EA424" s="121">
        <f t="shared" si="128"/>
        <v>3</v>
      </c>
      <c r="EB424" s="121">
        <f t="shared" si="128"/>
        <v>0</v>
      </c>
      <c r="EC424" s="121">
        <f t="shared" si="128"/>
        <v>1.0833333333333333</v>
      </c>
      <c r="ED424" s="121">
        <f t="shared" si="128"/>
        <v>228.44333343505861</v>
      </c>
      <c r="EE424" s="129"/>
      <c r="EF424" s="129"/>
      <c r="EG424" s="129"/>
    </row>
    <row r="425" spans="1:137" x14ac:dyDescent="0.3">
      <c r="A425" s="160" t="s">
        <v>649</v>
      </c>
      <c r="B425" s="121">
        <f>AVERAGEA(B244:B303)</f>
        <v>220.38333333333333</v>
      </c>
      <c r="C425" s="121">
        <f t="shared" ref="C425:BR425" si="129">AVERAGEA(C244:C303)</f>
        <v>50.461650085449222</v>
      </c>
      <c r="D425" s="121">
        <f t="shared" si="129"/>
        <v>97.112450281778976</v>
      </c>
      <c r="E425" s="121">
        <f t="shared" si="129"/>
        <v>25.523666588465371</v>
      </c>
      <c r="F425" s="121">
        <f t="shared" si="129"/>
        <v>2.2070030490557353</v>
      </c>
      <c r="G425" s="121">
        <f t="shared" si="129"/>
        <v>17.299633439381918</v>
      </c>
      <c r="H425" s="121">
        <f t="shared" si="129"/>
        <v>348.6</v>
      </c>
      <c r="I425" s="121">
        <f t="shared" si="129"/>
        <v>309.36666666666667</v>
      </c>
      <c r="J425" s="121">
        <f t="shared" si="129"/>
        <v>60.700766626993818</v>
      </c>
      <c r="K425" s="121">
        <f t="shared" si="129"/>
        <v>61.973558108011879</v>
      </c>
      <c r="L425" s="121">
        <f t="shared" si="129"/>
        <v>89.399416669209799</v>
      </c>
      <c r="M425" s="121">
        <f t="shared" si="129"/>
        <v>12.016116619110107</v>
      </c>
      <c r="N425" s="121">
        <f t="shared" si="129"/>
        <v>17.558883444468179</v>
      </c>
      <c r="O425" s="121">
        <f t="shared" si="129"/>
        <v>17.05</v>
      </c>
      <c r="P425" s="121">
        <f t="shared" si="129"/>
        <v>0</v>
      </c>
      <c r="Q425" s="121">
        <f t="shared" si="129"/>
        <v>17.414182456334434</v>
      </c>
      <c r="R425" s="121">
        <f t="shared" si="129"/>
        <v>4.7656249364217125</v>
      </c>
      <c r="S425" s="121">
        <f t="shared" si="129"/>
        <v>5.3386000990867615</v>
      </c>
      <c r="T425" s="121">
        <f t="shared" si="129"/>
        <v>6.1333333333333337</v>
      </c>
      <c r="U425" s="121">
        <f t="shared" si="129"/>
        <v>6.1333333333333337</v>
      </c>
      <c r="V425" s="121">
        <f t="shared" si="129"/>
        <v>845.48333333333335</v>
      </c>
      <c r="W425" s="121">
        <f t="shared" si="129"/>
        <v>25.989315541585288</v>
      </c>
      <c r="X425" s="121">
        <f t="shared" si="129"/>
        <v>24.518950144449871</v>
      </c>
      <c r="Y425" s="121">
        <f t="shared" si="129"/>
        <v>6.6464666843414308</v>
      </c>
      <c r="Z425" s="121">
        <f t="shared" si="129"/>
        <v>0</v>
      </c>
      <c r="AA425" s="121">
        <f t="shared" si="129"/>
        <v>18.973450024922688</v>
      </c>
      <c r="AB425" s="121">
        <f t="shared" si="129"/>
        <v>0</v>
      </c>
      <c r="AC425" s="121">
        <f t="shared" si="129"/>
        <v>51.644948705037436</v>
      </c>
      <c r="AD425" s="121">
        <f t="shared" si="129"/>
        <v>6.0982833385467528</v>
      </c>
      <c r="AE425" s="121">
        <f t="shared" si="129"/>
        <v>0</v>
      </c>
      <c r="AF425" s="121">
        <f t="shared" si="129"/>
        <v>79.993771743774417</v>
      </c>
      <c r="AG425" s="121">
        <f t="shared" si="129"/>
        <v>0</v>
      </c>
      <c r="AH425" s="121">
        <f t="shared" si="129"/>
        <v>60.405186780293782</v>
      </c>
      <c r="AI425" s="121">
        <f t="shared" si="129"/>
        <v>12.409099944432576</v>
      </c>
      <c r="AJ425" s="121">
        <f t="shared" si="129"/>
        <v>16.009302155176798</v>
      </c>
      <c r="AK425" s="121">
        <f t="shared" si="129"/>
        <v>35.960420989990233</v>
      </c>
      <c r="AL425" s="121">
        <f t="shared" si="129"/>
        <v>36.034516652425133</v>
      </c>
      <c r="AM425" s="121">
        <f t="shared" si="129"/>
        <v>54.896950085957847</v>
      </c>
      <c r="AN425" s="121">
        <f t="shared" si="129"/>
        <v>111.77708333333334</v>
      </c>
      <c r="AO425" s="121">
        <f t="shared" si="129"/>
        <v>56.85</v>
      </c>
      <c r="AP425" s="121">
        <f t="shared" si="129"/>
        <v>59.140139007568358</v>
      </c>
      <c r="AQ425" s="121">
        <f t="shared" si="129"/>
        <v>35.132403373718262</v>
      </c>
      <c r="AR425" s="121">
        <f t="shared" si="129"/>
        <v>93.483333333333334</v>
      </c>
      <c r="AS425" s="121" t="e">
        <f t="shared" si="129"/>
        <v>#DIV/0!</v>
      </c>
      <c r="AT425" s="121">
        <f t="shared" si="129"/>
        <v>99.683333333333337</v>
      </c>
      <c r="AU425" s="121" t="e">
        <f t="shared" si="129"/>
        <v>#DIV/0!</v>
      </c>
      <c r="AV425" s="121">
        <f t="shared" si="129"/>
        <v>66.95</v>
      </c>
      <c r="AW425" s="121" t="e">
        <f t="shared" si="129"/>
        <v>#DIV/0!</v>
      </c>
      <c r="AX425" s="121">
        <f t="shared" si="129"/>
        <v>29.6</v>
      </c>
      <c r="AY425" s="121">
        <f t="shared" si="129"/>
        <v>32.579097398122151</v>
      </c>
      <c r="AZ425" s="121">
        <f t="shared" si="129"/>
        <v>4.3666666666666663</v>
      </c>
      <c r="BA425" s="121" t="e">
        <f t="shared" si="129"/>
        <v>#DIV/0!</v>
      </c>
      <c r="BB425" s="121">
        <f t="shared" si="129"/>
        <v>176.26666666666668</v>
      </c>
      <c r="BC425" s="121">
        <f t="shared" si="129"/>
        <v>176.05192616780599</v>
      </c>
      <c r="BD425" s="121">
        <f t="shared" si="129"/>
        <v>6.6183332522710163</v>
      </c>
      <c r="BE425" s="121">
        <f t="shared" si="129"/>
        <v>6.6760640382766727</v>
      </c>
      <c r="BF425" s="121">
        <f t="shared" si="129"/>
        <v>29.766666666666666</v>
      </c>
      <c r="BG425" s="121">
        <f t="shared" si="129"/>
        <v>10.35</v>
      </c>
      <c r="BH425" s="121">
        <f t="shared" si="129"/>
        <v>11.087024116516114</v>
      </c>
      <c r="BI425" s="121" t="e">
        <f t="shared" si="129"/>
        <v>#DIV/0!</v>
      </c>
      <c r="BJ425" s="121">
        <f t="shared" si="129"/>
        <v>10.366666666666667</v>
      </c>
      <c r="BK425" s="121">
        <f t="shared" si="129"/>
        <v>10.366666666666667</v>
      </c>
      <c r="BL425" s="121">
        <f t="shared" si="129"/>
        <v>0</v>
      </c>
      <c r="BM425" s="121" t="e">
        <f t="shared" si="129"/>
        <v>#DIV/0!</v>
      </c>
      <c r="BN425" s="121">
        <f t="shared" si="129"/>
        <v>120.6300002415975</v>
      </c>
      <c r="BO425" s="121">
        <f t="shared" si="129"/>
        <v>72.283333333333331</v>
      </c>
      <c r="BP425" s="121">
        <f t="shared" si="129"/>
        <v>48.346666908264162</v>
      </c>
      <c r="BQ425" s="121">
        <f t="shared" si="129"/>
        <v>263.01666666666665</v>
      </c>
      <c r="BR425" s="121">
        <f t="shared" si="129"/>
        <v>66.480066744486493</v>
      </c>
      <c r="BS425" s="121">
        <f t="shared" ref="BS425:ED425" si="130">AVERAGEA(BS244:BS303)</f>
        <v>24.653350035349529</v>
      </c>
      <c r="BT425" s="121">
        <f t="shared" si="130"/>
        <v>40.673848660786945</v>
      </c>
      <c r="BU425" s="121">
        <f t="shared" si="130"/>
        <v>33.691183471679686</v>
      </c>
      <c r="BV425" s="121">
        <f t="shared" si="130"/>
        <v>69.179999796549481</v>
      </c>
      <c r="BW425" s="121">
        <f t="shared" si="130"/>
        <v>5.9233333746592205</v>
      </c>
      <c r="BX425" s="121">
        <f t="shared" si="130"/>
        <v>13.635000133514405</v>
      </c>
      <c r="BY425" s="121">
        <f t="shared" si="130"/>
        <v>28.433333333333334</v>
      </c>
      <c r="BZ425" s="121">
        <f t="shared" si="130"/>
        <v>10.30621277235138</v>
      </c>
      <c r="CA425" s="121">
        <f t="shared" si="130"/>
        <v>10.433333333333334</v>
      </c>
      <c r="CB425" s="121">
        <f t="shared" si="130"/>
        <v>29.353157488505044</v>
      </c>
      <c r="CC425" s="121" t="e">
        <f t="shared" si="130"/>
        <v>#DIV/0!</v>
      </c>
      <c r="CD425" s="121">
        <f t="shared" si="130"/>
        <v>332.46124877929685</v>
      </c>
      <c r="CE425" s="121">
        <f t="shared" si="130"/>
        <v>29.823670419057212</v>
      </c>
      <c r="CF425" s="121">
        <f t="shared" si="130"/>
        <v>16.770246489842734</v>
      </c>
      <c r="CG425" s="121">
        <f t="shared" si="130"/>
        <v>35.338191986083984</v>
      </c>
      <c r="CH425" s="121">
        <f t="shared" si="130"/>
        <v>271.8581583658854</v>
      </c>
      <c r="CI425" s="121">
        <f t="shared" si="130"/>
        <v>77.788019561767584</v>
      </c>
      <c r="CJ425" s="121">
        <f t="shared" si="130"/>
        <v>33.808996868133548</v>
      </c>
      <c r="CK425" s="121">
        <f t="shared" si="130"/>
        <v>47.406284713745116</v>
      </c>
      <c r="CL425" s="121">
        <f t="shared" si="130"/>
        <v>24.897116661071777</v>
      </c>
      <c r="CM425" s="121">
        <f t="shared" si="130"/>
        <v>181.77596308390301</v>
      </c>
      <c r="CN425" s="121">
        <f t="shared" si="130"/>
        <v>58.780100250244139</v>
      </c>
      <c r="CO425" s="121">
        <f t="shared" si="130"/>
        <v>53.18355655670166</v>
      </c>
      <c r="CP425" s="121">
        <f t="shared" si="130"/>
        <v>66.328916549682617</v>
      </c>
      <c r="CQ425" s="121">
        <f t="shared" si="130"/>
        <v>0</v>
      </c>
      <c r="CR425" s="121">
        <f t="shared" si="130"/>
        <v>48.697813542683917</v>
      </c>
      <c r="CS425" s="121">
        <f t="shared" si="130"/>
        <v>8.5383477926254265</v>
      </c>
      <c r="CT425" s="121">
        <f t="shared" si="130"/>
        <v>29.982420953114829</v>
      </c>
      <c r="CU425" s="121">
        <f t="shared" si="130"/>
        <v>42.332037925720215</v>
      </c>
      <c r="CV425" s="121">
        <f t="shared" si="130"/>
        <v>58.439525922139488</v>
      </c>
      <c r="CW425" s="121">
        <f t="shared" si="130"/>
        <v>3.45</v>
      </c>
      <c r="CX425" s="121">
        <f t="shared" si="130"/>
        <v>294.41666666666669</v>
      </c>
      <c r="CY425" s="121">
        <f t="shared" si="130"/>
        <v>108.1627025604248</v>
      </c>
      <c r="CZ425" s="121">
        <f t="shared" si="130"/>
        <v>48.07566343943278</v>
      </c>
      <c r="DA425" s="121">
        <f t="shared" si="130"/>
        <v>20.108290100097655</v>
      </c>
      <c r="DB425" s="121">
        <f t="shared" si="130"/>
        <v>31.105076122283936</v>
      </c>
      <c r="DC425" s="121">
        <f t="shared" si="130"/>
        <v>70.885857137044269</v>
      </c>
      <c r="DD425" s="121">
        <f t="shared" si="130"/>
        <v>45.05</v>
      </c>
      <c r="DE425" s="121">
        <f t="shared" si="130"/>
        <v>168.45</v>
      </c>
      <c r="DF425" s="121">
        <f t="shared" si="130"/>
        <v>97.328818003336593</v>
      </c>
      <c r="DG425" s="121">
        <f t="shared" si="130"/>
        <v>63.379013061523438</v>
      </c>
      <c r="DH425" s="121">
        <f t="shared" si="130"/>
        <v>40.745516777038574</v>
      </c>
      <c r="DI425" s="121">
        <f t="shared" si="130"/>
        <v>36.665082041422529</v>
      </c>
      <c r="DJ425" s="121">
        <f t="shared" si="130"/>
        <v>209.61666666666667</v>
      </c>
      <c r="DK425" s="121">
        <f t="shared" si="130"/>
        <v>108.17009963989258</v>
      </c>
      <c r="DL425" s="121">
        <f t="shared" si="130"/>
        <v>24.850683466593424</v>
      </c>
      <c r="DM425" s="121">
        <f t="shared" si="130"/>
        <v>27.469816748301188</v>
      </c>
      <c r="DN425" s="121">
        <f t="shared" si="130"/>
        <v>50.351333363850912</v>
      </c>
      <c r="DO425" s="121">
        <f t="shared" si="130"/>
        <v>111.93773333231609</v>
      </c>
      <c r="DP425" s="121">
        <f t="shared" si="130"/>
        <v>15.212916723887126</v>
      </c>
      <c r="DQ425" s="121" t="e">
        <f t="shared" si="130"/>
        <v>#DIV/0!</v>
      </c>
      <c r="DR425" s="121">
        <f t="shared" si="130"/>
        <v>49.633333333333333</v>
      </c>
      <c r="DS425" s="121">
        <f t="shared" si="130"/>
        <v>28.928333314259849</v>
      </c>
      <c r="DT425" s="121">
        <f t="shared" si="130"/>
        <v>12.466666666666667</v>
      </c>
      <c r="DU425" s="121" t="e">
        <f t="shared" si="130"/>
        <v>#DIV/0!</v>
      </c>
      <c r="DV425" s="121">
        <f t="shared" si="130"/>
        <v>7.95</v>
      </c>
      <c r="DW425" s="121">
        <f t="shared" si="130"/>
        <v>2.6016392906506858</v>
      </c>
      <c r="DX425" s="121">
        <f t="shared" si="130"/>
        <v>10.466666666666667</v>
      </c>
      <c r="DY425" s="121" t="e">
        <f t="shared" si="130"/>
        <v>#DIV/0!</v>
      </c>
      <c r="DZ425" s="121">
        <f t="shared" si="130"/>
        <v>44.766666666666666</v>
      </c>
      <c r="EA425" s="121">
        <f t="shared" si="130"/>
        <v>3</v>
      </c>
      <c r="EB425" s="121">
        <f t="shared" si="130"/>
        <v>0</v>
      </c>
      <c r="EC425" s="121">
        <f t="shared" si="130"/>
        <v>1.1000000000000001</v>
      </c>
      <c r="ED425" s="121">
        <f t="shared" si="130"/>
        <v>228.21833318074545</v>
      </c>
      <c r="EE425" s="129"/>
      <c r="EF425" s="129"/>
      <c r="EG425" s="129"/>
    </row>
    <row r="426" spans="1:137" x14ac:dyDescent="0.3">
      <c r="A426" s="160" t="s">
        <v>353</v>
      </c>
      <c r="B426" s="121">
        <f>AVERAGEA(B249:B308)</f>
        <v>222.31666666666666</v>
      </c>
      <c r="C426" s="121">
        <f t="shared" ref="C426:BR426" si="131">AVERAGEA(C249:C308)</f>
        <v>50.506900024414065</v>
      </c>
      <c r="D426" s="121">
        <f t="shared" si="131"/>
        <v>97.374466959635413</v>
      </c>
      <c r="E426" s="121">
        <f t="shared" si="131"/>
        <v>24.520849959055582</v>
      </c>
      <c r="F426" s="121">
        <f t="shared" si="131"/>
        <v>2.5755938847859698</v>
      </c>
      <c r="G426" s="121">
        <f t="shared" si="131"/>
        <v>17.341116778055827</v>
      </c>
      <c r="H426" s="121">
        <f t="shared" si="131"/>
        <v>345.66666666666669</v>
      </c>
      <c r="I426" s="121">
        <f t="shared" si="131"/>
        <v>306.98333333333335</v>
      </c>
      <c r="J426" s="121">
        <f t="shared" si="131"/>
        <v>60.534883308410642</v>
      </c>
      <c r="K426" s="121">
        <f t="shared" si="131"/>
        <v>61.944066365559898</v>
      </c>
      <c r="L426" s="121">
        <f t="shared" si="131"/>
        <v>85.090516726175949</v>
      </c>
      <c r="M426" s="121">
        <f t="shared" si="131"/>
        <v>11.957666619618733</v>
      </c>
      <c r="N426" s="121">
        <f t="shared" si="131"/>
        <v>17.50588347117106</v>
      </c>
      <c r="O426" s="121">
        <f t="shared" si="131"/>
        <v>17.149999999999999</v>
      </c>
      <c r="P426" s="121">
        <f t="shared" si="131"/>
        <v>0</v>
      </c>
      <c r="Q426" s="121">
        <f t="shared" si="131"/>
        <v>17.539697869618735</v>
      </c>
      <c r="R426" s="121">
        <f t="shared" si="131"/>
        <v>4.9657811959584555</v>
      </c>
      <c r="S426" s="121">
        <f t="shared" si="131"/>
        <v>5.4971978942553203</v>
      </c>
      <c r="T426" s="121">
        <f t="shared" si="131"/>
        <v>5.4</v>
      </c>
      <c r="U426" s="121">
        <f t="shared" si="131"/>
        <v>5.4</v>
      </c>
      <c r="V426" s="121">
        <f t="shared" si="131"/>
        <v>846.2833333333333</v>
      </c>
      <c r="W426" s="121">
        <f t="shared" si="131"/>
        <v>26.013110796610516</v>
      </c>
      <c r="X426" s="121">
        <f t="shared" si="131"/>
        <v>24.468066851298016</v>
      </c>
      <c r="Y426" s="121">
        <f t="shared" si="131"/>
        <v>6.6952333370844519</v>
      </c>
      <c r="Z426" s="121">
        <f t="shared" si="131"/>
        <v>0</v>
      </c>
      <c r="AA426" s="121">
        <f t="shared" si="131"/>
        <v>19.043216705322266</v>
      </c>
      <c r="AB426" s="121">
        <f t="shared" si="131"/>
        <v>0</v>
      </c>
      <c r="AC426" s="121">
        <f t="shared" si="131"/>
        <v>51.730619176228842</v>
      </c>
      <c r="AD426" s="121">
        <f t="shared" si="131"/>
        <v>6.0855500141779579</v>
      </c>
      <c r="AE426" s="121">
        <f t="shared" si="131"/>
        <v>0</v>
      </c>
      <c r="AF426" s="121">
        <f t="shared" si="131"/>
        <v>80.083611933390301</v>
      </c>
      <c r="AG426" s="121">
        <f t="shared" si="131"/>
        <v>0</v>
      </c>
      <c r="AH426" s="121">
        <f t="shared" si="131"/>
        <v>60.535097694396974</v>
      </c>
      <c r="AI426" s="121">
        <f t="shared" si="131"/>
        <v>12.632799975077312</v>
      </c>
      <c r="AJ426" s="121">
        <f t="shared" si="131"/>
        <v>15.949636920293171</v>
      </c>
      <c r="AK426" s="121">
        <f t="shared" si="131"/>
        <v>35.907242711385088</v>
      </c>
      <c r="AL426" s="121">
        <f t="shared" si="131"/>
        <v>36.164116605122885</v>
      </c>
      <c r="AM426" s="121">
        <f t="shared" si="131"/>
        <v>54.899083518981932</v>
      </c>
      <c r="AN426" s="121">
        <f t="shared" si="131"/>
        <v>111.93645833333333</v>
      </c>
      <c r="AO426" s="121">
        <f t="shared" si="131"/>
        <v>56.8</v>
      </c>
      <c r="AP426" s="121">
        <f t="shared" si="131"/>
        <v>59.120028114318849</v>
      </c>
      <c r="AQ426" s="121">
        <f t="shared" si="131"/>
        <v>35.137760035196941</v>
      </c>
      <c r="AR426" s="121">
        <f t="shared" si="131"/>
        <v>93.516666666666666</v>
      </c>
      <c r="AS426" s="121" t="e">
        <f t="shared" si="131"/>
        <v>#DIV/0!</v>
      </c>
      <c r="AT426" s="121">
        <f t="shared" si="131"/>
        <v>98.88333333333334</v>
      </c>
      <c r="AU426" s="121" t="e">
        <f t="shared" si="131"/>
        <v>#DIV/0!</v>
      </c>
      <c r="AV426" s="121">
        <f t="shared" si="131"/>
        <v>67.45</v>
      </c>
      <c r="AW426" s="121" t="e">
        <f t="shared" si="131"/>
        <v>#DIV/0!</v>
      </c>
      <c r="AX426" s="121">
        <f t="shared" si="131"/>
        <v>29.516666666666666</v>
      </c>
      <c r="AY426" s="121">
        <f t="shared" si="131"/>
        <v>32.544407367706299</v>
      </c>
      <c r="AZ426" s="121">
        <f t="shared" si="131"/>
        <v>3.8666666666666667</v>
      </c>
      <c r="BA426" s="121" t="e">
        <f t="shared" si="131"/>
        <v>#DIV/0!</v>
      </c>
      <c r="BB426" s="121">
        <f t="shared" si="131"/>
        <v>176.26666666666668</v>
      </c>
      <c r="BC426" s="121">
        <f t="shared" si="131"/>
        <v>176.2524309794108</v>
      </c>
      <c r="BD426" s="121">
        <f t="shared" si="131"/>
        <v>6.6166665951410932</v>
      </c>
      <c r="BE426" s="121">
        <f t="shared" si="131"/>
        <v>6.6731970151265463</v>
      </c>
      <c r="BF426" s="121">
        <f t="shared" si="131"/>
        <v>29.75</v>
      </c>
      <c r="BG426" s="121">
        <f t="shared" si="131"/>
        <v>10.266666666666667</v>
      </c>
      <c r="BH426" s="121">
        <f t="shared" si="131"/>
        <v>11.027576764424643</v>
      </c>
      <c r="BI426" s="121" t="e">
        <f t="shared" si="131"/>
        <v>#DIV/0!</v>
      </c>
      <c r="BJ426" s="121">
        <f t="shared" si="131"/>
        <v>10.4</v>
      </c>
      <c r="BK426" s="121">
        <f t="shared" si="131"/>
        <v>10.4</v>
      </c>
      <c r="BL426" s="121">
        <f t="shared" si="131"/>
        <v>0</v>
      </c>
      <c r="BM426" s="121" t="e">
        <f t="shared" si="131"/>
        <v>#DIV/0!</v>
      </c>
      <c r="BN426" s="121">
        <f t="shared" si="131"/>
        <v>120.72000020345052</v>
      </c>
      <c r="BO426" s="121">
        <f t="shared" si="131"/>
        <v>72.266666666666666</v>
      </c>
      <c r="BP426" s="121">
        <f t="shared" si="131"/>
        <v>48.453333536783852</v>
      </c>
      <c r="BQ426" s="121">
        <f t="shared" si="131"/>
        <v>263.5</v>
      </c>
      <c r="BR426" s="121">
        <f t="shared" si="131"/>
        <v>67.005966695149738</v>
      </c>
      <c r="BS426" s="121">
        <f t="shared" ref="BS426:ED426" si="132">AVERAGEA(BS249:BS308)</f>
        <v>24.640600013732911</v>
      </c>
      <c r="BT426" s="121">
        <f t="shared" si="132"/>
        <v>40.696915372212729</v>
      </c>
      <c r="BU426" s="121">
        <f t="shared" si="132"/>
        <v>33.699666786193845</v>
      </c>
      <c r="BV426" s="121">
        <f t="shared" si="132"/>
        <v>69.139999898274738</v>
      </c>
      <c r="BW426" s="121">
        <f t="shared" si="132"/>
        <v>5.9533333698908484</v>
      </c>
      <c r="BX426" s="121">
        <f t="shared" si="132"/>
        <v>13.651666768391927</v>
      </c>
      <c r="BY426" s="121">
        <f t="shared" si="132"/>
        <v>28.416666666666668</v>
      </c>
      <c r="BZ426" s="121">
        <f t="shared" si="132"/>
        <v>11.964876648783683</v>
      </c>
      <c r="CA426" s="121">
        <f t="shared" si="132"/>
        <v>11.933333333333334</v>
      </c>
      <c r="CB426" s="121">
        <f t="shared" si="132"/>
        <v>29.359360440572104</v>
      </c>
      <c r="CC426" s="121" t="e">
        <f t="shared" si="132"/>
        <v>#DIV/0!</v>
      </c>
      <c r="CD426" s="121">
        <f t="shared" si="132"/>
        <v>332.80540568033854</v>
      </c>
      <c r="CE426" s="121">
        <f t="shared" si="132"/>
        <v>29.765044371287029</v>
      </c>
      <c r="CF426" s="121">
        <f t="shared" si="132"/>
        <v>16.682582251230876</v>
      </c>
      <c r="CG426" s="121">
        <f t="shared" si="132"/>
        <v>35.338191986083984</v>
      </c>
      <c r="CH426" s="121">
        <f t="shared" si="132"/>
        <v>272.08190358479817</v>
      </c>
      <c r="CI426" s="121">
        <f t="shared" si="132"/>
        <v>77.692876307169598</v>
      </c>
      <c r="CJ426" s="121">
        <f t="shared" si="132"/>
        <v>33.805706628163655</v>
      </c>
      <c r="CK426" s="121">
        <f t="shared" si="132"/>
        <v>47.314433924357097</v>
      </c>
      <c r="CL426" s="121">
        <f t="shared" si="132"/>
        <v>24.807365735371906</v>
      </c>
      <c r="CM426" s="121">
        <f t="shared" si="132"/>
        <v>180.73513412475586</v>
      </c>
      <c r="CN426" s="121">
        <f t="shared" si="132"/>
        <v>59.543177096048993</v>
      </c>
      <c r="CO426" s="121">
        <f t="shared" si="132"/>
        <v>52.74076277414958</v>
      </c>
      <c r="CP426" s="121">
        <f t="shared" si="132"/>
        <v>64.692502784729001</v>
      </c>
      <c r="CQ426" s="121">
        <f t="shared" si="132"/>
        <v>0</v>
      </c>
      <c r="CR426" s="121">
        <f t="shared" si="132"/>
        <v>48.933466593424477</v>
      </c>
      <c r="CS426" s="121">
        <f t="shared" si="132"/>
        <v>9.2121301730473828</v>
      </c>
      <c r="CT426" s="121">
        <f t="shared" si="132"/>
        <v>30.160402170817058</v>
      </c>
      <c r="CU426" s="121">
        <f t="shared" si="132"/>
        <v>42.553258832295732</v>
      </c>
      <c r="CV426" s="121">
        <f t="shared" si="132"/>
        <v>57.211104774475096</v>
      </c>
      <c r="CW426" s="121">
        <f t="shared" si="132"/>
        <v>3.35</v>
      </c>
      <c r="CX426" s="121">
        <f t="shared" si="132"/>
        <v>293.8</v>
      </c>
      <c r="CY426" s="121">
        <f t="shared" si="132"/>
        <v>108.00216039021809</v>
      </c>
      <c r="CZ426" s="121">
        <f t="shared" si="132"/>
        <v>48.198834800720213</v>
      </c>
      <c r="DA426" s="121">
        <f t="shared" si="132"/>
        <v>20.107162475585938</v>
      </c>
      <c r="DB426" s="121">
        <f t="shared" si="132"/>
        <v>30.838876883188885</v>
      </c>
      <c r="DC426" s="121">
        <f t="shared" si="132"/>
        <v>70.69743512471517</v>
      </c>
      <c r="DD426" s="121">
        <f t="shared" si="132"/>
        <v>44.85</v>
      </c>
      <c r="DE426" s="121">
        <f t="shared" si="132"/>
        <v>168.43333333333334</v>
      </c>
      <c r="DF426" s="121">
        <f t="shared" si="132"/>
        <v>97.251313527425125</v>
      </c>
      <c r="DG426" s="121">
        <f t="shared" si="132"/>
        <v>63.299634997049971</v>
      </c>
      <c r="DH426" s="121">
        <f t="shared" si="132"/>
        <v>40.684062830607097</v>
      </c>
      <c r="DI426" s="121">
        <f t="shared" si="132"/>
        <v>36.827523231506348</v>
      </c>
      <c r="DJ426" s="121">
        <f t="shared" si="132"/>
        <v>210.21666666666667</v>
      </c>
      <c r="DK426" s="121">
        <f t="shared" si="132"/>
        <v>108.51361618041992</v>
      </c>
      <c r="DL426" s="121">
        <f t="shared" si="132"/>
        <v>24.841250038146974</v>
      </c>
      <c r="DM426" s="121">
        <f t="shared" si="132"/>
        <v>27.617066796620687</v>
      </c>
      <c r="DN426" s="121">
        <f t="shared" si="132"/>
        <v>50.639999961853029</v>
      </c>
      <c r="DO426" s="121">
        <f t="shared" si="132"/>
        <v>112.32281964619955</v>
      </c>
      <c r="DP426" s="121">
        <f t="shared" si="132"/>
        <v>15.21571675936381</v>
      </c>
      <c r="DQ426" s="121" t="e">
        <f t="shared" si="132"/>
        <v>#DIV/0!</v>
      </c>
      <c r="DR426" s="121">
        <f t="shared" si="132"/>
        <v>49.633333333333333</v>
      </c>
      <c r="DS426" s="121">
        <f t="shared" si="132"/>
        <v>28.723333263397215</v>
      </c>
      <c r="DT426" s="121">
        <f t="shared" si="132"/>
        <v>12.483333333333333</v>
      </c>
      <c r="DU426" s="121" t="e">
        <f t="shared" si="132"/>
        <v>#DIV/0!</v>
      </c>
      <c r="DV426" s="121">
        <f t="shared" si="132"/>
        <v>7.8833333333333337</v>
      </c>
      <c r="DW426" s="121">
        <f t="shared" si="132"/>
        <v>2.5407780369122821</v>
      </c>
      <c r="DX426" s="121">
        <f t="shared" si="132"/>
        <v>10.5</v>
      </c>
      <c r="DY426" s="121" t="e">
        <f t="shared" si="132"/>
        <v>#DIV/0!</v>
      </c>
      <c r="DZ426" s="121">
        <f t="shared" si="132"/>
        <v>44.716666666666669</v>
      </c>
      <c r="EA426" s="121">
        <f t="shared" si="132"/>
        <v>3</v>
      </c>
      <c r="EB426" s="121">
        <f t="shared" si="132"/>
        <v>0</v>
      </c>
      <c r="EC426" s="121">
        <f t="shared" si="132"/>
        <v>2.0333333333333332</v>
      </c>
      <c r="ED426" s="121">
        <f t="shared" si="132"/>
        <v>228.03666687011719</v>
      </c>
      <c r="EE426" s="129"/>
      <c r="EF426" s="129"/>
      <c r="EG426" s="129"/>
    </row>
    <row r="427" spans="1:137" x14ac:dyDescent="0.3">
      <c r="A427" s="160" t="s">
        <v>354</v>
      </c>
      <c r="B427" s="121">
        <f>AVERAGEA(B254:B313)</f>
        <v>224.45</v>
      </c>
      <c r="C427" s="121">
        <f t="shared" ref="C427:BR427" si="133">AVERAGEA(C254:C313)</f>
        <v>50.665233421325681</v>
      </c>
      <c r="D427" s="121">
        <f t="shared" si="133"/>
        <v>97.630833435058591</v>
      </c>
      <c r="E427" s="121">
        <f t="shared" si="133"/>
        <v>23.284316635131837</v>
      </c>
      <c r="F427" s="121">
        <f t="shared" si="133"/>
        <v>3.041539982954661</v>
      </c>
      <c r="G427" s="121">
        <f t="shared" si="133"/>
        <v>17.459883371988933</v>
      </c>
      <c r="H427" s="121">
        <f t="shared" si="133"/>
        <v>342.78333333333336</v>
      </c>
      <c r="I427" s="121">
        <f t="shared" si="133"/>
        <v>304.61666666666667</v>
      </c>
      <c r="J427" s="121">
        <f t="shared" si="133"/>
        <v>60.548066584269208</v>
      </c>
      <c r="K427" s="121">
        <f t="shared" si="133"/>
        <v>61.98337383270264</v>
      </c>
      <c r="L427" s="121">
        <f t="shared" si="133"/>
        <v>80.58723335266113</v>
      </c>
      <c r="M427" s="121">
        <f t="shared" si="133"/>
        <v>11.878516610463461</v>
      </c>
      <c r="N427" s="121">
        <f t="shared" si="133"/>
        <v>17.429550170898438</v>
      </c>
      <c r="O427" s="121">
        <f t="shared" si="133"/>
        <v>17.3</v>
      </c>
      <c r="P427" s="121">
        <f t="shared" si="133"/>
        <v>0</v>
      </c>
      <c r="Q427" s="121">
        <f t="shared" si="133"/>
        <v>17.7053973197937</v>
      </c>
      <c r="R427" s="121">
        <f t="shared" si="133"/>
        <v>5.3990624427795408</v>
      </c>
      <c r="S427" s="121">
        <f t="shared" si="133"/>
        <v>5.8721039652824398</v>
      </c>
      <c r="T427" s="121">
        <f t="shared" si="133"/>
        <v>4.6500000000000004</v>
      </c>
      <c r="U427" s="121">
        <f t="shared" si="133"/>
        <v>4.6500000000000004</v>
      </c>
      <c r="V427" s="121">
        <f t="shared" si="133"/>
        <v>848.1</v>
      </c>
      <c r="W427" s="121">
        <f t="shared" si="133"/>
        <v>26.031790415445965</v>
      </c>
      <c r="X427" s="121">
        <f t="shared" si="133"/>
        <v>24.439800230662026</v>
      </c>
      <c r="Y427" s="121">
        <f t="shared" si="133"/>
        <v>6.7143333355585737</v>
      </c>
      <c r="Z427" s="121">
        <f t="shared" si="133"/>
        <v>0</v>
      </c>
      <c r="AA427" s="121">
        <f t="shared" si="133"/>
        <v>18.96785004933675</v>
      </c>
      <c r="AB427" s="121">
        <f t="shared" si="133"/>
        <v>0</v>
      </c>
      <c r="AC427" s="121">
        <f t="shared" si="133"/>
        <v>51.997896639506024</v>
      </c>
      <c r="AD427" s="121">
        <f t="shared" si="133"/>
        <v>6.0770666837692264</v>
      </c>
      <c r="AE427" s="121">
        <f t="shared" si="133"/>
        <v>0</v>
      </c>
      <c r="AF427" s="121">
        <f t="shared" si="133"/>
        <v>80.317342122395829</v>
      </c>
      <c r="AG427" s="121">
        <f t="shared" si="133"/>
        <v>0</v>
      </c>
      <c r="AH427" s="121">
        <f t="shared" si="133"/>
        <v>60.85579776763916</v>
      </c>
      <c r="AI427" s="121">
        <f t="shared" si="133"/>
        <v>12.999683380126953</v>
      </c>
      <c r="AJ427" s="121">
        <f t="shared" si="133"/>
        <v>15.944715213775634</v>
      </c>
      <c r="AK427" s="121">
        <f t="shared" si="133"/>
        <v>35.935060882568358</v>
      </c>
      <c r="AL427" s="121">
        <f t="shared" si="133"/>
        <v>36.373233286539715</v>
      </c>
      <c r="AM427" s="121">
        <f t="shared" si="133"/>
        <v>54.887416776021318</v>
      </c>
      <c r="AN427" s="121">
        <f t="shared" si="133"/>
        <v>112.33750000000001</v>
      </c>
      <c r="AO427" s="121">
        <f t="shared" si="133"/>
        <v>57</v>
      </c>
      <c r="AP427" s="121">
        <f t="shared" si="133"/>
        <v>59.493361155192055</v>
      </c>
      <c r="AQ427" s="121">
        <f t="shared" si="133"/>
        <v>35.243515459696454</v>
      </c>
      <c r="AR427" s="121">
        <f t="shared" si="133"/>
        <v>93.966666666666669</v>
      </c>
      <c r="AS427" s="121" t="e">
        <f t="shared" si="133"/>
        <v>#DIV/0!</v>
      </c>
      <c r="AT427" s="121">
        <f t="shared" si="133"/>
        <v>98.166666666666671</v>
      </c>
      <c r="AU427" s="121" t="e">
        <f t="shared" si="133"/>
        <v>#DIV/0!</v>
      </c>
      <c r="AV427" s="121">
        <f t="shared" si="133"/>
        <v>67.583333333333329</v>
      </c>
      <c r="AW427" s="121" t="e">
        <f t="shared" si="133"/>
        <v>#DIV/0!</v>
      </c>
      <c r="AX427" s="121">
        <f t="shared" si="133"/>
        <v>29.533333333333335</v>
      </c>
      <c r="AY427" s="121">
        <f t="shared" si="133"/>
        <v>32.533144283294675</v>
      </c>
      <c r="AZ427" s="121">
        <f t="shared" si="133"/>
        <v>3.8</v>
      </c>
      <c r="BA427" s="121" t="e">
        <f t="shared" si="133"/>
        <v>#DIV/0!</v>
      </c>
      <c r="BB427" s="121">
        <f t="shared" si="133"/>
        <v>176.38333333333333</v>
      </c>
      <c r="BC427" s="121">
        <f t="shared" si="133"/>
        <v>176.47900416056316</v>
      </c>
      <c r="BD427" s="121">
        <f t="shared" si="133"/>
        <v>6.6149999380111693</v>
      </c>
      <c r="BE427" s="121">
        <f t="shared" si="133"/>
        <v>6.6704838037490841</v>
      </c>
      <c r="BF427" s="121">
        <f t="shared" si="133"/>
        <v>29.8</v>
      </c>
      <c r="BG427" s="121">
        <f t="shared" si="133"/>
        <v>10.199999999999999</v>
      </c>
      <c r="BH427" s="121">
        <f t="shared" si="133"/>
        <v>10.994980080922444</v>
      </c>
      <c r="BI427" s="121" t="e">
        <f t="shared" si="133"/>
        <v>#DIV/0!</v>
      </c>
      <c r="BJ427" s="121">
        <f t="shared" si="133"/>
        <v>10.5</v>
      </c>
      <c r="BK427" s="121">
        <f t="shared" si="133"/>
        <v>10.5</v>
      </c>
      <c r="BL427" s="121">
        <f t="shared" si="133"/>
        <v>0</v>
      </c>
      <c r="BM427" s="121" t="e">
        <f t="shared" si="133"/>
        <v>#DIV/0!</v>
      </c>
      <c r="BN427" s="121">
        <f t="shared" si="133"/>
        <v>120.78166688283285</v>
      </c>
      <c r="BO427" s="121">
        <f t="shared" si="133"/>
        <v>72.266666666666666</v>
      </c>
      <c r="BP427" s="121">
        <f t="shared" si="133"/>
        <v>48.515000216166179</v>
      </c>
      <c r="BQ427" s="121">
        <f t="shared" si="133"/>
        <v>264.18333333333334</v>
      </c>
      <c r="BR427" s="121">
        <f t="shared" si="133"/>
        <v>67.414999961853027</v>
      </c>
      <c r="BS427" s="121">
        <f t="shared" ref="BS427:ED427" si="134">AVERAGEA(BS254:BS313)</f>
        <v>24.632133388519286</v>
      </c>
      <c r="BT427" s="121">
        <f t="shared" si="134"/>
        <v>40.708465385437009</v>
      </c>
      <c r="BU427" s="121">
        <f t="shared" si="134"/>
        <v>33.826933415730792</v>
      </c>
      <c r="BV427" s="121">
        <f t="shared" si="134"/>
        <v>69.099999999999994</v>
      </c>
      <c r="BW427" s="121">
        <f t="shared" si="134"/>
        <v>5.9883333524068201</v>
      </c>
      <c r="BX427" s="121">
        <f t="shared" si="134"/>
        <v>13.645000092188518</v>
      </c>
      <c r="BY427" s="121">
        <f t="shared" si="134"/>
        <v>28.366666666666667</v>
      </c>
      <c r="BZ427" s="121">
        <f t="shared" si="134"/>
        <v>12.680936381515737</v>
      </c>
      <c r="CA427" s="121">
        <f t="shared" si="134"/>
        <v>12.483333333333333</v>
      </c>
      <c r="CB427" s="121">
        <f t="shared" si="134"/>
        <v>29.361970615386962</v>
      </c>
      <c r="CC427" s="121" t="e">
        <f t="shared" si="134"/>
        <v>#DIV/0!</v>
      </c>
      <c r="CD427" s="121">
        <f t="shared" si="134"/>
        <v>332.90452880859374</v>
      </c>
      <c r="CE427" s="121">
        <f t="shared" si="134"/>
        <v>29.651123650868733</v>
      </c>
      <c r="CF427" s="121">
        <f t="shared" si="134"/>
        <v>16.724124685923258</v>
      </c>
      <c r="CG427" s="121">
        <f t="shared" si="134"/>
        <v>35.338191986083984</v>
      </c>
      <c r="CH427" s="121">
        <f t="shared" si="134"/>
        <v>272.40524190266927</v>
      </c>
      <c r="CI427" s="121">
        <f t="shared" si="134"/>
        <v>77.326542917887366</v>
      </c>
      <c r="CJ427" s="121">
        <f t="shared" si="134"/>
        <v>33.315884367624918</v>
      </c>
      <c r="CK427" s="121">
        <f t="shared" si="134"/>
        <v>47.426633771260576</v>
      </c>
      <c r="CL427" s="121">
        <f t="shared" si="134"/>
        <v>24.656841945648193</v>
      </c>
      <c r="CM427" s="121">
        <f t="shared" si="134"/>
        <v>179.53240076700845</v>
      </c>
      <c r="CN427" s="121">
        <f t="shared" si="134"/>
        <v>61.003235816955566</v>
      </c>
      <c r="CO427" s="121">
        <f t="shared" si="134"/>
        <v>52.139397303263344</v>
      </c>
      <c r="CP427" s="121">
        <f t="shared" si="134"/>
        <v>62.683897654215492</v>
      </c>
      <c r="CQ427" s="121">
        <f t="shared" si="134"/>
        <v>0</v>
      </c>
      <c r="CR427" s="121">
        <f t="shared" si="134"/>
        <v>49.217704327901203</v>
      </c>
      <c r="CS427" s="121">
        <f t="shared" si="134"/>
        <v>9.8833513577779133</v>
      </c>
      <c r="CT427" s="121">
        <f t="shared" si="134"/>
        <v>30.141317303975423</v>
      </c>
      <c r="CU427" s="121">
        <f t="shared" si="134"/>
        <v>42.650013669331869</v>
      </c>
      <c r="CV427" s="121">
        <f t="shared" si="134"/>
        <v>56.021463775634764</v>
      </c>
      <c r="CW427" s="121">
        <f t="shared" si="134"/>
        <v>3.2666666666666666</v>
      </c>
      <c r="CX427" s="121">
        <f t="shared" si="134"/>
        <v>293.18333333333334</v>
      </c>
      <c r="CY427" s="121">
        <f t="shared" si="134"/>
        <v>108.05391642252604</v>
      </c>
      <c r="CZ427" s="121">
        <f t="shared" si="134"/>
        <v>48.21654955546061</v>
      </c>
      <c r="DA427" s="121">
        <f t="shared" si="134"/>
        <v>20.071010144551597</v>
      </c>
      <c r="DB427" s="121">
        <f t="shared" si="134"/>
        <v>30.593903414408366</v>
      </c>
      <c r="DC427" s="121">
        <f t="shared" si="134"/>
        <v>70.432358805338538</v>
      </c>
      <c r="DD427" s="121">
        <f t="shared" si="134"/>
        <v>45.2</v>
      </c>
      <c r="DE427" s="121">
        <f t="shared" si="134"/>
        <v>168.36666666666667</v>
      </c>
      <c r="DF427" s="121">
        <f t="shared" si="134"/>
        <v>97.517958577473962</v>
      </c>
      <c r="DG427" s="121">
        <f t="shared" si="134"/>
        <v>63.09620164235433</v>
      </c>
      <c r="DH427" s="121">
        <f t="shared" si="134"/>
        <v>40.525480016072592</v>
      </c>
      <c r="DI427" s="121">
        <f t="shared" si="134"/>
        <v>37.08266175587972</v>
      </c>
      <c r="DJ427" s="121">
        <f t="shared" si="134"/>
        <v>211.26666666666668</v>
      </c>
      <c r="DK427" s="121">
        <f t="shared" si="134"/>
        <v>109.27274945576985</v>
      </c>
      <c r="DL427" s="121">
        <f t="shared" si="134"/>
        <v>25.131550057729086</v>
      </c>
      <c r="DM427" s="121">
        <f t="shared" si="134"/>
        <v>27.893916765848797</v>
      </c>
      <c r="DN427" s="121">
        <f t="shared" si="134"/>
        <v>51.061183293660484</v>
      </c>
      <c r="DO427" s="121">
        <f t="shared" si="134"/>
        <v>112.61022211710612</v>
      </c>
      <c r="DP427" s="121">
        <f t="shared" si="134"/>
        <v>15.287816762924194</v>
      </c>
      <c r="DQ427" s="121" t="e">
        <f t="shared" si="134"/>
        <v>#DIV/0!</v>
      </c>
      <c r="DR427" s="121">
        <f t="shared" si="134"/>
        <v>45.783333333333331</v>
      </c>
      <c r="DS427" s="121">
        <f t="shared" si="134"/>
        <v>28.573333199818929</v>
      </c>
      <c r="DT427" s="121">
        <f t="shared" si="134"/>
        <v>12.483333333333333</v>
      </c>
      <c r="DU427" s="121" t="e">
        <f t="shared" si="134"/>
        <v>#DIV/0!</v>
      </c>
      <c r="DV427" s="121">
        <f t="shared" si="134"/>
        <v>7.75</v>
      </c>
      <c r="DW427" s="121">
        <f t="shared" si="134"/>
        <v>2.4925981005032858</v>
      </c>
      <c r="DX427" s="121">
        <f t="shared" si="134"/>
        <v>10.6</v>
      </c>
      <c r="DY427" s="121" t="e">
        <f t="shared" si="134"/>
        <v>#DIV/0!</v>
      </c>
      <c r="DZ427" s="121">
        <f t="shared" si="134"/>
        <v>44.75</v>
      </c>
      <c r="EA427" s="121">
        <f t="shared" si="134"/>
        <v>3</v>
      </c>
      <c r="EB427" s="121">
        <f t="shared" si="134"/>
        <v>0</v>
      </c>
      <c r="EC427" s="121">
        <f t="shared" si="134"/>
        <v>4.3499999999999996</v>
      </c>
      <c r="ED427" s="121">
        <f t="shared" si="134"/>
        <v>228.27500025431314</v>
      </c>
      <c r="EE427" s="129"/>
      <c r="EF427" s="129"/>
      <c r="EG427" s="129"/>
    </row>
    <row r="428" spans="1:137" x14ac:dyDescent="0.3">
      <c r="A428" s="160" t="s">
        <v>355</v>
      </c>
      <c r="B428" s="121">
        <f>AVERAGEA(B259:B318)</f>
        <v>226.6</v>
      </c>
      <c r="C428" s="121">
        <f t="shared" ref="C428:BR428" si="135">AVERAGEA(C259:C318)</f>
        <v>50.653933461507158</v>
      </c>
      <c r="D428" s="121">
        <f t="shared" si="135"/>
        <v>97.849466832478839</v>
      </c>
      <c r="E428" s="121">
        <f t="shared" si="135"/>
        <v>21.864949862162273</v>
      </c>
      <c r="F428" s="121">
        <f t="shared" si="135"/>
        <v>3.7939296046892803</v>
      </c>
      <c r="G428" s="121">
        <f t="shared" si="135"/>
        <v>17.516450087229412</v>
      </c>
      <c r="H428" s="121">
        <f t="shared" si="135"/>
        <v>339.78333333333336</v>
      </c>
      <c r="I428" s="121">
        <f t="shared" si="135"/>
        <v>302.36666666666667</v>
      </c>
      <c r="J428" s="121">
        <f t="shared" si="135"/>
        <v>60.553733253479002</v>
      </c>
      <c r="K428" s="121">
        <f t="shared" si="135"/>
        <v>61.928181838989261</v>
      </c>
      <c r="L428" s="121">
        <f t="shared" si="135"/>
        <v>75.933766682942704</v>
      </c>
      <c r="M428" s="121">
        <f t="shared" si="135"/>
        <v>11.833283297220866</v>
      </c>
      <c r="N428" s="121">
        <f t="shared" si="135"/>
        <v>17.45075012842814</v>
      </c>
      <c r="O428" s="121">
        <f t="shared" si="135"/>
        <v>17.383333333333333</v>
      </c>
      <c r="P428" s="121">
        <f t="shared" si="135"/>
        <v>0</v>
      </c>
      <c r="Q428" s="121">
        <f t="shared" si="135"/>
        <v>17.860872077941895</v>
      </c>
      <c r="R428" s="121">
        <f t="shared" si="135"/>
        <v>5.6823436896006267</v>
      </c>
      <c r="S428" s="121">
        <f t="shared" si="135"/>
        <v>6.0306447943051653</v>
      </c>
      <c r="T428" s="121">
        <f t="shared" si="135"/>
        <v>4.916666666666667</v>
      </c>
      <c r="U428" s="121">
        <f t="shared" si="135"/>
        <v>4.916666666666667</v>
      </c>
      <c r="V428" s="121">
        <f t="shared" si="135"/>
        <v>850.1</v>
      </c>
      <c r="W428" s="121">
        <f t="shared" si="135"/>
        <v>26.393271827697752</v>
      </c>
      <c r="X428" s="121">
        <f t="shared" si="135"/>
        <v>24.494450251261394</v>
      </c>
      <c r="Y428" s="121">
        <f t="shared" si="135"/>
        <v>6.7768833398818966</v>
      </c>
      <c r="Z428" s="121">
        <f t="shared" si="135"/>
        <v>0</v>
      </c>
      <c r="AA428" s="121">
        <f t="shared" si="135"/>
        <v>18.835900020599365</v>
      </c>
      <c r="AB428" s="121">
        <f t="shared" si="135"/>
        <v>0</v>
      </c>
      <c r="AC428" s="121">
        <f t="shared" si="135"/>
        <v>52.248761812845864</v>
      </c>
      <c r="AD428" s="121">
        <f t="shared" si="135"/>
        <v>6.0643167018890383</v>
      </c>
      <c r="AE428" s="121">
        <f t="shared" si="135"/>
        <v>0</v>
      </c>
      <c r="AF428" s="121">
        <f t="shared" si="135"/>
        <v>80.440328852335611</v>
      </c>
      <c r="AG428" s="121">
        <f t="shared" si="135"/>
        <v>0</v>
      </c>
      <c r="AH428" s="121">
        <f t="shared" si="135"/>
        <v>61.268601099650063</v>
      </c>
      <c r="AI428" s="121">
        <f t="shared" si="135"/>
        <v>13.204350026448568</v>
      </c>
      <c r="AJ428" s="121">
        <f t="shared" si="135"/>
        <v>16.113473908106485</v>
      </c>
      <c r="AK428" s="121">
        <f t="shared" si="135"/>
        <v>35.970756022135419</v>
      </c>
      <c r="AL428" s="121">
        <f t="shared" si="135"/>
        <v>36.402683258056641</v>
      </c>
      <c r="AM428" s="121">
        <f t="shared" si="135"/>
        <v>54.790916824340819</v>
      </c>
      <c r="AN428" s="121">
        <f t="shared" si="135"/>
        <v>112.52500000000001</v>
      </c>
      <c r="AO428" s="121">
        <f t="shared" si="135"/>
        <v>57.133333333333333</v>
      </c>
      <c r="AP428" s="121">
        <f t="shared" si="135"/>
        <v>59.822208150227866</v>
      </c>
      <c r="AQ428" s="121">
        <f t="shared" si="135"/>
        <v>35.011785634358723</v>
      </c>
      <c r="AR428" s="121">
        <f t="shared" si="135"/>
        <v>94.86666666666666</v>
      </c>
      <c r="AS428" s="121" t="e">
        <f t="shared" si="135"/>
        <v>#DIV/0!</v>
      </c>
      <c r="AT428" s="121">
        <f t="shared" si="135"/>
        <v>97.483333333333334</v>
      </c>
      <c r="AU428" s="121" t="e">
        <f t="shared" si="135"/>
        <v>#DIV/0!</v>
      </c>
      <c r="AV428" s="121">
        <f t="shared" si="135"/>
        <v>68</v>
      </c>
      <c r="AW428" s="121" t="e">
        <f t="shared" si="135"/>
        <v>#DIV/0!</v>
      </c>
      <c r="AX428" s="121">
        <f t="shared" si="135"/>
        <v>29.483333333333334</v>
      </c>
      <c r="AY428" s="121">
        <f t="shared" si="135"/>
        <v>32.49021809895833</v>
      </c>
      <c r="AZ428" s="121">
        <f t="shared" si="135"/>
        <v>3.7833333333333332</v>
      </c>
      <c r="BA428" s="121" t="e">
        <f t="shared" si="135"/>
        <v>#DIV/0!</v>
      </c>
      <c r="BB428" s="121">
        <f t="shared" si="135"/>
        <v>176.41666666666666</v>
      </c>
      <c r="BC428" s="121">
        <f t="shared" si="135"/>
        <v>176.54168701171875</v>
      </c>
      <c r="BD428" s="121">
        <f t="shared" si="135"/>
        <v>6.6166666189829506</v>
      </c>
      <c r="BE428" s="121">
        <f t="shared" si="135"/>
        <v>6.6764019409815472</v>
      </c>
      <c r="BF428" s="121">
        <f t="shared" si="135"/>
        <v>29.883333333333333</v>
      </c>
      <c r="BG428" s="121">
        <f t="shared" si="135"/>
        <v>10.199999999999999</v>
      </c>
      <c r="BH428" s="121">
        <f t="shared" si="135"/>
        <v>11.001640510559081</v>
      </c>
      <c r="BI428" s="121" t="e">
        <f t="shared" si="135"/>
        <v>#DIV/0!</v>
      </c>
      <c r="BJ428" s="121">
        <f t="shared" si="135"/>
        <v>10.516666666666667</v>
      </c>
      <c r="BK428" s="121">
        <f t="shared" si="135"/>
        <v>10.516666666666667</v>
      </c>
      <c r="BL428" s="121">
        <f t="shared" si="135"/>
        <v>0</v>
      </c>
      <c r="BM428" s="121" t="e">
        <f t="shared" si="135"/>
        <v>#DIV/0!</v>
      </c>
      <c r="BN428" s="121">
        <f t="shared" si="135"/>
        <v>120.92333354949952</v>
      </c>
      <c r="BO428" s="121">
        <f t="shared" si="135"/>
        <v>72.333333333333329</v>
      </c>
      <c r="BP428" s="121">
        <f t="shared" si="135"/>
        <v>48.590000216166182</v>
      </c>
      <c r="BQ428" s="121">
        <f t="shared" si="135"/>
        <v>265.2</v>
      </c>
      <c r="BR428" s="121">
        <f t="shared" si="135"/>
        <v>67.81838321685791</v>
      </c>
      <c r="BS428" s="121">
        <f t="shared" ref="BS428:ED428" si="136">AVERAGEA(BS259:BS318)</f>
        <v>24.627916749318441</v>
      </c>
      <c r="BT428" s="121">
        <f t="shared" si="136"/>
        <v>40.777715492248532</v>
      </c>
      <c r="BU428" s="121">
        <f t="shared" si="136"/>
        <v>34.006116739908855</v>
      </c>
      <c r="BV428" s="121">
        <f t="shared" si="136"/>
        <v>69.096666844685871</v>
      </c>
      <c r="BW428" s="121">
        <f t="shared" si="136"/>
        <v>6.0383333603541054</v>
      </c>
      <c r="BX428" s="121">
        <f t="shared" si="136"/>
        <v>13.65666675567627</v>
      </c>
      <c r="BY428" s="121">
        <f t="shared" si="136"/>
        <v>28.4</v>
      </c>
      <c r="BZ428" s="121">
        <f t="shared" si="136"/>
        <v>12.680970633123071</v>
      </c>
      <c r="CA428" s="121">
        <f t="shared" si="136"/>
        <v>12.433333333333334</v>
      </c>
      <c r="CB428" s="121">
        <f t="shared" si="136"/>
        <v>29.422055149078368</v>
      </c>
      <c r="CC428" s="121" t="e">
        <f t="shared" si="136"/>
        <v>#DIV/0!</v>
      </c>
      <c r="CD428" s="121">
        <f t="shared" si="136"/>
        <v>333.04416503906248</v>
      </c>
      <c r="CE428" s="121">
        <f t="shared" si="136"/>
        <v>29.446284039815268</v>
      </c>
      <c r="CF428" s="121">
        <f t="shared" si="136"/>
        <v>16.857031758626302</v>
      </c>
      <c r="CG428" s="121">
        <f t="shared" si="136"/>
        <v>35.338191986083984</v>
      </c>
      <c r="CH428" s="121">
        <f t="shared" si="136"/>
        <v>272.8492151896159</v>
      </c>
      <c r="CI428" s="121">
        <f t="shared" si="136"/>
        <v>77.171879704793298</v>
      </c>
      <c r="CJ428" s="121">
        <f t="shared" si="136"/>
        <v>32.936502806345622</v>
      </c>
      <c r="CK428" s="121">
        <f t="shared" si="136"/>
        <v>47.559033012390138</v>
      </c>
      <c r="CL428" s="121">
        <f t="shared" si="136"/>
        <v>24.578231875101725</v>
      </c>
      <c r="CM428" s="121">
        <f t="shared" si="136"/>
        <v>178.51901931762694</v>
      </c>
      <c r="CN428" s="121">
        <f t="shared" si="136"/>
        <v>62.282540194193523</v>
      </c>
      <c r="CO428" s="121">
        <f t="shared" si="136"/>
        <v>51.620737838745114</v>
      </c>
      <c r="CP428" s="121">
        <f t="shared" si="136"/>
        <v>60.824688148498538</v>
      </c>
      <c r="CQ428" s="121">
        <f t="shared" si="136"/>
        <v>0</v>
      </c>
      <c r="CR428" s="121">
        <f t="shared" si="136"/>
        <v>49.444233322143553</v>
      </c>
      <c r="CS428" s="121">
        <f t="shared" si="136"/>
        <v>10.66560841401418</v>
      </c>
      <c r="CT428" s="121">
        <f t="shared" si="136"/>
        <v>30.516121037801106</v>
      </c>
      <c r="CU428" s="121">
        <f t="shared" si="136"/>
        <v>43.003369585673013</v>
      </c>
      <c r="CV428" s="121">
        <f t="shared" si="136"/>
        <v>54.969317754109703</v>
      </c>
      <c r="CW428" s="121">
        <f t="shared" si="136"/>
        <v>3.2833333333333332</v>
      </c>
      <c r="CX428" s="121">
        <f t="shared" si="136"/>
        <v>293.14999999999998</v>
      </c>
      <c r="CY428" s="121">
        <f t="shared" si="136"/>
        <v>107.92376073201497</v>
      </c>
      <c r="CZ428" s="121">
        <f t="shared" si="136"/>
        <v>48.325556373596193</v>
      </c>
      <c r="DA428" s="121">
        <f t="shared" si="136"/>
        <v>20.051747608184815</v>
      </c>
      <c r="DB428" s="121">
        <f t="shared" si="136"/>
        <v>30.562838236490887</v>
      </c>
      <c r="DC428" s="121">
        <f t="shared" si="136"/>
        <v>70.258624267578128</v>
      </c>
      <c r="DD428" s="121">
        <f t="shared" si="136"/>
        <v>45.633333333333333</v>
      </c>
      <c r="DE428" s="121">
        <f t="shared" si="136"/>
        <v>168.41666666666666</v>
      </c>
      <c r="DF428" s="121">
        <f t="shared" si="136"/>
        <v>97.944094975789383</v>
      </c>
      <c r="DG428" s="121">
        <f t="shared" si="136"/>
        <v>62.650705464680989</v>
      </c>
      <c r="DH428" s="121">
        <f t="shared" si="136"/>
        <v>40.625733757019042</v>
      </c>
      <c r="DI428" s="121">
        <f t="shared" si="136"/>
        <v>37.27417068481445</v>
      </c>
      <c r="DJ428" s="121">
        <f t="shared" si="136"/>
        <v>212.81666666666666</v>
      </c>
      <c r="DK428" s="121">
        <f t="shared" si="136"/>
        <v>110.48993275960287</v>
      </c>
      <c r="DL428" s="121">
        <f t="shared" si="136"/>
        <v>25.306866741180421</v>
      </c>
      <c r="DM428" s="121">
        <f t="shared" si="136"/>
        <v>28.668533420562746</v>
      </c>
      <c r="DN428" s="121">
        <f t="shared" si="136"/>
        <v>51.258499908447263</v>
      </c>
      <c r="DO428" s="121">
        <f t="shared" si="136"/>
        <v>112.99023297627767</v>
      </c>
      <c r="DP428" s="121">
        <f t="shared" si="136"/>
        <v>15.345800113677978</v>
      </c>
      <c r="DQ428" s="121" t="e">
        <f t="shared" si="136"/>
        <v>#DIV/0!</v>
      </c>
      <c r="DR428" s="121">
        <f t="shared" si="136"/>
        <v>40.200000000000003</v>
      </c>
      <c r="DS428" s="121">
        <f t="shared" si="136"/>
        <v>28.444999853769939</v>
      </c>
      <c r="DT428" s="121">
        <f t="shared" si="136"/>
        <v>12.433333333333334</v>
      </c>
      <c r="DU428" s="121" t="e">
        <f t="shared" si="136"/>
        <v>#DIV/0!</v>
      </c>
      <c r="DV428" s="121">
        <f t="shared" si="136"/>
        <v>7.833333333333333</v>
      </c>
      <c r="DW428" s="121">
        <f t="shared" si="136"/>
        <v>2.4453551332155863</v>
      </c>
      <c r="DX428" s="121">
        <f t="shared" si="136"/>
        <v>10.533333333333333</v>
      </c>
      <c r="DY428" s="121" t="e">
        <f t="shared" si="136"/>
        <v>#DIV/0!</v>
      </c>
      <c r="DZ428" s="121">
        <f t="shared" si="136"/>
        <v>44.783333333333331</v>
      </c>
      <c r="EA428" s="121">
        <f t="shared" si="136"/>
        <v>3</v>
      </c>
      <c r="EB428" s="121">
        <f t="shared" si="136"/>
        <v>0</v>
      </c>
      <c r="EC428" s="121">
        <f t="shared" si="136"/>
        <v>6.6833333333333336</v>
      </c>
      <c r="ED428" s="121">
        <f t="shared" si="136"/>
        <v>228.51166687011718</v>
      </c>
      <c r="EE428" s="129"/>
      <c r="EF428" s="129"/>
      <c r="EG428" s="129"/>
    </row>
    <row r="429" spans="1:137" x14ac:dyDescent="0.3">
      <c r="A429" s="5" t="s">
        <v>356</v>
      </c>
      <c r="B429" s="121">
        <f>AVERAGEA(B264:B323)</f>
        <v>228.7</v>
      </c>
      <c r="C429" s="121">
        <f t="shared" ref="C429:BR429" si="137">AVERAGEA(C264:C323)</f>
        <v>51.029016812642418</v>
      </c>
      <c r="D429" s="121">
        <f t="shared" si="137"/>
        <v>98.09830017089844</v>
      </c>
      <c r="E429" s="121">
        <f t="shared" si="137"/>
        <v>21.538833204905192</v>
      </c>
      <c r="F429" s="121">
        <f t="shared" si="137"/>
        <v>4.0456714351971943</v>
      </c>
      <c r="G429" s="121">
        <f t="shared" si="137"/>
        <v>17.625800069173177</v>
      </c>
      <c r="H429" s="121">
        <f t="shared" si="137"/>
        <v>337.63333333333333</v>
      </c>
      <c r="I429" s="121">
        <f t="shared" si="137"/>
        <v>300.61666666666667</v>
      </c>
      <c r="J429" s="121">
        <f t="shared" si="137"/>
        <v>60.589566612243651</v>
      </c>
      <c r="K429" s="121">
        <f t="shared" si="137"/>
        <v>62.167050425211592</v>
      </c>
      <c r="L429" s="121">
        <f t="shared" si="137"/>
        <v>71.645466740926111</v>
      </c>
      <c r="M429" s="121">
        <f t="shared" si="137"/>
        <v>11.857783285776774</v>
      </c>
      <c r="N429" s="121">
        <f t="shared" si="137"/>
        <v>17.481500085194906</v>
      </c>
      <c r="O429" s="121">
        <f t="shared" si="137"/>
        <v>17.383333333333333</v>
      </c>
      <c r="P429" s="121">
        <f t="shared" si="137"/>
        <v>0</v>
      </c>
      <c r="Q429" s="121">
        <f t="shared" si="137"/>
        <v>17.856392161051431</v>
      </c>
      <c r="R429" s="121">
        <f t="shared" si="137"/>
        <v>6.3324999491373699</v>
      </c>
      <c r="S429" s="121">
        <f t="shared" si="137"/>
        <v>6.6105416576067606</v>
      </c>
      <c r="T429" s="121">
        <f t="shared" si="137"/>
        <v>5.666666666666667</v>
      </c>
      <c r="U429" s="121">
        <f t="shared" si="137"/>
        <v>5.666666666666667</v>
      </c>
      <c r="V429" s="121">
        <f t="shared" si="137"/>
        <v>852.4666666666667</v>
      </c>
      <c r="W429" s="121">
        <f t="shared" si="137"/>
        <v>26.568132400512695</v>
      </c>
      <c r="X429" s="121">
        <f t="shared" si="137"/>
        <v>24.532150236765542</v>
      </c>
      <c r="Y429" s="121">
        <f t="shared" si="137"/>
        <v>6.8723166624704994</v>
      </c>
      <c r="Z429" s="121">
        <f t="shared" si="137"/>
        <v>0</v>
      </c>
      <c r="AA429" s="121">
        <f t="shared" si="137"/>
        <v>18.562583382924398</v>
      </c>
      <c r="AB429" s="121">
        <f t="shared" si="137"/>
        <v>0</v>
      </c>
      <c r="AC429" s="121">
        <f t="shared" si="137"/>
        <v>52.709374046325685</v>
      </c>
      <c r="AD429" s="121">
        <f t="shared" si="137"/>
        <v>6.0431000471115111</v>
      </c>
      <c r="AE429" s="121">
        <f t="shared" si="137"/>
        <v>0</v>
      </c>
      <c r="AF429" s="121">
        <f t="shared" si="137"/>
        <v>80.774589665730801</v>
      </c>
      <c r="AG429" s="121">
        <f t="shared" si="137"/>
        <v>0</v>
      </c>
      <c r="AH429" s="121">
        <f t="shared" si="137"/>
        <v>61.582767740885416</v>
      </c>
      <c r="AI429" s="121">
        <f t="shared" si="137"/>
        <v>13.430200020472208</v>
      </c>
      <c r="AJ429" s="121">
        <f t="shared" si="137"/>
        <v>16.243585570653281</v>
      </c>
      <c r="AK429" s="121">
        <f t="shared" si="137"/>
        <v>36.091507275899254</v>
      </c>
      <c r="AL429" s="121">
        <f t="shared" si="137"/>
        <v>36.544049962361655</v>
      </c>
      <c r="AM429" s="121">
        <f t="shared" si="137"/>
        <v>54.786666806538896</v>
      </c>
      <c r="AN429" s="121">
        <f t="shared" si="137"/>
        <v>112.72604166666666</v>
      </c>
      <c r="AO429" s="121">
        <f t="shared" si="137"/>
        <v>57.25</v>
      </c>
      <c r="AP429" s="121">
        <f t="shared" si="137"/>
        <v>60.045113563537598</v>
      </c>
      <c r="AQ429" s="121">
        <f t="shared" si="137"/>
        <v>34.962172126770021</v>
      </c>
      <c r="AR429" s="121">
        <f t="shared" si="137"/>
        <v>95.666666666666671</v>
      </c>
      <c r="AS429" s="121" t="e">
        <f t="shared" si="137"/>
        <v>#DIV/0!</v>
      </c>
      <c r="AT429" s="121">
        <f t="shared" si="137"/>
        <v>96.86666666666666</v>
      </c>
      <c r="AU429" s="121" t="e">
        <f t="shared" si="137"/>
        <v>#DIV/0!</v>
      </c>
      <c r="AV429" s="121">
        <f t="shared" si="137"/>
        <v>68.45</v>
      </c>
      <c r="AW429" s="121" t="e">
        <f t="shared" si="137"/>
        <v>#DIV/0!</v>
      </c>
      <c r="AX429" s="121">
        <f t="shared" si="137"/>
        <v>29.516666666666666</v>
      </c>
      <c r="AY429" s="121">
        <f t="shared" si="137"/>
        <v>32.546120071411131</v>
      </c>
      <c r="AZ429" s="121">
        <f t="shared" si="137"/>
        <v>3.6833333333333331</v>
      </c>
      <c r="BA429" s="121" t="e">
        <f t="shared" si="137"/>
        <v>#DIV/0!</v>
      </c>
      <c r="BB429" s="121">
        <f t="shared" si="137"/>
        <v>176.51666666666668</v>
      </c>
      <c r="BC429" s="121">
        <f t="shared" si="137"/>
        <v>176.82028783162434</v>
      </c>
      <c r="BD429" s="121">
        <f t="shared" si="137"/>
        <v>6.6599999666213989</v>
      </c>
      <c r="BE429" s="121">
        <f t="shared" si="137"/>
        <v>6.7229556481043495</v>
      </c>
      <c r="BF429" s="121">
        <f t="shared" si="137"/>
        <v>29.966666666666665</v>
      </c>
      <c r="BG429" s="121">
        <f t="shared" si="137"/>
        <v>10.233333333333333</v>
      </c>
      <c r="BH429" s="121">
        <f t="shared" si="137"/>
        <v>11.040924962361654</v>
      </c>
      <c r="BI429" s="121" t="e">
        <f t="shared" si="137"/>
        <v>#DIV/0!</v>
      </c>
      <c r="BJ429" s="121">
        <f t="shared" si="137"/>
        <v>10.583333333333334</v>
      </c>
      <c r="BK429" s="121">
        <f t="shared" si="137"/>
        <v>10.583333333333334</v>
      </c>
      <c r="BL429" s="121">
        <f t="shared" si="137"/>
        <v>0</v>
      </c>
      <c r="BM429" s="121" t="e">
        <f t="shared" si="137"/>
        <v>#DIV/0!</v>
      </c>
      <c r="BN429" s="121">
        <f t="shared" si="137"/>
        <v>120.97666683197022</v>
      </c>
      <c r="BO429" s="121">
        <f t="shared" si="137"/>
        <v>72.333333333333329</v>
      </c>
      <c r="BP429" s="121">
        <f t="shared" si="137"/>
        <v>48.643333498636885</v>
      </c>
      <c r="BQ429" s="121">
        <f t="shared" si="137"/>
        <v>265.61666666666667</v>
      </c>
      <c r="BR429" s="121">
        <f t="shared" si="137"/>
        <v>68.178399976094568</v>
      </c>
      <c r="BS429" s="121">
        <f t="shared" ref="BS429:ED429" si="138">AVERAGEA(BS264:BS323)</f>
        <v>24.547333463033041</v>
      </c>
      <c r="BT429" s="121">
        <f t="shared" si="138"/>
        <v>40.789265505472819</v>
      </c>
      <c r="BU429" s="121">
        <f t="shared" si="138"/>
        <v>34.194866752624513</v>
      </c>
      <c r="BV429" s="121">
        <f t="shared" si="138"/>
        <v>69.085000228881839</v>
      </c>
      <c r="BW429" s="121">
        <f t="shared" si="138"/>
        <v>6.0766666968663534</v>
      </c>
      <c r="BX429" s="121">
        <f t="shared" si="138"/>
        <v>13.655000114440918</v>
      </c>
      <c r="BY429" s="121">
        <f t="shared" si="138"/>
        <v>28.483333333333334</v>
      </c>
      <c r="BZ429" s="121">
        <f t="shared" si="138"/>
        <v>12.680932077470546</v>
      </c>
      <c r="CA429" s="121">
        <f t="shared" si="138"/>
        <v>12.4</v>
      </c>
      <c r="CB429" s="121">
        <f t="shared" si="138"/>
        <v>29.465841325124106</v>
      </c>
      <c r="CC429" s="121" t="e">
        <f t="shared" si="138"/>
        <v>#DIV/0!</v>
      </c>
      <c r="CD429" s="121">
        <f t="shared" si="138"/>
        <v>333.92551727294921</v>
      </c>
      <c r="CE429" s="121">
        <f t="shared" si="138"/>
        <v>29.311260795593263</v>
      </c>
      <c r="CF429" s="121">
        <f t="shared" si="138"/>
        <v>16.907240899403892</v>
      </c>
      <c r="CG429" s="121">
        <f t="shared" si="138"/>
        <v>35.338191986083984</v>
      </c>
      <c r="CH429" s="121">
        <f t="shared" si="138"/>
        <v>273.49452311197916</v>
      </c>
      <c r="CI429" s="121">
        <f t="shared" si="138"/>
        <v>77.648395156860346</v>
      </c>
      <c r="CJ429" s="121">
        <f t="shared" si="138"/>
        <v>32.827966594696044</v>
      </c>
      <c r="CK429" s="121">
        <f t="shared" si="138"/>
        <v>48.05379212697347</v>
      </c>
      <c r="CL429" s="121">
        <f t="shared" si="138"/>
        <v>24.620225556691487</v>
      </c>
      <c r="CM429" s="121">
        <f t="shared" si="138"/>
        <v>176.57125015258788</v>
      </c>
      <c r="CN429" s="121">
        <f t="shared" si="138"/>
        <v>62.430267906188966</v>
      </c>
      <c r="CO429" s="121">
        <f t="shared" si="138"/>
        <v>51.12809626261393</v>
      </c>
      <c r="CP429" s="121">
        <f t="shared" si="138"/>
        <v>59.078816858927411</v>
      </c>
      <c r="CQ429" s="121">
        <f t="shared" si="138"/>
        <v>0</v>
      </c>
      <c r="CR429" s="121">
        <f t="shared" si="138"/>
        <v>49.931168810526529</v>
      </c>
      <c r="CS429" s="121">
        <f t="shared" si="138"/>
        <v>11.431645067532857</v>
      </c>
      <c r="CT429" s="121">
        <f t="shared" si="138"/>
        <v>30.60112895965576</v>
      </c>
      <c r="CU429" s="121">
        <f t="shared" si="138"/>
        <v>43.166720390319824</v>
      </c>
      <c r="CV429" s="121">
        <f t="shared" si="138"/>
        <v>54.203370602925617</v>
      </c>
      <c r="CW429" s="121">
        <f t="shared" si="138"/>
        <v>3.4333333333333331</v>
      </c>
      <c r="CX429" s="121">
        <f t="shared" si="138"/>
        <v>293.36666666666667</v>
      </c>
      <c r="CY429" s="121">
        <f t="shared" si="138"/>
        <v>108.00682945251465</v>
      </c>
      <c r="CZ429" s="121">
        <f t="shared" si="138"/>
        <v>48.328773434956865</v>
      </c>
      <c r="DA429" s="121">
        <f t="shared" si="138"/>
        <v>20.1742693901062</v>
      </c>
      <c r="DB429" s="121">
        <f t="shared" si="138"/>
        <v>30.489192199707031</v>
      </c>
      <c r="DC429" s="121">
        <f t="shared" si="138"/>
        <v>70.221483612060553</v>
      </c>
      <c r="DD429" s="121">
        <f t="shared" si="138"/>
        <v>46.06666666666667</v>
      </c>
      <c r="DE429" s="121">
        <f t="shared" si="138"/>
        <v>168.43333333333334</v>
      </c>
      <c r="DF429" s="121">
        <f t="shared" si="138"/>
        <v>98.563232294718418</v>
      </c>
      <c r="DG429" s="121">
        <f t="shared" si="138"/>
        <v>62.684169960021975</v>
      </c>
      <c r="DH429" s="121">
        <f t="shared" si="138"/>
        <v>40.606412951151533</v>
      </c>
      <c r="DI429" s="121">
        <f t="shared" si="138"/>
        <v>37.351810201009116</v>
      </c>
      <c r="DJ429" s="121">
        <f t="shared" si="138"/>
        <v>214.41666666666666</v>
      </c>
      <c r="DK429" s="121">
        <f t="shared" si="138"/>
        <v>111.8046994527181</v>
      </c>
      <c r="DL429" s="121">
        <f t="shared" si="138"/>
        <v>25.668766752878824</v>
      </c>
      <c r="DM429" s="121">
        <f t="shared" si="138"/>
        <v>29.534416707356772</v>
      </c>
      <c r="DN429" s="121">
        <f t="shared" si="138"/>
        <v>51.385166676839191</v>
      </c>
      <c r="DO429" s="121">
        <f t="shared" si="138"/>
        <v>113.42180264790854</v>
      </c>
      <c r="DP429" s="121">
        <f t="shared" si="138"/>
        <v>15.354283396402995</v>
      </c>
      <c r="DQ429" s="121" t="e">
        <f t="shared" si="138"/>
        <v>#DIV/0!</v>
      </c>
      <c r="DR429" s="121">
        <f t="shared" si="138"/>
        <v>34.616666666666667</v>
      </c>
      <c r="DS429" s="121">
        <f t="shared" si="138"/>
        <v>28.603333187103271</v>
      </c>
      <c r="DT429" s="121">
        <f t="shared" si="138"/>
        <v>12.383333333333333</v>
      </c>
      <c r="DU429" s="121" t="e">
        <f t="shared" si="138"/>
        <v>#DIV/0!</v>
      </c>
      <c r="DV429" s="121">
        <f t="shared" si="138"/>
        <v>7.833333333333333</v>
      </c>
      <c r="DW429" s="121">
        <f t="shared" si="138"/>
        <v>2.4089306950569154</v>
      </c>
      <c r="DX429" s="121">
        <f t="shared" si="138"/>
        <v>10.466666666666667</v>
      </c>
      <c r="DY429" s="121" t="e">
        <f t="shared" si="138"/>
        <v>#DIV/0!</v>
      </c>
      <c r="DZ429" s="121">
        <f t="shared" si="138"/>
        <v>44.9</v>
      </c>
      <c r="EA429" s="121">
        <f t="shared" si="138"/>
        <v>3</v>
      </c>
      <c r="EB429" s="121">
        <f t="shared" si="138"/>
        <v>0</v>
      </c>
      <c r="EC429" s="121">
        <f t="shared" si="138"/>
        <v>9.0166666666666675</v>
      </c>
      <c r="ED429" s="121">
        <f t="shared" si="138"/>
        <v>229.25333353678386</v>
      </c>
      <c r="EE429" s="129"/>
      <c r="EF429" s="129"/>
      <c r="EG429" s="129"/>
    </row>
    <row r="430" spans="1:137" x14ac:dyDescent="0.3">
      <c r="A430" s="5" t="s">
        <v>357</v>
      </c>
      <c r="B430" s="121">
        <f>AVERAGEA(B269:B328)</f>
        <v>230.9</v>
      </c>
      <c r="C430" s="121">
        <f t="shared" ref="C430:BR430" si="139">AVERAGEA(C269:C328)</f>
        <v>51.189233398437501</v>
      </c>
      <c r="D430" s="121">
        <f t="shared" si="139"/>
        <v>98.300000254313147</v>
      </c>
      <c r="E430" s="121">
        <f t="shared" si="139"/>
        <v>21.57841657002767</v>
      </c>
      <c r="F430" s="121">
        <f t="shared" si="139"/>
        <v>4.4076743920644121</v>
      </c>
      <c r="G430" s="121">
        <f t="shared" si="139"/>
        <v>17.674783420562743</v>
      </c>
      <c r="H430" s="121">
        <f t="shared" si="139"/>
        <v>335.1</v>
      </c>
      <c r="I430" s="121">
        <f t="shared" si="139"/>
        <v>298.7</v>
      </c>
      <c r="J430" s="121">
        <f t="shared" si="139"/>
        <v>60.612199974060061</v>
      </c>
      <c r="K430" s="121">
        <f t="shared" si="139"/>
        <v>62.238246854146318</v>
      </c>
      <c r="L430" s="121">
        <f t="shared" si="139"/>
        <v>67.124516741434732</v>
      </c>
      <c r="M430" s="121">
        <f t="shared" si="139"/>
        <v>12.006683286031087</v>
      </c>
      <c r="N430" s="121">
        <f t="shared" si="139"/>
        <v>17.47620007197062</v>
      </c>
      <c r="O430" s="121">
        <f t="shared" si="139"/>
        <v>17.366666666666667</v>
      </c>
      <c r="P430" s="121">
        <f t="shared" si="139"/>
        <v>0</v>
      </c>
      <c r="Q430" s="121">
        <f t="shared" si="139"/>
        <v>17.890528011322022</v>
      </c>
      <c r="R430" s="121">
        <f t="shared" si="139"/>
        <v>6.9826562086741131</v>
      </c>
      <c r="S430" s="121">
        <f t="shared" si="139"/>
        <v>7.0778907100359598</v>
      </c>
      <c r="T430" s="121">
        <f t="shared" si="139"/>
        <v>6.2333333333333334</v>
      </c>
      <c r="U430" s="121">
        <f t="shared" si="139"/>
        <v>6.2333333333333334</v>
      </c>
      <c r="V430" s="121">
        <f t="shared" si="139"/>
        <v>854.5333333333333</v>
      </c>
      <c r="W430" s="121">
        <f t="shared" si="139"/>
        <v>26.845193894704185</v>
      </c>
      <c r="X430" s="121">
        <f t="shared" si="139"/>
        <v>24.62453358968099</v>
      </c>
      <c r="Y430" s="121">
        <f t="shared" si="139"/>
        <v>6.8828999996185303</v>
      </c>
      <c r="Z430" s="121">
        <f t="shared" si="139"/>
        <v>0</v>
      </c>
      <c r="AA430" s="121">
        <f t="shared" si="139"/>
        <v>18.453233337402345</v>
      </c>
      <c r="AB430" s="121">
        <f t="shared" si="139"/>
        <v>0</v>
      </c>
      <c r="AC430" s="121">
        <f t="shared" si="139"/>
        <v>53.018278757731117</v>
      </c>
      <c r="AD430" s="121">
        <f t="shared" si="139"/>
        <v>6.0218833923339847</v>
      </c>
      <c r="AE430" s="121">
        <f t="shared" si="139"/>
        <v>0</v>
      </c>
      <c r="AF430" s="121">
        <f t="shared" si="139"/>
        <v>80.946315383911127</v>
      </c>
      <c r="AG430" s="121">
        <f t="shared" si="139"/>
        <v>0</v>
      </c>
      <c r="AH430" s="121">
        <f t="shared" si="139"/>
        <v>61.846654065450032</v>
      </c>
      <c r="AI430" s="121">
        <f t="shared" si="139"/>
        <v>13.732383346557617</v>
      </c>
      <c r="AJ430" s="121">
        <f t="shared" si="139"/>
        <v>16.350889635086059</v>
      </c>
      <c r="AK430" s="121">
        <f t="shared" si="139"/>
        <v>36.314719200134277</v>
      </c>
      <c r="AL430" s="121">
        <f t="shared" si="139"/>
        <v>36.641233253479001</v>
      </c>
      <c r="AM430" s="121">
        <f t="shared" si="139"/>
        <v>54.823783429463703</v>
      </c>
      <c r="AN430" s="121">
        <f t="shared" si="139"/>
        <v>113.221875</v>
      </c>
      <c r="AO430" s="121">
        <f t="shared" si="139"/>
        <v>57.483333333333334</v>
      </c>
      <c r="AP430" s="121">
        <f t="shared" si="139"/>
        <v>60.165444437662764</v>
      </c>
      <c r="AQ430" s="121">
        <f t="shared" si="139"/>
        <v>35.114187367757161</v>
      </c>
      <c r="AR430" s="121">
        <f t="shared" si="139"/>
        <v>96.183333333333337</v>
      </c>
      <c r="AS430" s="121" t="e">
        <f t="shared" si="139"/>
        <v>#DIV/0!</v>
      </c>
      <c r="AT430" s="121">
        <f t="shared" si="139"/>
        <v>96.36666666666666</v>
      </c>
      <c r="AU430" s="121" t="e">
        <f t="shared" si="139"/>
        <v>#DIV/0!</v>
      </c>
      <c r="AV430" s="121">
        <f t="shared" si="139"/>
        <v>68.61666666666666</v>
      </c>
      <c r="AW430" s="121" t="e">
        <f t="shared" si="139"/>
        <v>#DIV/0!</v>
      </c>
      <c r="AX430" s="121">
        <f t="shared" si="139"/>
        <v>29.516666666666666</v>
      </c>
      <c r="AY430" s="121">
        <f t="shared" si="139"/>
        <v>32.51443700790405</v>
      </c>
      <c r="AZ430" s="121">
        <f t="shared" si="139"/>
        <v>3.7</v>
      </c>
      <c r="BA430" s="121" t="e">
        <f t="shared" si="139"/>
        <v>#DIV/0!</v>
      </c>
      <c r="BB430" s="121">
        <f t="shared" si="139"/>
        <v>176.45</v>
      </c>
      <c r="BC430" s="121">
        <f t="shared" si="139"/>
        <v>176.79545898437499</v>
      </c>
      <c r="BD430" s="121">
        <f t="shared" si="139"/>
        <v>6.7233333031336464</v>
      </c>
      <c r="BE430" s="121">
        <f t="shared" si="139"/>
        <v>6.7870741526285805</v>
      </c>
      <c r="BF430" s="121">
        <f t="shared" si="139"/>
        <v>30.016666666666666</v>
      </c>
      <c r="BG430" s="121">
        <f t="shared" si="139"/>
        <v>10.166666666666666</v>
      </c>
      <c r="BH430" s="121">
        <f t="shared" si="139"/>
        <v>11.007469860712687</v>
      </c>
      <c r="BI430" s="121" t="e">
        <f t="shared" si="139"/>
        <v>#DIV/0!</v>
      </c>
      <c r="BJ430" s="121">
        <f t="shared" si="139"/>
        <v>10.683333333333334</v>
      </c>
      <c r="BK430" s="121">
        <f t="shared" si="139"/>
        <v>10.683333333333334</v>
      </c>
      <c r="BL430" s="121">
        <f t="shared" si="139"/>
        <v>0</v>
      </c>
      <c r="BM430" s="121" t="e">
        <f t="shared" si="139"/>
        <v>#DIV/0!</v>
      </c>
      <c r="BN430" s="121">
        <f t="shared" si="139"/>
        <v>121.08500016530355</v>
      </c>
      <c r="BO430" s="121">
        <f t="shared" si="139"/>
        <v>72.349999999999994</v>
      </c>
      <c r="BP430" s="121">
        <f t="shared" si="139"/>
        <v>48.735000165303546</v>
      </c>
      <c r="BQ430" s="121">
        <f t="shared" si="139"/>
        <v>266.25</v>
      </c>
      <c r="BR430" s="121">
        <f t="shared" si="139"/>
        <v>68.506366475423178</v>
      </c>
      <c r="BS430" s="121">
        <f t="shared" ref="BS430:ED430" si="140">AVERAGEA(BS269:BS328)</f>
        <v>24.5558167775472</v>
      </c>
      <c r="BT430" s="121">
        <f t="shared" si="140"/>
        <v>40.800815455118816</v>
      </c>
      <c r="BU430" s="121">
        <f t="shared" si="140"/>
        <v>34.381450144449872</v>
      </c>
      <c r="BV430" s="121">
        <f t="shared" si="140"/>
        <v>69.046666717529291</v>
      </c>
      <c r="BW430" s="121">
        <f t="shared" si="140"/>
        <v>6.0850000222524008</v>
      </c>
      <c r="BX430" s="121">
        <f t="shared" si="140"/>
        <v>13.66666677792867</v>
      </c>
      <c r="BY430" s="121">
        <f t="shared" si="140"/>
        <v>28.55</v>
      </c>
      <c r="BZ430" s="121">
        <f t="shared" si="140"/>
        <v>12.681011113058776</v>
      </c>
      <c r="CA430" s="121">
        <f t="shared" si="140"/>
        <v>12.35</v>
      </c>
      <c r="CB430" s="121">
        <f t="shared" si="140"/>
        <v>29.505115572611491</v>
      </c>
      <c r="CC430" s="121" t="e">
        <f t="shared" si="140"/>
        <v>#DIV/0!</v>
      </c>
      <c r="CD430" s="121">
        <f t="shared" si="140"/>
        <v>335.23210144042969</v>
      </c>
      <c r="CE430" s="121">
        <f t="shared" si="140"/>
        <v>29.3343355178833</v>
      </c>
      <c r="CF430" s="121">
        <f t="shared" si="140"/>
        <v>16.908649667104086</v>
      </c>
      <c r="CG430" s="121">
        <f t="shared" si="140"/>
        <v>35.338191986083984</v>
      </c>
      <c r="CH430" s="121">
        <f t="shared" si="140"/>
        <v>274.40938313802081</v>
      </c>
      <c r="CI430" s="121">
        <f t="shared" si="140"/>
        <v>77.957348251342779</v>
      </c>
      <c r="CJ430" s="121">
        <f t="shared" si="140"/>
        <v>32.897457091013592</v>
      </c>
      <c r="CK430" s="121">
        <f t="shared" si="140"/>
        <v>48.438009516398111</v>
      </c>
      <c r="CL430" s="121">
        <f t="shared" si="140"/>
        <v>24.531228733062743</v>
      </c>
      <c r="CM430" s="121">
        <f t="shared" si="140"/>
        <v>174.65573196411134</v>
      </c>
      <c r="CN430" s="121">
        <f t="shared" si="140"/>
        <v>62.08115971883138</v>
      </c>
      <c r="CO430" s="121">
        <f t="shared" si="140"/>
        <v>50.755354626973471</v>
      </c>
      <c r="CP430" s="121">
        <f t="shared" si="140"/>
        <v>57.711119969685875</v>
      </c>
      <c r="CQ430" s="121">
        <f t="shared" si="140"/>
        <v>0</v>
      </c>
      <c r="CR430" s="121">
        <f t="shared" si="140"/>
        <v>50.907030423482261</v>
      </c>
      <c r="CS430" s="121">
        <f t="shared" si="140"/>
        <v>12.235944096247355</v>
      </c>
      <c r="CT430" s="121">
        <f t="shared" si="140"/>
        <v>31.066756089528401</v>
      </c>
      <c r="CU430" s="121">
        <f t="shared" si="140"/>
        <v>43.228465652465822</v>
      </c>
      <c r="CV430" s="121">
        <f t="shared" si="140"/>
        <v>53.51067752838135</v>
      </c>
      <c r="CW430" s="121">
        <f t="shared" si="140"/>
        <v>6.05</v>
      </c>
      <c r="CX430" s="121">
        <f t="shared" si="140"/>
        <v>293.91666666666669</v>
      </c>
      <c r="CY430" s="121">
        <f t="shared" si="140"/>
        <v>108.10887349446615</v>
      </c>
      <c r="CZ430" s="121">
        <f t="shared" si="140"/>
        <v>48.485915756225587</v>
      </c>
      <c r="DA430" s="121">
        <f t="shared" si="140"/>
        <v>20.263972377777101</v>
      </c>
      <c r="DB430" s="121">
        <f t="shared" si="140"/>
        <v>30.262375704447429</v>
      </c>
      <c r="DC430" s="121">
        <f t="shared" si="140"/>
        <v>70.265582784016928</v>
      </c>
      <c r="DD430" s="121">
        <f t="shared" si="140"/>
        <v>46.966666666666669</v>
      </c>
      <c r="DE430" s="121">
        <f t="shared" si="140"/>
        <v>168.5</v>
      </c>
      <c r="DF430" s="121">
        <f t="shared" si="140"/>
        <v>99.063503901163742</v>
      </c>
      <c r="DG430" s="121">
        <f t="shared" si="140"/>
        <v>62.777937889099121</v>
      </c>
      <c r="DH430" s="121">
        <f t="shared" si="140"/>
        <v>40.716039530436198</v>
      </c>
      <c r="DI430" s="121">
        <f t="shared" si="140"/>
        <v>37.527741050720216</v>
      </c>
      <c r="DJ430" s="121">
        <f t="shared" si="140"/>
        <v>215.76666666666668</v>
      </c>
      <c r="DK430" s="121">
        <f t="shared" si="140"/>
        <v>112.9455493927002</v>
      </c>
      <c r="DL430" s="121">
        <f t="shared" si="140"/>
        <v>26.060850048065184</v>
      </c>
      <c r="DM430" s="121">
        <f t="shared" si="140"/>
        <v>29.879016685485841</v>
      </c>
      <c r="DN430" s="121">
        <f t="shared" si="140"/>
        <v>51.635516738891603</v>
      </c>
      <c r="DO430" s="121">
        <f t="shared" si="140"/>
        <v>113.76783231099446</v>
      </c>
      <c r="DP430" s="121">
        <f t="shared" si="140"/>
        <v>15.426350084940593</v>
      </c>
      <c r="DQ430" s="121" t="e">
        <f t="shared" si="140"/>
        <v>#DIV/0!</v>
      </c>
      <c r="DR430" s="121">
        <f t="shared" si="140"/>
        <v>29.033333333333335</v>
      </c>
      <c r="DS430" s="121">
        <f t="shared" si="140"/>
        <v>28.70333325068156</v>
      </c>
      <c r="DT430" s="121">
        <f t="shared" si="140"/>
        <v>12.4</v>
      </c>
      <c r="DU430" s="121" t="e">
        <f t="shared" si="140"/>
        <v>#DIV/0!</v>
      </c>
      <c r="DV430" s="121">
        <f t="shared" si="140"/>
        <v>7.8833333333333337</v>
      </c>
      <c r="DW430" s="121">
        <f t="shared" si="140"/>
        <v>2.3857617974281311</v>
      </c>
      <c r="DX430" s="121">
        <f t="shared" si="140"/>
        <v>10.366666666666667</v>
      </c>
      <c r="DY430" s="121" t="e">
        <f t="shared" si="140"/>
        <v>#DIV/0!</v>
      </c>
      <c r="DZ430" s="121">
        <f t="shared" si="140"/>
        <v>44.93333333333333</v>
      </c>
      <c r="EA430" s="121">
        <f t="shared" si="140"/>
        <v>3</v>
      </c>
      <c r="EB430" s="121">
        <f t="shared" si="140"/>
        <v>0</v>
      </c>
      <c r="EC430" s="121">
        <f t="shared" si="140"/>
        <v>11.316666666666666</v>
      </c>
      <c r="ED430" s="121">
        <f t="shared" si="140"/>
        <v>229.91666692097982</v>
      </c>
      <c r="EE430" s="129"/>
      <c r="EF430" s="129"/>
      <c r="EG430" s="129"/>
    </row>
    <row r="431" spans="1:137" x14ac:dyDescent="0.3">
      <c r="A431" s="5" t="s">
        <v>358</v>
      </c>
      <c r="B431" s="121">
        <f>AVERAGEA(B274:B333)</f>
        <v>232.73333333333332</v>
      </c>
      <c r="C431" s="121">
        <f t="shared" ref="C431:BR431" si="141">AVERAGEA(C274:C333)</f>
        <v>51.615283393859862</v>
      </c>
      <c r="D431" s="121">
        <f t="shared" si="141"/>
        <v>98.526200103759763</v>
      </c>
      <c r="E431" s="121">
        <f t="shared" si="141"/>
        <v>20.94318332672119</v>
      </c>
      <c r="F431" s="121">
        <f t="shared" si="141"/>
        <v>4.8194096247355143</v>
      </c>
      <c r="G431" s="121">
        <f t="shared" si="141"/>
        <v>17.799183432261149</v>
      </c>
      <c r="H431" s="121">
        <f t="shared" si="141"/>
        <v>332.65</v>
      </c>
      <c r="I431" s="121">
        <f t="shared" si="141"/>
        <v>296.66666666666669</v>
      </c>
      <c r="J431" s="121">
        <f t="shared" si="141"/>
        <v>60.63481667836507</v>
      </c>
      <c r="K431" s="121">
        <f t="shared" si="141"/>
        <v>62.322820790608723</v>
      </c>
      <c r="L431" s="121">
        <f t="shared" si="141"/>
        <v>62.901049868265787</v>
      </c>
      <c r="M431" s="121">
        <f t="shared" si="141"/>
        <v>12.164999961853027</v>
      </c>
      <c r="N431" s="121">
        <f t="shared" si="141"/>
        <v>17.464550018310547</v>
      </c>
      <c r="O431" s="121">
        <f t="shared" si="141"/>
        <v>17.649999999999999</v>
      </c>
      <c r="P431" s="121">
        <f t="shared" si="141"/>
        <v>0</v>
      </c>
      <c r="Q431" s="121">
        <f t="shared" si="141"/>
        <v>18.155561621983846</v>
      </c>
      <c r="R431" s="121">
        <f t="shared" si="141"/>
        <v>7.3828124682108562</v>
      </c>
      <c r="S431" s="121">
        <f t="shared" si="141"/>
        <v>7.4844167550404865</v>
      </c>
      <c r="T431" s="121">
        <f t="shared" si="141"/>
        <v>5.5</v>
      </c>
      <c r="U431" s="121">
        <f t="shared" si="141"/>
        <v>5.5</v>
      </c>
      <c r="V431" s="121">
        <f t="shared" si="141"/>
        <v>857.38333333333333</v>
      </c>
      <c r="W431" s="121">
        <f t="shared" si="141"/>
        <v>27.115141836802163</v>
      </c>
      <c r="X431" s="121">
        <f t="shared" si="141"/>
        <v>24.590616861979168</v>
      </c>
      <c r="Y431" s="121">
        <f t="shared" si="141"/>
        <v>6.9136333465576172</v>
      </c>
      <c r="Z431" s="121">
        <f t="shared" si="141"/>
        <v>0</v>
      </c>
      <c r="AA431" s="121">
        <f t="shared" si="141"/>
        <v>18.457016690572104</v>
      </c>
      <c r="AB431" s="121">
        <f t="shared" si="141"/>
        <v>0</v>
      </c>
      <c r="AC431" s="121">
        <f t="shared" si="141"/>
        <v>53.30901495615641</v>
      </c>
      <c r="AD431" s="121">
        <f t="shared" si="141"/>
        <v>5.9964500586191809</v>
      </c>
      <c r="AE431" s="121">
        <f t="shared" si="141"/>
        <v>0</v>
      </c>
      <c r="AF431" s="121">
        <f t="shared" si="141"/>
        <v>81.169124348958334</v>
      </c>
      <c r="AG431" s="121">
        <f t="shared" si="141"/>
        <v>0</v>
      </c>
      <c r="AH431" s="121">
        <f t="shared" si="141"/>
        <v>62.375210062662759</v>
      </c>
      <c r="AI431" s="121">
        <f t="shared" si="141"/>
        <v>14.105600039164225</v>
      </c>
      <c r="AJ431" s="121">
        <f t="shared" si="141"/>
        <v>16.359131415685017</v>
      </c>
      <c r="AK431" s="121">
        <f t="shared" si="141"/>
        <v>36.39705778757731</v>
      </c>
      <c r="AL431" s="121">
        <f t="shared" si="141"/>
        <v>36.532266616821289</v>
      </c>
      <c r="AM431" s="121">
        <f t="shared" si="141"/>
        <v>54.925583394368488</v>
      </c>
      <c r="AN431" s="121">
        <f t="shared" si="141"/>
        <v>113.84583333333333</v>
      </c>
      <c r="AO431" s="121">
        <f t="shared" si="141"/>
        <v>57.8</v>
      </c>
      <c r="AP431" s="121">
        <f t="shared" si="141"/>
        <v>60.415101623535158</v>
      </c>
      <c r="AQ431" s="121">
        <f t="shared" si="141"/>
        <v>35.286666234334312</v>
      </c>
      <c r="AR431" s="121">
        <f t="shared" si="141"/>
        <v>96.733333333333334</v>
      </c>
      <c r="AS431" s="121" t="e">
        <f t="shared" si="141"/>
        <v>#DIV/0!</v>
      </c>
      <c r="AT431" s="121">
        <f t="shared" si="141"/>
        <v>96.066666666666663</v>
      </c>
      <c r="AU431" s="121" t="e">
        <f t="shared" si="141"/>
        <v>#DIV/0!</v>
      </c>
      <c r="AV431" s="121">
        <f t="shared" si="141"/>
        <v>68.95</v>
      </c>
      <c r="AW431" s="121" t="e">
        <f t="shared" si="141"/>
        <v>#DIV/0!</v>
      </c>
      <c r="AX431" s="121">
        <f t="shared" si="141"/>
        <v>29.566666666666666</v>
      </c>
      <c r="AY431" s="121">
        <f t="shared" si="141"/>
        <v>32.565607515970868</v>
      </c>
      <c r="AZ431" s="121">
        <f t="shared" si="141"/>
        <v>3.75</v>
      </c>
      <c r="BA431" s="121" t="e">
        <f t="shared" si="141"/>
        <v>#DIV/0!</v>
      </c>
      <c r="BB431" s="121">
        <f t="shared" si="141"/>
        <v>176.5</v>
      </c>
      <c r="BC431" s="121">
        <f t="shared" si="141"/>
        <v>176.8585194905599</v>
      </c>
      <c r="BD431" s="121">
        <f t="shared" si="141"/>
        <v>6.7499999761581417</v>
      </c>
      <c r="BE431" s="121">
        <f t="shared" si="141"/>
        <v>6.8086508591969812</v>
      </c>
      <c r="BF431" s="121">
        <f t="shared" si="141"/>
        <v>30</v>
      </c>
      <c r="BG431" s="121">
        <f t="shared" si="141"/>
        <v>10.083333333333334</v>
      </c>
      <c r="BH431" s="121">
        <f t="shared" si="141"/>
        <v>10.965787712732951</v>
      </c>
      <c r="BI431" s="121" t="e">
        <f t="shared" si="141"/>
        <v>#DIV/0!</v>
      </c>
      <c r="BJ431" s="121">
        <f t="shared" si="141"/>
        <v>10.766666666666667</v>
      </c>
      <c r="BK431" s="121">
        <f t="shared" si="141"/>
        <v>10.766666666666667</v>
      </c>
      <c r="BL431" s="121">
        <f t="shared" si="141"/>
        <v>0</v>
      </c>
      <c r="BM431" s="121" t="e">
        <f t="shared" si="141"/>
        <v>#DIV/0!</v>
      </c>
      <c r="BN431" s="121">
        <f t="shared" si="141"/>
        <v>121.16500015258789</v>
      </c>
      <c r="BO431" s="121">
        <f t="shared" si="141"/>
        <v>72.349999999999994</v>
      </c>
      <c r="BP431" s="121">
        <f t="shared" si="141"/>
        <v>48.815000152587892</v>
      </c>
      <c r="BQ431" s="121">
        <f t="shared" si="141"/>
        <v>266.96666666666664</v>
      </c>
      <c r="BR431" s="121">
        <f t="shared" si="141"/>
        <v>69.186799748738608</v>
      </c>
      <c r="BS431" s="121">
        <f t="shared" ref="BS431:ED431" si="142">AVERAGEA(BS274:BS333)</f>
        <v>24.462516816457114</v>
      </c>
      <c r="BT431" s="121">
        <f t="shared" si="142"/>
        <v>40.812348810831708</v>
      </c>
      <c r="BU431" s="121">
        <f t="shared" si="142"/>
        <v>34.456733512878415</v>
      </c>
      <c r="BV431" s="121">
        <f t="shared" si="142"/>
        <v>69.083333460489911</v>
      </c>
      <c r="BW431" s="121">
        <f t="shared" si="142"/>
        <v>6.0883333603541052</v>
      </c>
      <c r="BX431" s="121">
        <f t="shared" si="142"/>
        <v>13.708333444595336</v>
      </c>
      <c r="BY431" s="121">
        <f t="shared" si="142"/>
        <v>28.466666666666665</v>
      </c>
      <c r="BZ431" s="121">
        <f t="shared" si="142"/>
        <v>12.348241284334412</v>
      </c>
      <c r="CA431" s="121">
        <f t="shared" si="142"/>
        <v>11.966666666666667</v>
      </c>
      <c r="CB431" s="121">
        <f t="shared" si="142"/>
        <v>29.497848288218179</v>
      </c>
      <c r="CC431" s="121" t="e">
        <f t="shared" si="142"/>
        <v>#DIV/0!</v>
      </c>
      <c r="CD431" s="121">
        <f t="shared" si="142"/>
        <v>336.36906941731769</v>
      </c>
      <c r="CE431" s="121">
        <f t="shared" si="142"/>
        <v>29.284590752919517</v>
      </c>
      <c r="CF431" s="121">
        <f t="shared" si="142"/>
        <v>16.806323448816936</v>
      </c>
      <c r="CG431" s="121">
        <f t="shared" si="142"/>
        <v>35.338191986083984</v>
      </c>
      <c r="CH431" s="121">
        <f t="shared" si="142"/>
        <v>275.32016550699871</v>
      </c>
      <c r="CI431" s="121">
        <f t="shared" si="142"/>
        <v>78.229052225748703</v>
      </c>
      <c r="CJ431" s="121">
        <f t="shared" si="142"/>
        <v>32.77827132542928</v>
      </c>
      <c r="CK431" s="121">
        <f t="shared" si="142"/>
        <v>48.698255221048989</v>
      </c>
      <c r="CL431" s="121">
        <f t="shared" si="142"/>
        <v>24.304209740956626</v>
      </c>
      <c r="CM431" s="121">
        <f t="shared" si="142"/>
        <v>171.42676340738933</v>
      </c>
      <c r="CN431" s="121">
        <f t="shared" si="142"/>
        <v>60.458521842956543</v>
      </c>
      <c r="CO431" s="121">
        <f t="shared" si="142"/>
        <v>50.404782994588217</v>
      </c>
      <c r="CP431" s="121">
        <f t="shared" si="142"/>
        <v>56.370993359883627</v>
      </c>
      <c r="CQ431" s="121">
        <f t="shared" si="142"/>
        <v>0</v>
      </c>
      <c r="CR431" s="121">
        <f t="shared" si="142"/>
        <v>51.833795738220218</v>
      </c>
      <c r="CS431" s="121">
        <f t="shared" si="142"/>
        <v>13.029202206929524</v>
      </c>
      <c r="CT431" s="121">
        <f t="shared" si="142"/>
        <v>31.29924634297689</v>
      </c>
      <c r="CU431" s="121">
        <f t="shared" si="142"/>
        <v>43.534785970052084</v>
      </c>
      <c r="CV431" s="121">
        <f t="shared" si="142"/>
        <v>53.17499408721924</v>
      </c>
      <c r="CW431" s="121">
        <f t="shared" si="142"/>
        <v>9.2333333333333325</v>
      </c>
      <c r="CX431" s="121">
        <f t="shared" si="142"/>
        <v>294.56666666666666</v>
      </c>
      <c r="CY431" s="121">
        <f t="shared" si="142"/>
        <v>108.17393175760905</v>
      </c>
      <c r="CZ431" s="121">
        <f t="shared" si="142"/>
        <v>48.914588165283206</v>
      </c>
      <c r="DA431" s="121">
        <f t="shared" si="142"/>
        <v>20.357046572367349</v>
      </c>
      <c r="DB431" s="121">
        <f t="shared" si="142"/>
        <v>30.364497884114584</v>
      </c>
      <c r="DC431" s="121">
        <f t="shared" si="142"/>
        <v>70.325440343221032</v>
      </c>
      <c r="DD431" s="121">
        <f t="shared" si="142"/>
        <v>47.31666666666667</v>
      </c>
      <c r="DE431" s="121">
        <f t="shared" si="142"/>
        <v>168.53333333333333</v>
      </c>
      <c r="DF431" s="121">
        <f t="shared" si="142"/>
        <v>99.180928548177079</v>
      </c>
      <c r="DG431" s="121">
        <f t="shared" si="142"/>
        <v>63.024525133768719</v>
      </c>
      <c r="DH431" s="121">
        <f t="shared" si="142"/>
        <v>40.679776573181151</v>
      </c>
      <c r="DI431" s="121">
        <f t="shared" si="142"/>
        <v>37.730359458923338</v>
      </c>
      <c r="DJ431" s="121">
        <f t="shared" si="142"/>
        <v>216.33333333333334</v>
      </c>
      <c r="DK431" s="121">
        <f t="shared" si="142"/>
        <v>113.53508262634277</v>
      </c>
      <c r="DL431" s="121">
        <f t="shared" si="142"/>
        <v>26.319100030263265</v>
      </c>
      <c r="DM431" s="121">
        <f t="shared" si="142"/>
        <v>29.911433315277101</v>
      </c>
      <c r="DN431" s="121">
        <f t="shared" si="142"/>
        <v>51.838733482360837</v>
      </c>
      <c r="DO431" s="121">
        <f t="shared" si="142"/>
        <v>113.81128794352213</v>
      </c>
      <c r="DP431" s="121">
        <f t="shared" si="142"/>
        <v>15.479600111643473</v>
      </c>
      <c r="DQ431" s="121" t="e">
        <f t="shared" si="142"/>
        <v>#DIV/0!</v>
      </c>
      <c r="DR431" s="121">
        <f t="shared" si="142"/>
        <v>23.45</v>
      </c>
      <c r="DS431" s="121">
        <f t="shared" si="142"/>
        <v>28.803333314259849</v>
      </c>
      <c r="DT431" s="121">
        <f t="shared" si="142"/>
        <v>12.4</v>
      </c>
      <c r="DU431" s="121" t="e">
        <f t="shared" si="142"/>
        <v>#DIV/0!</v>
      </c>
      <c r="DV431" s="121">
        <f t="shared" si="142"/>
        <v>8.1</v>
      </c>
      <c r="DW431" s="121">
        <f t="shared" si="142"/>
        <v>2.3960194945335389</v>
      </c>
      <c r="DX431" s="121">
        <f t="shared" si="142"/>
        <v>10.383333333333333</v>
      </c>
      <c r="DY431" s="121" t="e">
        <f t="shared" si="142"/>
        <v>#DIV/0!</v>
      </c>
      <c r="DZ431" s="121">
        <f t="shared" si="142"/>
        <v>44.9</v>
      </c>
      <c r="EA431" s="121">
        <f t="shared" si="142"/>
        <v>3</v>
      </c>
      <c r="EB431" s="121">
        <f t="shared" si="142"/>
        <v>0</v>
      </c>
      <c r="EC431" s="121">
        <f t="shared" si="142"/>
        <v>13.65</v>
      </c>
      <c r="ED431" s="121">
        <f t="shared" si="142"/>
        <v>230.3216667175293</v>
      </c>
      <c r="EE431" s="129"/>
      <c r="EF431" s="129"/>
      <c r="EG431" s="129"/>
    </row>
    <row r="432" spans="1:137" x14ac:dyDescent="0.3">
      <c r="A432" s="5" t="s">
        <v>359</v>
      </c>
      <c r="B432" s="121">
        <f>AVERAGEA(B279:B338)</f>
        <v>235.06666666666666</v>
      </c>
      <c r="C432" s="121">
        <f t="shared" ref="C432:BR432" si="143">AVERAGEA(C279:C338)</f>
        <v>52.178900019327799</v>
      </c>
      <c r="D432" s="121">
        <f t="shared" si="143"/>
        <v>98.618566640218106</v>
      </c>
      <c r="E432" s="121">
        <f t="shared" si="143"/>
        <v>20.223133309682211</v>
      </c>
      <c r="F432" s="121">
        <f t="shared" si="143"/>
        <v>5.0953723589579267</v>
      </c>
      <c r="G432" s="121">
        <f t="shared" si="143"/>
        <v>17.927350076039634</v>
      </c>
      <c r="H432" s="121">
        <f t="shared" si="143"/>
        <v>330.6</v>
      </c>
      <c r="I432" s="121">
        <f t="shared" si="143"/>
        <v>295.23333333333335</v>
      </c>
      <c r="J432" s="121">
        <f t="shared" si="143"/>
        <v>60.67063337961833</v>
      </c>
      <c r="K432" s="121">
        <f t="shared" si="143"/>
        <v>62.389313888549808</v>
      </c>
      <c r="L432" s="121">
        <f t="shared" si="143"/>
        <v>58.715883191426592</v>
      </c>
      <c r="M432" s="121">
        <f t="shared" si="143"/>
        <v>12.291283305486044</v>
      </c>
      <c r="N432" s="121">
        <f t="shared" si="143"/>
        <v>17.441216691335043</v>
      </c>
      <c r="O432" s="121">
        <f t="shared" si="143"/>
        <v>17.816666666666666</v>
      </c>
      <c r="P432" s="121">
        <f t="shared" si="143"/>
        <v>0</v>
      </c>
      <c r="Q432" s="121">
        <f t="shared" si="143"/>
        <v>18.345323991775512</v>
      </c>
      <c r="R432" s="121">
        <f t="shared" si="143"/>
        <v>8.1328124523162835</v>
      </c>
      <c r="S432" s="121">
        <f t="shared" si="143"/>
        <v>7.993971276283264</v>
      </c>
      <c r="T432" s="121">
        <f t="shared" si="143"/>
        <v>4.75</v>
      </c>
      <c r="U432" s="121">
        <f t="shared" si="143"/>
        <v>4.75</v>
      </c>
      <c r="V432" s="121">
        <f t="shared" si="143"/>
        <v>859.95</v>
      </c>
      <c r="W432" s="121">
        <f t="shared" si="143"/>
        <v>27.238382943471272</v>
      </c>
      <c r="X432" s="121">
        <f t="shared" si="143"/>
        <v>24.524650224049886</v>
      </c>
      <c r="Y432" s="121">
        <f t="shared" si="143"/>
        <v>7.0228666782379152</v>
      </c>
      <c r="Z432" s="121">
        <f t="shared" si="143"/>
        <v>0</v>
      </c>
      <c r="AA432" s="121">
        <f t="shared" si="143"/>
        <v>18.383516693115233</v>
      </c>
      <c r="AB432" s="121">
        <f t="shared" si="143"/>
        <v>0</v>
      </c>
      <c r="AC432" s="121">
        <f t="shared" si="143"/>
        <v>53.596230634053548</v>
      </c>
      <c r="AD432" s="121">
        <f t="shared" si="143"/>
        <v>5.9752334038416546</v>
      </c>
      <c r="AE432" s="121">
        <f t="shared" si="143"/>
        <v>0</v>
      </c>
      <c r="AF432" s="121">
        <f t="shared" si="143"/>
        <v>81.421700795491532</v>
      </c>
      <c r="AG432" s="121">
        <f t="shared" si="143"/>
        <v>0</v>
      </c>
      <c r="AH432" s="121">
        <f t="shared" si="143"/>
        <v>62.771165911356611</v>
      </c>
      <c r="AI432" s="121">
        <f t="shared" si="143"/>
        <v>14.328250042597453</v>
      </c>
      <c r="AJ432" s="121">
        <f t="shared" si="143"/>
        <v>16.609078470865885</v>
      </c>
      <c r="AK432" s="121">
        <f t="shared" si="143"/>
        <v>36.596080970764163</v>
      </c>
      <c r="AL432" s="121">
        <f t="shared" si="143"/>
        <v>36.714866638183594</v>
      </c>
      <c r="AM432" s="121">
        <f t="shared" si="143"/>
        <v>54.994516626993814</v>
      </c>
      <c r="AN432" s="121">
        <f t="shared" si="143"/>
        <v>114.15</v>
      </c>
      <c r="AO432" s="121">
        <f t="shared" si="143"/>
        <v>58.016666666666666</v>
      </c>
      <c r="AP432" s="121">
        <f t="shared" si="143"/>
        <v>60.511261558532716</v>
      </c>
      <c r="AQ432" s="121">
        <f t="shared" si="143"/>
        <v>35.43303763071696</v>
      </c>
      <c r="AR432" s="121">
        <f t="shared" si="143"/>
        <v>97.1</v>
      </c>
      <c r="AS432" s="121" t="e">
        <f t="shared" si="143"/>
        <v>#DIV/0!</v>
      </c>
      <c r="AT432" s="121">
        <f t="shared" si="143"/>
        <v>95.916666666666671</v>
      </c>
      <c r="AU432" s="121" t="e">
        <f t="shared" si="143"/>
        <v>#DIV/0!</v>
      </c>
      <c r="AV432" s="121">
        <f t="shared" si="143"/>
        <v>69.150000000000006</v>
      </c>
      <c r="AW432" s="121" t="e">
        <f t="shared" si="143"/>
        <v>#DIV/0!</v>
      </c>
      <c r="AX432" s="121">
        <f t="shared" si="143"/>
        <v>29.6</v>
      </c>
      <c r="AY432" s="121">
        <f t="shared" si="143"/>
        <v>32.60563456217448</v>
      </c>
      <c r="AZ432" s="121">
        <f t="shared" si="143"/>
        <v>3.8166666666666669</v>
      </c>
      <c r="BA432" s="121" t="e">
        <f t="shared" si="143"/>
        <v>#DIV/0!</v>
      </c>
      <c r="BB432" s="121">
        <f t="shared" si="143"/>
        <v>176.71666666666667</v>
      </c>
      <c r="BC432" s="121">
        <f t="shared" si="143"/>
        <v>177.04823430379233</v>
      </c>
      <c r="BD432" s="121">
        <f t="shared" si="143"/>
        <v>6.7583333094914755</v>
      </c>
      <c r="BE432" s="121">
        <f t="shared" si="143"/>
        <v>6.8216480016708374</v>
      </c>
      <c r="BF432" s="121">
        <f t="shared" si="143"/>
        <v>30.033333333333335</v>
      </c>
      <c r="BG432" s="121">
        <f t="shared" si="143"/>
        <v>10.050000000000001</v>
      </c>
      <c r="BH432" s="121">
        <f t="shared" si="143"/>
        <v>10.96327470143636</v>
      </c>
      <c r="BI432" s="121" t="e">
        <f t="shared" si="143"/>
        <v>#DIV/0!</v>
      </c>
      <c r="BJ432" s="121">
        <f t="shared" si="143"/>
        <v>10.783333333333333</v>
      </c>
      <c r="BK432" s="121">
        <f t="shared" si="143"/>
        <v>10.783333333333333</v>
      </c>
      <c r="BL432" s="121">
        <f t="shared" si="143"/>
        <v>0</v>
      </c>
      <c r="BM432" s="121" t="e">
        <f t="shared" si="143"/>
        <v>#DIV/0!</v>
      </c>
      <c r="BN432" s="121">
        <f t="shared" si="143"/>
        <v>121.24333349863689</v>
      </c>
      <c r="BO432" s="121">
        <f t="shared" si="143"/>
        <v>72.38333333333334</v>
      </c>
      <c r="BP432" s="121">
        <f t="shared" si="143"/>
        <v>48.860000165303546</v>
      </c>
      <c r="BQ432" s="121">
        <f t="shared" si="143"/>
        <v>267.91666666666669</v>
      </c>
      <c r="BR432" s="121">
        <f t="shared" si="143"/>
        <v>69.8804328918457</v>
      </c>
      <c r="BS432" s="121">
        <f t="shared" ref="BS432:ED432" si="144">AVERAGEA(BS279:BS338)</f>
        <v>24.445566908518472</v>
      </c>
      <c r="BT432" s="121">
        <f t="shared" si="144"/>
        <v>40.8238821665446</v>
      </c>
      <c r="BU432" s="121">
        <f t="shared" si="144"/>
        <v>34.839516766866048</v>
      </c>
      <c r="BV432" s="121">
        <f t="shared" si="144"/>
        <v>69.155000050862625</v>
      </c>
      <c r="BW432" s="121">
        <f t="shared" si="144"/>
        <v>6.1366666873296101</v>
      </c>
      <c r="BX432" s="121">
        <f t="shared" si="144"/>
        <v>13.728333441416423</v>
      </c>
      <c r="BY432" s="121">
        <f t="shared" si="144"/>
        <v>28.516666666666666</v>
      </c>
      <c r="BZ432" s="121">
        <f t="shared" si="144"/>
        <v>10.68730033027629</v>
      </c>
      <c r="CA432" s="121">
        <f t="shared" si="144"/>
        <v>10.366666666666667</v>
      </c>
      <c r="CB432" s="121">
        <f t="shared" si="144"/>
        <v>29.526131693522135</v>
      </c>
      <c r="CC432" s="121" t="e">
        <f t="shared" si="144"/>
        <v>#DIV/0!</v>
      </c>
      <c r="CD432" s="121">
        <f t="shared" si="144"/>
        <v>338.03546142578125</v>
      </c>
      <c r="CE432" s="121">
        <f t="shared" si="144"/>
        <v>29.581855074564615</v>
      </c>
      <c r="CF432" s="121">
        <f t="shared" si="144"/>
        <v>16.806342697143556</v>
      </c>
      <c r="CG432" s="121">
        <f t="shared" si="144"/>
        <v>35.338191986083984</v>
      </c>
      <c r="CH432" s="121">
        <f t="shared" si="144"/>
        <v>276.15427398681641</v>
      </c>
      <c r="CI432" s="121">
        <f t="shared" si="144"/>
        <v>79.101156616210943</v>
      </c>
      <c r="CJ432" s="121">
        <f t="shared" si="144"/>
        <v>33.096260929107665</v>
      </c>
      <c r="CK432" s="121">
        <f t="shared" si="144"/>
        <v>49.227733294169106</v>
      </c>
      <c r="CL432" s="121">
        <f t="shared" si="144"/>
        <v>24.268355369567871</v>
      </c>
      <c r="CM432" s="121">
        <f t="shared" si="144"/>
        <v>168.7885866800944</v>
      </c>
      <c r="CN432" s="121">
        <f t="shared" si="144"/>
        <v>58.386028035481772</v>
      </c>
      <c r="CO432" s="121">
        <f t="shared" si="144"/>
        <v>50.03469231923421</v>
      </c>
      <c r="CP432" s="121">
        <f t="shared" si="144"/>
        <v>56.05656935373942</v>
      </c>
      <c r="CQ432" s="121">
        <f t="shared" si="144"/>
        <v>0</v>
      </c>
      <c r="CR432" s="121">
        <f t="shared" si="144"/>
        <v>53.04373257954915</v>
      </c>
      <c r="CS432" s="121">
        <f t="shared" si="144"/>
        <v>13.828088776270549</v>
      </c>
      <c r="CT432" s="121">
        <f t="shared" si="144"/>
        <v>31.697678693135579</v>
      </c>
      <c r="CU432" s="121">
        <f t="shared" si="144"/>
        <v>43.390031305948895</v>
      </c>
      <c r="CV432" s="121">
        <f t="shared" si="144"/>
        <v>52.980336380004886</v>
      </c>
      <c r="CW432" s="121">
        <f t="shared" si="144"/>
        <v>10.65</v>
      </c>
      <c r="CX432" s="121">
        <f t="shared" si="144"/>
        <v>295.78333333333336</v>
      </c>
      <c r="CY432" s="121">
        <f t="shared" si="144"/>
        <v>108.4562941233317</v>
      </c>
      <c r="CZ432" s="121">
        <f t="shared" si="144"/>
        <v>49.387846883138018</v>
      </c>
      <c r="DA432" s="121">
        <f t="shared" si="144"/>
        <v>20.363733832041422</v>
      </c>
      <c r="DB432" s="121">
        <f t="shared" si="144"/>
        <v>30.203117815653481</v>
      </c>
      <c r="DC432" s="121">
        <f t="shared" si="144"/>
        <v>70.610827382405603</v>
      </c>
      <c r="DD432" s="121">
        <f t="shared" si="144"/>
        <v>47.93333333333333</v>
      </c>
      <c r="DE432" s="121">
        <f t="shared" si="144"/>
        <v>168.63333333333333</v>
      </c>
      <c r="DF432" s="121">
        <f t="shared" si="144"/>
        <v>99.215423075358075</v>
      </c>
      <c r="DG432" s="121">
        <f t="shared" si="144"/>
        <v>63.041164271036784</v>
      </c>
      <c r="DH432" s="121">
        <f t="shared" si="144"/>
        <v>40.825790596008304</v>
      </c>
      <c r="DI432" s="121">
        <f t="shared" si="144"/>
        <v>37.946521059672037</v>
      </c>
      <c r="DJ432" s="121">
        <f t="shared" si="144"/>
        <v>217.43333333333334</v>
      </c>
      <c r="DK432" s="121">
        <f t="shared" si="144"/>
        <v>114.29424908955892</v>
      </c>
      <c r="DL432" s="121">
        <f t="shared" si="144"/>
        <v>26.722483348846435</v>
      </c>
      <c r="DM432" s="121">
        <f t="shared" si="144"/>
        <v>30.108749993642171</v>
      </c>
      <c r="DN432" s="121">
        <f t="shared" si="144"/>
        <v>52.033116849263507</v>
      </c>
      <c r="DO432" s="121">
        <f t="shared" si="144"/>
        <v>114.01209309895833</v>
      </c>
      <c r="DP432" s="121">
        <f t="shared" si="144"/>
        <v>15.547016747792561</v>
      </c>
      <c r="DQ432" s="121" t="e">
        <f t="shared" si="144"/>
        <v>#DIV/0!</v>
      </c>
      <c r="DR432" s="121">
        <f t="shared" si="144"/>
        <v>17.866666666666667</v>
      </c>
      <c r="DS432" s="121">
        <f t="shared" si="144"/>
        <v>28.991666634877522</v>
      </c>
      <c r="DT432" s="121">
        <f t="shared" si="144"/>
        <v>12.383333333333333</v>
      </c>
      <c r="DU432" s="121" t="e">
        <f t="shared" si="144"/>
        <v>#DIV/0!</v>
      </c>
      <c r="DV432" s="121">
        <f t="shared" si="144"/>
        <v>8.1333333333333329</v>
      </c>
      <c r="DW432" s="121">
        <f t="shared" si="144"/>
        <v>2.3969340125719705</v>
      </c>
      <c r="DX432" s="121">
        <f t="shared" si="144"/>
        <v>10.333333333333334</v>
      </c>
      <c r="DY432" s="121" t="e">
        <f t="shared" si="144"/>
        <v>#DIV/0!</v>
      </c>
      <c r="DZ432" s="121">
        <f t="shared" si="144"/>
        <v>45.016666666666666</v>
      </c>
      <c r="EA432" s="121">
        <f t="shared" si="144"/>
        <v>3</v>
      </c>
      <c r="EB432" s="121">
        <f t="shared" si="144"/>
        <v>0</v>
      </c>
      <c r="EC432" s="121">
        <f t="shared" si="144"/>
        <v>15.966666666666667</v>
      </c>
      <c r="ED432" s="121">
        <f t="shared" si="144"/>
        <v>230.90166676839192</v>
      </c>
      <c r="EE432" s="129"/>
      <c r="EF432" s="129"/>
      <c r="EG432" s="129"/>
    </row>
    <row r="433" spans="1:138" x14ac:dyDescent="0.3">
      <c r="A433" s="5" t="s">
        <v>360</v>
      </c>
      <c r="B433" s="121">
        <f>AVERAGEA(B284:B343)</f>
        <v>236.93333333333334</v>
      </c>
      <c r="C433" s="121">
        <f t="shared" ref="C433:BR433" si="145">AVERAGEA(C284:C343)</f>
        <v>52.442766698201496</v>
      </c>
      <c r="D433" s="121">
        <f t="shared" si="145"/>
        <v>98.588399887084961</v>
      </c>
      <c r="E433" s="121">
        <f t="shared" si="145"/>
        <v>20.632199970881143</v>
      </c>
      <c r="F433" s="121">
        <f t="shared" si="145"/>
        <v>5.517134682337443</v>
      </c>
      <c r="G433" s="121">
        <f t="shared" si="145"/>
        <v>18.129033374786378</v>
      </c>
      <c r="H433" s="121">
        <f t="shared" si="145"/>
        <v>328.65</v>
      </c>
      <c r="I433" s="121">
        <f t="shared" si="145"/>
        <v>293.75</v>
      </c>
      <c r="J433" s="121">
        <f t="shared" si="145"/>
        <v>60.533016649882001</v>
      </c>
      <c r="K433" s="121">
        <f t="shared" si="145"/>
        <v>62.608600362141928</v>
      </c>
      <c r="L433" s="121">
        <f t="shared" si="145"/>
        <v>54.698566563924153</v>
      </c>
      <c r="M433" s="121">
        <f t="shared" si="145"/>
        <v>12.489216645558676</v>
      </c>
      <c r="N433" s="121">
        <f t="shared" si="145"/>
        <v>17.394533379872641</v>
      </c>
      <c r="O433" s="121">
        <f t="shared" si="145"/>
        <v>18.100000000000001</v>
      </c>
      <c r="P433" s="121">
        <f t="shared" si="145"/>
        <v>0</v>
      </c>
      <c r="Q433" s="121">
        <f t="shared" si="145"/>
        <v>18.583419783910117</v>
      </c>
      <c r="R433" s="121">
        <f t="shared" si="145"/>
        <v>8.5329687118530266</v>
      </c>
      <c r="S433" s="121">
        <f t="shared" si="145"/>
        <v>8.5145784179369617</v>
      </c>
      <c r="T433" s="121">
        <f t="shared" si="145"/>
        <v>5.0999999999999996</v>
      </c>
      <c r="U433" s="121">
        <f t="shared" si="145"/>
        <v>5.0999999999999996</v>
      </c>
      <c r="V433" s="121">
        <f t="shared" si="145"/>
        <v>862.33333333333337</v>
      </c>
      <c r="W433" s="121">
        <f t="shared" si="145"/>
        <v>27.36615660985311</v>
      </c>
      <c r="X433" s="121">
        <f t="shared" si="145"/>
        <v>24.581216843922935</v>
      </c>
      <c r="Y433" s="121">
        <f t="shared" si="145"/>
        <v>7.1225333372751871</v>
      </c>
      <c r="Z433" s="121">
        <f t="shared" si="145"/>
        <v>0</v>
      </c>
      <c r="AA433" s="121">
        <f t="shared" si="145"/>
        <v>18.523016643524169</v>
      </c>
      <c r="AB433" s="121">
        <f t="shared" si="145"/>
        <v>0</v>
      </c>
      <c r="AC433" s="121">
        <f t="shared" si="145"/>
        <v>53.810512542724609</v>
      </c>
      <c r="AD433" s="121">
        <f t="shared" si="145"/>
        <v>5.9667667309443155</v>
      </c>
      <c r="AE433" s="121">
        <f t="shared" si="145"/>
        <v>0</v>
      </c>
      <c r="AF433" s="121">
        <f t="shared" si="145"/>
        <v>81.51872393290202</v>
      </c>
      <c r="AG433" s="121">
        <f t="shared" si="145"/>
        <v>0</v>
      </c>
      <c r="AH433" s="121">
        <f t="shared" si="145"/>
        <v>62.996248944600424</v>
      </c>
      <c r="AI433" s="121">
        <f t="shared" si="145"/>
        <v>14.46501669883728</v>
      </c>
      <c r="AJ433" s="121">
        <f t="shared" si="145"/>
        <v>16.972027142842609</v>
      </c>
      <c r="AK433" s="121">
        <f t="shared" si="145"/>
        <v>36.734874089558922</v>
      </c>
      <c r="AL433" s="121">
        <f t="shared" si="145"/>
        <v>36.894549942016603</v>
      </c>
      <c r="AM433" s="121">
        <f t="shared" si="145"/>
        <v>54.93299992879232</v>
      </c>
      <c r="AN433" s="121">
        <f t="shared" si="145"/>
        <v>114.78333333333333</v>
      </c>
      <c r="AO433" s="121">
        <f t="shared" si="145"/>
        <v>58.4</v>
      </c>
      <c r="AP433" s="121">
        <f t="shared" si="145"/>
        <v>60.803218269348143</v>
      </c>
      <c r="AQ433" s="121">
        <f t="shared" si="145"/>
        <v>35.780305862426758</v>
      </c>
      <c r="AR433" s="121">
        <f t="shared" si="145"/>
        <v>97.3</v>
      </c>
      <c r="AS433" s="121" t="e">
        <f t="shared" si="145"/>
        <v>#DIV/0!</v>
      </c>
      <c r="AT433" s="121">
        <f t="shared" si="145"/>
        <v>95.916666666666671</v>
      </c>
      <c r="AU433" s="121" t="e">
        <f t="shared" si="145"/>
        <v>#DIV/0!</v>
      </c>
      <c r="AV433" s="121">
        <f t="shared" si="145"/>
        <v>69.400000000000006</v>
      </c>
      <c r="AW433" s="121" t="e">
        <f t="shared" si="145"/>
        <v>#DIV/0!</v>
      </c>
      <c r="AX433" s="121">
        <f t="shared" si="145"/>
        <v>29.683333333333334</v>
      </c>
      <c r="AY433" s="121">
        <f t="shared" si="145"/>
        <v>32.678533999125165</v>
      </c>
      <c r="AZ433" s="121">
        <f t="shared" si="145"/>
        <v>3.95</v>
      </c>
      <c r="BA433" s="121" t="e">
        <f t="shared" si="145"/>
        <v>#DIV/0!</v>
      </c>
      <c r="BB433" s="121">
        <f t="shared" si="145"/>
        <v>176.8</v>
      </c>
      <c r="BC433" s="121">
        <f t="shared" si="145"/>
        <v>177.2903902689616</v>
      </c>
      <c r="BD433" s="121">
        <f t="shared" si="145"/>
        <v>6.7799999793370569</v>
      </c>
      <c r="BE433" s="121">
        <f t="shared" si="145"/>
        <v>6.8366805950800575</v>
      </c>
      <c r="BF433" s="121">
        <f t="shared" si="145"/>
        <v>30.016666666666666</v>
      </c>
      <c r="BG433" s="121">
        <f t="shared" si="145"/>
        <v>10.066666666666666</v>
      </c>
      <c r="BH433" s="121">
        <f t="shared" si="145"/>
        <v>10.983295567830403</v>
      </c>
      <c r="BI433" s="121" t="e">
        <f t="shared" si="145"/>
        <v>#DIV/0!</v>
      </c>
      <c r="BJ433" s="121">
        <f t="shared" si="145"/>
        <v>10.783333333333333</v>
      </c>
      <c r="BK433" s="121">
        <f t="shared" si="145"/>
        <v>10.783333333333333</v>
      </c>
      <c r="BL433" s="121">
        <f t="shared" si="145"/>
        <v>0</v>
      </c>
      <c r="BM433" s="121" t="e">
        <f t="shared" si="145"/>
        <v>#DIV/0!</v>
      </c>
      <c r="BN433" s="121">
        <f t="shared" si="145"/>
        <v>121.29500020345053</v>
      </c>
      <c r="BO433" s="121">
        <f t="shared" si="145"/>
        <v>72.400000000000006</v>
      </c>
      <c r="BP433" s="121">
        <f t="shared" si="145"/>
        <v>48.895000203450522</v>
      </c>
      <c r="BQ433" s="121">
        <f t="shared" si="145"/>
        <v>269.7</v>
      </c>
      <c r="BR433" s="121">
        <f t="shared" si="145"/>
        <v>70.564683024088538</v>
      </c>
      <c r="BS433" s="121">
        <f t="shared" ref="BS433:ED433" si="146">AVERAGEA(BS284:BS343)</f>
        <v>24.411650244394938</v>
      </c>
      <c r="BT433" s="121">
        <f t="shared" si="146"/>
        <v>40.922032229105632</v>
      </c>
      <c r="BU433" s="121">
        <f t="shared" si="146"/>
        <v>35.488400077819826</v>
      </c>
      <c r="BV433" s="121">
        <f t="shared" si="146"/>
        <v>69.255000050862634</v>
      </c>
      <c r="BW433" s="121">
        <f t="shared" si="146"/>
        <v>6.1666666825612388</v>
      </c>
      <c r="BX433" s="121">
        <f t="shared" si="146"/>
        <v>13.731666755676269</v>
      </c>
      <c r="BY433" s="121">
        <f t="shared" si="146"/>
        <v>28.566666666666666</v>
      </c>
      <c r="BZ433" s="121">
        <f t="shared" si="146"/>
        <v>9.0270068499259644</v>
      </c>
      <c r="CA433" s="121">
        <f t="shared" si="146"/>
        <v>8.7333333333333325</v>
      </c>
      <c r="CB433" s="121">
        <f t="shared" si="146"/>
        <v>29.594887924194335</v>
      </c>
      <c r="CC433" s="121" t="e">
        <f t="shared" si="146"/>
        <v>#DIV/0!</v>
      </c>
      <c r="CD433" s="121">
        <f t="shared" si="146"/>
        <v>339.46870117187501</v>
      </c>
      <c r="CE433" s="121">
        <f t="shared" si="146"/>
        <v>29.946768093109132</v>
      </c>
      <c r="CF433" s="121">
        <f t="shared" si="146"/>
        <v>16.849268802007039</v>
      </c>
      <c r="CG433" s="121">
        <f t="shared" si="146"/>
        <v>35.338191986083984</v>
      </c>
      <c r="CH433" s="121">
        <f t="shared" si="146"/>
        <v>276.89197896321616</v>
      </c>
      <c r="CI433" s="121">
        <f t="shared" si="146"/>
        <v>80.017433675130206</v>
      </c>
      <c r="CJ433" s="121">
        <f t="shared" si="146"/>
        <v>33.593590672810869</v>
      </c>
      <c r="CK433" s="121">
        <f t="shared" si="146"/>
        <v>49.512789599100749</v>
      </c>
      <c r="CL433" s="121">
        <f t="shared" si="146"/>
        <v>24.198030344645183</v>
      </c>
      <c r="CM433" s="121">
        <f t="shared" si="146"/>
        <v>167.14989852905273</v>
      </c>
      <c r="CN433" s="121">
        <f t="shared" si="146"/>
        <v>57.202977371215823</v>
      </c>
      <c r="CO433" s="121">
        <f t="shared" si="146"/>
        <v>49.885454940795896</v>
      </c>
      <c r="CP433" s="121">
        <f t="shared" si="146"/>
        <v>55.714306831359863</v>
      </c>
      <c r="CQ433" s="121">
        <f t="shared" si="146"/>
        <v>0</v>
      </c>
      <c r="CR433" s="121">
        <f t="shared" si="146"/>
        <v>54.109705607096352</v>
      </c>
      <c r="CS433" s="121">
        <f t="shared" si="146"/>
        <v>14.666562382380167</v>
      </c>
      <c r="CT433" s="121">
        <f t="shared" si="146"/>
        <v>32.195313994089766</v>
      </c>
      <c r="CU433" s="121">
        <f t="shared" si="146"/>
        <v>42.957557169596356</v>
      </c>
      <c r="CV433" s="121">
        <f t="shared" si="146"/>
        <v>52.810566838582353</v>
      </c>
      <c r="CW433" s="121">
        <f t="shared" si="146"/>
        <v>13.383333333333333</v>
      </c>
      <c r="CX433" s="121">
        <f t="shared" si="146"/>
        <v>297.39999999999998</v>
      </c>
      <c r="CY433" s="121">
        <f t="shared" si="146"/>
        <v>108.91318918863932</v>
      </c>
      <c r="CZ433" s="121">
        <f t="shared" si="146"/>
        <v>49.778987948099775</v>
      </c>
      <c r="DA433" s="121">
        <f t="shared" si="146"/>
        <v>20.509301821390789</v>
      </c>
      <c r="DB433" s="121">
        <f t="shared" si="146"/>
        <v>30.389022890726725</v>
      </c>
      <c r="DC433" s="121">
        <f t="shared" si="146"/>
        <v>71.028286870320642</v>
      </c>
      <c r="DD433" s="121">
        <f t="shared" si="146"/>
        <v>49.4</v>
      </c>
      <c r="DE433" s="121">
        <f t="shared" si="146"/>
        <v>168.85</v>
      </c>
      <c r="DF433" s="121">
        <f t="shared" si="146"/>
        <v>99.680258305867511</v>
      </c>
      <c r="DG433" s="121">
        <f t="shared" si="146"/>
        <v>63.469022623697917</v>
      </c>
      <c r="DH433" s="121">
        <f t="shared" si="146"/>
        <v>41.08958231608073</v>
      </c>
      <c r="DI433" s="121">
        <f t="shared" si="146"/>
        <v>38.208717473347981</v>
      </c>
      <c r="DJ433" s="121">
        <f t="shared" si="146"/>
        <v>218.53333333333333</v>
      </c>
      <c r="DK433" s="121">
        <f t="shared" si="146"/>
        <v>115.12126592000325</v>
      </c>
      <c r="DL433" s="121">
        <f t="shared" si="146"/>
        <v>27.108883317311605</v>
      </c>
      <c r="DM433" s="121">
        <f t="shared" si="146"/>
        <v>30.488700008392335</v>
      </c>
      <c r="DN433" s="121">
        <f t="shared" si="146"/>
        <v>52.065533510843913</v>
      </c>
      <c r="DO433" s="121">
        <f t="shared" si="146"/>
        <v>114.34862721761068</v>
      </c>
      <c r="DP433" s="121">
        <f t="shared" si="146"/>
        <v>15.65586675008138</v>
      </c>
      <c r="DQ433" s="121" t="e">
        <f t="shared" si="146"/>
        <v>#DIV/0!</v>
      </c>
      <c r="DR433" s="121">
        <f t="shared" si="146"/>
        <v>12.283333333333333</v>
      </c>
      <c r="DS433" s="121">
        <f t="shared" si="146"/>
        <v>29.36333325703939</v>
      </c>
      <c r="DT433" s="121">
        <f t="shared" si="146"/>
        <v>12.316666666666666</v>
      </c>
      <c r="DU433" s="121" t="e">
        <f t="shared" si="146"/>
        <v>#DIV/0!</v>
      </c>
      <c r="DV433" s="121">
        <f t="shared" si="146"/>
        <v>8.15</v>
      </c>
      <c r="DW433" s="121">
        <f t="shared" si="146"/>
        <v>2.3822397430737814</v>
      </c>
      <c r="DX433" s="121">
        <f t="shared" si="146"/>
        <v>10.433333333333334</v>
      </c>
      <c r="DY433" s="121" t="e">
        <f t="shared" si="146"/>
        <v>#DIV/0!</v>
      </c>
      <c r="DZ433" s="121">
        <f t="shared" si="146"/>
        <v>44.983333333333334</v>
      </c>
      <c r="EA433" s="121">
        <f t="shared" si="146"/>
        <v>3</v>
      </c>
      <c r="EB433" s="121">
        <f t="shared" si="146"/>
        <v>0</v>
      </c>
      <c r="EC433" s="121">
        <f t="shared" si="146"/>
        <v>18.3</v>
      </c>
      <c r="ED433" s="121">
        <f t="shared" si="146"/>
        <v>232.18833312988281</v>
      </c>
      <c r="EE433" s="129"/>
      <c r="EF433" s="129"/>
      <c r="EG433" s="129"/>
    </row>
    <row r="434" spans="1:138" x14ac:dyDescent="0.3">
      <c r="A434" s="5" t="s">
        <v>361</v>
      </c>
      <c r="B434" s="121">
        <f>AVERAGEA(B289:B348)</f>
        <v>239.25</v>
      </c>
      <c r="C434" s="121">
        <f t="shared" ref="C434:BR434" si="147">AVERAGEA(C289:C348)</f>
        <v>52.785849889119469</v>
      </c>
      <c r="D434" s="121">
        <f t="shared" si="147"/>
        <v>98.644966506958013</v>
      </c>
      <c r="E434" s="121">
        <f t="shared" si="147"/>
        <v>20.890433327356973</v>
      </c>
      <c r="F434" s="121">
        <f t="shared" si="147"/>
        <v>6.5343086242675783</v>
      </c>
      <c r="G434" s="121">
        <f t="shared" si="147"/>
        <v>18.293033377329508</v>
      </c>
      <c r="H434" s="121">
        <f t="shared" si="147"/>
        <v>326.01666666666665</v>
      </c>
      <c r="I434" s="121">
        <f t="shared" si="147"/>
        <v>291.60000000000002</v>
      </c>
      <c r="J434" s="121">
        <f t="shared" si="147"/>
        <v>60.46325003306071</v>
      </c>
      <c r="K434" s="121">
        <f t="shared" si="147"/>
        <v>62.709759712219238</v>
      </c>
      <c r="L434" s="121">
        <f t="shared" si="147"/>
        <v>50.327799924214681</v>
      </c>
      <c r="M434" s="121">
        <f t="shared" si="147"/>
        <v>12.67018330891927</v>
      </c>
      <c r="N434" s="121">
        <f t="shared" si="147"/>
        <v>17.317116737365723</v>
      </c>
      <c r="O434" s="121">
        <f t="shared" si="147"/>
        <v>18.283333333333335</v>
      </c>
      <c r="P434" s="121">
        <f t="shared" si="147"/>
        <v>0</v>
      </c>
      <c r="Q434" s="121">
        <f t="shared" si="147"/>
        <v>18.807032505671184</v>
      </c>
      <c r="R434" s="121">
        <f t="shared" si="147"/>
        <v>8.9164062023162849</v>
      </c>
      <c r="S434" s="121">
        <f t="shared" si="147"/>
        <v>8.8286515911420178</v>
      </c>
      <c r="T434" s="121">
        <f t="shared" si="147"/>
        <v>5.85</v>
      </c>
      <c r="U434" s="121">
        <f t="shared" si="147"/>
        <v>5.85</v>
      </c>
      <c r="V434" s="121">
        <f t="shared" si="147"/>
        <v>865.6</v>
      </c>
      <c r="W434" s="121">
        <f t="shared" si="147"/>
        <v>27.587155055999755</v>
      </c>
      <c r="X434" s="121">
        <f t="shared" si="147"/>
        <v>24.594400183359781</v>
      </c>
      <c r="Y434" s="121">
        <f t="shared" si="147"/>
        <v>7.1097833315531416</v>
      </c>
      <c r="Z434" s="121">
        <f t="shared" si="147"/>
        <v>0</v>
      </c>
      <c r="AA434" s="121">
        <f t="shared" si="147"/>
        <v>18.666266632080077</v>
      </c>
      <c r="AB434" s="121">
        <f t="shared" si="147"/>
        <v>0</v>
      </c>
      <c r="AC434" s="121">
        <f t="shared" si="147"/>
        <v>54.064946937561032</v>
      </c>
      <c r="AD434" s="121">
        <f t="shared" si="147"/>
        <v>5.9413000822067259</v>
      </c>
      <c r="AE434" s="121">
        <f t="shared" si="147"/>
        <v>0</v>
      </c>
      <c r="AF434" s="121">
        <f t="shared" si="147"/>
        <v>81.897338231404618</v>
      </c>
      <c r="AG434" s="121">
        <f t="shared" si="147"/>
        <v>0</v>
      </c>
      <c r="AH434" s="121">
        <f t="shared" si="147"/>
        <v>63.055336697896323</v>
      </c>
      <c r="AI434" s="121">
        <f t="shared" si="147"/>
        <v>14.736450052261352</v>
      </c>
      <c r="AJ434" s="121">
        <f t="shared" si="147"/>
        <v>17.214037450154624</v>
      </c>
      <c r="AK434" s="121">
        <f t="shared" si="147"/>
        <v>36.946698824564614</v>
      </c>
      <c r="AL434" s="121">
        <f t="shared" si="147"/>
        <v>37.062399927775068</v>
      </c>
      <c r="AM434" s="121">
        <f t="shared" si="147"/>
        <v>54.847133191426593</v>
      </c>
      <c r="AN434" s="121">
        <f t="shared" si="147"/>
        <v>115.38124999999999</v>
      </c>
      <c r="AO434" s="121">
        <f t="shared" si="147"/>
        <v>58.716666666666669</v>
      </c>
      <c r="AP434" s="121">
        <f t="shared" si="147"/>
        <v>60.963282839457193</v>
      </c>
      <c r="AQ434" s="121">
        <f t="shared" si="147"/>
        <v>36.023751831054689</v>
      </c>
      <c r="AR434" s="121">
        <f t="shared" si="147"/>
        <v>97.083333333333329</v>
      </c>
      <c r="AS434" s="121" t="e">
        <f t="shared" si="147"/>
        <v>#DIV/0!</v>
      </c>
      <c r="AT434" s="121">
        <f t="shared" si="147"/>
        <v>96.25</v>
      </c>
      <c r="AU434" s="121" t="e">
        <f t="shared" si="147"/>
        <v>#DIV/0!</v>
      </c>
      <c r="AV434" s="121">
        <f t="shared" si="147"/>
        <v>68.2</v>
      </c>
      <c r="AW434" s="121" t="e">
        <f t="shared" si="147"/>
        <v>#DIV/0!</v>
      </c>
      <c r="AX434" s="121">
        <f t="shared" si="147"/>
        <v>29.783333333333335</v>
      </c>
      <c r="AY434" s="121">
        <f t="shared" si="147"/>
        <v>32.802022043863936</v>
      </c>
      <c r="AZ434" s="121">
        <f t="shared" si="147"/>
        <v>4.166666666666667</v>
      </c>
      <c r="BA434" s="121" t="e">
        <f t="shared" si="147"/>
        <v>#DIV/0!</v>
      </c>
      <c r="BB434" s="121">
        <f t="shared" si="147"/>
        <v>177</v>
      </c>
      <c r="BC434" s="121">
        <f t="shared" si="147"/>
        <v>177.91743189493815</v>
      </c>
      <c r="BD434" s="121">
        <f t="shared" si="147"/>
        <v>6.773333319028219</v>
      </c>
      <c r="BE434" s="121">
        <f t="shared" si="147"/>
        <v>6.8425344149271643</v>
      </c>
      <c r="BF434" s="121">
        <f t="shared" si="147"/>
        <v>30.033333333333335</v>
      </c>
      <c r="BG434" s="121">
        <f t="shared" si="147"/>
        <v>10.083333333333334</v>
      </c>
      <c r="BH434" s="121">
        <f t="shared" si="147"/>
        <v>11.002116600672403</v>
      </c>
      <c r="BI434" s="121" t="e">
        <f t="shared" si="147"/>
        <v>#DIV/0!</v>
      </c>
      <c r="BJ434" s="121">
        <f t="shared" si="147"/>
        <v>10.883333333333333</v>
      </c>
      <c r="BK434" s="121">
        <f t="shared" si="147"/>
        <v>10.883333333333333</v>
      </c>
      <c r="BL434" s="121">
        <f t="shared" si="147"/>
        <v>0</v>
      </c>
      <c r="BM434" s="121" t="e">
        <f t="shared" si="147"/>
        <v>#DIV/0!</v>
      </c>
      <c r="BN434" s="121">
        <f t="shared" si="147"/>
        <v>121.31166687011719</v>
      </c>
      <c r="BO434" s="121">
        <f t="shared" si="147"/>
        <v>72.416666666666671</v>
      </c>
      <c r="BP434" s="121">
        <f t="shared" si="147"/>
        <v>48.895000203450522</v>
      </c>
      <c r="BQ434" s="121">
        <f t="shared" si="147"/>
        <v>271.03333333333336</v>
      </c>
      <c r="BR434" s="121">
        <f t="shared" si="147"/>
        <v>71.42234967549642</v>
      </c>
      <c r="BS434" s="121">
        <f t="shared" ref="BS434:ED434" si="148">AVERAGEA(BS289:BS348)</f>
        <v>24.360733572642008</v>
      </c>
      <c r="BT434" s="121">
        <f t="shared" si="148"/>
        <v>41.02593237559001</v>
      </c>
      <c r="BU434" s="121">
        <f t="shared" si="148"/>
        <v>35.730133374532066</v>
      </c>
      <c r="BV434" s="121">
        <f t="shared" si="148"/>
        <v>69.423333358764651</v>
      </c>
      <c r="BW434" s="121">
        <f t="shared" si="148"/>
        <v>6.201666688919067</v>
      </c>
      <c r="BX434" s="121">
        <f t="shared" si="148"/>
        <v>13.738333400090536</v>
      </c>
      <c r="BY434" s="121">
        <f t="shared" si="148"/>
        <v>28.7</v>
      </c>
      <c r="BZ434" s="121">
        <f t="shared" si="148"/>
        <v>7.3669576419362182</v>
      </c>
      <c r="CA434" s="121">
        <f t="shared" si="148"/>
        <v>7.1</v>
      </c>
      <c r="CB434" s="121">
        <f t="shared" si="148"/>
        <v>29.749525960286459</v>
      </c>
      <c r="CC434" s="121" t="e">
        <f t="shared" si="148"/>
        <v>#DIV/0!</v>
      </c>
      <c r="CD434" s="121">
        <f t="shared" si="148"/>
        <v>340.93117268880206</v>
      </c>
      <c r="CE434" s="121">
        <f t="shared" si="148"/>
        <v>30.242031542460122</v>
      </c>
      <c r="CF434" s="121">
        <f t="shared" si="148"/>
        <v>16.829464960098267</v>
      </c>
      <c r="CG434" s="121">
        <f t="shared" si="148"/>
        <v>35.338191986083984</v>
      </c>
      <c r="CH434" s="121">
        <f t="shared" si="148"/>
        <v>277.76216278076174</v>
      </c>
      <c r="CI434" s="121">
        <f t="shared" si="148"/>
        <v>80.69955698649089</v>
      </c>
      <c r="CJ434" s="121">
        <f t="shared" si="148"/>
        <v>34.026982212066649</v>
      </c>
      <c r="CK434" s="121">
        <f t="shared" si="148"/>
        <v>49.768361473083495</v>
      </c>
      <c r="CL434" s="121">
        <f t="shared" si="148"/>
        <v>24.062316449483237</v>
      </c>
      <c r="CM434" s="121">
        <f t="shared" si="148"/>
        <v>165.96461690266926</v>
      </c>
      <c r="CN434" s="121">
        <f t="shared" si="148"/>
        <v>55.987841224670412</v>
      </c>
      <c r="CO434" s="121">
        <f t="shared" si="148"/>
        <v>49.864494069417319</v>
      </c>
      <c r="CP434" s="121">
        <f t="shared" si="148"/>
        <v>55.592060279846194</v>
      </c>
      <c r="CQ434" s="121">
        <f t="shared" si="148"/>
        <v>0</v>
      </c>
      <c r="CR434" s="121">
        <f t="shared" si="148"/>
        <v>55.389911460876462</v>
      </c>
      <c r="CS434" s="121">
        <f t="shared" si="148"/>
        <v>15.177815032005309</v>
      </c>
      <c r="CT434" s="121">
        <f t="shared" si="148"/>
        <v>32.691196854909258</v>
      </c>
      <c r="CU434" s="121">
        <f t="shared" si="148"/>
        <v>42.503659311930342</v>
      </c>
      <c r="CV434" s="121">
        <f t="shared" si="148"/>
        <v>52.366079648335777</v>
      </c>
      <c r="CW434" s="121">
        <f t="shared" si="148"/>
        <v>13.283333333333333</v>
      </c>
      <c r="CX434" s="121">
        <f t="shared" si="148"/>
        <v>298.81666666666666</v>
      </c>
      <c r="CY434" s="121">
        <f t="shared" si="148"/>
        <v>109.17718620300293</v>
      </c>
      <c r="CZ434" s="121">
        <f t="shared" si="148"/>
        <v>50.414018567403154</v>
      </c>
      <c r="DA434" s="121">
        <f t="shared" si="148"/>
        <v>20.711435413360597</v>
      </c>
      <c r="DB434" s="121">
        <f t="shared" si="148"/>
        <v>30.685706615447998</v>
      </c>
      <c r="DC434" s="121">
        <f t="shared" si="148"/>
        <v>71.341555658976233</v>
      </c>
      <c r="DD434" s="121">
        <f t="shared" si="148"/>
        <v>50.333333333333336</v>
      </c>
      <c r="DE434" s="121">
        <f t="shared" si="148"/>
        <v>169.01666666666668</v>
      </c>
      <c r="DF434" s="121">
        <f t="shared" si="148"/>
        <v>100.01628875732422</v>
      </c>
      <c r="DG434" s="121">
        <f t="shared" si="148"/>
        <v>63.755638504028319</v>
      </c>
      <c r="DH434" s="121">
        <f t="shared" si="148"/>
        <v>41.230904070536297</v>
      </c>
      <c r="DI434" s="121">
        <f t="shared" si="148"/>
        <v>38.5534065246582</v>
      </c>
      <c r="DJ434" s="121">
        <f t="shared" si="148"/>
        <v>219.4</v>
      </c>
      <c r="DK434" s="121">
        <f t="shared" si="148"/>
        <v>115.72774912516276</v>
      </c>
      <c r="DL434" s="121">
        <f t="shared" si="148"/>
        <v>27.480233287811281</v>
      </c>
      <c r="DM434" s="121">
        <f t="shared" si="148"/>
        <v>30.715483315785725</v>
      </c>
      <c r="DN434" s="121">
        <f t="shared" si="148"/>
        <v>51.986033503214522</v>
      </c>
      <c r="DO434" s="121">
        <f t="shared" si="148"/>
        <v>114.68065605163574</v>
      </c>
      <c r="DP434" s="121">
        <f t="shared" si="148"/>
        <v>15.696416759490967</v>
      </c>
      <c r="DQ434" s="121" t="e">
        <f t="shared" si="148"/>
        <v>#DIV/0!</v>
      </c>
      <c r="DR434" s="121">
        <f t="shared" si="148"/>
        <v>10.083333333333334</v>
      </c>
      <c r="DS434" s="121">
        <f t="shared" si="148"/>
        <v>30.124999936421712</v>
      </c>
      <c r="DT434" s="121">
        <f t="shared" si="148"/>
        <v>12.383333333333333</v>
      </c>
      <c r="DU434" s="121" t="e">
        <f t="shared" si="148"/>
        <v>#DIV/0!</v>
      </c>
      <c r="DV434" s="121">
        <f t="shared" si="148"/>
        <v>7.95</v>
      </c>
      <c r="DW434" s="121">
        <f t="shared" si="148"/>
        <v>2.4139611721038818</v>
      </c>
      <c r="DX434" s="121">
        <f t="shared" si="148"/>
        <v>10.516666666666667</v>
      </c>
      <c r="DY434" s="121" t="e">
        <f t="shared" si="148"/>
        <v>#DIV/0!</v>
      </c>
      <c r="DZ434" s="121">
        <f t="shared" si="148"/>
        <v>44.81666666666667</v>
      </c>
      <c r="EA434" s="121">
        <f t="shared" si="148"/>
        <v>3</v>
      </c>
      <c r="EB434" s="121">
        <f t="shared" si="148"/>
        <v>0</v>
      </c>
      <c r="EC434" s="121">
        <f t="shared" si="148"/>
        <v>19.883333333333333</v>
      </c>
      <c r="ED434" s="121">
        <f t="shared" si="148"/>
        <v>233.22333323160808</v>
      </c>
      <c r="EE434" s="129"/>
      <c r="EF434" s="129"/>
      <c r="EG434" s="129"/>
    </row>
    <row r="435" spans="1:138" x14ac:dyDescent="0.3">
      <c r="A435" s="5" t="s">
        <v>362</v>
      </c>
      <c r="B435" s="121">
        <f>AVERAGEA(B294:B353)</f>
        <v>242.01666666666668</v>
      </c>
      <c r="C435" s="121">
        <f t="shared" ref="C435:BR435" si="149">AVERAGEA(C294:C353)</f>
        <v>53.094966570536293</v>
      </c>
      <c r="D435" s="121">
        <f t="shared" si="149"/>
        <v>98.758050028483069</v>
      </c>
      <c r="E435" s="121">
        <f t="shared" si="149"/>
        <v>20.537950054804483</v>
      </c>
      <c r="F435" s="121">
        <f t="shared" si="149"/>
        <v>7.0923288981119788</v>
      </c>
      <c r="G435" s="121">
        <f t="shared" si="149"/>
        <v>18.549400011698406</v>
      </c>
      <c r="H435" s="121">
        <f t="shared" si="149"/>
        <v>323.61666666666667</v>
      </c>
      <c r="I435" s="121">
        <f t="shared" si="149"/>
        <v>289.81666666666666</v>
      </c>
      <c r="J435" s="121">
        <f t="shared" si="149"/>
        <v>60.597066752115886</v>
      </c>
      <c r="K435" s="121">
        <f t="shared" si="149"/>
        <v>62.618309148152669</v>
      </c>
      <c r="L435" s="121">
        <f t="shared" si="149"/>
        <v>47.789016723632813</v>
      </c>
      <c r="M435" s="121">
        <f t="shared" si="149"/>
        <v>12.794583336512249</v>
      </c>
      <c r="N435" s="121">
        <f t="shared" si="149"/>
        <v>17.238666756947836</v>
      </c>
      <c r="O435" s="121">
        <f t="shared" si="149"/>
        <v>18.416666666666668</v>
      </c>
      <c r="P435" s="121">
        <f t="shared" si="149"/>
        <v>0</v>
      </c>
      <c r="Q435" s="121">
        <f t="shared" si="149"/>
        <v>18.899721066157024</v>
      </c>
      <c r="R435" s="121">
        <f t="shared" si="149"/>
        <v>9.4165624618530277</v>
      </c>
      <c r="S435" s="121">
        <f t="shared" si="149"/>
        <v>9.3729910771052047</v>
      </c>
      <c r="T435" s="121">
        <f t="shared" si="149"/>
        <v>5.9</v>
      </c>
      <c r="U435" s="121">
        <f t="shared" si="149"/>
        <v>5.9</v>
      </c>
      <c r="V435" s="121">
        <f t="shared" si="149"/>
        <v>870.2166666666667</v>
      </c>
      <c r="W435" s="121">
        <f t="shared" si="149"/>
        <v>27.703012816111247</v>
      </c>
      <c r="X435" s="121">
        <f t="shared" si="149"/>
        <v>24.526533476511638</v>
      </c>
      <c r="Y435" s="121">
        <f t="shared" si="149"/>
        <v>6.9804333289464315</v>
      </c>
      <c r="Z435" s="121">
        <f t="shared" si="149"/>
        <v>0</v>
      </c>
      <c r="AA435" s="121">
        <f t="shared" si="149"/>
        <v>18.702099990844726</v>
      </c>
      <c r="AB435" s="121">
        <f t="shared" si="149"/>
        <v>0</v>
      </c>
      <c r="AC435" s="121">
        <f t="shared" si="149"/>
        <v>54.348639424641924</v>
      </c>
      <c r="AD435" s="121">
        <f t="shared" si="149"/>
        <v>5.932800094286601</v>
      </c>
      <c r="AE435" s="121">
        <f t="shared" si="149"/>
        <v>0</v>
      </c>
      <c r="AF435" s="121">
        <f t="shared" si="149"/>
        <v>82.6322634379069</v>
      </c>
      <c r="AG435" s="121">
        <f t="shared" si="149"/>
        <v>0</v>
      </c>
      <c r="AH435" s="121">
        <f t="shared" si="149"/>
        <v>63.473372968037921</v>
      </c>
      <c r="AI435" s="121">
        <f t="shared" si="149"/>
        <v>15.041816711425781</v>
      </c>
      <c r="AJ435" s="121">
        <f t="shared" si="149"/>
        <v>17.354574886957803</v>
      </c>
      <c r="AK435" s="121">
        <f t="shared" si="149"/>
        <v>37.325586509704593</v>
      </c>
      <c r="AL435" s="121">
        <f t="shared" si="149"/>
        <v>37.212599945068362</v>
      </c>
      <c r="AM435" s="121">
        <f t="shared" si="149"/>
        <v>54.940449714660645</v>
      </c>
      <c r="AN435" s="121">
        <f t="shared" si="149"/>
        <v>116.16562500000001</v>
      </c>
      <c r="AO435" s="121">
        <f t="shared" si="149"/>
        <v>59.2</v>
      </c>
      <c r="AP435" s="121">
        <f t="shared" si="149"/>
        <v>61.355867830912274</v>
      </c>
      <c r="AQ435" s="121">
        <f t="shared" si="149"/>
        <v>36.327996508280435</v>
      </c>
      <c r="AR435" s="121">
        <f t="shared" si="149"/>
        <v>96.483333333333334</v>
      </c>
      <c r="AS435" s="121" t="e">
        <f t="shared" si="149"/>
        <v>#DIV/0!</v>
      </c>
      <c r="AT435" s="121">
        <f t="shared" si="149"/>
        <v>96.966666666666669</v>
      </c>
      <c r="AU435" s="121" t="e">
        <f t="shared" si="149"/>
        <v>#DIV/0!</v>
      </c>
      <c r="AV435" s="121">
        <f t="shared" si="149"/>
        <v>63.95</v>
      </c>
      <c r="AW435" s="121" t="e">
        <f t="shared" si="149"/>
        <v>#DIV/0!</v>
      </c>
      <c r="AX435" s="121">
        <f t="shared" si="149"/>
        <v>29.85</v>
      </c>
      <c r="AY435" s="121">
        <f t="shared" si="149"/>
        <v>32.857403882344563</v>
      </c>
      <c r="AZ435" s="121">
        <f t="shared" si="149"/>
        <v>4.2833333333333332</v>
      </c>
      <c r="BA435" s="121" t="e">
        <f t="shared" si="149"/>
        <v>#DIV/0!</v>
      </c>
      <c r="BB435" s="121">
        <f t="shared" si="149"/>
        <v>177.51666666666668</v>
      </c>
      <c r="BC435" s="121">
        <f t="shared" si="149"/>
        <v>178.80861816406249</v>
      </c>
      <c r="BD435" s="121">
        <f t="shared" si="149"/>
        <v>6.813333328564962</v>
      </c>
      <c r="BE435" s="121">
        <f t="shared" si="149"/>
        <v>6.8726709524790444</v>
      </c>
      <c r="BF435" s="121">
        <f t="shared" si="149"/>
        <v>30.116666666666667</v>
      </c>
      <c r="BG435" s="121">
        <f t="shared" si="149"/>
        <v>10.083333333333334</v>
      </c>
      <c r="BH435" s="121">
        <f t="shared" si="149"/>
        <v>11.004274924596151</v>
      </c>
      <c r="BI435" s="121" t="e">
        <f t="shared" si="149"/>
        <v>#DIV/0!</v>
      </c>
      <c r="BJ435" s="121">
        <f t="shared" si="149"/>
        <v>10.95</v>
      </c>
      <c r="BK435" s="121">
        <f t="shared" si="149"/>
        <v>10.95</v>
      </c>
      <c r="BL435" s="121">
        <f t="shared" si="149"/>
        <v>0</v>
      </c>
      <c r="BM435" s="121" t="e">
        <f t="shared" si="149"/>
        <v>#DIV/0!</v>
      </c>
      <c r="BN435" s="121">
        <f t="shared" si="149"/>
        <v>121.30166689554851</v>
      </c>
      <c r="BO435" s="121">
        <f t="shared" si="149"/>
        <v>72.416666666666671</v>
      </c>
      <c r="BP435" s="121">
        <f t="shared" si="149"/>
        <v>48.885000228881836</v>
      </c>
      <c r="BQ435" s="121">
        <f t="shared" si="149"/>
        <v>272.66666666666669</v>
      </c>
      <c r="BR435" s="121">
        <f t="shared" si="149"/>
        <v>72.824749883015954</v>
      </c>
      <c r="BS435" s="121">
        <f t="shared" ref="BS435:ED435" si="150">AVERAGEA(BS294:BS353)</f>
        <v>24.297116883595784</v>
      </c>
      <c r="BT435" s="121">
        <f t="shared" si="150"/>
        <v>41.16448243459066</v>
      </c>
      <c r="BU435" s="121">
        <f t="shared" si="150"/>
        <v>35.798000017801918</v>
      </c>
      <c r="BV435" s="121">
        <f t="shared" si="150"/>
        <v>69.533333333333331</v>
      </c>
      <c r="BW435" s="121">
        <f t="shared" si="150"/>
        <v>6.201666688919067</v>
      </c>
      <c r="BX435" s="121">
        <f t="shared" si="150"/>
        <v>13.738333400090536</v>
      </c>
      <c r="BY435" s="121">
        <f t="shared" si="150"/>
        <v>28.866666666666667</v>
      </c>
      <c r="BZ435" s="121">
        <f t="shared" si="150"/>
        <v>5.7073454838556552</v>
      </c>
      <c r="CA435" s="121">
        <f t="shared" si="150"/>
        <v>5.5166666666666666</v>
      </c>
      <c r="CB435" s="121">
        <f t="shared" si="150"/>
        <v>29.943797365824381</v>
      </c>
      <c r="CC435" s="121" t="e">
        <f t="shared" si="150"/>
        <v>#DIV/0!</v>
      </c>
      <c r="CD435" s="121">
        <f t="shared" si="150"/>
        <v>342.25838979085285</v>
      </c>
      <c r="CE435" s="121">
        <f t="shared" si="150"/>
        <v>30.698561922709146</v>
      </c>
      <c r="CF435" s="121">
        <f t="shared" si="150"/>
        <v>16.921691703796387</v>
      </c>
      <c r="CG435" s="121">
        <f t="shared" si="150"/>
        <v>35.338191986083984</v>
      </c>
      <c r="CH435" s="121">
        <f t="shared" si="150"/>
        <v>278.50051371256512</v>
      </c>
      <c r="CI435" s="121">
        <f t="shared" si="150"/>
        <v>81.23918368021647</v>
      </c>
      <c r="CJ435" s="121">
        <f t="shared" si="150"/>
        <v>34.314204915364584</v>
      </c>
      <c r="CK435" s="121">
        <f t="shared" si="150"/>
        <v>49.848499488830569</v>
      </c>
      <c r="CL435" s="121">
        <f t="shared" si="150"/>
        <v>24.087280813852946</v>
      </c>
      <c r="CM435" s="121">
        <f t="shared" si="150"/>
        <v>164.21879196166992</v>
      </c>
      <c r="CN435" s="121">
        <f t="shared" si="150"/>
        <v>54.699927457173665</v>
      </c>
      <c r="CO435" s="121">
        <f t="shared" si="150"/>
        <v>49.684005991617838</v>
      </c>
      <c r="CP435" s="121">
        <f t="shared" si="150"/>
        <v>55.324314626057941</v>
      </c>
      <c r="CQ435" s="121">
        <f t="shared" si="150"/>
        <v>0</v>
      </c>
      <c r="CR435" s="121">
        <f t="shared" si="150"/>
        <v>56.002443186442058</v>
      </c>
      <c r="CS435" s="121">
        <f t="shared" si="150"/>
        <v>15.313591678937277</v>
      </c>
      <c r="CT435" s="121">
        <f t="shared" si="150"/>
        <v>33.313451480865481</v>
      </c>
      <c r="CU435" s="121">
        <f t="shared" si="150"/>
        <v>41.882535552978517</v>
      </c>
      <c r="CV435" s="121">
        <f t="shared" si="150"/>
        <v>52.239985020955402</v>
      </c>
      <c r="CW435" s="121">
        <f t="shared" si="150"/>
        <v>13.466666666666667</v>
      </c>
      <c r="CX435" s="121">
        <f t="shared" si="150"/>
        <v>300.75</v>
      </c>
      <c r="CY435" s="121">
        <f t="shared" si="150"/>
        <v>109.815984471639</v>
      </c>
      <c r="CZ435" s="121">
        <f t="shared" si="150"/>
        <v>50.814023780822751</v>
      </c>
      <c r="DA435" s="121">
        <f t="shared" si="150"/>
        <v>20.736813863118488</v>
      </c>
      <c r="DB435" s="121">
        <f t="shared" si="150"/>
        <v>30.773787943522134</v>
      </c>
      <c r="DC435" s="121">
        <f t="shared" si="150"/>
        <v>71.880972671508786</v>
      </c>
      <c r="DD435" s="121">
        <f t="shared" si="150"/>
        <v>51.616666666666667</v>
      </c>
      <c r="DE435" s="121">
        <f t="shared" si="150"/>
        <v>169.15</v>
      </c>
      <c r="DF435" s="121">
        <f t="shared" si="150"/>
        <v>100.21864725748698</v>
      </c>
      <c r="DG435" s="121">
        <f t="shared" si="150"/>
        <v>64.190454419453943</v>
      </c>
      <c r="DH435" s="121">
        <f t="shared" si="150"/>
        <v>41.383205986022951</v>
      </c>
      <c r="DI435" s="121">
        <f t="shared" si="150"/>
        <v>39.076489384969072</v>
      </c>
      <c r="DJ435" s="121">
        <f t="shared" si="150"/>
        <v>219.96666666666667</v>
      </c>
      <c r="DK435" s="121">
        <f t="shared" si="150"/>
        <v>116.22394905090331</v>
      </c>
      <c r="DL435" s="121">
        <f t="shared" si="150"/>
        <v>27.668733310699462</v>
      </c>
      <c r="DM435" s="121">
        <f t="shared" si="150"/>
        <v>30.792066701253255</v>
      </c>
      <c r="DN435" s="121">
        <f t="shared" si="150"/>
        <v>52.021366818745932</v>
      </c>
      <c r="DO435" s="121">
        <f t="shared" si="150"/>
        <v>115.04818623860677</v>
      </c>
      <c r="DP435" s="121">
        <f t="shared" si="150"/>
        <v>15.798683452606202</v>
      </c>
      <c r="DQ435" s="121" t="e">
        <f t="shared" si="150"/>
        <v>#DIV/0!</v>
      </c>
      <c r="DR435" s="121">
        <f t="shared" si="150"/>
        <v>10.116666666666667</v>
      </c>
      <c r="DS435" s="121">
        <f t="shared" si="150"/>
        <v>30.58666664759318</v>
      </c>
      <c r="DT435" s="121">
        <f t="shared" si="150"/>
        <v>12.4</v>
      </c>
      <c r="DU435" s="121" t="e">
        <f t="shared" si="150"/>
        <v>#DIV/0!</v>
      </c>
      <c r="DV435" s="121">
        <f t="shared" si="150"/>
        <v>8.0833333333333339</v>
      </c>
      <c r="DW435" s="121">
        <f t="shared" si="150"/>
        <v>2.4262942473093667</v>
      </c>
      <c r="DX435" s="121">
        <f t="shared" si="150"/>
        <v>10.616666666666667</v>
      </c>
      <c r="DY435" s="121" t="e">
        <f t="shared" si="150"/>
        <v>#DIV/0!</v>
      </c>
      <c r="DZ435" s="121">
        <f t="shared" si="150"/>
        <v>44.783333333333331</v>
      </c>
      <c r="EA435" s="121">
        <f t="shared" si="150"/>
        <v>3</v>
      </c>
      <c r="EB435" s="121">
        <f t="shared" si="150"/>
        <v>0</v>
      </c>
      <c r="EC435" s="121">
        <f t="shared" si="150"/>
        <v>21.266666666666666</v>
      </c>
      <c r="ED435" s="121">
        <f t="shared" si="150"/>
        <v>234.49666646321614</v>
      </c>
      <c r="EE435" s="129"/>
      <c r="EF435" s="129"/>
      <c r="EG435" s="129"/>
    </row>
    <row r="436" spans="1:138" x14ac:dyDescent="0.3">
      <c r="A436" s="5" t="s">
        <v>363</v>
      </c>
      <c r="B436" s="121">
        <f>AVERAGEA(B299:B358)</f>
        <v>244.46666666666667</v>
      </c>
      <c r="C436" s="121">
        <f t="shared" ref="C436:BR436" si="151">AVERAGEA(C299:C358)</f>
        <v>53.240099970499678</v>
      </c>
      <c r="D436" s="121">
        <f t="shared" si="151"/>
        <v>98.793883387247718</v>
      </c>
      <c r="E436" s="121">
        <f t="shared" si="151"/>
        <v>20.243900028864541</v>
      </c>
      <c r="F436" s="121">
        <f t="shared" si="151"/>
        <v>7.8082850456237791</v>
      </c>
      <c r="G436" s="121">
        <f t="shared" si="151"/>
        <v>18.773716672261557</v>
      </c>
      <c r="H436" s="121">
        <f t="shared" si="151"/>
        <v>325.23333333333335</v>
      </c>
      <c r="I436" s="121">
        <f t="shared" si="151"/>
        <v>291.41666666666669</v>
      </c>
      <c r="J436" s="121">
        <f t="shared" si="151"/>
        <v>60.698866844177246</v>
      </c>
      <c r="K436" s="121">
        <f t="shared" si="151"/>
        <v>62.622429847717285</v>
      </c>
      <c r="L436" s="121">
        <f t="shared" si="151"/>
        <v>48.177800051371257</v>
      </c>
      <c r="M436" s="121">
        <f t="shared" si="151"/>
        <v>12.949150005976358</v>
      </c>
      <c r="N436" s="121">
        <f t="shared" si="151"/>
        <v>17.235483423868814</v>
      </c>
      <c r="O436" s="121">
        <f t="shared" si="151"/>
        <v>18.766666666666666</v>
      </c>
      <c r="P436" s="121">
        <f t="shared" si="151"/>
        <v>0</v>
      </c>
      <c r="Q436" s="121">
        <f t="shared" si="151"/>
        <v>19.235176293055215</v>
      </c>
      <c r="R436" s="121">
        <f t="shared" si="151"/>
        <v>9.9832812150319423</v>
      </c>
      <c r="S436" s="121">
        <f t="shared" si="151"/>
        <v>9.8687299966812141</v>
      </c>
      <c r="T436" s="121">
        <f t="shared" si="151"/>
        <v>5.15</v>
      </c>
      <c r="U436" s="121">
        <f t="shared" si="151"/>
        <v>5.15</v>
      </c>
      <c r="V436" s="121">
        <f t="shared" si="151"/>
        <v>875.58333333333337</v>
      </c>
      <c r="W436" s="121">
        <f t="shared" si="151"/>
        <v>27.954634126027425</v>
      </c>
      <c r="X436" s="121">
        <f t="shared" si="151"/>
        <v>24.537833468119302</v>
      </c>
      <c r="Y436" s="121">
        <f t="shared" si="151"/>
        <v>6.9476000070571899</v>
      </c>
      <c r="Z436" s="121">
        <f t="shared" si="151"/>
        <v>0</v>
      </c>
      <c r="AA436" s="121">
        <f t="shared" si="151"/>
        <v>18.683249982198081</v>
      </c>
      <c r="AB436" s="121">
        <f t="shared" si="151"/>
        <v>0</v>
      </c>
      <c r="AC436" s="121">
        <f t="shared" si="151"/>
        <v>54.622781562805173</v>
      </c>
      <c r="AD436" s="121">
        <f t="shared" si="151"/>
        <v>5.9116000970204672</v>
      </c>
      <c r="AE436" s="121">
        <f t="shared" si="151"/>
        <v>0</v>
      </c>
      <c r="AF436" s="121">
        <f t="shared" si="151"/>
        <v>83.293695322672519</v>
      </c>
      <c r="AG436" s="121">
        <f t="shared" si="151"/>
        <v>0</v>
      </c>
      <c r="AH436" s="121">
        <f t="shared" si="151"/>
        <v>63.874942652384441</v>
      </c>
      <c r="AI436" s="121">
        <f t="shared" si="151"/>
        <v>15.285683377583821</v>
      </c>
      <c r="AJ436" s="121">
        <f t="shared" si="151"/>
        <v>17.432845115661621</v>
      </c>
      <c r="AK436" s="121">
        <f t="shared" si="151"/>
        <v>37.649958864847818</v>
      </c>
      <c r="AL436" s="121">
        <f t="shared" si="151"/>
        <v>37.265633138020831</v>
      </c>
      <c r="AM436" s="121">
        <f t="shared" si="151"/>
        <v>54.990283012390137</v>
      </c>
      <c r="AN436" s="121">
        <f t="shared" si="151"/>
        <v>122.375</v>
      </c>
      <c r="AO436" s="121">
        <f t="shared" si="151"/>
        <v>62.8</v>
      </c>
      <c r="AP436" s="121">
        <f t="shared" si="151"/>
        <v>61.94988257090251</v>
      </c>
      <c r="AQ436" s="121">
        <f t="shared" si="151"/>
        <v>39.126976903279619</v>
      </c>
      <c r="AR436" s="121">
        <f t="shared" si="151"/>
        <v>95.683333333333337</v>
      </c>
      <c r="AS436" s="121" t="e">
        <f t="shared" si="151"/>
        <v>#DIV/0!</v>
      </c>
      <c r="AT436" s="121">
        <f t="shared" si="151"/>
        <v>97.85</v>
      </c>
      <c r="AU436" s="121" t="e">
        <f t="shared" si="151"/>
        <v>#DIV/0!</v>
      </c>
      <c r="AV436" s="121">
        <f t="shared" si="151"/>
        <v>59.883333333333333</v>
      </c>
      <c r="AW436" s="121" t="e">
        <f t="shared" si="151"/>
        <v>#DIV/0!</v>
      </c>
      <c r="AX436" s="121">
        <f t="shared" si="151"/>
        <v>29.983333333333334</v>
      </c>
      <c r="AY436" s="121">
        <f t="shared" si="151"/>
        <v>32.933964856465657</v>
      </c>
      <c r="AZ436" s="121">
        <f t="shared" si="151"/>
        <v>4.5333333333333332</v>
      </c>
      <c r="BA436" s="121" t="e">
        <f t="shared" si="151"/>
        <v>#DIV/0!</v>
      </c>
      <c r="BB436" s="121">
        <f t="shared" si="151"/>
        <v>177.91666666666666</v>
      </c>
      <c r="BC436" s="121">
        <f t="shared" si="151"/>
        <v>179.65439809163411</v>
      </c>
      <c r="BD436" s="121">
        <f t="shared" si="151"/>
        <v>6.8799999952316284</v>
      </c>
      <c r="BE436" s="121">
        <f t="shared" si="151"/>
        <v>6.935864988962809</v>
      </c>
      <c r="BF436" s="121">
        <f t="shared" si="151"/>
        <v>30.216666666666665</v>
      </c>
      <c r="BG436" s="121">
        <f t="shared" si="151"/>
        <v>10.1</v>
      </c>
      <c r="BH436" s="121">
        <f t="shared" si="151"/>
        <v>11.022736247380575</v>
      </c>
      <c r="BI436" s="121" t="e">
        <f t="shared" si="151"/>
        <v>#DIV/0!</v>
      </c>
      <c r="BJ436" s="121">
        <f t="shared" si="151"/>
        <v>11.05</v>
      </c>
      <c r="BK436" s="121">
        <f t="shared" si="151"/>
        <v>11.05</v>
      </c>
      <c r="BL436" s="121">
        <f t="shared" si="151"/>
        <v>0</v>
      </c>
      <c r="BM436" s="121" t="e">
        <f t="shared" si="151"/>
        <v>#DIV/0!</v>
      </c>
      <c r="BN436" s="121">
        <f t="shared" si="151"/>
        <v>121.33666693369547</v>
      </c>
      <c r="BO436" s="121">
        <f t="shared" si="151"/>
        <v>72.433333333333337</v>
      </c>
      <c r="BP436" s="121">
        <f t="shared" si="151"/>
        <v>48.903333600362139</v>
      </c>
      <c r="BQ436" s="121">
        <f t="shared" si="151"/>
        <v>274.39999999999998</v>
      </c>
      <c r="BR436" s="121">
        <f t="shared" si="151"/>
        <v>74.176266352335617</v>
      </c>
      <c r="BS436" s="121">
        <f t="shared" ref="BS436:ED436" si="152">AVERAGEA(BS299:BS358)</f>
        <v>24.356450176239015</v>
      </c>
      <c r="BT436" s="121">
        <f t="shared" si="152"/>
        <v>41.343432490030928</v>
      </c>
      <c r="BU436" s="121">
        <f t="shared" si="152"/>
        <v>35.976133346557617</v>
      </c>
      <c r="BV436" s="121">
        <f t="shared" si="152"/>
        <v>69.60999997456868</v>
      </c>
      <c r="BW436" s="121">
        <f t="shared" si="152"/>
        <v>6.2066666841506954</v>
      </c>
      <c r="BX436" s="121">
        <f t="shared" si="152"/>
        <v>13.763333384195963</v>
      </c>
      <c r="BY436" s="121">
        <f t="shared" si="152"/>
        <v>29.016666666666666</v>
      </c>
      <c r="BZ436" s="121">
        <f t="shared" si="152"/>
        <v>4.0483775272344547</v>
      </c>
      <c r="CA436" s="121">
        <f t="shared" si="152"/>
        <v>3.9166666666666665</v>
      </c>
      <c r="CB436" s="121">
        <f t="shared" si="152"/>
        <v>30.107936477661134</v>
      </c>
      <c r="CC436" s="121" t="e">
        <f t="shared" si="152"/>
        <v>#DIV/0!</v>
      </c>
      <c r="CD436" s="121">
        <f t="shared" si="152"/>
        <v>343.69200032552084</v>
      </c>
      <c r="CE436" s="121">
        <f t="shared" si="152"/>
        <v>31.215937678019205</v>
      </c>
      <c r="CF436" s="121">
        <f t="shared" si="152"/>
        <v>16.974159797032673</v>
      </c>
      <c r="CG436" s="121">
        <f t="shared" si="152"/>
        <v>35.338191986083984</v>
      </c>
      <c r="CH436" s="121">
        <f t="shared" si="152"/>
        <v>279.34837392171227</v>
      </c>
      <c r="CI436" s="121">
        <f t="shared" si="152"/>
        <v>81.769102859497067</v>
      </c>
      <c r="CJ436" s="121">
        <f t="shared" si="152"/>
        <v>34.674714597066242</v>
      </c>
      <c r="CK436" s="121">
        <f t="shared" si="152"/>
        <v>50.01330909729004</v>
      </c>
      <c r="CL436" s="121">
        <f t="shared" si="152"/>
        <v>24.114165592193604</v>
      </c>
      <c r="CM436" s="121">
        <f t="shared" si="152"/>
        <v>165.50370686848959</v>
      </c>
      <c r="CN436" s="121">
        <f t="shared" si="152"/>
        <v>54.334237607320148</v>
      </c>
      <c r="CO436" s="121">
        <f t="shared" si="152"/>
        <v>49.440923881530765</v>
      </c>
      <c r="CP436" s="121">
        <f t="shared" si="152"/>
        <v>56.860743141174318</v>
      </c>
      <c r="CQ436" s="121">
        <f t="shared" si="152"/>
        <v>0</v>
      </c>
      <c r="CR436" s="121">
        <f t="shared" si="152"/>
        <v>56.383061472574873</v>
      </c>
      <c r="CS436" s="121">
        <f t="shared" si="152"/>
        <v>15.343666942914327</v>
      </c>
      <c r="CT436" s="121">
        <f t="shared" si="152"/>
        <v>33.967857901255293</v>
      </c>
      <c r="CU436" s="121">
        <f t="shared" si="152"/>
        <v>41.392572848002118</v>
      </c>
      <c r="CV436" s="121">
        <f t="shared" si="152"/>
        <v>52.422763633728025</v>
      </c>
      <c r="CW436" s="121">
        <f t="shared" si="152"/>
        <v>13.55</v>
      </c>
      <c r="CX436" s="121">
        <f t="shared" si="152"/>
        <v>303.05</v>
      </c>
      <c r="CY436" s="121">
        <f t="shared" si="152"/>
        <v>110.36881942749024</v>
      </c>
      <c r="CZ436" s="121">
        <f t="shared" si="152"/>
        <v>51.334470812479658</v>
      </c>
      <c r="DA436" s="121">
        <f t="shared" si="152"/>
        <v>20.74300177892049</v>
      </c>
      <c r="DB436" s="121">
        <f t="shared" si="152"/>
        <v>31.091818428039552</v>
      </c>
      <c r="DC436" s="121">
        <f t="shared" si="152"/>
        <v>72.496176528930661</v>
      </c>
      <c r="DD436" s="121">
        <f t="shared" si="152"/>
        <v>52.916666666666664</v>
      </c>
      <c r="DE436" s="121">
        <f t="shared" si="152"/>
        <v>169.38333333333333</v>
      </c>
      <c r="DF436" s="121">
        <f t="shared" si="152"/>
        <v>100.48733139038086</v>
      </c>
      <c r="DG436" s="121">
        <f t="shared" si="152"/>
        <v>64.818774477640787</v>
      </c>
      <c r="DH436" s="121">
        <f t="shared" si="152"/>
        <v>41.515944163004555</v>
      </c>
      <c r="DI436" s="121">
        <f t="shared" si="152"/>
        <v>39.486388015747067</v>
      </c>
      <c r="DJ436" s="121">
        <f t="shared" si="152"/>
        <v>220.9</v>
      </c>
      <c r="DK436" s="121">
        <f t="shared" si="152"/>
        <v>116.84314931233725</v>
      </c>
      <c r="DL436" s="121">
        <f t="shared" si="152"/>
        <v>27.951466655731203</v>
      </c>
      <c r="DM436" s="121">
        <f t="shared" si="152"/>
        <v>31.171999963124595</v>
      </c>
      <c r="DN436" s="121">
        <f t="shared" si="152"/>
        <v>52.109700202941895</v>
      </c>
      <c r="DO436" s="121">
        <f t="shared" si="152"/>
        <v>115.39426816304525</v>
      </c>
      <c r="DP436" s="121">
        <f t="shared" si="152"/>
        <v>15.834050130844116</v>
      </c>
      <c r="DQ436" s="121" t="e">
        <f t="shared" si="152"/>
        <v>#DIV/0!</v>
      </c>
      <c r="DR436" s="121">
        <f t="shared" si="152"/>
        <v>14.583333333333334</v>
      </c>
      <c r="DS436" s="121">
        <f t="shared" si="152"/>
        <v>31.148333358764649</v>
      </c>
      <c r="DT436" s="121">
        <f t="shared" si="152"/>
        <v>12.466666666666667</v>
      </c>
      <c r="DU436" s="121" t="e">
        <f t="shared" si="152"/>
        <v>#DIV/0!</v>
      </c>
      <c r="DV436" s="121">
        <f t="shared" si="152"/>
        <v>7.9833333333333334</v>
      </c>
      <c r="DW436" s="121">
        <f t="shared" si="152"/>
        <v>2.441862912972768</v>
      </c>
      <c r="DX436" s="121">
        <f t="shared" si="152"/>
        <v>10.666666666666666</v>
      </c>
      <c r="DY436" s="121" t="e">
        <f t="shared" si="152"/>
        <v>#DIV/0!</v>
      </c>
      <c r="DZ436" s="121">
        <f t="shared" si="152"/>
        <v>44.7</v>
      </c>
      <c r="EA436" s="121">
        <f t="shared" si="152"/>
        <v>3</v>
      </c>
      <c r="EB436" s="121">
        <f t="shared" si="152"/>
        <v>0</v>
      </c>
      <c r="EC436" s="121">
        <f t="shared" si="152"/>
        <v>23.6</v>
      </c>
      <c r="ED436" s="121">
        <f t="shared" si="152"/>
        <v>235.92333323160807</v>
      </c>
      <c r="EE436" s="129"/>
      <c r="EF436" s="129"/>
      <c r="EG436" s="129"/>
    </row>
    <row r="437" spans="1:138" x14ac:dyDescent="0.3">
      <c r="A437" s="160" t="s">
        <v>364</v>
      </c>
      <c r="B437" s="121">
        <f>AVERAGEA(B304:B363)</f>
        <v>247.33333333333334</v>
      </c>
      <c r="C437" s="121">
        <f t="shared" ref="C437:BR437" si="153">AVERAGEA(C304:C363)</f>
        <v>53.42293326059977</v>
      </c>
      <c r="D437" s="121">
        <f t="shared" si="153"/>
        <v>98.939016850789386</v>
      </c>
      <c r="E437" s="121">
        <f t="shared" si="153"/>
        <v>20.500266758600869</v>
      </c>
      <c r="F437" s="121">
        <f t="shared" si="153"/>
        <v>8.2599197467168164</v>
      </c>
      <c r="G437" s="121">
        <f t="shared" si="153"/>
        <v>19.039483324686685</v>
      </c>
      <c r="H437" s="121">
        <f t="shared" si="153"/>
        <v>326.76666666666665</v>
      </c>
      <c r="I437" s="121">
        <f t="shared" si="153"/>
        <v>293.08333333333331</v>
      </c>
      <c r="J437" s="121">
        <f t="shared" si="153"/>
        <v>60.874166806538902</v>
      </c>
      <c r="K437" s="121">
        <f t="shared" si="153"/>
        <v>62.704374567667642</v>
      </c>
      <c r="L437" s="121">
        <f t="shared" si="153"/>
        <v>48.383966700236002</v>
      </c>
      <c r="M437" s="121">
        <f t="shared" si="153"/>
        <v>13.135783354441324</v>
      </c>
      <c r="N437" s="121">
        <f t="shared" si="153"/>
        <v>17.219600073496501</v>
      </c>
      <c r="O437" s="121">
        <f t="shared" si="153"/>
        <v>19.05</v>
      </c>
      <c r="P437" s="121">
        <f t="shared" si="153"/>
        <v>0</v>
      </c>
      <c r="Q437" s="121">
        <f t="shared" si="153"/>
        <v>19.615166648228964</v>
      </c>
      <c r="R437" s="121">
        <f t="shared" si="153"/>
        <v>10.783437458674113</v>
      </c>
      <c r="S437" s="121">
        <f t="shared" si="153"/>
        <v>10.655062484741212</v>
      </c>
      <c r="T437" s="121">
        <f t="shared" si="153"/>
        <v>4.5333333333333332</v>
      </c>
      <c r="U437" s="121">
        <f t="shared" si="153"/>
        <v>4.5333333333333332</v>
      </c>
      <c r="V437" s="121">
        <f t="shared" si="153"/>
        <v>881.3</v>
      </c>
      <c r="W437" s="121">
        <f t="shared" si="153"/>
        <v>28.313004525502524</v>
      </c>
      <c r="X437" s="121">
        <f t="shared" si="153"/>
        <v>24.517116769154867</v>
      </c>
      <c r="Y437" s="121">
        <f t="shared" si="153"/>
        <v>6.9338333447774252</v>
      </c>
      <c r="Z437" s="121">
        <f t="shared" si="153"/>
        <v>0</v>
      </c>
      <c r="AA437" s="121">
        <f t="shared" si="153"/>
        <v>18.715283362070718</v>
      </c>
      <c r="AB437" s="121">
        <f t="shared" si="153"/>
        <v>0</v>
      </c>
      <c r="AC437" s="121">
        <f t="shared" si="153"/>
        <v>55.027045949300131</v>
      </c>
      <c r="AD437" s="121">
        <f t="shared" si="153"/>
        <v>5.9031001091003414</v>
      </c>
      <c r="AE437" s="121">
        <f t="shared" si="153"/>
        <v>0</v>
      </c>
      <c r="AF437" s="121">
        <f t="shared" si="153"/>
        <v>84.082952372233066</v>
      </c>
      <c r="AG437" s="121">
        <f t="shared" si="153"/>
        <v>0</v>
      </c>
      <c r="AH437" s="121">
        <f t="shared" si="153"/>
        <v>64.441868782043457</v>
      </c>
      <c r="AI437" s="121">
        <f t="shared" si="153"/>
        <v>15.50940006573995</v>
      </c>
      <c r="AJ437" s="121">
        <f t="shared" si="153"/>
        <v>17.755251407623291</v>
      </c>
      <c r="AK437" s="121">
        <f t="shared" si="153"/>
        <v>37.970514678955077</v>
      </c>
      <c r="AL437" s="121">
        <f t="shared" si="153"/>
        <v>37.303933016459148</v>
      </c>
      <c r="AM437" s="121">
        <f t="shared" si="153"/>
        <v>55.057083066304521</v>
      </c>
      <c r="AN437" s="121">
        <f t="shared" si="153"/>
        <v>129.71458333333334</v>
      </c>
      <c r="AO437" s="121">
        <f t="shared" si="153"/>
        <v>67.066666666666663</v>
      </c>
      <c r="AP437" s="121">
        <f t="shared" si="153"/>
        <v>62.399148750305173</v>
      </c>
      <c r="AQ437" s="121">
        <f t="shared" si="153"/>
        <v>42.532020950317381</v>
      </c>
      <c r="AR437" s="121">
        <f t="shared" si="153"/>
        <v>94.8</v>
      </c>
      <c r="AS437" s="121" t="e">
        <f t="shared" si="153"/>
        <v>#DIV/0!</v>
      </c>
      <c r="AT437" s="121">
        <f t="shared" si="153"/>
        <v>98.816666666666663</v>
      </c>
      <c r="AU437" s="121" t="e">
        <f t="shared" si="153"/>
        <v>#DIV/0!</v>
      </c>
      <c r="AV437" s="121">
        <f t="shared" si="153"/>
        <v>57.05</v>
      </c>
      <c r="AW437" s="121" t="e">
        <f t="shared" si="153"/>
        <v>#DIV/0!</v>
      </c>
      <c r="AX437" s="121">
        <f t="shared" si="153"/>
        <v>30.166666666666668</v>
      </c>
      <c r="AY437" s="121">
        <f t="shared" si="153"/>
        <v>33.050406138102211</v>
      </c>
      <c r="AZ437" s="121">
        <f t="shared" si="153"/>
        <v>4.6166666666666663</v>
      </c>
      <c r="BA437" s="121" t="e">
        <f t="shared" si="153"/>
        <v>#DIV/0!</v>
      </c>
      <c r="BB437" s="121">
        <f t="shared" si="153"/>
        <v>178.4</v>
      </c>
      <c r="BC437" s="121">
        <f t="shared" si="153"/>
        <v>180.48514378865559</v>
      </c>
      <c r="BD437" s="121">
        <f t="shared" si="153"/>
        <v>6.8650000015894568</v>
      </c>
      <c r="BE437" s="121">
        <f t="shared" si="153"/>
        <v>6.9186292409896852</v>
      </c>
      <c r="BF437" s="121">
        <f t="shared" si="153"/>
        <v>30.366666666666667</v>
      </c>
      <c r="BG437" s="121">
        <f t="shared" si="153"/>
        <v>10.116666666666667</v>
      </c>
      <c r="BH437" s="121">
        <f t="shared" si="153"/>
        <v>11.053483009338379</v>
      </c>
      <c r="BI437" s="121" t="e">
        <f t="shared" si="153"/>
        <v>#DIV/0!</v>
      </c>
      <c r="BJ437" s="121">
        <f t="shared" si="153"/>
        <v>11.1</v>
      </c>
      <c r="BK437" s="121">
        <f t="shared" si="153"/>
        <v>11.1</v>
      </c>
      <c r="BL437" s="121">
        <f t="shared" si="153"/>
        <v>0</v>
      </c>
      <c r="BM437" s="121" t="e">
        <f t="shared" si="153"/>
        <v>#DIV/0!</v>
      </c>
      <c r="BN437" s="121">
        <f t="shared" si="153"/>
        <v>121.31666692097981</v>
      </c>
      <c r="BO437" s="121">
        <f t="shared" si="153"/>
        <v>72.416666666666671</v>
      </c>
      <c r="BP437" s="121">
        <f t="shared" si="153"/>
        <v>48.900000254313149</v>
      </c>
      <c r="BQ437" s="121">
        <f t="shared" si="153"/>
        <v>281.16666666666669</v>
      </c>
      <c r="BR437" s="121">
        <f t="shared" si="153"/>
        <v>75.876483027140296</v>
      </c>
      <c r="BS437" s="121">
        <f t="shared" ref="BS437:ED437" si="154">AVERAGEA(BS304:BS363)</f>
        <v>24.101983483632406</v>
      </c>
      <c r="BT437" s="121">
        <f t="shared" si="154"/>
        <v>46.186682510375974</v>
      </c>
      <c r="BU437" s="121">
        <f t="shared" si="154"/>
        <v>36.059899997711184</v>
      </c>
      <c r="BV437" s="121">
        <f t="shared" si="154"/>
        <v>69.691666666666663</v>
      </c>
      <c r="BW437" s="121">
        <f t="shared" si="154"/>
        <v>6.2316666841506958</v>
      </c>
      <c r="BX437" s="121">
        <f t="shared" si="154"/>
        <v>13.808333381017048</v>
      </c>
      <c r="BY437" s="121">
        <f t="shared" si="154"/>
        <v>29.183333333333334</v>
      </c>
      <c r="BZ437" s="121">
        <f t="shared" si="154"/>
        <v>2.3892200581884633</v>
      </c>
      <c r="CA437" s="121">
        <f t="shared" si="154"/>
        <v>2.35</v>
      </c>
      <c r="CB437" s="121">
        <f t="shared" si="154"/>
        <v>30.271512126922609</v>
      </c>
      <c r="CC437" s="121" t="e">
        <f t="shared" si="154"/>
        <v>#DIV/0!</v>
      </c>
      <c r="CD437" s="121">
        <f t="shared" si="154"/>
        <v>345.32078399658201</v>
      </c>
      <c r="CE437" s="121">
        <f t="shared" si="154"/>
        <v>31.520332082112631</v>
      </c>
      <c r="CF437" s="121">
        <f t="shared" si="154"/>
        <v>16.991049544016519</v>
      </c>
      <c r="CG437" s="121">
        <f t="shared" si="154"/>
        <v>35.338191986083984</v>
      </c>
      <c r="CH437" s="121">
        <f t="shared" si="154"/>
        <v>280.43953348795571</v>
      </c>
      <c r="CI437" s="121">
        <f t="shared" si="154"/>
        <v>82.68975779215495</v>
      </c>
      <c r="CJ437" s="121">
        <f t="shared" si="154"/>
        <v>35.032993062337241</v>
      </c>
      <c r="CK437" s="121">
        <f t="shared" si="154"/>
        <v>50.547597630818686</v>
      </c>
      <c r="CL437" s="121">
        <f t="shared" si="154"/>
        <v>24.207626406351725</v>
      </c>
      <c r="CM437" s="121">
        <f t="shared" si="154"/>
        <v>168.48289184570314</v>
      </c>
      <c r="CN437" s="121">
        <f t="shared" si="154"/>
        <v>54.857809066772461</v>
      </c>
      <c r="CO437" s="121">
        <f t="shared" si="154"/>
        <v>49.302287928263347</v>
      </c>
      <c r="CP437" s="121">
        <f t="shared" si="154"/>
        <v>59.769881629943846</v>
      </c>
      <c r="CQ437" s="121">
        <f t="shared" si="154"/>
        <v>0</v>
      </c>
      <c r="CR437" s="121">
        <f t="shared" si="154"/>
        <v>56.817438125610352</v>
      </c>
      <c r="CS437" s="121">
        <f t="shared" si="154"/>
        <v>15.394526680310568</v>
      </c>
      <c r="CT437" s="121">
        <f t="shared" si="154"/>
        <v>34.410304959615068</v>
      </c>
      <c r="CU437" s="121">
        <f t="shared" si="154"/>
        <v>40.86035499572754</v>
      </c>
      <c r="CV437" s="121">
        <f t="shared" si="154"/>
        <v>53.188831583658853</v>
      </c>
      <c r="CW437" s="121">
        <f t="shared" si="154"/>
        <v>13.65</v>
      </c>
      <c r="CX437" s="121">
        <f t="shared" si="154"/>
        <v>305.81666666666666</v>
      </c>
      <c r="CY437" s="121">
        <f t="shared" si="154"/>
        <v>111.61027297973632</v>
      </c>
      <c r="CZ437" s="121">
        <f t="shared" si="154"/>
        <v>51.925395647684731</v>
      </c>
      <c r="DA437" s="121">
        <f t="shared" si="154"/>
        <v>21.004557164510093</v>
      </c>
      <c r="DB437" s="121">
        <f t="shared" si="154"/>
        <v>31.340401204427085</v>
      </c>
      <c r="DC437" s="121">
        <f t="shared" si="154"/>
        <v>73.16511955261231</v>
      </c>
      <c r="DD437" s="121">
        <f t="shared" si="154"/>
        <v>54.416666666666664</v>
      </c>
      <c r="DE437" s="121">
        <f t="shared" si="154"/>
        <v>169.73333333333332</v>
      </c>
      <c r="DF437" s="121">
        <f t="shared" si="154"/>
        <v>100.86415201822916</v>
      </c>
      <c r="DG437" s="121">
        <f t="shared" si="154"/>
        <v>65.462155596415201</v>
      </c>
      <c r="DH437" s="121">
        <f t="shared" si="154"/>
        <v>41.556212170918783</v>
      </c>
      <c r="DI437" s="121">
        <f t="shared" si="154"/>
        <v>40.072040049235028</v>
      </c>
      <c r="DJ437" s="121">
        <f t="shared" si="154"/>
        <v>222.05</v>
      </c>
      <c r="DK437" s="121">
        <f t="shared" si="154"/>
        <v>117.72533276875814</v>
      </c>
      <c r="DL437" s="121">
        <f t="shared" si="154"/>
        <v>28.422716617584229</v>
      </c>
      <c r="DM437" s="121">
        <f t="shared" si="154"/>
        <v>31.481233310699462</v>
      </c>
      <c r="DN437" s="121">
        <f t="shared" si="154"/>
        <v>52.377716827392575</v>
      </c>
      <c r="DO437" s="121">
        <f t="shared" si="154"/>
        <v>115.72378476460774</v>
      </c>
      <c r="DP437" s="121">
        <f t="shared" si="154"/>
        <v>15.917983436584473</v>
      </c>
      <c r="DQ437" s="121" t="e">
        <f t="shared" si="154"/>
        <v>#DIV/0!</v>
      </c>
      <c r="DR437" s="121">
        <f t="shared" si="154"/>
        <v>20.166666666666668</v>
      </c>
      <c r="DS437" s="121">
        <f t="shared" si="154"/>
        <v>31.976666673024496</v>
      </c>
      <c r="DT437" s="121">
        <f t="shared" si="154"/>
        <v>12.533333333333333</v>
      </c>
      <c r="DU437" s="121" t="e">
        <f t="shared" si="154"/>
        <v>#DIV/0!</v>
      </c>
      <c r="DV437" s="121">
        <f t="shared" si="154"/>
        <v>7.833333333333333</v>
      </c>
      <c r="DW437" s="121">
        <f t="shared" si="154"/>
        <v>2.4826583584149677</v>
      </c>
      <c r="DX437" s="121">
        <f t="shared" si="154"/>
        <v>10.683333333333334</v>
      </c>
      <c r="DY437" s="121" t="e">
        <f t="shared" si="154"/>
        <v>#DIV/0!</v>
      </c>
      <c r="DZ437" s="121">
        <f t="shared" si="154"/>
        <v>44.583333333333336</v>
      </c>
      <c r="EA437" s="121">
        <f t="shared" si="154"/>
        <v>3</v>
      </c>
      <c r="EB437" s="121">
        <f>AVERAGEA(EB304:EB363)</f>
        <v>0</v>
      </c>
      <c r="EC437" s="121">
        <f t="shared" si="154"/>
        <v>24.983333333333334</v>
      </c>
      <c r="ED437" s="121">
        <f t="shared" si="154"/>
        <v>237.46333338419598</v>
      </c>
      <c r="EE437" s="129"/>
      <c r="EF437" s="129"/>
      <c r="EG437" s="129"/>
    </row>
    <row r="438" spans="1:138" ht="17.25" thickBot="1" x14ac:dyDescent="0.35"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  <c r="AP438" s="121"/>
      <c r="AQ438" s="121"/>
      <c r="AR438" s="121"/>
      <c r="AS438" s="121"/>
      <c r="AT438" s="121"/>
      <c r="AU438" s="121"/>
      <c r="AV438" s="121"/>
      <c r="AW438" s="121"/>
      <c r="AX438" s="121"/>
      <c r="AY438" s="121"/>
      <c r="AZ438" s="121"/>
      <c r="BA438" s="121"/>
      <c r="BB438" s="121"/>
      <c r="BC438" s="121"/>
      <c r="BD438" s="121"/>
      <c r="BE438" s="121"/>
      <c r="BF438" s="121"/>
      <c r="BG438" s="121"/>
      <c r="BH438" s="121"/>
      <c r="BI438" s="121"/>
      <c r="BJ438" s="121"/>
      <c r="BK438" s="121"/>
      <c r="BL438" s="121"/>
      <c r="BM438" s="121"/>
      <c r="BN438" s="121"/>
      <c r="BO438" s="121"/>
      <c r="BP438" s="121"/>
      <c r="BQ438" s="121"/>
      <c r="BR438" s="121"/>
      <c r="BS438" s="121"/>
      <c r="BT438" s="121"/>
      <c r="BU438" s="121"/>
      <c r="BV438" s="121"/>
      <c r="BW438" s="121"/>
      <c r="BX438" s="121"/>
      <c r="BY438" s="121"/>
      <c r="BZ438" s="121"/>
      <c r="CA438" s="121"/>
      <c r="CB438" s="121"/>
      <c r="CC438" s="121"/>
      <c r="CD438" s="121"/>
      <c r="CE438" s="121"/>
      <c r="CF438" s="121"/>
      <c r="CG438" s="121"/>
      <c r="CH438" s="121"/>
      <c r="CI438" s="121"/>
      <c r="CJ438" s="121"/>
      <c r="CK438" s="121"/>
      <c r="CL438" s="121"/>
      <c r="CM438" s="121"/>
      <c r="CN438" s="121"/>
      <c r="CO438" s="121"/>
      <c r="CP438" s="121"/>
      <c r="CQ438" s="121"/>
      <c r="CR438" s="121"/>
      <c r="CS438" s="121"/>
      <c r="CT438" s="121"/>
      <c r="CU438" s="121"/>
      <c r="CV438" s="121"/>
      <c r="CW438" s="121"/>
      <c r="CX438" s="121"/>
      <c r="CY438" s="121"/>
      <c r="CZ438" s="121"/>
      <c r="DA438" s="121"/>
      <c r="DB438" s="121"/>
      <c r="DC438" s="121"/>
      <c r="DD438" s="121"/>
      <c r="DE438" s="121"/>
      <c r="DF438" s="121"/>
      <c r="DG438" s="121"/>
      <c r="DH438" s="121"/>
      <c r="DI438" s="121"/>
      <c r="DJ438" s="121"/>
      <c r="DK438" s="121"/>
      <c r="DL438" s="121"/>
      <c r="DM438" s="121"/>
      <c r="DN438" s="121"/>
      <c r="DO438" s="121"/>
      <c r="DP438" s="121"/>
      <c r="DQ438" s="121"/>
      <c r="DR438" s="121"/>
      <c r="DS438" s="121"/>
      <c r="DT438" s="121"/>
      <c r="DU438" s="121"/>
      <c r="DV438" s="121"/>
      <c r="DW438" s="121"/>
      <c r="DX438" s="121"/>
      <c r="DY438" s="121"/>
      <c r="DZ438" s="121"/>
      <c r="EA438" s="121"/>
      <c r="EB438" s="121"/>
      <c r="EC438" s="121"/>
      <c r="ED438" s="121"/>
      <c r="EE438" s="129"/>
      <c r="EF438" s="129"/>
      <c r="EG438" s="129"/>
    </row>
    <row r="439" spans="1:138" ht="18" customHeight="1" x14ac:dyDescent="0.3">
      <c r="A439" s="142" t="s">
        <v>112</v>
      </c>
      <c r="B439" s="143" t="s">
        <v>365</v>
      </c>
      <c r="C439" s="143" t="s">
        <v>114</v>
      </c>
      <c r="D439" s="143" t="s">
        <v>44</v>
      </c>
      <c r="E439" s="143" t="s">
        <v>45</v>
      </c>
      <c r="F439" s="143" t="s">
        <v>46</v>
      </c>
      <c r="G439" s="143" t="s">
        <v>47</v>
      </c>
      <c r="H439" s="144" t="s">
        <v>195</v>
      </c>
      <c r="I439" s="144" t="s">
        <v>117</v>
      </c>
      <c r="J439" s="143" t="s">
        <v>273</v>
      </c>
      <c r="K439" s="143" t="s">
        <v>49</v>
      </c>
      <c r="L439" s="143" t="s">
        <v>50</v>
      </c>
      <c r="M439" s="143" t="s">
        <v>51</v>
      </c>
      <c r="N439" s="143" t="s">
        <v>52</v>
      </c>
      <c r="O439" s="144" t="s">
        <v>117</v>
      </c>
      <c r="P439" s="143" t="s">
        <v>195</v>
      </c>
      <c r="Q439" s="143" t="s">
        <v>274</v>
      </c>
      <c r="R439" s="143" t="s">
        <v>366</v>
      </c>
      <c r="S439" s="143" t="s">
        <v>275</v>
      </c>
      <c r="T439" s="143" t="s">
        <v>431</v>
      </c>
      <c r="U439" s="143" t="s">
        <v>100</v>
      </c>
      <c r="V439" s="144" t="s">
        <v>367</v>
      </c>
      <c r="W439" s="144" t="s">
        <v>293</v>
      </c>
      <c r="X439" s="144" t="s">
        <v>57</v>
      </c>
      <c r="Y439" s="144" t="s">
        <v>58</v>
      </c>
      <c r="Z439" s="144" t="s">
        <v>59</v>
      </c>
      <c r="AA439" s="144" t="s">
        <v>60</v>
      </c>
      <c r="AB439" s="144" t="s">
        <v>61</v>
      </c>
      <c r="AC439" s="144" t="s">
        <v>62</v>
      </c>
      <c r="AD439" s="144" t="s">
        <v>63</v>
      </c>
      <c r="AE439" s="144" t="s">
        <v>64</v>
      </c>
      <c r="AF439" s="144" t="s">
        <v>65</v>
      </c>
      <c r="AG439" s="144" t="s">
        <v>66</v>
      </c>
      <c r="AH439" s="144" t="s">
        <v>67</v>
      </c>
      <c r="AI439" s="144" t="s">
        <v>68</v>
      </c>
      <c r="AJ439" s="144" t="s">
        <v>69</v>
      </c>
      <c r="AK439" s="143" t="s">
        <v>280</v>
      </c>
      <c r="AL439" s="143" t="s">
        <v>368</v>
      </c>
      <c r="AM439" s="143" t="s">
        <v>369</v>
      </c>
      <c r="AN439" s="143" t="s">
        <v>370</v>
      </c>
      <c r="AO439" s="143" t="s">
        <v>299</v>
      </c>
      <c r="AP439" s="143" t="s">
        <v>70</v>
      </c>
      <c r="AQ439" s="143" t="s">
        <v>71</v>
      </c>
      <c r="AR439" s="143" t="s">
        <v>371</v>
      </c>
      <c r="AS439" s="143" t="s">
        <v>374</v>
      </c>
      <c r="AT439" s="144" t="s">
        <v>372</v>
      </c>
      <c r="AU439" s="143" t="s">
        <v>373</v>
      </c>
      <c r="AV439" s="143" t="s">
        <v>375</v>
      </c>
      <c r="AW439" s="143" t="s">
        <v>9</v>
      </c>
      <c r="AX439" s="143" t="s">
        <v>376</v>
      </c>
      <c r="AY439" s="143" t="s">
        <v>204</v>
      </c>
      <c r="AZ439" s="143" t="s">
        <v>377</v>
      </c>
      <c r="BA439" s="143" t="s">
        <v>378</v>
      </c>
      <c r="BB439" s="143" t="s">
        <v>379</v>
      </c>
      <c r="BC439" s="143" t="s">
        <v>380</v>
      </c>
      <c r="BD439" s="143" t="s">
        <v>381</v>
      </c>
      <c r="BE439" s="143" t="s">
        <v>382</v>
      </c>
      <c r="BF439" s="143" t="s">
        <v>383</v>
      </c>
      <c r="BG439" s="143" t="s">
        <v>722</v>
      </c>
      <c r="BH439" s="143" t="s">
        <v>723</v>
      </c>
      <c r="BI439" s="143" t="s">
        <v>16</v>
      </c>
      <c r="BJ439" s="143" t="s">
        <v>704</v>
      </c>
      <c r="BK439" s="143" t="s">
        <v>384</v>
      </c>
      <c r="BL439" s="143" t="s">
        <v>724</v>
      </c>
      <c r="BM439" s="143" t="s">
        <v>385</v>
      </c>
      <c r="BN439" s="143" t="s">
        <v>696</v>
      </c>
      <c r="BO439" s="143" t="s">
        <v>692</v>
      </c>
      <c r="BP439" s="143" t="s">
        <v>694</v>
      </c>
      <c r="BQ439" s="143" t="s">
        <v>386</v>
      </c>
      <c r="BR439" s="143" t="s">
        <v>72</v>
      </c>
      <c r="BS439" s="143" t="s">
        <v>73</v>
      </c>
      <c r="BT439" s="143" t="s">
        <v>74</v>
      </c>
      <c r="BU439" s="143" t="s">
        <v>75</v>
      </c>
      <c r="BV439" s="143" t="s">
        <v>387</v>
      </c>
      <c r="BW439" s="143" t="s">
        <v>388</v>
      </c>
      <c r="BX439" s="143" t="s">
        <v>389</v>
      </c>
      <c r="BY439" s="143" t="s">
        <v>391</v>
      </c>
      <c r="BZ439" s="143" t="s">
        <v>232</v>
      </c>
      <c r="CA439" s="143" t="s">
        <v>390</v>
      </c>
      <c r="CB439" s="143" t="s">
        <v>234</v>
      </c>
      <c r="CC439" s="143" t="s">
        <v>392</v>
      </c>
      <c r="CD439" s="143" t="s">
        <v>38</v>
      </c>
      <c r="CE439" s="143" t="s">
        <v>76</v>
      </c>
      <c r="CF439" s="143" t="s">
        <v>653</v>
      </c>
      <c r="CG439" s="143" t="s">
        <v>393</v>
      </c>
      <c r="CH439" s="143" t="s">
        <v>394</v>
      </c>
      <c r="CI439" s="143" t="s">
        <v>0</v>
      </c>
      <c r="CJ439" s="143" t="s">
        <v>395</v>
      </c>
      <c r="CK439" s="143" t="s">
        <v>396</v>
      </c>
      <c r="CL439" s="143" t="s">
        <v>108</v>
      </c>
      <c r="CM439" s="143" t="s">
        <v>397</v>
      </c>
      <c r="CN439" s="143" t="s">
        <v>398</v>
      </c>
      <c r="CO439" s="143" t="s">
        <v>399</v>
      </c>
      <c r="CP439" s="143" t="s">
        <v>400</v>
      </c>
      <c r="CQ439" s="143" t="s">
        <v>401</v>
      </c>
      <c r="CR439" s="143" t="s">
        <v>79</v>
      </c>
      <c r="CS439" s="143" t="s">
        <v>136</v>
      </c>
      <c r="CT439" s="143" t="s">
        <v>402</v>
      </c>
      <c r="CU439" s="143" t="s">
        <v>403</v>
      </c>
      <c r="CV439" s="143" t="s">
        <v>404</v>
      </c>
      <c r="CW439" s="143" t="s">
        <v>405</v>
      </c>
      <c r="CX439" s="143" t="s">
        <v>406</v>
      </c>
      <c r="CY439" s="143" t="s">
        <v>87</v>
      </c>
      <c r="CZ439" s="143" t="s">
        <v>175</v>
      </c>
      <c r="DA439" s="143" t="s">
        <v>407</v>
      </c>
      <c r="DB439" s="143" t="s">
        <v>408</v>
      </c>
      <c r="DC439" s="143" t="s">
        <v>409</v>
      </c>
      <c r="DD439" s="143" t="s">
        <v>410</v>
      </c>
      <c r="DE439" s="143" t="s">
        <v>411</v>
      </c>
      <c r="DF439" s="143" t="s">
        <v>212</v>
      </c>
      <c r="DG439" s="143" t="s">
        <v>412</v>
      </c>
      <c r="DH439" s="143" t="s">
        <v>413</v>
      </c>
      <c r="DI439" s="143" t="s">
        <v>414</v>
      </c>
      <c r="DJ439" s="143" t="s">
        <v>415</v>
      </c>
      <c r="DK439" s="143" t="s">
        <v>416</v>
      </c>
      <c r="DL439" s="143" t="s">
        <v>96</v>
      </c>
      <c r="DM439" s="143" t="s">
        <v>417</v>
      </c>
      <c r="DN439" s="143" t="s">
        <v>104</v>
      </c>
      <c r="DO439" s="143" t="s">
        <v>105</v>
      </c>
      <c r="DP439" s="143" t="s">
        <v>303</v>
      </c>
      <c r="DQ439" s="143"/>
      <c r="DR439" s="143" t="s">
        <v>109</v>
      </c>
      <c r="DS439" s="143" t="s">
        <v>183</v>
      </c>
      <c r="DT439" s="143" t="s">
        <v>110</v>
      </c>
      <c r="DU439" s="143"/>
      <c r="DV439" s="143" t="s">
        <v>300</v>
      </c>
      <c r="DW439" s="143" t="s">
        <v>35</v>
      </c>
      <c r="DX439" s="143" t="s">
        <v>418</v>
      </c>
      <c r="DY439" s="153"/>
      <c r="DZ439" s="143" t="s">
        <v>665</v>
      </c>
      <c r="EA439" s="143" t="s">
        <v>423</v>
      </c>
      <c r="EB439" s="143" t="s">
        <v>427</v>
      </c>
      <c r="EC439" s="145" t="s">
        <v>425</v>
      </c>
      <c r="ED439" s="145" t="s">
        <v>715</v>
      </c>
      <c r="EE439"/>
      <c r="EF439"/>
      <c r="EG439"/>
    </row>
    <row r="440" spans="1:138" ht="18" thickBot="1" x14ac:dyDescent="0.35">
      <c r="A440" s="139">
        <f>IFERROR(DATEVALUE(SUBSTITUTE(SUBSTITUTE(SUBSTITUTE(SUBSTITUTE(LEFT([1]운영일보!D1,9),"년","-"),"월","-"),"일",""),".","-")),[1]운영일보!D1) +1</f>
        <v>1</v>
      </c>
      <c r="B440" s="146">
        <f t="shared" ref="B440:BM440" si="155">MIN(B377:B437)</f>
        <v>210.76666666666668</v>
      </c>
      <c r="C440" s="146">
        <f t="shared" si="155"/>
        <v>48.554100290934244</v>
      </c>
      <c r="D440" s="146">
        <f t="shared" si="155"/>
        <v>95.870250320434565</v>
      </c>
      <c r="E440" s="146">
        <f t="shared" si="155"/>
        <v>16.803866656621299</v>
      </c>
      <c r="F440" s="146">
        <f t="shared" si="155"/>
        <v>1.997491216659546</v>
      </c>
      <c r="G440" s="146">
        <f t="shared" si="155"/>
        <v>16.758616654078164</v>
      </c>
      <c r="H440" s="146">
        <f t="shared" si="155"/>
        <v>304.58333333333331</v>
      </c>
      <c r="I440" s="146">
        <f t="shared" si="155"/>
        <v>271.93333333333334</v>
      </c>
      <c r="J440" s="146">
        <f t="shared" si="155"/>
        <v>60.446250216166177</v>
      </c>
      <c r="K440" s="146">
        <f t="shared" si="155"/>
        <v>60.400438117980954</v>
      </c>
      <c r="L440" s="146">
        <f t="shared" si="155"/>
        <v>43.447733561197914</v>
      </c>
      <c r="M440" s="146">
        <f t="shared" si="155"/>
        <v>11.833283297220866</v>
      </c>
      <c r="N440" s="146">
        <f t="shared" si="155"/>
        <v>17.025583600997926</v>
      </c>
      <c r="O440" s="146">
        <f t="shared" si="155"/>
        <v>16.433333333333334</v>
      </c>
      <c r="P440" s="146">
        <f t="shared" si="155"/>
        <v>0</v>
      </c>
      <c r="Q440" s="146">
        <f t="shared" si="155"/>
        <v>16.788743877410887</v>
      </c>
      <c r="R440" s="146">
        <f t="shared" si="155"/>
        <v>4.1324999491373697</v>
      </c>
      <c r="S440" s="146">
        <f t="shared" si="155"/>
        <v>4.9219543019930523</v>
      </c>
      <c r="T440" s="146">
        <f t="shared" si="155"/>
        <v>4.45</v>
      </c>
      <c r="U440" s="146">
        <f t="shared" si="155"/>
        <v>4.45</v>
      </c>
      <c r="V440" s="146">
        <f t="shared" si="155"/>
        <v>843.75</v>
      </c>
      <c r="W440" s="146">
        <f t="shared" si="155"/>
        <v>25.568621921539307</v>
      </c>
      <c r="X440" s="146">
        <f t="shared" si="155"/>
        <v>24.439800230662026</v>
      </c>
      <c r="Y440" s="146">
        <f t="shared" si="155"/>
        <v>6.0548500378926597</v>
      </c>
      <c r="Z440" s="146">
        <f t="shared" si="155"/>
        <v>0</v>
      </c>
      <c r="AA440" s="146">
        <f t="shared" si="155"/>
        <v>18.383516693115233</v>
      </c>
      <c r="AB440" s="146">
        <f t="shared" si="155"/>
        <v>0</v>
      </c>
      <c r="AC440" s="146">
        <f t="shared" si="155"/>
        <v>51.320355796813963</v>
      </c>
      <c r="AD440" s="146">
        <f t="shared" si="155"/>
        <v>5.9031001091003414</v>
      </c>
      <c r="AE440" s="146">
        <f t="shared" si="155"/>
        <v>0</v>
      </c>
      <c r="AF440" s="146">
        <f t="shared" si="155"/>
        <v>79.630315399169916</v>
      </c>
      <c r="AG440" s="146">
        <f t="shared" si="155"/>
        <v>0</v>
      </c>
      <c r="AH440" s="146">
        <f t="shared" si="155"/>
        <v>59.836030006408691</v>
      </c>
      <c r="AI440" s="146">
        <f t="shared" si="155"/>
        <v>11.999783356984457</v>
      </c>
      <c r="AJ440" s="146">
        <f t="shared" si="155"/>
        <v>15.944715213775634</v>
      </c>
      <c r="AK440" s="146">
        <f t="shared" si="155"/>
        <v>35.874720891316734</v>
      </c>
      <c r="AL440" s="146">
        <f t="shared" si="155"/>
        <v>35.813633219401041</v>
      </c>
      <c r="AM440" s="146">
        <f t="shared" si="155"/>
        <v>54.743183008829753</v>
      </c>
      <c r="AN440" s="146">
        <f t="shared" si="155"/>
        <v>111.68854166666667</v>
      </c>
      <c r="AO440" s="146">
        <f t="shared" si="155"/>
        <v>56.783333333333331</v>
      </c>
      <c r="AP440" s="146">
        <f t="shared" si="155"/>
        <v>59.120028114318849</v>
      </c>
      <c r="AQ440" s="146">
        <f t="shared" si="155"/>
        <v>34.962172126770021</v>
      </c>
      <c r="AR440" s="146">
        <f t="shared" si="155"/>
        <v>83.88333333333334</v>
      </c>
      <c r="AS440" s="146" t="e">
        <f t="shared" si="155"/>
        <v>#DIV/0!</v>
      </c>
      <c r="AT440" s="146">
        <f t="shared" si="155"/>
        <v>95.916666666666671</v>
      </c>
      <c r="AU440" s="146" t="e">
        <f t="shared" si="155"/>
        <v>#DIV/0!</v>
      </c>
      <c r="AV440" s="146">
        <f t="shared" si="155"/>
        <v>54.416666666666664</v>
      </c>
      <c r="AW440" s="146" t="e">
        <f t="shared" si="155"/>
        <v>#DIV/0!</v>
      </c>
      <c r="AX440" s="146">
        <f t="shared" si="155"/>
        <v>29.483333333333334</v>
      </c>
      <c r="AY440" s="146">
        <f t="shared" si="155"/>
        <v>32.389781729380289</v>
      </c>
      <c r="AZ440" s="146">
        <f t="shared" si="155"/>
        <v>3.6833333333333331</v>
      </c>
      <c r="BA440" s="146" t="e">
        <f t="shared" si="155"/>
        <v>#DIV/0!</v>
      </c>
      <c r="BB440" s="146">
        <f t="shared" si="155"/>
        <v>176.26666666666668</v>
      </c>
      <c r="BC440" s="146">
        <f t="shared" si="155"/>
        <v>176.05192616780599</v>
      </c>
      <c r="BD440" s="146">
        <f t="shared" si="155"/>
        <v>6.5966665824254358</v>
      </c>
      <c r="BE440" s="146">
        <f t="shared" si="155"/>
        <v>6.654758278528849</v>
      </c>
      <c r="BF440" s="146">
        <f t="shared" si="155"/>
        <v>29.366666666666667</v>
      </c>
      <c r="BG440" s="146">
        <f t="shared" si="155"/>
        <v>10.050000000000001</v>
      </c>
      <c r="BH440" s="146">
        <f t="shared" si="155"/>
        <v>10.96327470143636</v>
      </c>
      <c r="BI440" s="146" t="e">
        <f t="shared" si="155"/>
        <v>#DIV/0!</v>
      </c>
      <c r="BJ440" s="146">
        <f t="shared" si="155"/>
        <v>10.366666666666667</v>
      </c>
      <c r="BK440" s="146">
        <f t="shared" si="155"/>
        <v>10.366666666666667</v>
      </c>
      <c r="BL440" s="146">
        <f t="shared" si="155"/>
        <v>0</v>
      </c>
      <c r="BM440" s="146" t="e">
        <f t="shared" si="155"/>
        <v>#DIV/0!</v>
      </c>
      <c r="BN440" s="146">
        <f t="shared" ref="BN440:DY440" si="156">MIN(BN377:BN437)</f>
        <v>120.48000030517578</v>
      </c>
      <c r="BO440" s="146">
        <f t="shared" si="156"/>
        <v>72.266666666666666</v>
      </c>
      <c r="BP440" s="146">
        <f t="shared" si="156"/>
        <v>48.151666959126793</v>
      </c>
      <c r="BQ440" s="146">
        <f t="shared" si="156"/>
        <v>262.36666666666667</v>
      </c>
      <c r="BR440" s="146">
        <f t="shared" si="156"/>
        <v>66.080383427937832</v>
      </c>
      <c r="BS440" s="146">
        <f t="shared" si="156"/>
        <v>24.101983483632406</v>
      </c>
      <c r="BT440" s="146">
        <f t="shared" si="156"/>
        <v>40.656465339660642</v>
      </c>
      <c r="BU440" s="146">
        <f t="shared" si="156"/>
        <v>33.601083374023439</v>
      </c>
      <c r="BV440" s="146">
        <f t="shared" si="156"/>
        <v>68.996666590372726</v>
      </c>
      <c r="BW440" s="146">
        <f t="shared" si="156"/>
        <v>5.7833333889643352</v>
      </c>
      <c r="BX440" s="146">
        <f t="shared" si="156"/>
        <v>13.563333336512247</v>
      </c>
      <c r="BY440" s="146">
        <f t="shared" si="156"/>
        <v>28.283333333333335</v>
      </c>
      <c r="BZ440" s="146">
        <f t="shared" si="156"/>
        <v>1.4105707903703054E-2</v>
      </c>
      <c r="CA440" s="146">
        <f t="shared" si="156"/>
        <v>0.11666666666666667</v>
      </c>
      <c r="CB440" s="146">
        <f t="shared" si="156"/>
        <v>29.171509997049967</v>
      </c>
      <c r="CC440" s="146" t="e">
        <f t="shared" si="156"/>
        <v>#DIV/0!</v>
      </c>
      <c r="CD440" s="146">
        <f t="shared" si="156"/>
        <v>332.46124877929685</v>
      </c>
      <c r="CE440" s="146">
        <f t="shared" si="156"/>
        <v>29.284590752919517</v>
      </c>
      <c r="CF440" s="146">
        <f t="shared" si="156"/>
        <v>16.682582251230876</v>
      </c>
      <c r="CG440" s="146">
        <f t="shared" si="156"/>
        <v>35.338191986083984</v>
      </c>
      <c r="CH440" s="146">
        <f t="shared" si="156"/>
        <v>271.51519063313805</v>
      </c>
      <c r="CI440" s="146">
        <f t="shared" si="156"/>
        <v>77.171879704793298</v>
      </c>
      <c r="CJ440" s="146">
        <f t="shared" si="156"/>
        <v>32.77827132542928</v>
      </c>
      <c r="CK440" s="146">
        <f t="shared" si="156"/>
        <v>47.314433924357097</v>
      </c>
      <c r="CL440" s="146">
        <f t="shared" si="156"/>
        <v>24.062316449483237</v>
      </c>
      <c r="CM440" s="146">
        <f t="shared" si="156"/>
        <v>164.21879196166992</v>
      </c>
      <c r="CN440" s="146">
        <f t="shared" si="156"/>
        <v>52.666149711608888</v>
      </c>
      <c r="CO440" s="146">
        <f t="shared" si="156"/>
        <v>49.302287928263347</v>
      </c>
      <c r="CP440" s="146">
        <f t="shared" si="156"/>
        <v>55.324314626057941</v>
      </c>
      <c r="CQ440" s="146">
        <f t="shared" si="156"/>
        <v>0</v>
      </c>
      <c r="CR440" s="146">
        <f t="shared" si="156"/>
        <v>48.088500849405925</v>
      </c>
      <c r="CS440" s="146">
        <f t="shared" si="156"/>
        <v>7.9165302832921345</v>
      </c>
      <c r="CT440" s="146">
        <f t="shared" si="156"/>
        <v>29.929259618123371</v>
      </c>
      <c r="CU440" s="146">
        <f t="shared" si="156"/>
        <v>39.337095642089842</v>
      </c>
      <c r="CV440" s="146">
        <f t="shared" si="156"/>
        <v>52.239985020955402</v>
      </c>
      <c r="CW440" s="146">
        <f t="shared" si="156"/>
        <v>3.1333333333333333</v>
      </c>
      <c r="CX440" s="146">
        <f t="shared" si="156"/>
        <v>293.14999999999998</v>
      </c>
      <c r="CY440" s="146">
        <f t="shared" si="156"/>
        <v>107.92376073201497</v>
      </c>
      <c r="CZ440" s="146">
        <f t="shared" si="156"/>
        <v>47.088481267293297</v>
      </c>
      <c r="DA440" s="146">
        <f t="shared" si="156"/>
        <v>19.65365810394287</v>
      </c>
      <c r="DB440" s="146">
        <f t="shared" si="156"/>
        <v>30.203117815653481</v>
      </c>
      <c r="DC440" s="146">
        <f t="shared" si="156"/>
        <v>70.221483612060553</v>
      </c>
      <c r="DD440" s="146">
        <f t="shared" si="156"/>
        <v>44.85</v>
      </c>
      <c r="DE440" s="146">
        <f t="shared" si="156"/>
        <v>168.36666666666667</v>
      </c>
      <c r="DF440" s="146">
        <f t="shared" si="156"/>
        <v>97.251313527425125</v>
      </c>
      <c r="DG440" s="146">
        <f t="shared" si="156"/>
        <v>62.650705464680989</v>
      </c>
      <c r="DH440" s="146">
        <f t="shared" si="156"/>
        <v>40.525480016072592</v>
      </c>
      <c r="DI440" s="146">
        <f t="shared" si="156"/>
        <v>36.665082041422529</v>
      </c>
      <c r="DJ440" s="146">
        <f t="shared" si="156"/>
        <v>203.26666666666668</v>
      </c>
      <c r="DK440" s="146">
        <f t="shared" si="156"/>
        <v>102.43179918924967</v>
      </c>
      <c r="DL440" s="146">
        <f t="shared" si="156"/>
        <v>24.160816733042399</v>
      </c>
      <c r="DM440" s="146">
        <f t="shared" si="156"/>
        <v>24.362550036112467</v>
      </c>
      <c r="DN440" s="146">
        <f t="shared" si="156"/>
        <v>48.560600026448569</v>
      </c>
      <c r="DO440" s="146">
        <f t="shared" si="156"/>
        <v>111.10856959025065</v>
      </c>
      <c r="DP440" s="146">
        <f t="shared" si="156"/>
        <v>15.202566719055175</v>
      </c>
      <c r="DQ440" s="146" t="e">
        <f t="shared" si="156"/>
        <v>#DIV/0!</v>
      </c>
      <c r="DR440" s="146">
        <f t="shared" si="156"/>
        <v>8.9499999999999993</v>
      </c>
      <c r="DS440" s="146">
        <f t="shared" si="156"/>
        <v>28.444999853769939</v>
      </c>
      <c r="DT440" s="146">
        <f t="shared" si="156"/>
        <v>12.066666666666666</v>
      </c>
      <c r="DU440" s="146" t="e">
        <f t="shared" si="156"/>
        <v>#DIV/0!</v>
      </c>
      <c r="DV440" s="146">
        <f t="shared" si="156"/>
        <v>7.75</v>
      </c>
      <c r="DW440" s="146">
        <f t="shared" si="156"/>
        <v>1.3532158315181733</v>
      </c>
      <c r="DX440" s="146">
        <f t="shared" si="156"/>
        <v>9.9833333333333325</v>
      </c>
      <c r="DY440" s="154" t="e">
        <f t="shared" si="156"/>
        <v>#DIV/0!</v>
      </c>
      <c r="DZ440" s="146">
        <f t="shared" ref="DZ440:ED440" si="157">MIN(DZ377:DZ437)</f>
        <v>44.43333333333333</v>
      </c>
      <c r="EA440" s="146">
        <f t="shared" si="157"/>
        <v>3</v>
      </c>
      <c r="EB440" s="146">
        <f t="shared" si="157"/>
        <v>0</v>
      </c>
      <c r="EC440" s="147">
        <f t="shared" si="157"/>
        <v>1.0166666666666666</v>
      </c>
      <c r="ED440" s="147">
        <f t="shared" si="157"/>
        <v>228.03666687011719</v>
      </c>
      <c r="EE440" s="129"/>
      <c r="EF440" s="129"/>
      <c r="EG440" s="129"/>
    </row>
    <row r="441" spans="1:138" ht="17.25" thickBot="1" x14ac:dyDescent="0.35">
      <c r="A441" s="160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/>
      <c r="AQ441" s="129"/>
      <c r="AR441" s="129"/>
      <c r="AS441" s="129"/>
      <c r="AT441" s="129"/>
      <c r="AU441" s="129"/>
      <c r="AV441" s="129"/>
      <c r="AW441" s="129"/>
      <c r="AX441" s="129"/>
      <c r="AY441" s="129"/>
      <c r="AZ441" s="129"/>
      <c r="BA441" s="129"/>
      <c r="BB441" s="129"/>
      <c r="BC441" s="129"/>
      <c r="BD441" s="129"/>
      <c r="BE441" s="129"/>
      <c r="BF441" s="129"/>
      <c r="BG441" s="129"/>
      <c r="BH441" s="129"/>
      <c r="BI441" s="129"/>
      <c r="BJ441" s="129"/>
      <c r="BK441" s="129"/>
      <c r="BL441" s="129"/>
      <c r="BM441" s="129"/>
      <c r="BN441" s="129"/>
      <c r="BO441" s="129"/>
      <c r="BP441" s="129"/>
      <c r="BQ441" s="129"/>
      <c r="BR441" s="129"/>
      <c r="BS441" s="129"/>
      <c r="BT441" s="129"/>
      <c r="BU441" s="129"/>
      <c r="BV441" s="129"/>
      <c r="BW441" s="129"/>
      <c r="BX441" s="129"/>
      <c r="BY441" s="129"/>
      <c r="BZ441" s="129"/>
      <c r="CA441" s="129"/>
      <c r="CB441" s="129"/>
      <c r="CC441" s="129"/>
      <c r="CD441" s="129"/>
      <c r="CE441" s="129"/>
      <c r="CF441" s="129"/>
      <c r="CG441" s="129"/>
      <c r="CH441" s="129"/>
      <c r="CI441" s="129"/>
      <c r="CJ441" s="129"/>
      <c r="CK441" s="129"/>
      <c r="CL441" s="129"/>
      <c r="CM441" s="129"/>
      <c r="CN441" s="129"/>
      <c r="CO441" s="129"/>
      <c r="CP441" s="129"/>
      <c r="CQ441" s="129"/>
      <c r="CR441" s="129"/>
      <c r="CS441" s="129"/>
      <c r="CT441" s="129"/>
      <c r="CU441" s="129"/>
      <c r="CV441" s="129"/>
      <c r="CW441" s="129"/>
      <c r="CX441" s="129"/>
      <c r="CY441" s="129"/>
      <c r="CZ441" s="129"/>
      <c r="DA441" s="129"/>
      <c r="DB441" s="129"/>
      <c r="DC441" s="129"/>
      <c r="DD441" s="129"/>
      <c r="DE441" s="129"/>
      <c r="DF441" s="129"/>
      <c r="DG441" s="129"/>
      <c r="DH441" s="129"/>
      <c r="DI441" s="129"/>
      <c r="DJ441" s="129"/>
      <c r="DK441" s="129"/>
      <c r="DL441" s="129"/>
      <c r="DM441" s="129"/>
      <c r="DN441" s="129"/>
      <c r="DO441" s="129"/>
      <c r="DP441" s="129"/>
      <c r="DQ441" s="129"/>
      <c r="DR441" s="129"/>
      <c r="DS441" s="129"/>
      <c r="DT441" s="129"/>
      <c r="DU441" s="129"/>
      <c r="DV441" s="129"/>
      <c r="DW441" s="129"/>
      <c r="DX441" s="129"/>
      <c r="DY441" s="129"/>
      <c r="DZ441" s="129"/>
      <c r="EA441" s="129"/>
      <c r="EB441" s="129"/>
      <c r="EC441" s="129"/>
      <c r="ED441" s="129"/>
      <c r="EE441" s="129"/>
      <c r="EF441" s="129"/>
      <c r="EG441" s="129"/>
    </row>
    <row r="442" spans="1:138" x14ac:dyDescent="0.3">
      <c r="A442" s="140" t="s">
        <v>419</v>
      </c>
      <c r="B442" s="148" t="s">
        <v>365</v>
      </c>
      <c r="C442" s="148" t="s">
        <v>114</v>
      </c>
      <c r="D442" s="148" t="s">
        <v>44</v>
      </c>
      <c r="E442" s="148" t="s">
        <v>45</v>
      </c>
      <c r="F442" s="148" t="s">
        <v>46</v>
      </c>
      <c r="G442" s="148" t="s">
        <v>47</v>
      </c>
      <c r="H442" s="149" t="s">
        <v>196</v>
      </c>
      <c r="I442" s="149" t="s">
        <v>297</v>
      </c>
      <c r="J442" s="148" t="s">
        <v>273</v>
      </c>
      <c r="K442" s="148" t="s">
        <v>49</v>
      </c>
      <c r="L442" s="148" t="s">
        <v>50</v>
      </c>
      <c r="M442" s="148" t="s">
        <v>51</v>
      </c>
      <c r="N442" s="148" t="s">
        <v>52</v>
      </c>
      <c r="O442" s="149" t="s">
        <v>117</v>
      </c>
      <c r="P442" s="148" t="s">
        <v>195</v>
      </c>
      <c r="Q442" s="148" t="s">
        <v>274</v>
      </c>
      <c r="R442" s="148" t="s">
        <v>366</v>
      </c>
      <c r="S442" s="148" t="s">
        <v>275</v>
      </c>
      <c r="T442" s="148" t="s">
        <v>431</v>
      </c>
      <c r="U442" s="148" t="s">
        <v>100</v>
      </c>
      <c r="V442" s="149" t="s">
        <v>367</v>
      </c>
      <c r="W442" s="149" t="s">
        <v>293</v>
      </c>
      <c r="X442" s="149" t="s">
        <v>57</v>
      </c>
      <c r="Y442" s="149" t="s">
        <v>58</v>
      </c>
      <c r="Z442" s="149" t="s">
        <v>59</v>
      </c>
      <c r="AA442" s="149" t="s">
        <v>60</v>
      </c>
      <c r="AB442" s="149" t="s">
        <v>61</v>
      </c>
      <c r="AC442" s="149" t="s">
        <v>62</v>
      </c>
      <c r="AD442" s="149" t="s">
        <v>63</v>
      </c>
      <c r="AE442" s="149" t="s">
        <v>64</v>
      </c>
      <c r="AF442" s="149" t="s">
        <v>65</v>
      </c>
      <c r="AG442" s="149" t="s">
        <v>66</v>
      </c>
      <c r="AH442" s="149" t="s">
        <v>67</v>
      </c>
      <c r="AI442" s="149" t="s">
        <v>68</v>
      </c>
      <c r="AJ442" s="149" t="s">
        <v>69</v>
      </c>
      <c r="AK442" s="148" t="s">
        <v>280</v>
      </c>
      <c r="AL442" s="148" t="s">
        <v>368</v>
      </c>
      <c r="AM442" s="148" t="s">
        <v>369</v>
      </c>
      <c r="AN442" s="148" t="s">
        <v>370</v>
      </c>
      <c r="AO442" s="148" t="s">
        <v>299</v>
      </c>
      <c r="AP442" s="148" t="s">
        <v>70</v>
      </c>
      <c r="AQ442" s="148" t="s">
        <v>71</v>
      </c>
      <c r="AR442" s="148" t="s">
        <v>371</v>
      </c>
      <c r="AS442" s="148" t="s">
        <v>374</v>
      </c>
      <c r="AT442" s="149" t="s">
        <v>372</v>
      </c>
      <c r="AU442" s="148" t="s">
        <v>373</v>
      </c>
      <c r="AV442" s="148" t="s">
        <v>375</v>
      </c>
      <c r="AW442" s="148" t="s">
        <v>9</v>
      </c>
      <c r="AX442" s="148" t="s">
        <v>376</v>
      </c>
      <c r="AY442" s="148" t="s">
        <v>204</v>
      </c>
      <c r="AZ442" s="148" t="s">
        <v>377</v>
      </c>
      <c r="BA442" s="148" t="s">
        <v>378</v>
      </c>
      <c r="BB442" s="148" t="s">
        <v>379</v>
      </c>
      <c r="BC442" s="148" t="s">
        <v>380</v>
      </c>
      <c r="BD442" s="148" t="s">
        <v>381</v>
      </c>
      <c r="BE442" s="148" t="s">
        <v>382</v>
      </c>
      <c r="BF442" s="148" t="s">
        <v>383</v>
      </c>
      <c r="BG442" s="148" t="s">
        <v>722</v>
      </c>
      <c r="BH442" s="148" t="s">
        <v>723</v>
      </c>
      <c r="BI442" s="148" t="s">
        <v>16</v>
      </c>
      <c r="BJ442" s="150" t="s">
        <v>703</v>
      </c>
      <c r="BK442" s="148" t="s">
        <v>384</v>
      </c>
      <c r="BL442" s="150" t="s">
        <v>724</v>
      </c>
      <c r="BM442" s="150" t="s">
        <v>385</v>
      </c>
      <c r="BN442" s="150" t="s">
        <v>695</v>
      </c>
      <c r="BO442" s="150" t="s">
        <v>691</v>
      </c>
      <c r="BP442" s="150" t="s">
        <v>693</v>
      </c>
      <c r="BQ442" s="150" t="s">
        <v>386</v>
      </c>
      <c r="BR442" s="150" t="s">
        <v>72</v>
      </c>
      <c r="BS442" s="150" t="s">
        <v>73</v>
      </c>
      <c r="BT442" s="150" t="s">
        <v>74</v>
      </c>
      <c r="BU442" s="150" t="s">
        <v>75</v>
      </c>
      <c r="BV442" s="150" t="s">
        <v>387</v>
      </c>
      <c r="BW442" s="150" t="s">
        <v>388</v>
      </c>
      <c r="BX442" s="150" t="s">
        <v>389</v>
      </c>
      <c r="BY442" s="150" t="s">
        <v>706</v>
      </c>
      <c r="BZ442" s="150" t="s">
        <v>232</v>
      </c>
      <c r="CA442" s="150" t="s">
        <v>705</v>
      </c>
      <c r="CB442" s="150" t="s">
        <v>234</v>
      </c>
      <c r="CC442" s="150" t="s">
        <v>392</v>
      </c>
      <c r="CD442" s="150" t="s">
        <v>38</v>
      </c>
      <c r="CE442" s="150" t="s">
        <v>76</v>
      </c>
      <c r="CF442" s="150" t="s">
        <v>664</v>
      </c>
      <c r="CG442" s="150" t="s">
        <v>393</v>
      </c>
      <c r="CH442" s="150" t="s">
        <v>394</v>
      </c>
      <c r="CI442" s="150" t="s">
        <v>0</v>
      </c>
      <c r="CJ442" s="150" t="s">
        <v>395</v>
      </c>
      <c r="CK442" s="150" t="s">
        <v>396</v>
      </c>
      <c r="CL442" s="150" t="s">
        <v>108</v>
      </c>
      <c r="CM442" s="150" t="s">
        <v>397</v>
      </c>
      <c r="CN442" s="150" t="s">
        <v>398</v>
      </c>
      <c r="CO442" s="150" t="s">
        <v>399</v>
      </c>
      <c r="CP442" s="150" t="s">
        <v>400</v>
      </c>
      <c r="CQ442" s="150" t="s">
        <v>401</v>
      </c>
      <c r="CR442" s="150" t="s">
        <v>79</v>
      </c>
      <c r="CS442" s="150" t="s">
        <v>136</v>
      </c>
      <c r="CT442" s="150" t="s">
        <v>402</v>
      </c>
      <c r="CU442" s="150" t="s">
        <v>403</v>
      </c>
      <c r="CV442" s="150" t="s">
        <v>404</v>
      </c>
      <c r="CW442" s="150" t="s">
        <v>405</v>
      </c>
      <c r="CX442" s="150" t="s">
        <v>406</v>
      </c>
      <c r="CY442" s="150" t="s">
        <v>87</v>
      </c>
      <c r="CZ442" s="150" t="s">
        <v>175</v>
      </c>
      <c r="DA442" s="150" t="s">
        <v>407</v>
      </c>
      <c r="DB442" s="150" t="s">
        <v>408</v>
      </c>
      <c r="DC442" s="150" t="s">
        <v>409</v>
      </c>
      <c r="DD442" s="150" t="s">
        <v>410</v>
      </c>
      <c r="DE442" s="150" t="s">
        <v>411</v>
      </c>
      <c r="DF442" s="150" t="s">
        <v>212</v>
      </c>
      <c r="DG442" s="150" t="s">
        <v>412</v>
      </c>
      <c r="DH442" s="150" t="s">
        <v>413</v>
      </c>
      <c r="DI442" s="150" t="s">
        <v>414</v>
      </c>
      <c r="DJ442" s="150" t="s">
        <v>415</v>
      </c>
      <c r="DK442" s="150" t="s">
        <v>416</v>
      </c>
      <c r="DL442" s="150" t="s">
        <v>96</v>
      </c>
      <c r="DM442" s="150" t="s">
        <v>417</v>
      </c>
      <c r="DN442" s="150" t="s">
        <v>104</v>
      </c>
      <c r="DO442" s="150" t="s">
        <v>105</v>
      </c>
      <c r="DP442" s="150" t="s">
        <v>303</v>
      </c>
      <c r="DQ442" s="150"/>
      <c r="DR442" s="150" t="s">
        <v>109</v>
      </c>
      <c r="DS442" s="150" t="s">
        <v>183</v>
      </c>
      <c r="DT442" s="150" t="s">
        <v>110</v>
      </c>
      <c r="DU442" s="150"/>
      <c r="DV442" s="150" t="s">
        <v>300</v>
      </c>
      <c r="DW442" s="150" t="s">
        <v>35</v>
      </c>
      <c r="DX442" s="150" t="s">
        <v>418</v>
      </c>
      <c r="DY442" s="148"/>
      <c r="DZ442" s="148" t="s">
        <v>665</v>
      </c>
      <c r="EA442" s="148" t="s">
        <v>423</v>
      </c>
      <c r="EB442" s="148" t="s">
        <v>427</v>
      </c>
      <c r="EC442" s="151" t="s">
        <v>425</v>
      </c>
      <c r="ED442" s="151" t="s">
        <v>715</v>
      </c>
      <c r="EE442" s="129"/>
      <c r="EF442" s="129"/>
      <c r="EG442" s="129"/>
    </row>
    <row r="443" spans="1:138" ht="18" thickBot="1" x14ac:dyDescent="0.35">
      <c r="A443" s="139">
        <f>IFERROR(DATEVALUE(SUBSTITUTE(SUBSTITUTE(SUBSTITUTE(SUBSTITUTE(LEFT([1]운영일보!D1,9),"년","-"),"월","-"),"일",""),".","-")),[1]운영일보!D1)</f>
        <v>0</v>
      </c>
      <c r="B443" s="141">
        <f>운영일보!D5</f>
        <v>10080</v>
      </c>
      <c r="C443" s="141">
        <f>운영일보!D6</f>
        <v>1732</v>
      </c>
      <c r="D443" s="141">
        <f>운영일보!D7</f>
        <v>2772</v>
      </c>
      <c r="E443" s="141">
        <f>운영일보!D8</f>
        <v>901</v>
      </c>
      <c r="F443" s="141">
        <f>운영일보!D9</f>
        <v>924</v>
      </c>
      <c r="G443" s="141">
        <f>운영일보!D10</f>
        <v>766</v>
      </c>
      <c r="H443" s="141">
        <f>운영일보!D11</f>
        <v>738</v>
      </c>
      <c r="I443" s="141">
        <f>운영일보!D12</f>
        <v>0</v>
      </c>
      <c r="J443" s="141">
        <f>운영일보!D13</f>
        <v>2046</v>
      </c>
      <c r="K443" s="141">
        <f>운영일보!D14</f>
        <v>1797</v>
      </c>
      <c r="L443" s="141">
        <f>운영일보!D15</f>
        <v>1734</v>
      </c>
      <c r="M443" s="141">
        <f>운영일보!D16</f>
        <v>442</v>
      </c>
      <c r="N443" s="141">
        <f>운영일보!D17</f>
        <v>432</v>
      </c>
      <c r="O443" s="141">
        <f>운영일보!D18</f>
        <v>9714</v>
      </c>
      <c r="P443" s="141">
        <f>운영일보!D19</f>
        <v>8848</v>
      </c>
      <c r="Q443" s="141">
        <f>운영일보!D20</f>
        <v>756</v>
      </c>
      <c r="R443" s="141">
        <f>운영일보!D21</f>
        <v>1022</v>
      </c>
      <c r="S443" s="141">
        <f>운영일보!D22</f>
        <v>1073</v>
      </c>
      <c r="T443" s="141">
        <f>운영일보!D23</f>
        <v>131</v>
      </c>
      <c r="U443" s="141">
        <f>운영일보!D24</f>
        <v>131</v>
      </c>
      <c r="V443" s="141">
        <f>운영일보!D25</f>
        <v>31314</v>
      </c>
      <c r="W443" s="141">
        <f>운영일보!D26</f>
        <v>1132</v>
      </c>
      <c r="X443" s="141">
        <f>운영일보!D27</f>
        <v>891</v>
      </c>
      <c r="Y443" s="141">
        <f>운영일보!D28</f>
        <v>341</v>
      </c>
      <c r="Z443" s="141">
        <f>운영일보!D29</f>
        <v>0</v>
      </c>
      <c r="AA443" s="141">
        <f>운영일보!D30</f>
        <v>764</v>
      </c>
      <c r="AB443" s="141">
        <f>운영일보!D31</f>
        <v>0</v>
      </c>
      <c r="AC443" s="141">
        <f>운영일보!D32</f>
        <v>1878</v>
      </c>
      <c r="AD443" s="141">
        <f>운영일보!D33</f>
        <v>168</v>
      </c>
      <c r="AE443" s="141">
        <f>운영일보!D34</f>
        <v>111</v>
      </c>
      <c r="AF443" s="141">
        <f>운영일보!D35</f>
        <v>2697</v>
      </c>
      <c r="AG443" s="141">
        <f>운영일보!D36</f>
        <v>1405</v>
      </c>
      <c r="AH443" s="141">
        <f>운영일보!D37</f>
        <v>2390</v>
      </c>
      <c r="AI443" s="141">
        <f>운영일보!D38</f>
        <v>896</v>
      </c>
      <c r="AJ443" s="141">
        <f>운영일보!D39</f>
        <v>1137</v>
      </c>
      <c r="AK443" s="141">
        <f>운영일보!D40</f>
        <v>1307</v>
      </c>
      <c r="AL443" s="141">
        <f>운영일보!D41</f>
        <v>1526</v>
      </c>
      <c r="AM443" s="141">
        <f>운영일보!D42</f>
        <v>1676</v>
      </c>
      <c r="AN443" s="141">
        <f>운영일보!D43</f>
        <v>5128</v>
      </c>
      <c r="AO443" s="141">
        <f>운영일보!D44</f>
        <v>2929</v>
      </c>
      <c r="AP443" s="141">
        <f>운영일보!D45</f>
        <v>2393</v>
      </c>
      <c r="AQ443" s="141">
        <f>운영일보!D46</f>
        <v>2030</v>
      </c>
      <c r="AR443" s="141">
        <f>운영일보!D47</f>
        <v>2707</v>
      </c>
      <c r="AS443" s="141">
        <f>운영일보!D48</f>
        <v>0</v>
      </c>
      <c r="AT443" s="141">
        <f>운영일보!D49</f>
        <v>2474</v>
      </c>
      <c r="AU443" s="141">
        <f>운영일보!D50</f>
        <v>0</v>
      </c>
      <c r="AV443" s="141">
        <f>운영일보!D51</f>
        <v>2200</v>
      </c>
      <c r="AW443" s="141">
        <f>운영일보!D52</f>
        <v>0</v>
      </c>
      <c r="AX443" s="141">
        <f>운영일보!D53</f>
        <v>1120</v>
      </c>
      <c r="AY443" s="141">
        <f>운영일보!D54</f>
        <v>1161</v>
      </c>
      <c r="AZ443" s="141">
        <f>운영일보!D55</f>
        <v>699</v>
      </c>
      <c r="BA443" s="141">
        <f>운영일보!D56</f>
        <v>0</v>
      </c>
      <c r="BB443" s="141">
        <f>운영일보!D57</f>
        <v>5450</v>
      </c>
      <c r="BC443" s="141">
        <f>운영일보!D58</f>
        <v>5594</v>
      </c>
      <c r="BD443" s="141">
        <f>운영일보!D59</f>
        <v>267</v>
      </c>
      <c r="BE443" s="141">
        <f>운영일보!D60</f>
        <v>266</v>
      </c>
      <c r="BF443" s="141">
        <f>운영일보!D61</f>
        <v>903</v>
      </c>
      <c r="BG443" s="141">
        <f>운영일보!D62</f>
        <v>307</v>
      </c>
      <c r="BH443" s="141">
        <f>운영일보!D63</f>
        <v>314</v>
      </c>
      <c r="BI443" s="141">
        <f>운영일보!D64</f>
        <v>0</v>
      </c>
      <c r="BJ443" s="141">
        <f>운영일보!D65</f>
        <v>599</v>
      </c>
      <c r="BK443" s="141">
        <f>운영일보!D66</f>
        <v>599</v>
      </c>
      <c r="BL443" s="141">
        <f>운영일보!D67</f>
        <v>0</v>
      </c>
      <c r="BM443" s="141"/>
      <c r="BN443" s="141">
        <f>운영일보!D69</f>
        <v>2878</v>
      </c>
      <c r="BO443" s="141">
        <f>운영일보!D70</f>
        <v>1846</v>
      </c>
      <c r="BP443" s="141">
        <f>운영일보!D71</f>
        <v>1032</v>
      </c>
      <c r="BQ443" s="141">
        <f>운영일보!D72</f>
        <v>14676</v>
      </c>
      <c r="BR443" s="141">
        <f>운영일보!D73</f>
        <v>3732</v>
      </c>
      <c r="BS443" s="141">
        <f>운영일보!D74</f>
        <v>3095</v>
      </c>
      <c r="BT443" s="141">
        <f>운영일보!D75</f>
        <v>3926</v>
      </c>
      <c r="BU443" s="141">
        <f>운영일보!D76</f>
        <v>1579</v>
      </c>
      <c r="BV443" s="141">
        <f>운영일보!D77</f>
        <v>1715</v>
      </c>
      <c r="BW443" s="141">
        <f>운영일보!D78</f>
        <v>249</v>
      </c>
      <c r="BX443" s="141">
        <f>운영일보!D79</f>
        <v>353</v>
      </c>
      <c r="BY443" s="141">
        <f>운영일보!D80</f>
        <v>758</v>
      </c>
      <c r="BZ443" s="141">
        <f>운영일보!D81</f>
        <v>122</v>
      </c>
      <c r="CA443" s="141">
        <f>운영일보!D82</f>
        <v>126</v>
      </c>
      <c r="CB443" s="141">
        <f>운영일보!D83</f>
        <v>756</v>
      </c>
      <c r="CC443" s="141"/>
      <c r="CD443" s="141">
        <f>운영일보!D85</f>
        <v>10650</v>
      </c>
      <c r="CE443" s="141">
        <f>운영일보!D86</f>
        <v>1664</v>
      </c>
      <c r="CF443" s="141">
        <f>운영일보!D87</f>
        <v>862</v>
      </c>
      <c r="CG443" s="141">
        <f>운영일보!D88</f>
        <v>0</v>
      </c>
      <c r="CH443" s="141">
        <f>운영일보!D89</f>
        <v>7297</v>
      </c>
      <c r="CI443" s="141">
        <f>운영일보!D90</f>
        <v>3720</v>
      </c>
      <c r="CJ443" s="141">
        <f>운영일보!D91</f>
        <v>1816</v>
      </c>
      <c r="CK443" s="141">
        <f>운영일보!D92</f>
        <v>2065</v>
      </c>
      <c r="CL443" s="141">
        <f>운영일보!D93</f>
        <v>1315</v>
      </c>
      <c r="CM443" s="141">
        <f>운영일보!D94</f>
        <v>7147</v>
      </c>
      <c r="CN443" s="141">
        <f>운영일보!D95</f>
        <v>2701</v>
      </c>
      <c r="CO443" s="141">
        <f>운영일보!D96</f>
        <v>1898</v>
      </c>
      <c r="CP443" s="141">
        <f>운영일보!D97</f>
        <v>2472</v>
      </c>
      <c r="CQ443" s="141">
        <f>운영일보!D98</f>
        <v>0</v>
      </c>
      <c r="CR443" s="141">
        <f>운영일보!D99</f>
        <v>2229</v>
      </c>
      <c r="CS443" s="141">
        <f>운영일보!D100</f>
        <v>532</v>
      </c>
      <c r="CT443" s="141">
        <f>운영일보!D101</f>
        <v>2359</v>
      </c>
      <c r="CU443" s="141">
        <f>운영일보!D102</f>
        <v>4195</v>
      </c>
      <c r="CV443" s="141">
        <f>운영일보!D103</f>
        <v>2803</v>
      </c>
      <c r="CW443" s="141">
        <f>운영일보!D104</f>
        <v>378</v>
      </c>
      <c r="CX443" s="141">
        <f>운영일보!D105</f>
        <v>13260</v>
      </c>
      <c r="CY443" s="141">
        <f>운영일보!D106</f>
        <v>5947</v>
      </c>
      <c r="CZ443" s="141">
        <f>운영일보!D107</f>
        <v>2020</v>
      </c>
      <c r="DA443" s="141">
        <f>운영일보!D108</f>
        <v>756</v>
      </c>
      <c r="DB443" s="141">
        <f>운영일보!D109</f>
        <v>1532</v>
      </c>
      <c r="DC443" s="141">
        <f>운영일보!D110</f>
        <v>2638</v>
      </c>
      <c r="DD443" s="141">
        <f>운영일보!D111</f>
        <v>6160</v>
      </c>
      <c r="DE443" s="141">
        <f>운영일보!D112</f>
        <v>4526</v>
      </c>
      <c r="DF443" s="141">
        <f>운영일보!D113</f>
        <v>4775</v>
      </c>
      <c r="DG443" s="141">
        <f>운영일보!D114</f>
        <v>3076</v>
      </c>
      <c r="DH443" s="141">
        <f>운영일보!D115</f>
        <v>1818</v>
      </c>
      <c r="DI443" s="141">
        <f>운영일보!D116</f>
        <v>1717</v>
      </c>
      <c r="DJ443" s="141">
        <f>운영일보!D117</f>
        <v>7154</v>
      </c>
      <c r="DK443" s="141">
        <f>운영일보!D118</f>
        <v>4495</v>
      </c>
      <c r="DL443" s="141">
        <f>운영일보!D119</f>
        <v>1114</v>
      </c>
      <c r="DM443" s="141">
        <f>운영일보!D120</f>
        <v>1636</v>
      </c>
      <c r="DN443" s="141">
        <f>운영일보!D121</f>
        <v>1966</v>
      </c>
      <c r="DO443" s="141">
        <f>운영일보!D122</f>
        <v>3135</v>
      </c>
      <c r="DP443" s="141">
        <f>운영일보!D123</f>
        <v>464</v>
      </c>
      <c r="DQ443" s="141">
        <f>운영일보!D124</f>
        <v>0</v>
      </c>
      <c r="DR443" s="141">
        <f>운영일보!D125</f>
        <v>992</v>
      </c>
      <c r="DS443" s="141">
        <f>운영일보!D126</f>
        <v>1584</v>
      </c>
      <c r="DT443" s="141">
        <f>운영일보!D127</f>
        <v>399</v>
      </c>
      <c r="DU443" s="141">
        <f>운영일보!D128</f>
        <v>0</v>
      </c>
      <c r="DV443" s="141">
        <f>운영일보!D129</f>
        <v>6175</v>
      </c>
      <c r="DW443" s="141">
        <f>운영일보!D130</f>
        <v>1804</v>
      </c>
      <c r="DX443" s="141">
        <f>운영일보!D131</f>
        <v>412</v>
      </c>
      <c r="DY443" s="141">
        <f>운영일보!D132</f>
        <v>0</v>
      </c>
      <c r="DZ443" s="156">
        <f>운영일보!D133</f>
        <v>1394</v>
      </c>
      <c r="EA443" s="156">
        <f>운영일보!D134</f>
        <v>77</v>
      </c>
      <c r="EB443" s="156">
        <f>운영일보!D135</f>
        <v>234</v>
      </c>
      <c r="EC443" s="155">
        <f>운영일보!D136</f>
        <v>637</v>
      </c>
      <c r="ED443" s="155">
        <f>운영일보!D137</f>
        <v>10688</v>
      </c>
      <c r="EE443" s="129"/>
      <c r="EF443" s="129"/>
      <c r="EG443" s="129"/>
    </row>
    <row r="444" spans="1:138" x14ac:dyDescent="0.3"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  <c r="AN444" s="129"/>
      <c r="AO444" s="129"/>
      <c r="AP444" s="129"/>
      <c r="AQ444" s="129"/>
      <c r="AR444" s="129"/>
      <c r="AS444" s="129"/>
      <c r="AT444" s="129"/>
      <c r="AU444" s="129"/>
      <c r="AV444" s="129"/>
      <c r="AW444" s="129"/>
      <c r="AX444" s="129"/>
      <c r="AY444" s="129"/>
      <c r="AZ444" s="129"/>
      <c r="BA444" s="129"/>
      <c r="BB444" s="129"/>
      <c r="BC444" s="129"/>
      <c r="BD444" s="129"/>
      <c r="BE444" s="129"/>
      <c r="BF444" s="129"/>
      <c r="BG444" s="129"/>
      <c r="BH444" s="129"/>
      <c r="BI444" s="129"/>
      <c r="BJ444" s="129"/>
      <c r="BK444" s="129"/>
      <c r="BL444" s="129"/>
      <c r="BM444" s="129"/>
      <c r="BN444" s="129"/>
      <c r="BO444" s="129"/>
      <c r="BP444" s="129"/>
      <c r="BQ444" s="129"/>
      <c r="BR444" s="129"/>
      <c r="BS444" s="129"/>
      <c r="BT444" s="129"/>
      <c r="BU444" s="129"/>
      <c r="BV444" s="129"/>
      <c r="BW444" s="129"/>
      <c r="BX444" s="129"/>
      <c r="BY444" s="129"/>
      <c r="BZ444" s="129"/>
      <c r="CA444" s="129"/>
      <c r="CB444" s="129"/>
      <c r="CC444" s="129"/>
      <c r="CD444" s="129"/>
      <c r="CE444" s="129"/>
      <c r="CF444" s="129"/>
      <c r="CG444" s="129"/>
      <c r="CH444" s="129"/>
      <c r="CI444" s="129"/>
      <c r="CJ444" s="129"/>
      <c r="CK444" s="129"/>
      <c r="CL444" s="129"/>
      <c r="CM444" s="129"/>
      <c r="CN444" s="129"/>
      <c r="CO444" s="129"/>
      <c r="CP444" s="129"/>
      <c r="CQ444" s="129"/>
      <c r="CR444" s="129"/>
      <c r="CS444" s="129"/>
      <c r="CT444" s="129"/>
      <c r="CU444" s="129"/>
      <c r="CV444" s="129"/>
      <c r="CW444" s="129"/>
      <c r="CX444" s="129"/>
      <c r="CY444" s="129"/>
      <c r="CZ444" s="129"/>
      <c r="DA444" s="129"/>
      <c r="DB444" s="129"/>
      <c r="DC444" s="129"/>
      <c r="DD444" s="129"/>
      <c r="DE444" s="129"/>
      <c r="DF444" s="129"/>
      <c r="DG444" s="129"/>
      <c r="DH444" s="129"/>
      <c r="DI444" s="129"/>
      <c r="DJ444" s="129"/>
      <c r="DK444" s="129"/>
      <c r="DL444" s="129"/>
      <c r="DM444" s="129"/>
      <c r="DN444" s="129"/>
      <c r="DO444" s="129"/>
      <c r="DP444" s="129"/>
      <c r="DQ444" s="129"/>
      <c r="DR444" s="129"/>
      <c r="DS444" s="129"/>
      <c r="DT444" s="129"/>
      <c r="DU444" s="129"/>
      <c r="DV444" s="129"/>
      <c r="DW444" s="129"/>
      <c r="DX444" s="129"/>
      <c r="DY444" s="129"/>
      <c r="DZ444" s="129"/>
      <c r="EA444" s="129"/>
      <c r="EB444" s="129"/>
      <c r="EC444" s="129"/>
      <c r="ED444" s="129"/>
      <c r="EE444" s="129"/>
      <c r="EF444" s="129"/>
      <c r="EG444" s="129"/>
    </row>
    <row r="445" spans="1:138" x14ac:dyDescent="0.3"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  <c r="AN445" s="129"/>
      <c r="AO445" s="129"/>
      <c r="AP445" s="129"/>
      <c r="AQ445" s="129"/>
      <c r="AR445" s="129"/>
      <c r="AS445" s="129"/>
      <c r="AT445" s="129"/>
      <c r="AU445" s="129"/>
      <c r="AV445" s="129"/>
      <c r="AW445" s="129"/>
      <c r="AX445" s="129"/>
      <c r="AY445" s="129"/>
      <c r="AZ445" s="129"/>
      <c r="BA445" s="129"/>
      <c r="BB445" s="129"/>
      <c r="BC445" s="129"/>
      <c r="BD445" s="129"/>
      <c r="BE445" s="129"/>
      <c r="BF445" s="129"/>
      <c r="BG445" s="129"/>
      <c r="BH445" s="129"/>
      <c r="BI445" s="129"/>
      <c r="BJ445" s="129"/>
      <c r="BK445" s="129"/>
      <c r="BL445" s="129"/>
      <c r="BM445" s="129"/>
      <c r="BN445" s="129"/>
      <c r="BO445" s="129"/>
      <c r="BP445" s="129"/>
      <c r="BQ445" s="129"/>
      <c r="BR445" s="129"/>
      <c r="BS445" s="129"/>
      <c r="BT445" s="129"/>
      <c r="BU445" s="129"/>
      <c r="BV445" s="129"/>
      <c r="BW445" s="129"/>
      <c r="BX445" s="129"/>
      <c r="BY445" s="129"/>
      <c r="BZ445" s="129"/>
      <c r="CA445" s="129"/>
      <c r="CB445" s="129"/>
      <c r="CC445" s="129"/>
      <c r="CD445" s="129"/>
      <c r="CE445" s="129"/>
      <c r="CF445" s="129"/>
      <c r="CG445" s="129"/>
      <c r="CH445" s="129"/>
      <c r="CI445" s="129"/>
      <c r="CJ445" s="129"/>
      <c r="CK445" s="129"/>
      <c r="CL445" s="129"/>
      <c r="CM445" s="129"/>
      <c r="CN445" s="129"/>
      <c r="CO445" s="129"/>
      <c r="CP445" s="129"/>
      <c r="CQ445" s="129"/>
      <c r="CR445" s="129"/>
      <c r="CS445" s="129"/>
      <c r="CT445" s="129"/>
      <c r="CU445" s="129"/>
      <c r="CV445" s="129"/>
      <c r="CW445" s="129"/>
      <c r="CX445" s="129"/>
      <c r="CY445" s="129"/>
      <c r="CZ445" s="129"/>
      <c r="DA445" s="129"/>
      <c r="DB445" s="129"/>
      <c r="DC445" s="129"/>
      <c r="DD445" s="129"/>
      <c r="DE445" s="129"/>
      <c r="DF445" s="129"/>
      <c r="DG445" s="129"/>
      <c r="DH445" s="129"/>
      <c r="DI445" s="129"/>
      <c r="DJ445" s="129"/>
      <c r="DK445" s="129"/>
      <c r="DL445" s="129"/>
      <c r="DM445" s="129"/>
      <c r="DN445" s="129"/>
      <c r="DO445" s="129"/>
      <c r="DP445" s="129"/>
      <c r="DQ445" s="129"/>
      <c r="DR445" s="129"/>
      <c r="DS445" s="129"/>
      <c r="DT445" s="129"/>
      <c r="DU445" s="129"/>
      <c r="DV445" s="129"/>
      <c r="DW445" s="129"/>
      <c r="DX445" s="129"/>
      <c r="DY445" s="129"/>
      <c r="DZ445" s="129"/>
      <c r="EA445" s="129"/>
      <c r="EB445" s="129"/>
      <c r="EC445" s="129"/>
      <c r="ED445" s="129"/>
      <c r="EE445" s="129"/>
      <c r="EF445" s="129"/>
      <c r="EG445" s="129"/>
    </row>
    <row r="446" spans="1:138" x14ac:dyDescent="0.3"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  <c r="AN446" s="129"/>
      <c r="AO446" s="129"/>
      <c r="AP446" s="129"/>
      <c r="AQ446" s="129"/>
      <c r="AR446" s="129"/>
      <c r="AS446" s="129"/>
      <c r="AT446" s="129"/>
      <c r="AU446" s="129"/>
      <c r="AV446" s="129"/>
      <c r="AW446" s="129"/>
      <c r="AX446" s="129"/>
      <c r="AY446" s="129"/>
      <c r="AZ446" s="129"/>
      <c r="BA446" s="129"/>
      <c r="BB446" s="129"/>
      <c r="BC446" s="129"/>
      <c r="BD446" s="129"/>
      <c r="BE446" s="129"/>
      <c r="BF446" s="129"/>
      <c r="BG446" s="129"/>
      <c r="BH446" s="129"/>
      <c r="BI446" s="129"/>
      <c r="BJ446" s="129"/>
      <c r="BK446" s="129"/>
      <c r="BL446" s="129"/>
      <c r="BM446" s="129"/>
      <c r="BN446" s="129"/>
      <c r="BO446" s="129"/>
      <c r="BP446" s="129"/>
      <c r="BQ446" s="129"/>
      <c r="BR446" s="129"/>
      <c r="BS446" s="129"/>
      <c r="BT446" s="129"/>
      <c r="BU446" s="129"/>
      <c r="BV446" s="129"/>
      <c r="BW446" s="129"/>
      <c r="BX446" s="129"/>
      <c r="BY446" s="129"/>
      <c r="BZ446" s="129"/>
      <c r="CA446" s="129"/>
      <c r="CB446" s="129"/>
      <c r="CC446" s="129"/>
      <c r="CD446" s="129"/>
      <c r="CE446" s="129"/>
      <c r="CF446" s="129"/>
      <c r="CG446" s="129"/>
      <c r="CH446" s="129"/>
      <c r="CI446" s="129"/>
      <c r="CJ446" s="129"/>
      <c r="CK446" s="129"/>
      <c r="CL446" s="129"/>
      <c r="CM446" s="129"/>
      <c r="CN446" s="129"/>
      <c r="CO446" s="129"/>
      <c r="CP446" s="129"/>
      <c r="CQ446" s="129"/>
      <c r="CR446" s="129"/>
      <c r="CS446" s="129"/>
      <c r="CT446" s="129"/>
      <c r="CU446" s="129"/>
      <c r="CV446" s="129"/>
      <c r="CW446" s="129"/>
      <c r="CX446" s="129"/>
      <c r="CY446" s="129"/>
      <c r="CZ446" s="129"/>
      <c r="DA446" s="129"/>
      <c r="DB446" s="129"/>
      <c r="DC446" s="129"/>
      <c r="DD446" s="129"/>
      <c r="DE446" s="129"/>
      <c r="DF446" s="129"/>
      <c r="DG446" s="129"/>
      <c r="DH446" s="129"/>
      <c r="DI446" s="129"/>
      <c r="DJ446" s="129"/>
      <c r="DK446" s="129"/>
      <c r="DL446" s="129"/>
      <c r="DM446" s="129"/>
      <c r="DN446" s="129"/>
      <c r="DO446" s="129"/>
      <c r="DP446" s="129"/>
      <c r="DQ446" s="129"/>
      <c r="DR446" s="129"/>
      <c r="DS446" s="129"/>
      <c r="DT446" s="129"/>
      <c r="DU446" s="129"/>
      <c r="DV446" s="129"/>
      <c r="DW446" s="129"/>
      <c r="DX446" s="129"/>
      <c r="DY446" s="129"/>
      <c r="DZ446" s="129"/>
      <c r="EA446" s="129"/>
      <c r="EB446" s="129"/>
      <c r="EC446" s="129"/>
      <c r="ED446" s="129"/>
      <c r="EE446" s="129"/>
      <c r="EF446" s="129"/>
      <c r="EG446" s="129"/>
    </row>
    <row r="447" spans="1:138" x14ac:dyDescent="0.3"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  <c r="AN447" s="129"/>
      <c r="AO447" s="129"/>
      <c r="AP447" s="129"/>
      <c r="AQ447" s="129"/>
      <c r="AR447" s="129"/>
      <c r="AS447" s="129"/>
      <c r="AT447" s="129"/>
      <c r="AU447" s="129"/>
      <c r="AV447" s="129"/>
      <c r="AW447" s="129"/>
      <c r="AX447" s="129"/>
      <c r="AY447" s="129"/>
      <c r="AZ447" s="129"/>
      <c r="BA447" s="129"/>
      <c r="BB447" s="129"/>
      <c r="BC447" s="129"/>
      <c r="BD447" s="129"/>
      <c r="BE447" s="129"/>
      <c r="BF447" s="129"/>
      <c r="BG447" s="129"/>
      <c r="BH447" s="129"/>
      <c r="BI447" s="129"/>
      <c r="BJ447" s="129"/>
      <c r="BK447" s="129"/>
      <c r="BL447" s="129"/>
      <c r="BM447" s="129"/>
      <c r="BN447" s="129"/>
      <c r="BO447" s="129"/>
      <c r="BP447" s="129"/>
      <c r="BQ447" s="129"/>
      <c r="BR447" s="129"/>
      <c r="BS447" s="129"/>
      <c r="BT447" s="129"/>
      <c r="BU447" s="129"/>
      <c r="BV447" s="129"/>
      <c r="BW447" s="129"/>
      <c r="BX447" s="129"/>
      <c r="BY447" s="129"/>
      <c r="BZ447" s="129"/>
      <c r="CA447" s="129"/>
      <c r="CB447" s="129"/>
      <c r="CC447" s="129"/>
      <c r="CD447" s="129"/>
      <c r="CE447" s="129"/>
      <c r="CF447" s="129"/>
      <c r="CG447" s="129"/>
      <c r="CH447" s="129"/>
      <c r="CI447" s="129"/>
      <c r="CJ447" s="129"/>
      <c r="CK447" s="129"/>
      <c r="CL447" s="129"/>
      <c r="CM447" s="129"/>
      <c r="CN447" s="129"/>
      <c r="CO447" s="129"/>
      <c r="CP447" s="129"/>
      <c r="CQ447" s="129"/>
      <c r="CR447" s="129"/>
      <c r="CS447" s="129"/>
      <c r="CT447" s="129"/>
      <c r="CU447" s="129"/>
      <c r="CV447" s="129"/>
      <c r="CW447" s="129"/>
      <c r="CX447" s="129"/>
      <c r="CY447" s="129"/>
      <c r="CZ447" s="129"/>
      <c r="DA447" s="129"/>
      <c r="DB447" s="129"/>
      <c r="DC447" s="129"/>
      <c r="DD447" s="129"/>
      <c r="DE447" s="129"/>
      <c r="DF447" s="129"/>
      <c r="DG447" s="129"/>
      <c r="DH447" s="129"/>
      <c r="DI447" s="129"/>
      <c r="DJ447" s="129"/>
      <c r="DK447" s="129"/>
      <c r="DL447" s="129"/>
      <c r="DM447" s="129"/>
      <c r="DN447" s="129"/>
      <c r="DO447" s="129"/>
      <c r="DP447" s="129"/>
      <c r="DQ447" s="129"/>
      <c r="DR447" s="129"/>
      <c r="DS447" s="129"/>
      <c r="DT447" s="129"/>
      <c r="DU447" s="129"/>
      <c r="DV447" s="129"/>
      <c r="DW447" s="129"/>
      <c r="DX447" s="129"/>
      <c r="DY447" s="129"/>
      <c r="DZ447" s="129"/>
      <c r="EA447" s="129"/>
      <c r="EB447" s="129"/>
      <c r="EC447" s="129"/>
      <c r="ED447" s="129"/>
      <c r="EE447" s="129"/>
      <c r="EF447" s="129"/>
      <c r="EG447" s="129"/>
      <c r="EH447" s="129"/>
    </row>
    <row r="448" spans="1:138" x14ac:dyDescent="0.3"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/>
      <c r="AQ448" s="129"/>
      <c r="AR448" s="129"/>
      <c r="AS448" s="129"/>
      <c r="AT448" s="129"/>
      <c r="AU448" s="129"/>
      <c r="AV448" s="129"/>
      <c r="AW448" s="129"/>
      <c r="AX448" s="129"/>
      <c r="AY448" s="129"/>
      <c r="AZ448" s="129"/>
      <c r="BA448" s="129"/>
      <c r="BB448" s="129"/>
      <c r="BC448" s="129"/>
      <c r="BD448" s="129"/>
      <c r="BE448" s="129"/>
      <c r="BF448" s="129"/>
      <c r="BG448" s="129"/>
      <c r="BH448" s="129"/>
      <c r="BI448" s="129"/>
      <c r="BJ448" s="129"/>
      <c r="BK448" s="129"/>
      <c r="BL448" s="129"/>
      <c r="BM448" s="129"/>
      <c r="BN448" s="129"/>
      <c r="BO448" s="129"/>
      <c r="BP448" s="129"/>
      <c r="BQ448" s="129"/>
      <c r="BR448" s="129"/>
      <c r="BS448" s="129"/>
      <c r="BT448" s="129"/>
      <c r="BU448" s="129"/>
      <c r="BV448" s="129"/>
      <c r="BW448" s="129"/>
      <c r="BX448" s="129"/>
      <c r="BY448" s="129"/>
      <c r="BZ448" s="129"/>
      <c r="CA448" s="129"/>
      <c r="CB448" s="129"/>
      <c r="CC448" s="129"/>
      <c r="CD448" s="129"/>
      <c r="CE448" s="129"/>
      <c r="CF448" s="129"/>
      <c r="CG448" s="129"/>
      <c r="CH448" s="129"/>
      <c r="CI448" s="129"/>
      <c r="CJ448" s="129"/>
      <c r="CK448" s="129"/>
      <c r="CL448" s="129"/>
      <c r="CM448" s="129"/>
      <c r="CN448" s="129"/>
      <c r="CO448" s="129"/>
      <c r="CP448" s="129"/>
      <c r="CQ448" s="129"/>
      <c r="CR448" s="129"/>
      <c r="CS448" s="129"/>
      <c r="CT448" s="129"/>
      <c r="CU448" s="129"/>
      <c r="CV448" s="129"/>
      <c r="CW448" s="129"/>
      <c r="CX448" s="129"/>
      <c r="CY448" s="129"/>
      <c r="CZ448" s="129"/>
      <c r="DA448" s="129"/>
      <c r="DB448" s="129"/>
      <c r="DC448" s="129"/>
      <c r="DD448" s="129"/>
      <c r="DE448" s="129"/>
      <c r="DF448" s="129"/>
      <c r="DG448" s="129"/>
      <c r="DH448" s="129"/>
      <c r="DI448" s="129"/>
      <c r="DJ448" s="129"/>
      <c r="DK448" s="129"/>
      <c r="DL448" s="129"/>
      <c r="DM448" s="129"/>
      <c r="DN448" s="129"/>
      <c r="DO448" s="129"/>
      <c r="DP448" s="129"/>
      <c r="DQ448" s="129"/>
      <c r="DR448" s="129"/>
      <c r="DS448" s="129"/>
      <c r="DT448" s="129"/>
      <c r="DU448" s="129"/>
      <c r="DV448" s="129"/>
      <c r="DW448" s="129"/>
      <c r="DX448" s="129"/>
      <c r="DY448" s="129"/>
      <c r="DZ448" s="129"/>
      <c r="EA448" s="129"/>
      <c r="EB448" s="129"/>
      <c r="EC448" s="129"/>
      <c r="ED448" s="129"/>
      <c r="EE448" s="129"/>
      <c r="EF448" s="129"/>
      <c r="EG448" s="129"/>
    </row>
    <row r="449" spans="3:137" x14ac:dyDescent="0.3"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  <c r="AN449" s="129"/>
      <c r="AO449" s="129"/>
      <c r="AP449" s="129"/>
      <c r="AQ449" s="129"/>
      <c r="AR449" s="129"/>
      <c r="AS449" s="129"/>
      <c r="AT449" s="129"/>
      <c r="AU449" s="129"/>
      <c r="AV449" s="129"/>
      <c r="AW449" s="129"/>
      <c r="AX449" s="129"/>
      <c r="AY449" s="129"/>
      <c r="AZ449" s="129"/>
      <c r="BA449" s="129"/>
      <c r="BB449" s="129"/>
      <c r="BC449" s="129"/>
      <c r="BD449" s="129"/>
      <c r="BE449" s="129"/>
      <c r="BF449" s="129"/>
      <c r="BG449" s="129"/>
      <c r="BH449" s="129"/>
      <c r="BI449" s="129"/>
      <c r="BJ449" s="129"/>
      <c r="BK449" s="129"/>
      <c r="BL449" s="129"/>
      <c r="BM449" s="129"/>
      <c r="BN449" s="129"/>
      <c r="BO449" s="129"/>
      <c r="BP449" s="129"/>
      <c r="BQ449" s="129"/>
      <c r="BR449" s="129"/>
      <c r="BS449" s="129"/>
      <c r="BT449" s="129"/>
      <c r="BU449" s="129"/>
      <c r="BV449" s="129"/>
      <c r="BW449" s="129"/>
      <c r="BX449" s="129"/>
      <c r="BY449" s="129"/>
      <c r="BZ449" s="129"/>
      <c r="CA449" s="129"/>
      <c r="CB449" s="129"/>
      <c r="CC449" s="129"/>
      <c r="CD449" s="129"/>
      <c r="CE449" s="129"/>
      <c r="CF449" s="129"/>
      <c r="CG449" s="129"/>
      <c r="CH449" s="129"/>
      <c r="CI449" s="129"/>
      <c r="CJ449" s="129"/>
      <c r="CK449" s="129"/>
      <c r="CL449" s="129"/>
      <c r="CM449" s="129"/>
      <c r="CN449" s="129"/>
      <c r="CO449" s="129"/>
      <c r="CP449" s="129"/>
      <c r="CQ449" s="129"/>
      <c r="CR449" s="129"/>
      <c r="CS449" s="129"/>
      <c r="CT449" s="129"/>
      <c r="CU449" s="129"/>
      <c r="CV449" s="129"/>
      <c r="CW449" s="129"/>
      <c r="CX449" s="129"/>
      <c r="CY449" s="129"/>
      <c r="CZ449" s="129"/>
      <c r="DA449" s="129"/>
      <c r="DB449" s="129"/>
      <c r="DC449" s="129"/>
      <c r="DD449" s="129"/>
      <c r="DE449" s="129"/>
      <c r="DF449" s="129"/>
      <c r="DG449" s="129"/>
      <c r="DH449" s="129"/>
      <c r="DI449" s="129"/>
      <c r="DJ449" s="129"/>
      <c r="DK449" s="129"/>
      <c r="DL449" s="129"/>
      <c r="DM449" s="129"/>
      <c r="DN449" s="129"/>
      <c r="DO449" s="129"/>
      <c r="DP449" s="129"/>
      <c r="DQ449" s="129"/>
      <c r="DR449" s="129"/>
      <c r="DS449" s="129"/>
      <c r="DT449" s="129"/>
      <c r="DU449" s="129"/>
      <c r="DV449" s="129"/>
      <c r="DW449" s="129"/>
      <c r="DX449" s="129"/>
      <c r="DY449" s="129"/>
      <c r="DZ449" s="129"/>
      <c r="EA449" s="129"/>
      <c r="EB449" s="129"/>
      <c r="EC449" s="129"/>
      <c r="ED449" s="129"/>
      <c r="EE449" s="129"/>
      <c r="EF449" s="129"/>
      <c r="EG449" s="129"/>
    </row>
    <row r="450" spans="3:137" x14ac:dyDescent="0.3"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  <c r="AP450" s="129"/>
      <c r="AQ450" s="129"/>
      <c r="AR450" s="129"/>
      <c r="AS450" s="129"/>
      <c r="AT450" s="129"/>
      <c r="AU450" s="129"/>
      <c r="AV450" s="129"/>
      <c r="AW450" s="129"/>
      <c r="AX450" s="129"/>
      <c r="AY450" s="129"/>
      <c r="AZ450" s="129"/>
      <c r="BA450" s="129"/>
      <c r="BB450" s="129"/>
      <c r="BC450" s="129"/>
      <c r="BD450" s="129"/>
      <c r="BE450" s="129"/>
      <c r="BF450" s="129"/>
      <c r="BG450" s="129"/>
      <c r="BH450" s="129"/>
      <c r="BI450" s="129"/>
      <c r="BJ450" s="129"/>
      <c r="BK450" s="129"/>
      <c r="BL450" s="129"/>
      <c r="BM450" s="129"/>
      <c r="BN450" s="129"/>
      <c r="BO450" s="129"/>
      <c r="BP450" s="129"/>
      <c r="BQ450" s="129"/>
      <c r="BR450" s="129"/>
      <c r="BS450" s="129"/>
      <c r="BT450" s="129"/>
      <c r="BU450" s="129"/>
      <c r="BV450" s="129"/>
      <c r="BW450" s="129"/>
      <c r="BX450" s="129"/>
      <c r="BY450" s="129"/>
      <c r="BZ450" s="129"/>
      <c r="CA450" s="129"/>
      <c r="CB450" s="129"/>
      <c r="CC450" s="129"/>
      <c r="CD450" s="129"/>
      <c r="CE450" s="129"/>
      <c r="CF450" s="129"/>
      <c r="CG450" s="129"/>
      <c r="CH450" s="129"/>
      <c r="CI450" s="129"/>
      <c r="CJ450" s="129"/>
      <c r="CK450" s="129"/>
      <c r="CL450" s="129"/>
      <c r="CM450" s="129"/>
      <c r="CN450" s="129"/>
      <c r="CO450" s="129"/>
      <c r="CP450" s="129"/>
      <c r="CQ450" s="129"/>
      <c r="CR450" s="129"/>
      <c r="CS450" s="129"/>
      <c r="CT450" s="129"/>
      <c r="CU450" s="129"/>
      <c r="CV450" s="129"/>
      <c r="CW450" s="129"/>
      <c r="CX450" s="129"/>
      <c r="CY450" s="129"/>
      <c r="CZ450" s="129"/>
      <c r="DA450" s="129"/>
      <c r="DB450" s="129"/>
      <c r="DC450" s="129"/>
      <c r="DD450" s="129"/>
      <c r="DE450" s="129"/>
      <c r="DF450" s="129"/>
      <c r="DG450" s="129"/>
      <c r="DH450" s="129"/>
      <c r="DI450" s="129"/>
      <c r="DJ450" s="129"/>
      <c r="DK450" s="129"/>
      <c r="DL450" s="129"/>
      <c r="DM450" s="129"/>
      <c r="DN450" s="129"/>
      <c r="DO450" s="129"/>
      <c r="DP450" s="129"/>
      <c r="DQ450" s="129"/>
      <c r="DR450" s="129"/>
      <c r="DS450" s="129"/>
      <c r="DT450" s="129"/>
      <c r="DU450" s="129"/>
      <c r="DV450" s="129"/>
      <c r="DW450" s="129"/>
      <c r="DX450" s="129"/>
      <c r="DY450" s="129"/>
      <c r="DZ450" s="129"/>
      <c r="EA450" s="129"/>
      <c r="EB450" s="129"/>
      <c r="EC450" s="129"/>
      <c r="ED450" s="129"/>
      <c r="EE450" s="129"/>
      <c r="EF450" s="129"/>
      <c r="EG450" s="129"/>
    </row>
    <row r="451" spans="3:137" x14ac:dyDescent="0.3">
      <c r="EE451" s="129"/>
      <c r="EF451" s="129"/>
      <c r="EG451" s="129"/>
    </row>
  </sheetData>
  <mergeCells count="166">
    <mergeCell ref="ED366:ED367"/>
    <mergeCell ref="BJ2:BL2"/>
    <mergeCell ref="BJ366:BJ367"/>
    <mergeCell ref="BN2:BP2"/>
    <mergeCell ref="BN1:CC1"/>
    <mergeCell ref="BP366:BP367"/>
    <mergeCell ref="BO366:BO367"/>
    <mergeCell ref="BN366:BN367"/>
    <mergeCell ref="EC366:EC367"/>
    <mergeCell ref="DX366:DX367"/>
    <mergeCell ref="DY366:DY367"/>
    <mergeCell ref="DZ366:DZ367"/>
    <mergeCell ref="EA366:EA367"/>
    <mergeCell ref="EB366:EB367"/>
    <mergeCell ref="DS366:DS367"/>
    <mergeCell ref="DT366:DT367"/>
    <mergeCell ref="DU366:DU367"/>
    <mergeCell ref="DV366:DV367"/>
    <mergeCell ref="DW366:DW367"/>
    <mergeCell ref="DN366:DN367"/>
    <mergeCell ref="DO366:DO367"/>
    <mergeCell ref="DP366:DP367"/>
    <mergeCell ref="DQ366:DQ367"/>
    <mergeCell ref="DR366:DR367"/>
    <mergeCell ref="DI366:DI367"/>
    <mergeCell ref="DJ366:DJ367"/>
    <mergeCell ref="DK366:DK367"/>
    <mergeCell ref="DL366:DL367"/>
    <mergeCell ref="DM366:DM367"/>
    <mergeCell ref="DD366:DD367"/>
    <mergeCell ref="DE366:DE367"/>
    <mergeCell ref="DF366:DF367"/>
    <mergeCell ref="DG366:DG367"/>
    <mergeCell ref="DH366:DH367"/>
    <mergeCell ref="CY366:CY367"/>
    <mergeCell ref="CZ366:CZ367"/>
    <mergeCell ref="DA366:DA367"/>
    <mergeCell ref="DB366:DB367"/>
    <mergeCell ref="DC366:DC367"/>
    <mergeCell ref="CT366:CT367"/>
    <mergeCell ref="CR366:CR367"/>
    <mergeCell ref="CU366:CU367"/>
    <mergeCell ref="CV366:CV367"/>
    <mergeCell ref="CW366:CW367"/>
    <mergeCell ref="CX366:CX367"/>
    <mergeCell ref="CN366:CN367"/>
    <mergeCell ref="CO366:CO367"/>
    <mergeCell ref="CP366:CP367"/>
    <mergeCell ref="CQ366:CQ367"/>
    <mergeCell ref="CS366:CS367"/>
    <mergeCell ref="CJ366:CJ367"/>
    <mergeCell ref="CK366:CK367"/>
    <mergeCell ref="CL366:CL367"/>
    <mergeCell ref="CM366:CM367"/>
    <mergeCell ref="CD366:CD367"/>
    <mergeCell ref="CE366:CE367"/>
    <mergeCell ref="CG366:CG367"/>
    <mergeCell ref="CH366:CH367"/>
    <mergeCell ref="CI366:CI367"/>
    <mergeCell ref="BY366:BY367"/>
    <mergeCell ref="BZ366:BZ367"/>
    <mergeCell ref="CA366:CA367"/>
    <mergeCell ref="CB366:CB367"/>
    <mergeCell ref="CC366:CC367"/>
    <mergeCell ref="BU366:BU367"/>
    <mergeCell ref="BV366:BV367"/>
    <mergeCell ref="BW366:BW367"/>
    <mergeCell ref="BX366:BX367"/>
    <mergeCell ref="AW366:AW367"/>
    <mergeCell ref="AX366:AX367"/>
    <mergeCell ref="AY366:AY367"/>
    <mergeCell ref="AZ366:AZ367"/>
    <mergeCell ref="BL366:BL367"/>
    <mergeCell ref="BM366:BM367"/>
    <mergeCell ref="BQ366:BQ367"/>
    <mergeCell ref="BR366:BR367"/>
    <mergeCell ref="BS366:BS367"/>
    <mergeCell ref="BF366:BF367"/>
    <mergeCell ref="BG366:BG367"/>
    <mergeCell ref="BH366:BH367"/>
    <mergeCell ref="BI366:BI367"/>
    <mergeCell ref="BK366:BK367"/>
    <mergeCell ref="U366:U367"/>
    <mergeCell ref="V366:V367"/>
    <mergeCell ref="AG366:AG367"/>
    <mergeCell ref="AH366:AH367"/>
    <mergeCell ref="AI366:AI367"/>
    <mergeCell ref="AJ366:AJ367"/>
    <mergeCell ref="AK366:AK367"/>
    <mergeCell ref="AB366:AB367"/>
    <mergeCell ref="AC366:AC367"/>
    <mergeCell ref="AD366:AD367"/>
    <mergeCell ref="AE366:AE367"/>
    <mergeCell ref="AF366:AF367"/>
    <mergeCell ref="DV2:DW2"/>
    <mergeCell ref="CF366:CF367"/>
    <mergeCell ref="W366:W367"/>
    <mergeCell ref="X366:X367"/>
    <mergeCell ref="Y366:Y367"/>
    <mergeCell ref="Z366:Z367"/>
    <mergeCell ref="AA366:AA367"/>
    <mergeCell ref="AQ366:AQ367"/>
    <mergeCell ref="AR366:AR367"/>
    <mergeCell ref="AS366:AS367"/>
    <mergeCell ref="AT366:AT367"/>
    <mergeCell ref="AU366:AU367"/>
    <mergeCell ref="AL366:AL367"/>
    <mergeCell ref="AM366:AM367"/>
    <mergeCell ref="AN366:AN367"/>
    <mergeCell ref="AO366:AO367"/>
    <mergeCell ref="AP366:AP367"/>
    <mergeCell ref="BA366:BA367"/>
    <mergeCell ref="BB366:BB367"/>
    <mergeCell ref="BC366:BC367"/>
    <mergeCell ref="BD366:BD367"/>
    <mergeCell ref="BE366:BE367"/>
    <mergeCell ref="AV366:AV367"/>
    <mergeCell ref="BT366:BT367"/>
    <mergeCell ref="A366:A367"/>
    <mergeCell ref="O2:Q2"/>
    <mergeCell ref="R2:S2"/>
    <mergeCell ref="T2:U2"/>
    <mergeCell ref="AR2:AU2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Q366:Q367"/>
    <mergeCell ref="R366:R367"/>
    <mergeCell ref="S366:S367"/>
    <mergeCell ref="T366:T367"/>
    <mergeCell ref="DZ2:EC2"/>
    <mergeCell ref="A1:BM1"/>
    <mergeCell ref="CD1:DW1"/>
    <mergeCell ref="A2:G2"/>
    <mergeCell ref="H2:N2"/>
    <mergeCell ref="V2:AM2"/>
    <mergeCell ref="AN2:AQ2"/>
    <mergeCell ref="BG2:BI2"/>
    <mergeCell ref="BQ2:BU2"/>
    <mergeCell ref="AV2:AW2"/>
    <mergeCell ref="AX2:AY2"/>
    <mergeCell ref="CM2:CV2"/>
    <mergeCell ref="CD2:CL2"/>
    <mergeCell ref="CW2:DI2"/>
    <mergeCell ref="DJ2:DO2"/>
    <mergeCell ref="DX2:DY2"/>
    <mergeCell ref="DR2:DS2"/>
    <mergeCell ref="DT2:DU2"/>
    <mergeCell ref="AZ2:BA2"/>
    <mergeCell ref="BB2:BC2"/>
    <mergeCell ref="BD2:BE2"/>
    <mergeCell ref="BY2:BZ2"/>
    <mergeCell ref="CA2:CB2"/>
    <mergeCell ref="DP2:DQ2"/>
  </mergeCells>
  <phoneticPr fontId="1" type="noConversion"/>
  <conditionalFormatting sqref="B4:ED363">
    <cfRule type="expression" dxfId="1" priority="1">
      <formula>B4=MIN(B$4:B$363)</formula>
    </cfRule>
    <cfRule type="expression" dxfId="0" priority="2">
      <formula>B4=MAX(B$4:B$363)</formula>
    </cfRule>
  </conditionalFormatting>
  <pageMargins left="0.7" right="0.7" top="0.75" bottom="0.75" header="0.3" footer="0.3"/>
  <pageSetup paperSize="9" scale="21" orientation="portrait" r:id="rId1"/>
  <colBreaks count="2" manualBreakCount="2">
    <brk id="48" max="442" man="1"/>
    <brk id="8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3B57-28B2-4080-92FC-13D3C6DB92EF}">
  <sheetPr>
    <tabColor rgb="FFFFFF00"/>
  </sheetPr>
  <dimension ref="B1:AV37"/>
  <sheetViews>
    <sheetView view="pageBreakPreview" zoomScale="55" zoomScaleNormal="40" zoomScaleSheetLayoutView="55" workbookViewId="0">
      <pane xSplit="2" ySplit="5" topLeftCell="C6" activePane="bottomRight" state="frozen"/>
      <selection activeCell="G247" sqref="G247"/>
      <selection pane="topRight" activeCell="G247" sqref="G247"/>
      <selection pane="bottomLeft" activeCell="G247" sqref="G247"/>
      <selection pane="bottomRight" activeCell="AN16" sqref="AN16"/>
    </sheetView>
  </sheetViews>
  <sheetFormatPr defaultRowHeight="31.5" x14ac:dyDescent="0.3"/>
  <cols>
    <col min="1" max="1" width="1.625" style="230" customWidth="1"/>
    <col min="2" max="2" width="14.5" style="230" bestFit="1" customWidth="1"/>
    <col min="3" max="3" width="23.625" style="230" bestFit="1" customWidth="1"/>
    <col min="4" max="4" width="32" style="230" bestFit="1" customWidth="1"/>
    <col min="5" max="5" width="25.5" style="230" bestFit="1" customWidth="1"/>
    <col min="6" max="9" width="32" style="230" bestFit="1" customWidth="1"/>
    <col min="10" max="10" width="37" style="230" bestFit="1" customWidth="1"/>
    <col min="11" max="11" width="11.75" style="230" bestFit="1" customWidth="1"/>
    <col min="12" max="12" width="32" style="230" bestFit="1" customWidth="1"/>
    <col min="13" max="13" width="11.75" style="230" bestFit="1" customWidth="1"/>
    <col min="14" max="14" width="32" style="230" bestFit="1" customWidth="1"/>
    <col min="15" max="15" width="23.625" style="230" bestFit="1" customWidth="1"/>
    <col min="16" max="18" width="32" style="230" bestFit="1" customWidth="1"/>
    <col min="19" max="19" width="11.75" style="230" bestFit="1" customWidth="1"/>
    <col min="20" max="20" width="32" style="230" bestFit="1" customWidth="1"/>
    <col min="21" max="21" width="11.75" style="230" bestFit="1" customWidth="1"/>
    <col min="22" max="22" width="32" style="230" bestFit="1" customWidth="1"/>
    <col min="23" max="23" width="11.75" style="230" bestFit="1" customWidth="1"/>
    <col min="24" max="24" width="34.875" style="230" bestFit="1" customWidth="1"/>
    <col min="25" max="25" width="11.75" style="230" bestFit="1" customWidth="1"/>
    <col min="26" max="26" width="32" style="230" bestFit="1" customWidth="1"/>
    <col min="27" max="27" width="17.375" style="230" customWidth="1"/>
    <col min="28" max="28" width="32" style="230" bestFit="1" customWidth="1"/>
    <col min="29" max="29" width="32" style="230" customWidth="1"/>
    <col min="30" max="30" width="25.5" style="230" bestFit="1" customWidth="1"/>
    <col min="31" max="31" width="34.875" style="230" bestFit="1" customWidth="1"/>
    <col min="32" max="32" width="32" style="230" bestFit="1" customWidth="1"/>
    <col min="33" max="34" width="34.875" style="230" bestFit="1" customWidth="1"/>
    <col min="35" max="35" width="11.75" style="230" bestFit="1" customWidth="1"/>
    <col min="36" max="36" width="32" style="230" bestFit="1" customWidth="1"/>
    <col min="37" max="37" width="11.75" style="230" bestFit="1" customWidth="1"/>
    <col min="38" max="38" width="32" style="230" bestFit="1" customWidth="1"/>
    <col min="39" max="39" width="11.75" style="230" bestFit="1" customWidth="1"/>
    <col min="40" max="40" width="32" style="230" bestFit="1" customWidth="1"/>
    <col min="41" max="41" width="11.75" style="230" bestFit="1" customWidth="1"/>
    <col min="42" max="42" width="32" style="230" bestFit="1" customWidth="1"/>
    <col min="43" max="45" width="32" style="230" customWidth="1"/>
    <col min="46" max="46" width="15.75" style="230" bestFit="1" customWidth="1"/>
    <col min="47" max="48" width="32" style="230" bestFit="1" customWidth="1"/>
    <col min="49" max="256" width="9" style="230"/>
    <col min="257" max="257" width="1.625" style="230" customWidth="1"/>
    <col min="258" max="258" width="9.625" style="230" customWidth="1"/>
    <col min="259" max="276" width="15.75" style="230" customWidth="1"/>
    <col min="277" max="277" width="1.625" style="230" customWidth="1"/>
    <col min="278" max="512" width="9" style="230"/>
    <col min="513" max="513" width="1.625" style="230" customWidth="1"/>
    <col min="514" max="514" width="9.625" style="230" customWidth="1"/>
    <col min="515" max="532" width="15.75" style="230" customWidth="1"/>
    <col min="533" max="533" width="1.625" style="230" customWidth="1"/>
    <col min="534" max="768" width="9" style="230"/>
    <col min="769" max="769" width="1.625" style="230" customWidth="1"/>
    <col min="770" max="770" width="9.625" style="230" customWidth="1"/>
    <col min="771" max="788" width="15.75" style="230" customWidth="1"/>
    <col min="789" max="789" width="1.625" style="230" customWidth="1"/>
    <col min="790" max="1024" width="9" style="230"/>
    <col min="1025" max="1025" width="1.625" style="230" customWidth="1"/>
    <col min="1026" max="1026" width="9.625" style="230" customWidth="1"/>
    <col min="1027" max="1044" width="15.75" style="230" customWidth="1"/>
    <col min="1045" max="1045" width="1.625" style="230" customWidth="1"/>
    <col min="1046" max="1280" width="9" style="230"/>
    <col min="1281" max="1281" width="1.625" style="230" customWidth="1"/>
    <col min="1282" max="1282" width="9.625" style="230" customWidth="1"/>
    <col min="1283" max="1300" width="15.75" style="230" customWidth="1"/>
    <col min="1301" max="1301" width="1.625" style="230" customWidth="1"/>
    <col min="1302" max="1536" width="9" style="230"/>
    <col min="1537" max="1537" width="1.625" style="230" customWidth="1"/>
    <col min="1538" max="1538" width="9.625" style="230" customWidth="1"/>
    <col min="1539" max="1556" width="15.75" style="230" customWidth="1"/>
    <col min="1557" max="1557" width="1.625" style="230" customWidth="1"/>
    <col min="1558" max="1792" width="9" style="230"/>
    <col min="1793" max="1793" width="1.625" style="230" customWidth="1"/>
    <col min="1794" max="1794" width="9.625" style="230" customWidth="1"/>
    <col min="1795" max="1812" width="15.75" style="230" customWidth="1"/>
    <col min="1813" max="1813" width="1.625" style="230" customWidth="1"/>
    <col min="1814" max="2048" width="9" style="230"/>
    <col min="2049" max="2049" width="1.625" style="230" customWidth="1"/>
    <col min="2050" max="2050" width="9.625" style="230" customWidth="1"/>
    <col min="2051" max="2068" width="15.75" style="230" customWidth="1"/>
    <col min="2069" max="2069" width="1.625" style="230" customWidth="1"/>
    <col min="2070" max="2304" width="9" style="230"/>
    <col min="2305" max="2305" width="1.625" style="230" customWidth="1"/>
    <col min="2306" max="2306" width="9.625" style="230" customWidth="1"/>
    <col min="2307" max="2324" width="15.75" style="230" customWidth="1"/>
    <col min="2325" max="2325" width="1.625" style="230" customWidth="1"/>
    <col min="2326" max="2560" width="9" style="230"/>
    <col min="2561" max="2561" width="1.625" style="230" customWidth="1"/>
    <col min="2562" max="2562" width="9.625" style="230" customWidth="1"/>
    <col min="2563" max="2580" width="15.75" style="230" customWidth="1"/>
    <col min="2581" max="2581" width="1.625" style="230" customWidth="1"/>
    <col min="2582" max="2816" width="9" style="230"/>
    <col min="2817" max="2817" width="1.625" style="230" customWidth="1"/>
    <col min="2818" max="2818" width="9.625" style="230" customWidth="1"/>
    <col min="2819" max="2836" width="15.75" style="230" customWidth="1"/>
    <col min="2837" max="2837" width="1.625" style="230" customWidth="1"/>
    <col min="2838" max="3072" width="9" style="230"/>
    <col min="3073" max="3073" width="1.625" style="230" customWidth="1"/>
    <col min="3074" max="3074" width="9.625" style="230" customWidth="1"/>
    <col min="3075" max="3092" width="15.75" style="230" customWidth="1"/>
    <col min="3093" max="3093" width="1.625" style="230" customWidth="1"/>
    <col min="3094" max="3328" width="9" style="230"/>
    <col min="3329" max="3329" width="1.625" style="230" customWidth="1"/>
    <col min="3330" max="3330" width="9.625" style="230" customWidth="1"/>
    <col min="3331" max="3348" width="15.75" style="230" customWidth="1"/>
    <col min="3349" max="3349" width="1.625" style="230" customWidth="1"/>
    <col min="3350" max="3584" width="9" style="230"/>
    <col min="3585" max="3585" width="1.625" style="230" customWidth="1"/>
    <col min="3586" max="3586" width="9.625" style="230" customWidth="1"/>
    <col min="3587" max="3604" width="15.75" style="230" customWidth="1"/>
    <col min="3605" max="3605" width="1.625" style="230" customWidth="1"/>
    <col min="3606" max="3840" width="9" style="230"/>
    <col min="3841" max="3841" width="1.625" style="230" customWidth="1"/>
    <col min="3842" max="3842" width="9.625" style="230" customWidth="1"/>
    <col min="3843" max="3860" width="15.75" style="230" customWidth="1"/>
    <col min="3861" max="3861" width="1.625" style="230" customWidth="1"/>
    <col min="3862" max="4096" width="9" style="230"/>
    <col min="4097" max="4097" width="1.625" style="230" customWidth="1"/>
    <col min="4098" max="4098" width="9.625" style="230" customWidth="1"/>
    <col min="4099" max="4116" width="15.75" style="230" customWidth="1"/>
    <col min="4117" max="4117" width="1.625" style="230" customWidth="1"/>
    <col min="4118" max="4352" width="9" style="230"/>
    <col min="4353" max="4353" width="1.625" style="230" customWidth="1"/>
    <col min="4354" max="4354" width="9.625" style="230" customWidth="1"/>
    <col min="4355" max="4372" width="15.75" style="230" customWidth="1"/>
    <col min="4373" max="4373" width="1.625" style="230" customWidth="1"/>
    <col min="4374" max="4608" width="9" style="230"/>
    <col min="4609" max="4609" width="1.625" style="230" customWidth="1"/>
    <col min="4610" max="4610" width="9.625" style="230" customWidth="1"/>
    <col min="4611" max="4628" width="15.75" style="230" customWidth="1"/>
    <col min="4629" max="4629" width="1.625" style="230" customWidth="1"/>
    <col min="4630" max="4864" width="9" style="230"/>
    <col min="4865" max="4865" width="1.625" style="230" customWidth="1"/>
    <col min="4866" max="4866" width="9.625" style="230" customWidth="1"/>
    <col min="4867" max="4884" width="15.75" style="230" customWidth="1"/>
    <col min="4885" max="4885" width="1.625" style="230" customWidth="1"/>
    <col min="4886" max="5120" width="9" style="230"/>
    <col min="5121" max="5121" width="1.625" style="230" customWidth="1"/>
    <col min="5122" max="5122" width="9.625" style="230" customWidth="1"/>
    <col min="5123" max="5140" width="15.75" style="230" customWidth="1"/>
    <col min="5141" max="5141" width="1.625" style="230" customWidth="1"/>
    <col min="5142" max="5376" width="9" style="230"/>
    <col min="5377" max="5377" width="1.625" style="230" customWidth="1"/>
    <col min="5378" max="5378" width="9.625" style="230" customWidth="1"/>
    <col min="5379" max="5396" width="15.75" style="230" customWidth="1"/>
    <col min="5397" max="5397" width="1.625" style="230" customWidth="1"/>
    <col min="5398" max="5632" width="9" style="230"/>
    <col min="5633" max="5633" width="1.625" style="230" customWidth="1"/>
    <col min="5634" max="5634" width="9.625" style="230" customWidth="1"/>
    <col min="5635" max="5652" width="15.75" style="230" customWidth="1"/>
    <col min="5653" max="5653" width="1.625" style="230" customWidth="1"/>
    <col min="5654" max="5888" width="9" style="230"/>
    <col min="5889" max="5889" width="1.625" style="230" customWidth="1"/>
    <col min="5890" max="5890" width="9.625" style="230" customWidth="1"/>
    <col min="5891" max="5908" width="15.75" style="230" customWidth="1"/>
    <col min="5909" max="5909" width="1.625" style="230" customWidth="1"/>
    <col min="5910" max="6144" width="9" style="230"/>
    <col min="6145" max="6145" width="1.625" style="230" customWidth="1"/>
    <col min="6146" max="6146" width="9.625" style="230" customWidth="1"/>
    <col min="6147" max="6164" width="15.75" style="230" customWidth="1"/>
    <col min="6165" max="6165" width="1.625" style="230" customWidth="1"/>
    <col min="6166" max="6400" width="9" style="230"/>
    <col min="6401" max="6401" width="1.625" style="230" customWidth="1"/>
    <col min="6402" max="6402" width="9.625" style="230" customWidth="1"/>
    <col min="6403" max="6420" width="15.75" style="230" customWidth="1"/>
    <col min="6421" max="6421" width="1.625" style="230" customWidth="1"/>
    <col min="6422" max="6656" width="9" style="230"/>
    <col min="6657" max="6657" width="1.625" style="230" customWidth="1"/>
    <col min="6658" max="6658" width="9.625" style="230" customWidth="1"/>
    <col min="6659" max="6676" width="15.75" style="230" customWidth="1"/>
    <col min="6677" max="6677" width="1.625" style="230" customWidth="1"/>
    <col min="6678" max="6912" width="9" style="230"/>
    <col min="6913" max="6913" width="1.625" style="230" customWidth="1"/>
    <col min="6914" max="6914" width="9.625" style="230" customWidth="1"/>
    <col min="6915" max="6932" width="15.75" style="230" customWidth="1"/>
    <col min="6933" max="6933" width="1.625" style="230" customWidth="1"/>
    <col min="6934" max="7168" width="9" style="230"/>
    <col min="7169" max="7169" width="1.625" style="230" customWidth="1"/>
    <col min="7170" max="7170" width="9.625" style="230" customWidth="1"/>
    <col min="7171" max="7188" width="15.75" style="230" customWidth="1"/>
    <col min="7189" max="7189" width="1.625" style="230" customWidth="1"/>
    <col min="7190" max="7424" width="9" style="230"/>
    <col min="7425" max="7425" width="1.625" style="230" customWidth="1"/>
    <col min="7426" max="7426" width="9.625" style="230" customWidth="1"/>
    <col min="7427" max="7444" width="15.75" style="230" customWidth="1"/>
    <col min="7445" max="7445" width="1.625" style="230" customWidth="1"/>
    <col min="7446" max="7680" width="9" style="230"/>
    <col min="7681" max="7681" width="1.625" style="230" customWidth="1"/>
    <col min="7682" max="7682" width="9.625" style="230" customWidth="1"/>
    <col min="7683" max="7700" width="15.75" style="230" customWidth="1"/>
    <col min="7701" max="7701" width="1.625" style="230" customWidth="1"/>
    <col min="7702" max="7936" width="9" style="230"/>
    <col min="7937" max="7937" width="1.625" style="230" customWidth="1"/>
    <col min="7938" max="7938" width="9.625" style="230" customWidth="1"/>
    <col min="7939" max="7956" width="15.75" style="230" customWidth="1"/>
    <col min="7957" max="7957" width="1.625" style="230" customWidth="1"/>
    <col min="7958" max="8192" width="9" style="230"/>
    <col min="8193" max="8193" width="1.625" style="230" customWidth="1"/>
    <col min="8194" max="8194" width="9.625" style="230" customWidth="1"/>
    <col min="8195" max="8212" width="15.75" style="230" customWidth="1"/>
    <col min="8213" max="8213" width="1.625" style="230" customWidth="1"/>
    <col min="8214" max="8448" width="9" style="230"/>
    <col min="8449" max="8449" width="1.625" style="230" customWidth="1"/>
    <col min="8450" max="8450" width="9.625" style="230" customWidth="1"/>
    <col min="8451" max="8468" width="15.75" style="230" customWidth="1"/>
    <col min="8469" max="8469" width="1.625" style="230" customWidth="1"/>
    <col min="8470" max="8704" width="9" style="230"/>
    <col min="8705" max="8705" width="1.625" style="230" customWidth="1"/>
    <col min="8706" max="8706" width="9.625" style="230" customWidth="1"/>
    <col min="8707" max="8724" width="15.75" style="230" customWidth="1"/>
    <col min="8725" max="8725" width="1.625" style="230" customWidth="1"/>
    <col min="8726" max="8960" width="9" style="230"/>
    <col min="8961" max="8961" width="1.625" style="230" customWidth="1"/>
    <col min="8962" max="8962" width="9.625" style="230" customWidth="1"/>
    <col min="8963" max="8980" width="15.75" style="230" customWidth="1"/>
    <col min="8981" max="8981" width="1.625" style="230" customWidth="1"/>
    <col min="8982" max="9216" width="9" style="230"/>
    <col min="9217" max="9217" width="1.625" style="230" customWidth="1"/>
    <col min="9218" max="9218" width="9.625" style="230" customWidth="1"/>
    <col min="9219" max="9236" width="15.75" style="230" customWidth="1"/>
    <col min="9237" max="9237" width="1.625" style="230" customWidth="1"/>
    <col min="9238" max="9472" width="9" style="230"/>
    <col min="9473" max="9473" width="1.625" style="230" customWidth="1"/>
    <col min="9474" max="9474" width="9.625" style="230" customWidth="1"/>
    <col min="9475" max="9492" width="15.75" style="230" customWidth="1"/>
    <col min="9493" max="9493" width="1.625" style="230" customWidth="1"/>
    <col min="9494" max="9728" width="9" style="230"/>
    <col min="9729" max="9729" width="1.625" style="230" customWidth="1"/>
    <col min="9730" max="9730" width="9.625" style="230" customWidth="1"/>
    <col min="9731" max="9748" width="15.75" style="230" customWidth="1"/>
    <col min="9749" max="9749" width="1.625" style="230" customWidth="1"/>
    <col min="9750" max="9984" width="9" style="230"/>
    <col min="9985" max="9985" width="1.625" style="230" customWidth="1"/>
    <col min="9986" max="9986" width="9.625" style="230" customWidth="1"/>
    <col min="9987" max="10004" width="15.75" style="230" customWidth="1"/>
    <col min="10005" max="10005" width="1.625" style="230" customWidth="1"/>
    <col min="10006" max="10240" width="9" style="230"/>
    <col min="10241" max="10241" width="1.625" style="230" customWidth="1"/>
    <col min="10242" max="10242" width="9.625" style="230" customWidth="1"/>
    <col min="10243" max="10260" width="15.75" style="230" customWidth="1"/>
    <col min="10261" max="10261" width="1.625" style="230" customWidth="1"/>
    <col min="10262" max="10496" width="9" style="230"/>
    <col min="10497" max="10497" width="1.625" style="230" customWidth="1"/>
    <col min="10498" max="10498" width="9.625" style="230" customWidth="1"/>
    <col min="10499" max="10516" width="15.75" style="230" customWidth="1"/>
    <col min="10517" max="10517" width="1.625" style="230" customWidth="1"/>
    <col min="10518" max="10752" width="9" style="230"/>
    <col min="10753" max="10753" width="1.625" style="230" customWidth="1"/>
    <col min="10754" max="10754" width="9.625" style="230" customWidth="1"/>
    <col min="10755" max="10772" width="15.75" style="230" customWidth="1"/>
    <col min="10773" max="10773" width="1.625" style="230" customWidth="1"/>
    <col min="10774" max="11008" width="9" style="230"/>
    <col min="11009" max="11009" width="1.625" style="230" customWidth="1"/>
    <col min="11010" max="11010" width="9.625" style="230" customWidth="1"/>
    <col min="11011" max="11028" width="15.75" style="230" customWidth="1"/>
    <col min="11029" max="11029" width="1.625" style="230" customWidth="1"/>
    <col min="11030" max="11264" width="9" style="230"/>
    <col min="11265" max="11265" width="1.625" style="230" customWidth="1"/>
    <col min="11266" max="11266" width="9.625" style="230" customWidth="1"/>
    <col min="11267" max="11284" width="15.75" style="230" customWidth="1"/>
    <col min="11285" max="11285" width="1.625" style="230" customWidth="1"/>
    <col min="11286" max="11520" width="9" style="230"/>
    <col min="11521" max="11521" width="1.625" style="230" customWidth="1"/>
    <col min="11522" max="11522" width="9.625" style="230" customWidth="1"/>
    <col min="11523" max="11540" width="15.75" style="230" customWidth="1"/>
    <col min="11541" max="11541" width="1.625" style="230" customWidth="1"/>
    <col min="11542" max="11776" width="9" style="230"/>
    <col min="11777" max="11777" width="1.625" style="230" customWidth="1"/>
    <col min="11778" max="11778" width="9.625" style="230" customWidth="1"/>
    <col min="11779" max="11796" width="15.75" style="230" customWidth="1"/>
    <col min="11797" max="11797" width="1.625" style="230" customWidth="1"/>
    <col min="11798" max="12032" width="9" style="230"/>
    <col min="12033" max="12033" width="1.625" style="230" customWidth="1"/>
    <col min="12034" max="12034" width="9.625" style="230" customWidth="1"/>
    <col min="12035" max="12052" width="15.75" style="230" customWidth="1"/>
    <col min="12053" max="12053" width="1.625" style="230" customWidth="1"/>
    <col min="12054" max="12288" width="9" style="230"/>
    <col min="12289" max="12289" width="1.625" style="230" customWidth="1"/>
    <col min="12290" max="12290" width="9.625" style="230" customWidth="1"/>
    <col min="12291" max="12308" width="15.75" style="230" customWidth="1"/>
    <col min="12309" max="12309" width="1.625" style="230" customWidth="1"/>
    <col min="12310" max="12544" width="9" style="230"/>
    <col min="12545" max="12545" width="1.625" style="230" customWidth="1"/>
    <col min="12546" max="12546" width="9.625" style="230" customWidth="1"/>
    <col min="12547" max="12564" width="15.75" style="230" customWidth="1"/>
    <col min="12565" max="12565" width="1.625" style="230" customWidth="1"/>
    <col min="12566" max="12800" width="9" style="230"/>
    <col min="12801" max="12801" width="1.625" style="230" customWidth="1"/>
    <col min="12802" max="12802" width="9.625" style="230" customWidth="1"/>
    <col min="12803" max="12820" width="15.75" style="230" customWidth="1"/>
    <col min="12821" max="12821" width="1.625" style="230" customWidth="1"/>
    <col min="12822" max="13056" width="9" style="230"/>
    <col min="13057" max="13057" width="1.625" style="230" customWidth="1"/>
    <col min="13058" max="13058" width="9.625" style="230" customWidth="1"/>
    <col min="13059" max="13076" width="15.75" style="230" customWidth="1"/>
    <col min="13077" max="13077" width="1.625" style="230" customWidth="1"/>
    <col min="13078" max="13312" width="9" style="230"/>
    <col min="13313" max="13313" width="1.625" style="230" customWidth="1"/>
    <col min="13314" max="13314" width="9.625" style="230" customWidth="1"/>
    <col min="13315" max="13332" width="15.75" style="230" customWidth="1"/>
    <col min="13333" max="13333" width="1.625" style="230" customWidth="1"/>
    <col min="13334" max="13568" width="9" style="230"/>
    <col min="13569" max="13569" width="1.625" style="230" customWidth="1"/>
    <col min="13570" max="13570" width="9.625" style="230" customWidth="1"/>
    <col min="13571" max="13588" width="15.75" style="230" customWidth="1"/>
    <col min="13589" max="13589" width="1.625" style="230" customWidth="1"/>
    <col min="13590" max="13824" width="9" style="230"/>
    <col min="13825" max="13825" width="1.625" style="230" customWidth="1"/>
    <col min="13826" max="13826" width="9.625" style="230" customWidth="1"/>
    <col min="13827" max="13844" width="15.75" style="230" customWidth="1"/>
    <col min="13845" max="13845" width="1.625" style="230" customWidth="1"/>
    <col min="13846" max="14080" width="9" style="230"/>
    <col min="14081" max="14081" width="1.625" style="230" customWidth="1"/>
    <col min="14082" max="14082" width="9.625" style="230" customWidth="1"/>
    <col min="14083" max="14100" width="15.75" style="230" customWidth="1"/>
    <col min="14101" max="14101" width="1.625" style="230" customWidth="1"/>
    <col min="14102" max="14336" width="9" style="230"/>
    <col min="14337" max="14337" width="1.625" style="230" customWidth="1"/>
    <col min="14338" max="14338" width="9.625" style="230" customWidth="1"/>
    <col min="14339" max="14356" width="15.75" style="230" customWidth="1"/>
    <col min="14357" max="14357" width="1.625" style="230" customWidth="1"/>
    <col min="14358" max="14592" width="9" style="230"/>
    <col min="14593" max="14593" width="1.625" style="230" customWidth="1"/>
    <col min="14594" max="14594" width="9.625" style="230" customWidth="1"/>
    <col min="14595" max="14612" width="15.75" style="230" customWidth="1"/>
    <col min="14613" max="14613" width="1.625" style="230" customWidth="1"/>
    <col min="14614" max="14848" width="9" style="230"/>
    <col min="14849" max="14849" width="1.625" style="230" customWidth="1"/>
    <col min="14850" max="14850" width="9.625" style="230" customWidth="1"/>
    <col min="14851" max="14868" width="15.75" style="230" customWidth="1"/>
    <col min="14869" max="14869" width="1.625" style="230" customWidth="1"/>
    <col min="14870" max="15104" width="9" style="230"/>
    <col min="15105" max="15105" width="1.625" style="230" customWidth="1"/>
    <col min="15106" max="15106" width="9.625" style="230" customWidth="1"/>
    <col min="15107" max="15124" width="15.75" style="230" customWidth="1"/>
    <col min="15125" max="15125" width="1.625" style="230" customWidth="1"/>
    <col min="15126" max="15360" width="9" style="230"/>
    <col min="15361" max="15361" width="1.625" style="230" customWidth="1"/>
    <col min="15362" max="15362" width="9.625" style="230" customWidth="1"/>
    <col min="15363" max="15380" width="15.75" style="230" customWidth="1"/>
    <col min="15381" max="15381" width="1.625" style="230" customWidth="1"/>
    <col min="15382" max="15616" width="9" style="230"/>
    <col min="15617" max="15617" width="1.625" style="230" customWidth="1"/>
    <col min="15618" max="15618" width="9.625" style="230" customWidth="1"/>
    <col min="15619" max="15636" width="15.75" style="230" customWidth="1"/>
    <col min="15637" max="15637" width="1.625" style="230" customWidth="1"/>
    <col min="15638" max="15872" width="9" style="230"/>
    <col min="15873" max="15873" width="1.625" style="230" customWidth="1"/>
    <col min="15874" max="15874" width="9.625" style="230" customWidth="1"/>
    <col min="15875" max="15892" width="15.75" style="230" customWidth="1"/>
    <col min="15893" max="15893" width="1.625" style="230" customWidth="1"/>
    <col min="15894" max="16128" width="9" style="230"/>
    <col min="16129" max="16129" width="1.625" style="230" customWidth="1"/>
    <col min="16130" max="16130" width="9.625" style="230" customWidth="1"/>
    <col min="16131" max="16148" width="15.75" style="230" customWidth="1"/>
    <col min="16149" max="16149" width="1.625" style="230" customWidth="1"/>
    <col min="16150" max="16384" width="9" style="230"/>
  </cols>
  <sheetData>
    <row r="1" spans="2:48" ht="9.9499999999999993" customHeight="1" thickBot="1" x14ac:dyDescent="0.35"/>
    <row r="2" spans="2:48" ht="36" customHeight="1" thickTop="1" x14ac:dyDescent="0.3">
      <c r="B2" s="231" t="s">
        <v>433</v>
      </c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40"/>
      <c r="V2" s="267" t="s">
        <v>670</v>
      </c>
    </row>
    <row r="3" spans="2:48" s="234" customFormat="1" ht="27.95" customHeight="1" x14ac:dyDescent="0.55000000000000004">
      <c r="B3" s="441" t="s">
        <v>525</v>
      </c>
      <c r="C3" s="429" t="s">
        <v>526</v>
      </c>
      <c r="D3" s="430"/>
      <c r="E3" s="429" t="s">
        <v>527</v>
      </c>
      <c r="F3" s="444"/>
      <c r="G3" s="444"/>
      <c r="H3" s="444"/>
      <c r="I3" s="444"/>
      <c r="J3" s="444"/>
      <c r="K3" s="436" t="s">
        <v>528</v>
      </c>
      <c r="L3" s="435"/>
      <c r="M3" s="436" t="s">
        <v>529</v>
      </c>
      <c r="N3" s="435"/>
      <c r="O3" s="445" t="s">
        <v>530</v>
      </c>
      <c r="P3" s="446"/>
      <c r="Q3" s="446"/>
      <c r="R3" s="447"/>
      <c r="S3" s="436" t="s">
        <v>531</v>
      </c>
      <c r="T3" s="435"/>
      <c r="U3" s="434" t="s">
        <v>532</v>
      </c>
      <c r="V3" s="435"/>
      <c r="W3" s="436" t="s">
        <v>533</v>
      </c>
      <c r="X3" s="435"/>
      <c r="Y3" s="436" t="s">
        <v>534</v>
      </c>
      <c r="Z3" s="435"/>
      <c r="AA3" s="436" t="s">
        <v>535</v>
      </c>
      <c r="AB3" s="434"/>
      <c r="AC3" s="435"/>
      <c r="AD3" s="437" t="s">
        <v>536</v>
      </c>
      <c r="AE3" s="437"/>
      <c r="AF3" s="437"/>
      <c r="AG3" s="437"/>
      <c r="AH3" s="437"/>
      <c r="AI3" s="438" t="s">
        <v>537</v>
      </c>
      <c r="AJ3" s="438"/>
      <c r="AK3" s="438" t="s">
        <v>538</v>
      </c>
      <c r="AL3" s="438"/>
      <c r="AM3" s="438" t="s">
        <v>539</v>
      </c>
      <c r="AN3" s="438"/>
      <c r="AO3" s="438" t="s">
        <v>540</v>
      </c>
      <c r="AP3" s="438"/>
      <c r="AQ3" s="431" t="s">
        <v>675</v>
      </c>
      <c r="AR3" s="432"/>
      <c r="AS3" s="433"/>
      <c r="AT3" s="431" t="s">
        <v>541</v>
      </c>
      <c r="AU3" s="432"/>
      <c r="AV3" s="433"/>
    </row>
    <row r="4" spans="2:48" ht="27.95" customHeight="1" x14ac:dyDescent="0.3">
      <c r="B4" s="442"/>
      <c r="C4" s="423" t="s">
        <v>660</v>
      </c>
      <c r="D4" s="233" t="s">
        <v>542</v>
      </c>
      <c r="E4" s="423" t="s">
        <v>543</v>
      </c>
      <c r="F4" s="232" t="s">
        <v>544</v>
      </c>
      <c r="G4" s="265" t="s">
        <v>656</v>
      </c>
      <c r="H4" s="266" t="s">
        <v>657</v>
      </c>
      <c r="I4" s="233" t="s">
        <v>545</v>
      </c>
      <c r="J4" s="233" t="s">
        <v>546</v>
      </c>
      <c r="K4" s="423" t="s">
        <v>547</v>
      </c>
      <c r="L4" s="263" t="s">
        <v>548</v>
      </c>
      <c r="M4" s="423" t="s">
        <v>547</v>
      </c>
      <c r="N4" s="233" t="s">
        <v>549</v>
      </c>
      <c r="O4" s="423" t="s">
        <v>550</v>
      </c>
      <c r="P4" s="233" t="s">
        <v>551</v>
      </c>
      <c r="Q4" s="233" t="s">
        <v>552</v>
      </c>
      <c r="R4" s="233" t="s">
        <v>553</v>
      </c>
      <c r="S4" s="423" t="s">
        <v>547</v>
      </c>
      <c r="T4" s="233" t="s">
        <v>554</v>
      </c>
      <c r="U4" s="423" t="s">
        <v>547</v>
      </c>
      <c r="V4" s="263" t="s">
        <v>554</v>
      </c>
      <c r="W4" s="423" t="s">
        <v>547</v>
      </c>
      <c r="X4" s="233" t="s">
        <v>555</v>
      </c>
      <c r="Y4" s="423" t="s">
        <v>547</v>
      </c>
      <c r="Z4" s="263" t="s">
        <v>556</v>
      </c>
      <c r="AA4" s="423" t="s">
        <v>673</v>
      </c>
      <c r="AB4" s="233" t="s">
        <v>661</v>
      </c>
      <c r="AC4" s="233" t="s">
        <v>672</v>
      </c>
      <c r="AD4" s="427" t="s">
        <v>557</v>
      </c>
      <c r="AE4" s="233" t="s">
        <v>558</v>
      </c>
      <c r="AF4" s="264" t="s">
        <v>667</v>
      </c>
      <c r="AG4" s="235" t="s">
        <v>640</v>
      </c>
      <c r="AH4" s="235" t="s">
        <v>641</v>
      </c>
      <c r="AI4" s="427" t="s">
        <v>547</v>
      </c>
      <c r="AJ4" s="235" t="s">
        <v>559</v>
      </c>
      <c r="AK4" s="427" t="s">
        <v>547</v>
      </c>
      <c r="AL4" s="235" t="s">
        <v>658</v>
      </c>
      <c r="AM4" s="427" t="s">
        <v>547</v>
      </c>
      <c r="AN4" s="235" t="s">
        <v>658</v>
      </c>
      <c r="AO4" s="427" t="s">
        <v>547</v>
      </c>
      <c r="AP4" s="235" t="s">
        <v>658</v>
      </c>
      <c r="AQ4" s="427" t="s">
        <v>560</v>
      </c>
      <c r="AR4" s="235" t="s">
        <v>676</v>
      </c>
      <c r="AS4" s="235" t="s">
        <v>677</v>
      </c>
      <c r="AT4" s="427" t="s">
        <v>560</v>
      </c>
      <c r="AU4" s="264" t="s">
        <v>668</v>
      </c>
      <c r="AV4" s="264" t="s">
        <v>669</v>
      </c>
    </row>
    <row r="5" spans="2:48" ht="27.95" customHeight="1" x14ac:dyDescent="0.3">
      <c r="B5" s="443"/>
      <c r="C5" s="424"/>
      <c r="D5" s="236" t="s">
        <v>561</v>
      </c>
      <c r="E5" s="424"/>
      <c r="F5" s="236" t="s">
        <v>561</v>
      </c>
      <c r="G5" s="236" t="s">
        <v>561</v>
      </c>
      <c r="H5" s="236" t="s">
        <v>561</v>
      </c>
      <c r="I5" s="236" t="s">
        <v>561</v>
      </c>
      <c r="J5" s="236" t="s">
        <v>561</v>
      </c>
      <c r="K5" s="424"/>
      <c r="L5" s="236" t="s">
        <v>561</v>
      </c>
      <c r="M5" s="424"/>
      <c r="N5" s="236" t="s">
        <v>561</v>
      </c>
      <c r="O5" s="424"/>
      <c r="P5" s="236" t="s">
        <v>561</v>
      </c>
      <c r="Q5" s="236" t="s">
        <v>561</v>
      </c>
      <c r="R5" s="236" t="s">
        <v>561</v>
      </c>
      <c r="S5" s="424"/>
      <c r="T5" s="236" t="s">
        <v>561</v>
      </c>
      <c r="U5" s="424"/>
      <c r="V5" s="236" t="s">
        <v>561</v>
      </c>
      <c r="W5" s="424"/>
      <c r="X5" s="236" t="s">
        <v>561</v>
      </c>
      <c r="Y5" s="424"/>
      <c r="Z5" s="236" t="s">
        <v>561</v>
      </c>
      <c r="AA5" s="424"/>
      <c r="AB5" s="236" t="s">
        <v>561</v>
      </c>
      <c r="AC5" s="236" t="s">
        <v>561</v>
      </c>
      <c r="AD5" s="428"/>
      <c r="AE5" s="233" t="s">
        <v>561</v>
      </c>
      <c r="AF5" s="233" t="s">
        <v>561</v>
      </c>
      <c r="AG5" s="233" t="s">
        <v>561</v>
      </c>
      <c r="AH5" s="233" t="s">
        <v>561</v>
      </c>
      <c r="AI5" s="428"/>
      <c r="AJ5" s="233" t="s">
        <v>561</v>
      </c>
      <c r="AK5" s="428"/>
      <c r="AL5" s="233" t="s">
        <v>561</v>
      </c>
      <c r="AM5" s="428"/>
      <c r="AN5" s="233" t="s">
        <v>561</v>
      </c>
      <c r="AO5" s="428"/>
      <c r="AP5" s="233" t="s">
        <v>561</v>
      </c>
      <c r="AQ5" s="428"/>
      <c r="AR5" s="233" t="s">
        <v>674</v>
      </c>
      <c r="AS5" s="233" t="s">
        <v>674</v>
      </c>
      <c r="AT5" s="428"/>
      <c r="AU5" s="233" t="s">
        <v>561</v>
      </c>
      <c r="AV5" s="233" t="s">
        <v>561</v>
      </c>
    </row>
    <row r="6" spans="2:48" ht="36" customHeight="1" x14ac:dyDescent="0.3">
      <c r="B6" s="237" t="s">
        <v>448</v>
      </c>
      <c r="C6" s="238">
        <f>D6</f>
        <v>317</v>
      </c>
      <c r="D6" s="239">
        <f>'2. 중블록 공급량(동부)'!C6</f>
        <v>317</v>
      </c>
      <c r="E6" s="238">
        <f>SUM(F6:J6)</f>
        <v>428</v>
      </c>
      <c r="F6" s="239">
        <f>'2. 중블록 공급량(동부)'!I6</f>
        <v>375</v>
      </c>
      <c r="G6" s="239">
        <f>'3. 공급량(동부)'!G39</f>
        <v>22</v>
      </c>
      <c r="H6" s="239">
        <f>'3. 공급량(동부)'!I39</f>
        <v>26</v>
      </c>
      <c r="I6" s="238">
        <f>'3. 공급량(동부)'!K39</f>
        <v>5</v>
      </c>
      <c r="J6" s="239"/>
      <c r="K6" s="238">
        <f>L6</f>
        <v>208</v>
      </c>
      <c r="L6" s="239">
        <f>'3. 공급량(동부)'!C171</f>
        <v>208</v>
      </c>
      <c r="M6" s="238">
        <f>N6</f>
        <v>169</v>
      </c>
      <c r="N6" s="239">
        <f>'2. 중블록 공급량(동부)'!O6</f>
        <v>169</v>
      </c>
      <c r="O6" s="238">
        <f>SUM(P6:R6)</f>
        <v>291</v>
      </c>
      <c r="P6" s="239">
        <f>'2. 중블록 공급량(동부)'!Q6</f>
        <v>123</v>
      </c>
      <c r="Q6" s="238">
        <f>'2. 중블록 공급량(동부)'!S6</f>
        <v>71</v>
      </c>
      <c r="R6" s="239">
        <f>'2. 중블록 공급량(동부)'!C39</f>
        <v>97</v>
      </c>
      <c r="S6" s="238">
        <f>T6</f>
        <v>32</v>
      </c>
      <c r="T6" s="239">
        <f>'2. 중블록 공급량(동부)'!E39</f>
        <v>32</v>
      </c>
      <c r="U6" s="239">
        <f>V6</f>
        <v>13</v>
      </c>
      <c r="V6" s="239">
        <f>'3. 공급량(동부)'!G171</f>
        <v>13</v>
      </c>
      <c r="W6" s="239">
        <f>X6</f>
        <v>22</v>
      </c>
      <c r="X6" s="239">
        <f>'2. 중블록 공급량(동부)'!I39</f>
        <v>22</v>
      </c>
      <c r="Y6" s="239">
        <f>Z6</f>
        <v>8</v>
      </c>
      <c r="Z6" s="239">
        <f>'3. 공급량(동부)'!E171</f>
        <v>8</v>
      </c>
      <c r="AA6" s="239">
        <f>SUM(AB6:AC6)</f>
        <v>20</v>
      </c>
      <c r="AB6" s="239">
        <f>'2. 중블록 공급량(동부)'!M39</f>
        <v>20</v>
      </c>
      <c r="AC6" s="239">
        <f>'3. 공급량(동부)'!S171</f>
        <v>0</v>
      </c>
      <c r="AD6" s="239">
        <f>SUM(AE6:AH6)</f>
        <v>1535</v>
      </c>
      <c r="AE6" s="239">
        <f>'2. 중블록 공급량(동부)'!O39</f>
        <v>1189</v>
      </c>
      <c r="AF6" s="239">
        <f>'3. 공급량(동부)'!S105</f>
        <v>41</v>
      </c>
      <c r="AG6" s="239">
        <f>'2. 중블록 공급량(동부)'!S39</f>
        <v>305</v>
      </c>
      <c r="AH6" s="239">
        <f>'2. 중블록 공급량(동부)'!C72</f>
        <v>0</v>
      </c>
      <c r="AI6" s="239">
        <f t="shared" ref="AI6:AI29" si="0">SUM(AJ6:AJ6)</f>
        <v>631</v>
      </c>
      <c r="AJ6" s="239">
        <f>'2. 중블록 공급량(동부)'!E72</f>
        <v>631</v>
      </c>
      <c r="AK6" s="239">
        <f>AL6</f>
        <v>14</v>
      </c>
      <c r="AL6" s="239">
        <f>'3. 공급량(동부)'!C72</f>
        <v>14</v>
      </c>
      <c r="AM6" s="239">
        <f>AN6</f>
        <v>14</v>
      </c>
      <c r="AN6" s="239">
        <f>'3. 공급량(동부)'!E72</f>
        <v>14</v>
      </c>
      <c r="AO6" s="239">
        <f>AP6</f>
        <v>71</v>
      </c>
      <c r="AP6" s="239">
        <f>'3. 공급량(동부)'!G72</f>
        <v>71</v>
      </c>
      <c r="AQ6" s="239">
        <f>SUM(AR6:AS6)</f>
        <v>76</v>
      </c>
      <c r="AR6" s="239">
        <f>'3. 공급량(동부)'!O171</f>
        <v>76</v>
      </c>
      <c r="AS6" s="239">
        <v>0</v>
      </c>
      <c r="AT6" s="239">
        <f>SUM(AU6:AV6)</f>
        <v>31</v>
      </c>
      <c r="AU6" s="239">
        <f>'3. 공급량(동부)'!M138</f>
        <v>1</v>
      </c>
      <c r="AV6" s="239">
        <f>'3. 공급량(동부)'!O138</f>
        <v>30</v>
      </c>
    </row>
    <row r="7" spans="2:48" ht="36" customHeight="1" x14ac:dyDescent="0.3">
      <c r="B7" s="240" t="s">
        <v>449</v>
      </c>
      <c r="C7" s="241">
        <f>D7</f>
        <v>271</v>
      </c>
      <c r="D7" s="242">
        <f>'2. 중블록 공급량(동부)'!C7</f>
        <v>271</v>
      </c>
      <c r="E7" s="241">
        <f>SUM(F7:J7)</f>
        <v>378</v>
      </c>
      <c r="F7" s="242">
        <f>'2. 중블록 공급량(동부)'!I7</f>
        <v>334</v>
      </c>
      <c r="G7" s="242">
        <f>'3. 공급량(동부)'!G40</f>
        <v>20</v>
      </c>
      <c r="H7" s="242">
        <f>'3. 공급량(동부)'!I40</f>
        <v>19</v>
      </c>
      <c r="I7" s="241">
        <f>'3. 공급량(동부)'!K40</f>
        <v>5</v>
      </c>
      <c r="J7" s="242"/>
      <c r="K7" s="241">
        <f t="shared" ref="K7:K29" si="1">L7</f>
        <v>305</v>
      </c>
      <c r="L7" s="242">
        <f>'3. 공급량(동부)'!C172</f>
        <v>305</v>
      </c>
      <c r="M7" s="241">
        <f t="shared" ref="M7:M29" si="2">N7</f>
        <v>149</v>
      </c>
      <c r="N7" s="242">
        <f>'2. 중블록 공급량(동부)'!O7</f>
        <v>149</v>
      </c>
      <c r="O7" s="241">
        <f t="shared" ref="O7:O29" si="3">SUM(P7:R7)</f>
        <v>264</v>
      </c>
      <c r="P7" s="242">
        <f>'2. 중블록 공급량(동부)'!Q7</f>
        <v>99</v>
      </c>
      <c r="Q7" s="241">
        <f>'2. 중블록 공급량(동부)'!S7</f>
        <v>57</v>
      </c>
      <c r="R7" s="242">
        <f>'2. 중블록 공급량(동부)'!C40</f>
        <v>108</v>
      </c>
      <c r="S7" s="241">
        <f t="shared" ref="S7:S29" si="4">T7</f>
        <v>31</v>
      </c>
      <c r="T7" s="242">
        <f>'2. 중블록 공급량(동부)'!E40</f>
        <v>31</v>
      </c>
      <c r="U7" s="242">
        <f t="shared" ref="U7:U29" si="5">V7</f>
        <v>13</v>
      </c>
      <c r="V7" s="242">
        <f>'3. 공급량(동부)'!G172</f>
        <v>13</v>
      </c>
      <c r="W7" s="242">
        <f t="shared" ref="W7:W29" si="6">X7</f>
        <v>18</v>
      </c>
      <c r="X7" s="242">
        <f>'2. 중블록 공급량(동부)'!I40</f>
        <v>18</v>
      </c>
      <c r="Y7" s="242">
        <f t="shared" ref="Y7:Y29" si="7">Z7</f>
        <v>8</v>
      </c>
      <c r="Z7" s="242">
        <f>'3. 공급량(동부)'!E172</f>
        <v>8</v>
      </c>
      <c r="AA7" s="242">
        <f>SUM(AB7:AC7)</f>
        <v>17</v>
      </c>
      <c r="AB7" s="242">
        <f>'2. 중블록 공급량(동부)'!M40</f>
        <v>17</v>
      </c>
      <c r="AC7" s="242">
        <f>'3. 공급량(동부)'!S172</f>
        <v>0</v>
      </c>
      <c r="AD7" s="242">
        <f t="shared" ref="AD7:AD29" si="8">SUM(AE7:AH7)</f>
        <v>1376</v>
      </c>
      <c r="AE7" s="242">
        <f>'2. 중블록 공급량(동부)'!O40</f>
        <v>1034</v>
      </c>
      <c r="AF7" s="242">
        <f>'3. 공급량(동부)'!S106</f>
        <v>38</v>
      </c>
      <c r="AG7" s="242">
        <f>'2. 중블록 공급량(동부)'!S40</f>
        <v>304</v>
      </c>
      <c r="AH7" s="242">
        <f>'2. 중블록 공급량(동부)'!C73</f>
        <v>0</v>
      </c>
      <c r="AI7" s="242">
        <f t="shared" si="0"/>
        <v>617</v>
      </c>
      <c r="AJ7" s="242">
        <f>'2. 중블록 공급량(동부)'!E73</f>
        <v>617</v>
      </c>
      <c r="AK7" s="242">
        <f t="shared" ref="AK7:AK29" si="9">AL7</f>
        <v>14</v>
      </c>
      <c r="AL7" s="242">
        <f>'3. 공급량(동부)'!C73</f>
        <v>14</v>
      </c>
      <c r="AM7" s="242">
        <f t="shared" ref="AM7:AM29" si="10">AN7</f>
        <v>10</v>
      </c>
      <c r="AN7" s="242">
        <f>'3. 공급량(동부)'!E73</f>
        <v>10</v>
      </c>
      <c r="AO7" s="242">
        <f t="shared" ref="AO7:AO29" si="11">AP7</f>
        <v>71</v>
      </c>
      <c r="AP7" s="242">
        <f>'3. 공급량(동부)'!G73</f>
        <v>71</v>
      </c>
      <c r="AQ7" s="242">
        <f>SUM(AR7:AS7)</f>
        <v>76</v>
      </c>
      <c r="AR7" s="242">
        <f>'3. 공급량(동부)'!O171</f>
        <v>76</v>
      </c>
      <c r="AS7" s="242">
        <v>0</v>
      </c>
      <c r="AT7" s="242">
        <f t="shared" ref="AT7:AT29" si="12">SUM(AU7:AV7)</f>
        <v>41</v>
      </c>
      <c r="AU7" s="242">
        <f>'3. 공급량(동부)'!M139</f>
        <v>11</v>
      </c>
      <c r="AV7" s="242">
        <f>'3. 공급량(동부)'!O139</f>
        <v>30</v>
      </c>
    </row>
    <row r="8" spans="2:48" ht="36" customHeight="1" x14ac:dyDescent="0.3">
      <c r="B8" s="243" t="s">
        <v>450</v>
      </c>
      <c r="C8" s="244">
        <f t="shared" ref="C8:C28" si="13">D8</f>
        <v>245</v>
      </c>
      <c r="D8" s="245">
        <f>'2. 중블록 공급량(동부)'!C8</f>
        <v>245</v>
      </c>
      <c r="E8" s="244">
        <f t="shared" ref="E8:E28" si="14">SUM(F8:J8)</f>
        <v>351</v>
      </c>
      <c r="F8" s="245">
        <f>'2. 중블록 공급량(동부)'!I8</f>
        <v>316</v>
      </c>
      <c r="G8" s="245">
        <f>'3. 공급량(동부)'!G41</f>
        <v>19</v>
      </c>
      <c r="H8" s="245">
        <f>'3. 공급량(동부)'!I41</f>
        <v>11</v>
      </c>
      <c r="I8" s="244">
        <f>'3. 공급량(동부)'!K41</f>
        <v>5</v>
      </c>
      <c r="J8" s="245"/>
      <c r="K8" s="246">
        <f t="shared" si="1"/>
        <v>307</v>
      </c>
      <c r="L8" s="242">
        <f>'3. 공급량(동부)'!C173</f>
        <v>307</v>
      </c>
      <c r="M8" s="246">
        <f t="shared" si="2"/>
        <v>131</v>
      </c>
      <c r="N8" s="245">
        <f>'2. 중블록 공급량(동부)'!O8</f>
        <v>131</v>
      </c>
      <c r="O8" s="246">
        <f t="shared" si="3"/>
        <v>254</v>
      </c>
      <c r="P8" s="245">
        <f>'2. 중블록 공급량(동부)'!Q8</f>
        <v>84</v>
      </c>
      <c r="Q8" s="244">
        <f>'2. 중블록 공급량(동부)'!S8</f>
        <v>57</v>
      </c>
      <c r="R8" s="245">
        <f>'2. 중블록 공급량(동부)'!C41</f>
        <v>113</v>
      </c>
      <c r="S8" s="246">
        <f t="shared" si="4"/>
        <v>31</v>
      </c>
      <c r="T8" s="245">
        <f>'2. 중블록 공급량(동부)'!E41</f>
        <v>31</v>
      </c>
      <c r="U8" s="245">
        <f t="shared" si="5"/>
        <v>12</v>
      </c>
      <c r="V8" s="242">
        <f>'3. 공급량(동부)'!G173</f>
        <v>12</v>
      </c>
      <c r="W8" s="245">
        <f t="shared" si="6"/>
        <v>12</v>
      </c>
      <c r="X8" s="245">
        <f>'2. 중블록 공급량(동부)'!I41</f>
        <v>12</v>
      </c>
      <c r="Y8" s="245">
        <f t="shared" si="7"/>
        <v>9</v>
      </c>
      <c r="Z8" s="242">
        <f>'3. 공급량(동부)'!E173</f>
        <v>9</v>
      </c>
      <c r="AA8" s="242">
        <f t="shared" ref="AA8:AA29" si="15">SUM(AB8:AC8)</f>
        <v>16</v>
      </c>
      <c r="AB8" s="245">
        <f>'2. 중블록 공급량(동부)'!M41</f>
        <v>16</v>
      </c>
      <c r="AC8" s="242">
        <f>'3. 공급량(동부)'!S173</f>
        <v>0</v>
      </c>
      <c r="AD8" s="245">
        <f t="shared" si="8"/>
        <v>1268</v>
      </c>
      <c r="AE8" s="245">
        <f>'2. 중블록 공급량(동부)'!O41</f>
        <v>944</v>
      </c>
      <c r="AF8" s="242">
        <f>'3. 공급량(동부)'!S107</f>
        <v>35</v>
      </c>
      <c r="AG8" s="245">
        <f>'2. 중블록 공급량(동부)'!S41</f>
        <v>289</v>
      </c>
      <c r="AH8" s="245">
        <f>'2. 중블록 공급량(동부)'!C74</f>
        <v>0</v>
      </c>
      <c r="AI8" s="245">
        <f t="shared" si="0"/>
        <v>361</v>
      </c>
      <c r="AJ8" s="245">
        <f>'2. 중블록 공급량(동부)'!E74</f>
        <v>361</v>
      </c>
      <c r="AK8" s="245">
        <f t="shared" si="9"/>
        <v>14</v>
      </c>
      <c r="AL8" s="245">
        <f>'3. 공급량(동부)'!C74</f>
        <v>14</v>
      </c>
      <c r="AM8" s="245">
        <f t="shared" si="10"/>
        <v>7</v>
      </c>
      <c r="AN8" s="245">
        <f>'3. 공급량(동부)'!E74</f>
        <v>7</v>
      </c>
      <c r="AO8" s="245">
        <f t="shared" si="11"/>
        <v>70</v>
      </c>
      <c r="AP8" s="245">
        <f>'3. 공급량(동부)'!G74</f>
        <v>70</v>
      </c>
      <c r="AQ8" s="242">
        <f t="shared" ref="AQ8:AQ29" si="16">SUM(AR8:AS8)</f>
        <v>75</v>
      </c>
      <c r="AR8" s="242">
        <f>'3. 공급량(동부)'!O172</f>
        <v>75</v>
      </c>
      <c r="AS8" s="245">
        <v>0</v>
      </c>
      <c r="AT8" s="245">
        <f t="shared" si="12"/>
        <v>30</v>
      </c>
      <c r="AU8" s="242">
        <f>'3. 공급량(동부)'!M140</f>
        <v>0</v>
      </c>
      <c r="AV8" s="242">
        <f>'3. 공급량(동부)'!O140</f>
        <v>30</v>
      </c>
    </row>
    <row r="9" spans="2:48" ht="36" customHeight="1" x14ac:dyDescent="0.3">
      <c r="B9" s="240" t="s">
        <v>451</v>
      </c>
      <c r="C9" s="241">
        <f t="shared" si="13"/>
        <v>229</v>
      </c>
      <c r="D9" s="242">
        <f>'2. 중블록 공급량(동부)'!C9</f>
        <v>229</v>
      </c>
      <c r="E9" s="241">
        <f t="shared" si="14"/>
        <v>345</v>
      </c>
      <c r="F9" s="242">
        <f>'2. 중블록 공급량(동부)'!I9</f>
        <v>309</v>
      </c>
      <c r="G9" s="242">
        <f>'3. 공급량(동부)'!G42</f>
        <v>20</v>
      </c>
      <c r="H9" s="242">
        <f>'3. 공급량(동부)'!I42</f>
        <v>11</v>
      </c>
      <c r="I9" s="241">
        <f>'3. 공급량(동부)'!K42</f>
        <v>5</v>
      </c>
      <c r="J9" s="242"/>
      <c r="K9" s="247">
        <f t="shared" si="1"/>
        <v>207</v>
      </c>
      <c r="L9" s="242">
        <f>'3. 공급량(동부)'!C174</f>
        <v>207</v>
      </c>
      <c r="M9" s="247">
        <f t="shared" si="2"/>
        <v>116</v>
      </c>
      <c r="N9" s="242">
        <f>'2. 중블록 공급량(동부)'!O9</f>
        <v>116</v>
      </c>
      <c r="O9" s="247">
        <f t="shared" si="3"/>
        <v>253</v>
      </c>
      <c r="P9" s="242">
        <f>'2. 중블록 공급량(동부)'!Q9</f>
        <v>93</v>
      </c>
      <c r="Q9" s="241">
        <f>'2. 중블록 공급량(동부)'!S9</f>
        <v>56</v>
      </c>
      <c r="R9" s="242">
        <f>'2. 중블록 공급량(동부)'!C42</f>
        <v>104</v>
      </c>
      <c r="S9" s="247">
        <f t="shared" si="4"/>
        <v>31</v>
      </c>
      <c r="T9" s="242">
        <f>'2. 중블록 공급량(동부)'!E42</f>
        <v>31</v>
      </c>
      <c r="U9" s="242">
        <f t="shared" si="5"/>
        <v>12</v>
      </c>
      <c r="V9" s="242">
        <f>'3. 공급량(동부)'!G174</f>
        <v>12</v>
      </c>
      <c r="W9" s="242">
        <f t="shared" si="6"/>
        <v>10</v>
      </c>
      <c r="X9" s="242">
        <f>'2. 중블록 공급량(동부)'!I42</f>
        <v>10</v>
      </c>
      <c r="Y9" s="242">
        <f t="shared" si="7"/>
        <v>7</v>
      </c>
      <c r="Z9" s="242">
        <f>'3. 공급량(동부)'!E174</f>
        <v>7</v>
      </c>
      <c r="AA9" s="242">
        <f t="shared" si="15"/>
        <v>11</v>
      </c>
      <c r="AB9" s="242">
        <f>'2. 중블록 공급량(동부)'!M42</f>
        <v>11</v>
      </c>
      <c r="AC9" s="242">
        <f>'3. 공급량(동부)'!S174</f>
        <v>0</v>
      </c>
      <c r="AD9" s="242">
        <f t="shared" si="8"/>
        <v>1221</v>
      </c>
      <c r="AE9" s="242">
        <f>'2. 중블록 공급량(동부)'!O42</f>
        <v>904</v>
      </c>
      <c r="AF9" s="242">
        <f>'3. 공급량(동부)'!S108</f>
        <v>34</v>
      </c>
      <c r="AG9" s="242">
        <f>'2. 중블록 공급량(동부)'!S42</f>
        <v>283</v>
      </c>
      <c r="AH9" s="242">
        <f>'2. 중블록 공급량(동부)'!C75</f>
        <v>0</v>
      </c>
      <c r="AI9" s="242">
        <f t="shared" si="0"/>
        <v>278</v>
      </c>
      <c r="AJ9" s="242">
        <f>'2. 중블록 공급량(동부)'!E75</f>
        <v>278</v>
      </c>
      <c r="AK9" s="242">
        <f t="shared" si="9"/>
        <v>13</v>
      </c>
      <c r="AL9" s="242">
        <f>'3. 공급량(동부)'!C75</f>
        <v>13</v>
      </c>
      <c r="AM9" s="242">
        <f t="shared" si="10"/>
        <v>6</v>
      </c>
      <c r="AN9" s="242">
        <f>'3. 공급량(동부)'!E75</f>
        <v>6</v>
      </c>
      <c r="AO9" s="242">
        <f t="shared" si="11"/>
        <v>70</v>
      </c>
      <c r="AP9" s="242">
        <f>'3. 공급량(동부)'!G75</f>
        <v>70</v>
      </c>
      <c r="AQ9" s="242">
        <f t="shared" si="16"/>
        <v>74</v>
      </c>
      <c r="AR9" s="242">
        <f>'3. 공급량(동부)'!O173</f>
        <v>74</v>
      </c>
      <c r="AS9" s="242">
        <v>0</v>
      </c>
      <c r="AT9" s="242">
        <f t="shared" si="12"/>
        <v>29</v>
      </c>
      <c r="AU9" s="242">
        <f>'3. 공급량(동부)'!M141</f>
        <v>0</v>
      </c>
      <c r="AV9" s="242">
        <f>'3. 공급량(동부)'!O141</f>
        <v>29</v>
      </c>
    </row>
    <row r="10" spans="2:48" ht="36" customHeight="1" x14ac:dyDescent="0.3">
      <c r="B10" s="240" t="s">
        <v>452</v>
      </c>
      <c r="C10" s="241">
        <f t="shared" si="13"/>
        <v>226</v>
      </c>
      <c r="D10" s="242">
        <f>'2. 중블록 공급량(동부)'!C10</f>
        <v>226</v>
      </c>
      <c r="E10" s="241">
        <f t="shared" si="14"/>
        <v>360</v>
      </c>
      <c r="F10" s="242">
        <f>'2. 중블록 공급량(동부)'!I10</f>
        <v>326</v>
      </c>
      <c r="G10" s="242">
        <f>'3. 공급량(동부)'!G43</f>
        <v>18</v>
      </c>
      <c r="H10" s="242">
        <f>'3. 공급량(동부)'!I43</f>
        <v>10</v>
      </c>
      <c r="I10" s="241">
        <f>'3. 공급량(동부)'!K43</f>
        <v>6</v>
      </c>
      <c r="J10" s="242"/>
      <c r="K10" s="247">
        <f t="shared" si="1"/>
        <v>183</v>
      </c>
      <c r="L10" s="242">
        <f>'3. 공급량(동부)'!C175</f>
        <v>183</v>
      </c>
      <c r="M10" s="247">
        <f t="shared" si="2"/>
        <v>117</v>
      </c>
      <c r="N10" s="242">
        <f>'2. 중블록 공급량(동부)'!O10</f>
        <v>117</v>
      </c>
      <c r="O10" s="247">
        <f t="shared" si="3"/>
        <v>251</v>
      </c>
      <c r="P10" s="242">
        <f>'2. 중블록 공급량(동부)'!Q10</f>
        <v>99</v>
      </c>
      <c r="Q10" s="241">
        <f>'2. 중블록 공급량(동부)'!S10</f>
        <v>56</v>
      </c>
      <c r="R10" s="242">
        <f>'2. 중블록 공급량(동부)'!C43</f>
        <v>96</v>
      </c>
      <c r="S10" s="247">
        <f t="shared" si="4"/>
        <v>31</v>
      </c>
      <c r="T10" s="242">
        <f>'2. 중블록 공급량(동부)'!E43</f>
        <v>31</v>
      </c>
      <c r="U10" s="242">
        <f t="shared" si="5"/>
        <v>11</v>
      </c>
      <c r="V10" s="242">
        <f>'3. 공급량(동부)'!G175</f>
        <v>11</v>
      </c>
      <c r="W10" s="242">
        <f t="shared" si="6"/>
        <v>8</v>
      </c>
      <c r="X10" s="242">
        <f>'2. 중블록 공급량(동부)'!I43</f>
        <v>8</v>
      </c>
      <c r="Y10" s="242">
        <f t="shared" si="7"/>
        <v>8</v>
      </c>
      <c r="Z10" s="242">
        <f>'3. 공급량(동부)'!E175</f>
        <v>8</v>
      </c>
      <c r="AA10" s="242">
        <f t="shared" si="15"/>
        <v>12</v>
      </c>
      <c r="AB10" s="242">
        <f>'2. 중블록 공급량(동부)'!M43</f>
        <v>12</v>
      </c>
      <c r="AC10" s="242">
        <f>'3. 공급량(동부)'!S175</f>
        <v>0</v>
      </c>
      <c r="AD10" s="242">
        <f t="shared" si="8"/>
        <v>1177</v>
      </c>
      <c r="AE10" s="242">
        <f>'2. 중블록 공급량(동부)'!O43</f>
        <v>865</v>
      </c>
      <c r="AF10" s="242">
        <f>'3. 공급량(동부)'!S109</f>
        <v>34</v>
      </c>
      <c r="AG10" s="242">
        <f>'2. 중블록 공급량(동부)'!S43</f>
        <v>278</v>
      </c>
      <c r="AH10" s="242">
        <f>'2. 중블록 공급량(동부)'!C76</f>
        <v>0</v>
      </c>
      <c r="AI10" s="242">
        <f t="shared" si="0"/>
        <v>279</v>
      </c>
      <c r="AJ10" s="242">
        <f>'2. 중블록 공급량(동부)'!E76</f>
        <v>279</v>
      </c>
      <c r="AK10" s="242">
        <f t="shared" si="9"/>
        <v>14</v>
      </c>
      <c r="AL10" s="242">
        <f>'3. 공급량(동부)'!C76</f>
        <v>14</v>
      </c>
      <c r="AM10" s="242">
        <f t="shared" si="10"/>
        <v>6</v>
      </c>
      <c r="AN10" s="242">
        <f>'3. 공급량(동부)'!E76</f>
        <v>6</v>
      </c>
      <c r="AO10" s="242">
        <f t="shared" si="11"/>
        <v>70</v>
      </c>
      <c r="AP10" s="242">
        <f>'3. 공급량(동부)'!G76</f>
        <v>70</v>
      </c>
      <c r="AQ10" s="242">
        <f t="shared" si="16"/>
        <v>73</v>
      </c>
      <c r="AR10" s="242">
        <f>'3. 공급량(동부)'!O174</f>
        <v>73</v>
      </c>
      <c r="AS10" s="242">
        <v>0</v>
      </c>
      <c r="AT10" s="242">
        <f t="shared" si="12"/>
        <v>34</v>
      </c>
      <c r="AU10" s="242">
        <f>'3. 공급량(동부)'!M142</f>
        <v>4</v>
      </c>
      <c r="AV10" s="242">
        <f>'3. 공급량(동부)'!O142</f>
        <v>30</v>
      </c>
    </row>
    <row r="11" spans="2:48" ht="36" customHeight="1" x14ac:dyDescent="0.3">
      <c r="B11" s="240" t="s">
        <v>453</v>
      </c>
      <c r="C11" s="241">
        <f t="shared" si="13"/>
        <v>252</v>
      </c>
      <c r="D11" s="242">
        <f>'2. 중블록 공급량(동부)'!C11</f>
        <v>252</v>
      </c>
      <c r="E11" s="241">
        <f t="shared" si="14"/>
        <v>349</v>
      </c>
      <c r="F11" s="242">
        <f>'2. 중블록 공급량(동부)'!I11</f>
        <v>315</v>
      </c>
      <c r="G11" s="242">
        <f>'3. 공급량(동부)'!G44</f>
        <v>20</v>
      </c>
      <c r="H11" s="242">
        <f>'3. 공급량(동부)'!I44</f>
        <v>10</v>
      </c>
      <c r="I11" s="241">
        <f>'3. 공급량(동부)'!K44</f>
        <v>4</v>
      </c>
      <c r="J11" s="242"/>
      <c r="K11" s="247">
        <f t="shared" si="1"/>
        <v>184</v>
      </c>
      <c r="L11" s="242">
        <f>'3. 공급량(동부)'!C176</f>
        <v>184</v>
      </c>
      <c r="M11" s="247">
        <f t="shared" si="2"/>
        <v>118</v>
      </c>
      <c r="N11" s="242">
        <f>'2. 중블록 공급량(동부)'!O11</f>
        <v>118</v>
      </c>
      <c r="O11" s="247">
        <f t="shared" si="3"/>
        <v>252</v>
      </c>
      <c r="P11" s="242">
        <f>'2. 중블록 공급량(동부)'!Q11</f>
        <v>103</v>
      </c>
      <c r="Q11" s="241">
        <f>'2. 중블록 공급량(동부)'!S11</f>
        <v>57</v>
      </c>
      <c r="R11" s="242">
        <f>'2. 중블록 공급량(동부)'!C44</f>
        <v>92</v>
      </c>
      <c r="S11" s="247">
        <f t="shared" si="4"/>
        <v>32</v>
      </c>
      <c r="T11" s="242">
        <f>'2. 중블록 공급량(동부)'!E44</f>
        <v>32</v>
      </c>
      <c r="U11" s="242">
        <f t="shared" si="5"/>
        <v>12</v>
      </c>
      <c r="V11" s="242">
        <f>'3. 공급량(동부)'!G176</f>
        <v>12</v>
      </c>
      <c r="W11" s="242">
        <f t="shared" si="6"/>
        <v>8</v>
      </c>
      <c r="X11" s="242">
        <f>'2. 중블록 공급량(동부)'!I44</f>
        <v>8</v>
      </c>
      <c r="Y11" s="242">
        <f t="shared" si="7"/>
        <v>9</v>
      </c>
      <c r="Z11" s="242">
        <f>'3. 공급량(동부)'!E176</f>
        <v>9</v>
      </c>
      <c r="AA11" s="242">
        <f t="shared" si="15"/>
        <v>11</v>
      </c>
      <c r="AB11" s="242">
        <f>'2. 중블록 공급량(동부)'!M44</f>
        <v>11</v>
      </c>
      <c r="AC11" s="242">
        <f>'3. 공급량(동부)'!S176</f>
        <v>0</v>
      </c>
      <c r="AD11" s="242">
        <f t="shared" si="8"/>
        <v>1194</v>
      </c>
      <c r="AE11" s="242">
        <f>'2. 중블록 공급량(동부)'!O44</f>
        <v>881</v>
      </c>
      <c r="AF11" s="242">
        <f>'3. 공급량(동부)'!S110</f>
        <v>33</v>
      </c>
      <c r="AG11" s="242">
        <f>'2. 중블록 공급량(동부)'!S44</f>
        <v>280</v>
      </c>
      <c r="AH11" s="242">
        <f>'2. 중블록 공급량(동부)'!C77</f>
        <v>0</v>
      </c>
      <c r="AI11" s="242">
        <f t="shared" si="0"/>
        <v>331</v>
      </c>
      <c r="AJ11" s="242">
        <f>'2. 중블록 공급량(동부)'!E77</f>
        <v>331</v>
      </c>
      <c r="AK11" s="242">
        <f t="shared" si="9"/>
        <v>14</v>
      </c>
      <c r="AL11" s="242">
        <f>'3. 공급량(동부)'!C77</f>
        <v>14</v>
      </c>
      <c r="AM11" s="242">
        <f t="shared" si="10"/>
        <v>6</v>
      </c>
      <c r="AN11" s="242">
        <f>'3. 공급량(동부)'!E77</f>
        <v>6</v>
      </c>
      <c r="AO11" s="242">
        <f t="shared" si="11"/>
        <v>70</v>
      </c>
      <c r="AP11" s="242">
        <f>'3. 공급량(동부)'!G77</f>
        <v>70</v>
      </c>
      <c r="AQ11" s="242">
        <f t="shared" si="16"/>
        <v>74</v>
      </c>
      <c r="AR11" s="242">
        <f>'3. 공급량(동부)'!O175</f>
        <v>74</v>
      </c>
      <c r="AS11" s="242">
        <v>0</v>
      </c>
      <c r="AT11" s="242">
        <f t="shared" si="12"/>
        <v>39</v>
      </c>
      <c r="AU11" s="242">
        <f>'3. 공급량(동부)'!M143</f>
        <v>9</v>
      </c>
      <c r="AV11" s="242">
        <f>'3. 공급량(동부)'!O143</f>
        <v>30</v>
      </c>
    </row>
    <row r="12" spans="2:48" ht="36" customHeight="1" x14ac:dyDescent="0.3">
      <c r="B12" s="240" t="s">
        <v>454</v>
      </c>
      <c r="C12" s="241">
        <f t="shared" si="13"/>
        <v>298</v>
      </c>
      <c r="D12" s="242">
        <f>'2. 중블록 공급량(동부)'!C12</f>
        <v>298</v>
      </c>
      <c r="E12" s="241">
        <f t="shared" si="14"/>
        <v>371</v>
      </c>
      <c r="F12" s="242">
        <f>'2. 중블록 공급량(동부)'!I12</f>
        <v>329</v>
      </c>
      <c r="G12" s="242">
        <f>'3. 공급량(동부)'!G45</f>
        <v>22</v>
      </c>
      <c r="H12" s="242">
        <f>'3. 공급량(동부)'!I45</f>
        <v>14</v>
      </c>
      <c r="I12" s="241">
        <f>'3. 공급량(동부)'!K45</f>
        <v>6</v>
      </c>
      <c r="J12" s="242"/>
      <c r="K12" s="247">
        <f t="shared" si="1"/>
        <v>187</v>
      </c>
      <c r="L12" s="242">
        <f>'3. 공급량(동부)'!C177</f>
        <v>187</v>
      </c>
      <c r="M12" s="247">
        <f t="shared" si="2"/>
        <v>135</v>
      </c>
      <c r="N12" s="242">
        <f>'2. 중블록 공급량(동부)'!O12</f>
        <v>135</v>
      </c>
      <c r="O12" s="247">
        <f t="shared" si="3"/>
        <v>259</v>
      </c>
      <c r="P12" s="242">
        <f>'2. 중블록 공급량(동부)'!Q12</f>
        <v>108</v>
      </c>
      <c r="Q12" s="241">
        <f>'2. 중블록 공급량(동부)'!S12</f>
        <v>63</v>
      </c>
      <c r="R12" s="242">
        <f>'2. 중블록 공급량(동부)'!C45</f>
        <v>88</v>
      </c>
      <c r="S12" s="247">
        <f t="shared" si="4"/>
        <v>33</v>
      </c>
      <c r="T12" s="242">
        <f>'2. 중블록 공급량(동부)'!E45</f>
        <v>33</v>
      </c>
      <c r="U12" s="242">
        <f t="shared" si="5"/>
        <v>12</v>
      </c>
      <c r="V12" s="242">
        <f>'3. 공급량(동부)'!G177</f>
        <v>12</v>
      </c>
      <c r="W12" s="242">
        <f t="shared" si="6"/>
        <v>9</v>
      </c>
      <c r="X12" s="242">
        <f>'2. 중블록 공급량(동부)'!I45</f>
        <v>9</v>
      </c>
      <c r="Y12" s="242">
        <f t="shared" si="7"/>
        <v>9</v>
      </c>
      <c r="Z12" s="242">
        <f>'3. 공급량(동부)'!E177</f>
        <v>9</v>
      </c>
      <c r="AA12" s="242">
        <f t="shared" si="15"/>
        <v>12</v>
      </c>
      <c r="AB12" s="242">
        <f>'2. 중블록 공급량(동부)'!M45</f>
        <v>12</v>
      </c>
      <c r="AC12" s="242">
        <f>'3. 공급량(동부)'!S177</f>
        <v>0</v>
      </c>
      <c r="AD12" s="242">
        <f t="shared" si="8"/>
        <v>1246</v>
      </c>
      <c r="AE12" s="242">
        <f>'2. 중블록 공급량(동부)'!O45</f>
        <v>921</v>
      </c>
      <c r="AF12" s="242">
        <f>'3. 공급량(동부)'!S111</f>
        <v>35</v>
      </c>
      <c r="AG12" s="242">
        <f>'2. 중블록 공급량(동부)'!S45</f>
        <v>290</v>
      </c>
      <c r="AH12" s="242">
        <f>'2. 중블록 공급량(동부)'!C78</f>
        <v>0</v>
      </c>
      <c r="AI12" s="242">
        <f t="shared" si="0"/>
        <v>480</v>
      </c>
      <c r="AJ12" s="242">
        <f>'2. 중블록 공급량(동부)'!E78</f>
        <v>480</v>
      </c>
      <c r="AK12" s="242">
        <f t="shared" si="9"/>
        <v>14</v>
      </c>
      <c r="AL12" s="242">
        <f>'3. 공급량(동부)'!C78</f>
        <v>14</v>
      </c>
      <c r="AM12" s="242">
        <f t="shared" si="10"/>
        <v>6</v>
      </c>
      <c r="AN12" s="242">
        <f>'3. 공급량(동부)'!E78</f>
        <v>6</v>
      </c>
      <c r="AO12" s="242">
        <f t="shared" si="11"/>
        <v>70</v>
      </c>
      <c r="AP12" s="242">
        <f>'3. 공급량(동부)'!G78</f>
        <v>70</v>
      </c>
      <c r="AQ12" s="242">
        <f t="shared" si="16"/>
        <v>73</v>
      </c>
      <c r="AR12" s="242">
        <f>'3. 공급량(동부)'!O176</f>
        <v>73</v>
      </c>
      <c r="AS12" s="242">
        <v>0</v>
      </c>
      <c r="AT12" s="242">
        <f t="shared" si="12"/>
        <v>30</v>
      </c>
      <c r="AU12" s="242">
        <f>'3. 공급량(동부)'!M144</f>
        <v>0</v>
      </c>
      <c r="AV12" s="242">
        <f>'3. 공급량(동부)'!O144</f>
        <v>30</v>
      </c>
    </row>
    <row r="13" spans="2:48" ht="36" customHeight="1" x14ac:dyDescent="0.3">
      <c r="B13" s="240" t="s">
        <v>455</v>
      </c>
      <c r="C13" s="241">
        <f t="shared" si="13"/>
        <v>361</v>
      </c>
      <c r="D13" s="242">
        <f>'2. 중블록 공급량(동부)'!C13</f>
        <v>361</v>
      </c>
      <c r="E13" s="241">
        <f t="shared" si="14"/>
        <v>441</v>
      </c>
      <c r="F13" s="242">
        <f>'2. 중블록 공급량(동부)'!I13</f>
        <v>382</v>
      </c>
      <c r="G13" s="242">
        <f>'3. 공급량(동부)'!G46</f>
        <v>27</v>
      </c>
      <c r="H13" s="242">
        <f>'3. 공급량(동부)'!I46</f>
        <v>27</v>
      </c>
      <c r="I13" s="241">
        <f>'3. 공급량(동부)'!K46</f>
        <v>5</v>
      </c>
      <c r="J13" s="242"/>
      <c r="K13" s="247">
        <f t="shared" si="1"/>
        <v>195</v>
      </c>
      <c r="L13" s="242">
        <f>'3. 공급량(동부)'!C178</f>
        <v>195</v>
      </c>
      <c r="M13" s="247">
        <f t="shared" si="2"/>
        <v>153</v>
      </c>
      <c r="N13" s="242">
        <f>'2. 중블록 공급량(동부)'!O13</f>
        <v>153</v>
      </c>
      <c r="O13" s="247">
        <f t="shared" si="3"/>
        <v>276</v>
      </c>
      <c r="P13" s="242">
        <f>'2. 중블록 공급량(동부)'!Q13</f>
        <v>110</v>
      </c>
      <c r="Q13" s="241">
        <f>'2. 중블록 공급량(동부)'!S13</f>
        <v>73</v>
      </c>
      <c r="R13" s="242">
        <f>'2. 중블록 공급량(동부)'!C46</f>
        <v>93</v>
      </c>
      <c r="S13" s="247">
        <f t="shared" si="4"/>
        <v>37</v>
      </c>
      <c r="T13" s="242">
        <f>'2. 중블록 공급량(동부)'!E46</f>
        <v>37</v>
      </c>
      <c r="U13" s="242">
        <f t="shared" si="5"/>
        <v>13</v>
      </c>
      <c r="V13" s="242">
        <f>'3. 공급량(동부)'!G178</f>
        <v>13</v>
      </c>
      <c r="W13" s="242">
        <f t="shared" si="6"/>
        <v>13</v>
      </c>
      <c r="X13" s="242">
        <f>'2. 중블록 공급량(동부)'!I46</f>
        <v>13</v>
      </c>
      <c r="Y13" s="242">
        <f t="shared" si="7"/>
        <v>11</v>
      </c>
      <c r="Z13" s="242">
        <f>'3. 공급량(동부)'!E178</f>
        <v>11</v>
      </c>
      <c r="AA13" s="242">
        <f t="shared" si="15"/>
        <v>16</v>
      </c>
      <c r="AB13" s="242">
        <f>'2. 중블록 공급량(동부)'!M46</f>
        <v>16</v>
      </c>
      <c r="AC13" s="242">
        <f>'3. 공급량(동부)'!S178</f>
        <v>0</v>
      </c>
      <c r="AD13" s="242">
        <f t="shared" si="8"/>
        <v>1356</v>
      </c>
      <c r="AE13" s="242">
        <f>'2. 중블록 공급량(동부)'!O46</f>
        <v>1014</v>
      </c>
      <c r="AF13" s="242">
        <f>'3. 공급량(동부)'!S112</f>
        <v>38</v>
      </c>
      <c r="AG13" s="242">
        <f>'2. 중블록 공급량(동부)'!S46</f>
        <v>304</v>
      </c>
      <c r="AH13" s="242">
        <f>'2. 중블록 공급량(동부)'!C79</f>
        <v>0</v>
      </c>
      <c r="AI13" s="242">
        <f t="shared" si="0"/>
        <v>520</v>
      </c>
      <c r="AJ13" s="242">
        <f>'2. 중블록 공급량(동부)'!E79</f>
        <v>520</v>
      </c>
      <c r="AK13" s="242">
        <f t="shared" si="9"/>
        <v>15</v>
      </c>
      <c r="AL13" s="242">
        <f>'3. 공급량(동부)'!C79</f>
        <v>15</v>
      </c>
      <c r="AM13" s="242">
        <f t="shared" si="10"/>
        <v>7</v>
      </c>
      <c r="AN13" s="242">
        <f>'3. 공급량(동부)'!E79</f>
        <v>7</v>
      </c>
      <c r="AO13" s="242">
        <f t="shared" si="11"/>
        <v>71</v>
      </c>
      <c r="AP13" s="242">
        <f>'3. 공급량(동부)'!G79</f>
        <v>71</v>
      </c>
      <c r="AQ13" s="242">
        <f t="shared" si="16"/>
        <v>73</v>
      </c>
      <c r="AR13" s="242">
        <f>'3. 공급량(동부)'!O177</f>
        <v>73</v>
      </c>
      <c r="AS13" s="242">
        <v>0</v>
      </c>
      <c r="AT13" s="242">
        <f t="shared" si="12"/>
        <v>32</v>
      </c>
      <c r="AU13" s="242">
        <f>'3. 공급량(동부)'!M145</f>
        <v>0</v>
      </c>
      <c r="AV13" s="242">
        <f>'3. 공급량(동부)'!O145</f>
        <v>32</v>
      </c>
    </row>
    <row r="14" spans="2:48" ht="36" customHeight="1" x14ac:dyDescent="0.3">
      <c r="B14" s="240" t="s">
        <v>456</v>
      </c>
      <c r="C14" s="241">
        <f t="shared" si="13"/>
        <v>455</v>
      </c>
      <c r="D14" s="242">
        <f>'2. 중블록 공급량(동부)'!C14</f>
        <v>455</v>
      </c>
      <c r="E14" s="241">
        <f t="shared" si="14"/>
        <v>499</v>
      </c>
      <c r="F14" s="242">
        <f>'2. 중블록 공급량(동부)'!I14</f>
        <v>412</v>
      </c>
      <c r="G14" s="242">
        <f>'3. 공급량(동부)'!G47</f>
        <v>34</v>
      </c>
      <c r="H14" s="242">
        <f>'3. 공급량(동부)'!I47</f>
        <v>47</v>
      </c>
      <c r="I14" s="241">
        <f>'3. 공급량(동부)'!K47</f>
        <v>6</v>
      </c>
      <c r="J14" s="242"/>
      <c r="K14" s="247">
        <f t="shared" si="1"/>
        <v>212</v>
      </c>
      <c r="L14" s="242">
        <f>'3. 공급량(동부)'!C179</f>
        <v>212</v>
      </c>
      <c r="M14" s="247">
        <f t="shared" si="2"/>
        <v>205</v>
      </c>
      <c r="N14" s="242">
        <f>'2. 중블록 공급량(동부)'!O14</f>
        <v>205</v>
      </c>
      <c r="O14" s="247">
        <f t="shared" si="3"/>
        <v>301</v>
      </c>
      <c r="P14" s="242">
        <f>'2. 중블록 공급량(동부)'!Q14</f>
        <v>106</v>
      </c>
      <c r="Q14" s="241">
        <f>'2. 중블록 공급량(동부)'!S14</f>
        <v>93</v>
      </c>
      <c r="R14" s="242">
        <f>'2. 중블록 공급량(동부)'!C47</f>
        <v>102</v>
      </c>
      <c r="S14" s="247">
        <f t="shared" si="4"/>
        <v>40</v>
      </c>
      <c r="T14" s="242">
        <f>'2. 중블록 공급량(동부)'!E47</f>
        <v>40</v>
      </c>
      <c r="U14" s="242">
        <f t="shared" si="5"/>
        <v>12</v>
      </c>
      <c r="V14" s="242">
        <f>'3. 공급량(동부)'!G179</f>
        <v>12</v>
      </c>
      <c r="W14" s="242">
        <f t="shared" si="6"/>
        <v>24</v>
      </c>
      <c r="X14" s="242">
        <f>'2. 중블록 공급량(동부)'!I47</f>
        <v>24</v>
      </c>
      <c r="Y14" s="242">
        <f t="shared" si="7"/>
        <v>10</v>
      </c>
      <c r="Z14" s="242">
        <f>'3. 공급량(동부)'!E179</f>
        <v>10</v>
      </c>
      <c r="AA14" s="242">
        <f t="shared" si="15"/>
        <v>23</v>
      </c>
      <c r="AB14" s="242">
        <f>'2. 중블록 공급량(동부)'!M47</f>
        <v>23</v>
      </c>
      <c r="AC14" s="242">
        <f>'3. 공급량(동부)'!S179</f>
        <v>0</v>
      </c>
      <c r="AD14" s="242">
        <f t="shared" si="8"/>
        <v>1545</v>
      </c>
      <c r="AE14" s="242">
        <f>'2. 중블록 공급량(동부)'!O47</f>
        <v>1185</v>
      </c>
      <c r="AF14" s="242">
        <f>'3. 공급량(동부)'!S113</f>
        <v>48</v>
      </c>
      <c r="AG14" s="242">
        <f>'2. 중블록 공급량(동부)'!S47</f>
        <v>312</v>
      </c>
      <c r="AH14" s="242">
        <f>'2. 중블록 공급량(동부)'!C80</f>
        <v>0</v>
      </c>
      <c r="AI14" s="242">
        <f t="shared" si="0"/>
        <v>634</v>
      </c>
      <c r="AJ14" s="242">
        <f>'2. 중블록 공급량(동부)'!E80</f>
        <v>634</v>
      </c>
      <c r="AK14" s="242">
        <f t="shared" si="9"/>
        <v>15</v>
      </c>
      <c r="AL14" s="242">
        <f>'3. 공급량(동부)'!C80</f>
        <v>15</v>
      </c>
      <c r="AM14" s="242">
        <f t="shared" si="10"/>
        <v>9</v>
      </c>
      <c r="AN14" s="242">
        <f>'3. 공급량(동부)'!E80</f>
        <v>9</v>
      </c>
      <c r="AO14" s="242">
        <f t="shared" si="11"/>
        <v>72</v>
      </c>
      <c r="AP14" s="242">
        <f>'3. 공급량(동부)'!G80</f>
        <v>72</v>
      </c>
      <c r="AQ14" s="242">
        <f t="shared" si="16"/>
        <v>74</v>
      </c>
      <c r="AR14" s="242">
        <f>'3. 공급량(동부)'!O178</f>
        <v>74</v>
      </c>
      <c r="AS14" s="242">
        <v>0</v>
      </c>
      <c r="AT14" s="242">
        <f t="shared" si="12"/>
        <v>33</v>
      </c>
      <c r="AU14" s="242">
        <f>'3. 공급량(동부)'!M146</f>
        <v>0</v>
      </c>
      <c r="AV14" s="242">
        <f>'3. 공급량(동부)'!O146</f>
        <v>33</v>
      </c>
    </row>
    <row r="15" spans="2:48" ht="36" customHeight="1" x14ac:dyDescent="0.3">
      <c r="B15" s="240" t="s">
        <v>457</v>
      </c>
      <c r="C15" s="241">
        <f t="shared" si="13"/>
        <v>517</v>
      </c>
      <c r="D15" s="242">
        <f>'2. 중블록 공급량(동부)'!C15</f>
        <v>517</v>
      </c>
      <c r="E15" s="241">
        <f t="shared" si="14"/>
        <v>530</v>
      </c>
      <c r="F15" s="242">
        <f>'2. 중블록 공급량(동부)'!I15</f>
        <v>431</v>
      </c>
      <c r="G15" s="242">
        <f>'3. 공급량(동부)'!G48</f>
        <v>37</v>
      </c>
      <c r="H15" s="242">
        <f>'3. 공급량(동부)'!I48</f>
        <v>56</v>
      </c>
      <c r="I15" s="241">
        <f>'3. 공급량(동부)'!K48</f>
        <v>6</v>
      </c>
      <c r="J15" s="242"/>
      <c r="K15" s="247">
        <f t="shared" si="1"/>
        <v>231</v>
      </c>
      <c r="L15" s="242">
        <f>'3. 공급량(동부)'!C180</f>
        <v>231</v>
      </c>
      <c r="M15" s="247">
        <f t="shared" si="2"/>
        <v>282</v>
      </c>
      <c r="N15" s="242">
        <f>'2. 중블록 공급량(동부)'!O15</f>
        <v>282</v>
      </c>
      <c r="O15" s="247">
        <f t="shared" si="3"/>
        <v>305</v>
      </c>
      <c r="P15" s="242">
        <f>'2. 중블록 공급량(동부)'!Q15</f>
        <v>109</v>
      </c>
      <c r="Q15" s="241">
        <f>'2. 중블록 공급량(동부)'!S15</f>
        <v>91</v>
      </c>
      <c r="R15" s="242">
        <f>'2. 중블록 공급량(동부)'!C48</f>
        <v>105</v>
      </c>
      <c r="S15" s="247">
        <f t="shared" si="4"/>
        <v>42</v>
      </c>
      <c r="T15" s="242">
        <f>'2. 중블록 공급량(동부)'!E48</f>
        <v>42</v>
      </c>
      <c r="U15" s="242">
        <f t="shared" si="5"/>
        <v>13</v>
      </c>
      <c r="V15" s="242">
        <f>'3. 공급량(동부)'!G180</f>
        <v>13</v>
      </c>
      <c r="W15" s="242">
        <f t="shared" si="6"/>
        <v>33</v>
      </c>
      <c r="X15" s="242">
        <f>'2. 중블록 공급량(동부)'!I48</f>
        <v>33</v>
      </c>
      <c r="Y15" s="242">
        <f t="shared" si="7"/>
        <v>10</v>
      </c>
      <c r="Z15" s="242">
        <f>'3. 공급량(동부)'!E180</f>
        <v>10</v>
      </c>
      <c r="AA15" s="242">
        <f t="shared" si="15"/>
        <v>28</v>
      </c>
      <c r="AB15" s="242">
        <f>'2. 중블록 공급량(동부)'!M48</f>
        <v>28</v>
      </c>
      <c r="AC15" s="242">
        <f>'3. 공급량(동부)'!S180</f>
        <v>0</v>
      </c>
      <c r="AD15" s="242">
        <f t="shared" si="8"/>
        <v>1709</v>
      </c>
      <c r="AE15" s="242">
        <f>'2. 중블록 공급량(동부)'!O48</f>
        <v>1341</v>
      </c>
      <c r="AF15" s="242">
        <f>'3. 공급량(동부)'!S114</f>
        <v>54</v>
      </c>
      <c r="AG15" s="242">
        <f>'2. 중블록 공급량(동부)'!S48</f>
        <v>314</v>
      </c>
      <c r="AH15" s="242">
        <f>'2. 중블록 공급량(동부)'!C81</f>
        <v>0</v>
      </c>
      <c r="AI15" s="242">
        <f t="shared" si="0"/>
        <v>649</v>
      </c>
      <c r="AJ15" s="242">
        <f>'2. 중블록 공급량(동부)'!E81</f>
        <v>649</v>
      </c>
      <c r="AK15" s="242">
        <f t="shared" si="9"/>
        <v>16</v>
      </c>
      <c r="AL15" s="242">
        <f>'3. 공급량(동부)'!C81</f>
        <v>16</v>
      </c>
      <c r="AM15" s="242">
        <f t="shared" si="10"/>
        <v>11</v>
      </c>
      <c r="AN15" s="242">
        <f>'3. 공급량(동부)'!E81</f>
        <v>11</v>
      </c>
      <c r="AO15" s="242">
        <f t="shared" si="11"/>
        <v>72</v>
      </c>
      <c r="AP15" s="242">
        <f>'3. 공급량(동부)'!G81</f>
        <v>72</v>
      </c>
      <c r="AQ15" s="242">
        <f t="shared" si="16"/>
        <v>46</v>
      </c>
      <c r="AR15" s="242">
        <f>'3. 공급량(동부)'!O179</f>
        <v>46</v>
      </c>
      <c r="AS15" s="242">
        <v>0</v>
      </c>
      <c r="AT15" s="242">
        <f t="shared" si="12"/>
        <v>47</v>
      </c>
      <c r="AU15" s="242">
        <f>'3. 공급량(동부)'!M147</f>
        <v>13</v>
      </c>
      <c r="AV15" s="242">
        <f>'3. 공급량(동부)'!O147</f>
        <v>34</v>
      </c>
    </row>
    <row r="16" spans="2:48" ht="36" customHeight="1" x14ac:dyDescent="0.3">
      <c r="B16" s="240" t="s">
        <v>458</v>
      </c>
      <c r="C16" s="241">
        <f t="shared" si="13"/>
        <v>568</v>
      </c>
      <c r="D16" s="242">
        <f>'2. 중블록 공급량(동부)'!C16</f>
        <v>568</v>
      </c>
      <c r="E16" s="241">
        <f t="shared" si="14"/>
        <v>612</v>
      </c>
      <c r="F16" s="242">
        <f>'2. 중블록 공급량(동부)'!I16</f>
        <v>503</v>
      </c>
      <c r="G16" s="242">
        <f>'3. 공급량(동부)'!G49</f>
        <v>41</v>
      </c>
      <c r="H16" s="242">
        <f>'3. 공급량(동부)'!I49</f>
        <v>63</v>
      </c>
      <c r="I16" s="241">
        <f>'3. 공급량(동부)'!K49</f>
        <v>5</v>
      </c>
      <c r="J16" s="242"/>
      <c r="K16" s="247">
        <f t="shared" si="1"/>
        <v>242</v>
      </c>
      <c r="L16" s="242">
        <f>'3. 공급량(동부)'!C181</f>
        <v>242</v>
      </c>
      <c r="M16" s="247">
        <f t="shared" si="2"/>
        <v>264</v>
      </c>
      <c r="N16" s="242">
        <f>'2. 중블록 공급량(동부)'!O16</f>
        <v>264</v>
      </c>
      <c r="O16" s="247">
        <f t="shared" si="3"/>
        <v>357</v>
      </c>
      <c r="P16" s="242">
        <f>'2. 중블록 공급량(동부)'!Q16</f>
        <v>132</v>
      </c>
      <c r="Q16" s="241">
        <f>'2. 중블록 공급량(동부)'!S16</f>
        <v>137</v>
      </c>
      <c r="R16" s="242">
        <f>'2. 중블록 공급량(동부)'!C49</f>
        <v>88</v>
      </c>
      <c r="S16" s="247">
        <f t="shared" si="4"/>
        <v>43</v>
      </c>
      <c r="T16" s="242">
        <f>'2. 중블록 공급량(동부)'!E49</f>
        <v>43</v>
      </c>
      <c r="U16" s="242">
        <f t="shared" si="5"/>
        <v>15</v>
      </c>
      <c r="V16" s="242">
        <f>'3. 공급량(동부)'!G181</f>
        <v>15</v>
      </c>
      <c r="W16" s="242">
        <f t="shared" si="6"/>
        <v>39</v>
      </c>
      <c r="X16" s="242">
        <f>'2. 중블록 공급량(동부)'!I49</f>
        <v>39</v>
      </c>
      <c r="Y16" s="242">
        <f t="shared" si="7"/>
        <v>12</v>
      </c>
      <c r="Z16" s="242">
        <f>'3. 공급량(동부)'!E181</f>
        <v>12</v>
      </c>
      <c r="AA16" s="242">
        <f t="shared" si="15"/>
        <v>31</v>
      </c>
      <c r="AB16" s="242">
        <f>'2. 중블록 공급량(동부)'!M49</f>
        <v>31</v>
      </c>
      <c r="AC16" s="242">
        <f>'3. 공급량(동부)'!S181</f>
        <v>0</v>
      </c>
      <c r="AD16" s="242">
        <f t="shared" si="8"/>
        <v>1918</v>
      </c>
      <c r="AE16" s="242">
        <f>'2. 중블록 공급량(동부)'!O49</f>
        <v>1547</v>
      </c>
      <c r="AF16" s="242">
        <f>'3. 공급량(동부)'!S115</f>
        <v>57</v>
      </c>
      <c r="AG16" s="242">
        <f>'2. 중블록 공급량(동부)'!S49</f>
        <v>314</v>
      </c>
      <c r="AH16" s="242">
        <f>'2. 중블록 공급량(동부)'!C82</f>
        <v>0</v>
      </c>
      <c r="AI16" s="242">
        <f t="shared" si="0"/>
        <v>686</v>
      </c>
      <c r="AJ16" s="242">
        <f>'2. 중블록 공급량(동부)'!E82</f>
        <v>686</v>
      </c>
      <c r="AK16" s="242">
        <f t="shared" si="9"/>
        <v>15</v>
      </c>
      <c r="AL16" s="242">
        <f>'3. 공급량(동부)'!C82</f>
        <v>15</v>
      </c>
      <c r="AM16" s="242">
        <f t="shared" si="10"/>
        <v>11</v>
      </c>
      <c r="AN16" s="242">
        <f>'3. 공급량(동부)'!E82</f>
        <v>11</v>
      </c>
      <c r="AO16" s="242">
        <f t="shared" si="11"/>
        <v>73</v>
      </c>
      <c r="AP16" s="242">
        <f>'3. 공급량(동부)'!G82</f>
        <v>73</v>
      </c>
      <c r="AQ16" s="242">
        <f t="shared" si="16"/>
        <v>105</v>
      </c>
      <c r="AR16" s="242">
        <f>'3. 공급량(동부)'!O180</f>
        <v>105</v>
      </c>
      <c r="AS16" s="242">
        <v>0</v>
      </c>
      <c r="AT16" s="242">
        <f t="shared" si="12"/>
        <v>34</v>
      </c>
      <c r="AU16" s="242">
        <f>'3. 공급량(동부)'!M148</f>
        <v>0</v>
      </c>
      <c r="AV16" s="242">
        <f>'3. 공급량(동부)'!O148</f>
        <v>34</v>
      </c>
    </row>
    <row r="17" spans="2:48" ht="36" customHeight="1" x14ac:dyDescent="0.3">
      <c r="B17" s="240" t="s">
        <v>459</v>
      </c>
      <c r="C17" s="241">
        <f t="shared" si="13"/>
        <v>529</v>
      </c>
      <c r="D17" s="242">
        <f>'2. 중블록 공급량(동부)'!C17</f>
        <v>529</v>
      </c>
      <c r="E17" s="241">
        <f t="shared" si="14"/>
        <v>592</v>
      </c>
      <c r="F17" s="242">
        <f>'2. 중블록 공급량(동부)'!I17</f>
        <v>483</v>
      </c>
      <c r="G17" s="242">
        <f>'3. 공급량(동부)'!G50</f>
        <v>38</v>
      </c>
      <c r="H17" s="242">
        <f>'3. 공급량(동부)'!I50</f>
        <v>65</v>
      </c>
      <c r="I17" s="241">
        <f>'3. 공급량(동부)'!K50</f>
        <v>6</v>
      </c>
      <c r="J17" s="242"/>
      <c r="K17" s="247">
        <f t="shared" si="1"/>
        <v>242</v>
      </c>
      <c r="L17" s="242">
        <f>'3. 공급량(동부)'!C182</f>
        <v>242</v>
      </c>
      <c r="M17" s="247">
        <f t="shared" si="2"/>
        <v>252</v>
      </c>
      <c r="N17" s="242">
        <f>'2. 중블록 공급량(동부)'!O17</f>
        <v>252</v>
      </c>
      <c r="O17" s="247">
        <f t="shared" si="3"/>
        <v>323</v>
      </c>
      <c r="P17" s="242">
        <f>'2. 중블록 공급량(동부)'!Q17</f>
        <v>121</v>
      </c>
      <c r="Q17" s="241">
        <f>'2. 중블록 공급량(동부)'!S17</f>
        <v>105</v>
      </c>
      <c r="R17" s="242">
        <f>'2. 중블록 공급량(동부)'!C50</f>
        <v>97</v>
      </c>
      <c r="S17" s="247">
        <f t="shared" si="4"/>
        <v>42</v>
      </c>
      <c r="T17" s="242">
        <f>'2. 중블록 공급량(동부)'!E50</f>
        <v>42</v>
      </c>
      <c r="U17" s="242">
        <f t="shared" si="5"/>
        <v>16</v>
      </c>
      <c r="V17" s="242">
        <f>'3. 공급량(동부)'!G182</f>
        <v>16</v>
      </c>
      <c r="W17" s="242">
        <f t="shared" si="6"/>
        <v>41</v>
      </c>
      <c r="X17" s="242">
        <f>'2. 중블록 공급량(동부)'!I50</f>
        <v>41</v>
      </c>
      <c r="Y17" s="242">
        <f t="shared" si="7"/>
        <v>11</v>
      </c>
      <c r="Z17" s="242">
        <f>'3. 공급량(동부)'!E182</f>
        <v>11</v>
      </c>
      <c r="AA17" s="242">
        <f t="shared" si="15"/>
        <v>35</v>
      </c>
      <c r="AB17" s="242">
        <f>'2. 중블록 공급량(동부)'!M50</f>
        <v>35</v>
      </c>
      <c r="AC17" s="242">
        <f>'3. 공급량(동부)'!S182</f>
        <v>0</v>
      </c>
      <c r="AD17" s="242">
        <f t="shared" si="8"/>
        <v>1954</v>
      </c>
      <c r="AE17" s="242">
        <f>'2. 중블록 공급량(동부)'!O50</f>
        <v>1584</v>
      </c>
      <c r="AF17" s="242">
        <f>'3. 공급량(동부)'!S116</f>
        <v>58</v>
      </c>
      <c r="AG17" s="242">
        <f>'2. 중블록 공급량(동부)'!S50</f>
        <v>312</v>
      </c>
      <c r="AH17" s="242">
        <f>'2. 중블록 공급량(동부)'!C83</f>
        <v>0</v>
      </c>
      <c r="AI17" s="242">
        <f t="shared" si="0"/>
        <v>571</v>
      </c>
      <c r="AJ17" s="242">
        <f>'2. 중블록 공급량(동부)'!E83</f>
        <v>571</v>
      </c>
      <c r="AK17" s="242">
        <f t="shared" si="9"/>
        <v>15</v>
      </c>
      <c r="AL17" s="242">
        <f>'3. 공급량(동부)'!C83</f>
        <v>15</v>
      </c>
      <c r="AM17" s="242">
        <f t="shared" si="10"/>
        <v>11</v>
      </c>
      <c r="AN17" s="242">
        <f>'3. 공급량(동부)'!E83</f>
        <v>11</v>
      </c>
      <c r="AO17" s="242">
        <f t="shared" si="11"/>
        <v>72</v>
      </c>
      <c r="AP17" s="242">
        <f>'3. 공급량(동부)'!G83</f>
        <v>72</v>
      </c>
      <c r="AQ17" s="242">
        <f t="shared" si="16"/>
        <v>79</v>
      </c>
      <c r="AR17" s="242">
        <f>'3. 공급량(동부)'!O181</f>
        <v>79</v>
      </c>
      <c r="AS17" s="242">
        <v>0</v>
      </c>
      <c r="AT17" s="242">
        <f t="shared" si="12"/>
        <v>33</v>
      </c>
      <c r="AU17" s="242">
        <f>'3. 공급량(동부)'!M149</f>
        <v>0</v>
      </c>
      <c r="AV17" s="242">
        <f>'3. 공급량(동부)'!O149</f>
        <v>33</v>
      </c>
    </row>
    <row r="18" spans="2:48" ht="36" customHeight="1" x14ac:dyDescent="0.3">
      <c r="B18" s="240" t="s">
        <v>460</v>
      </c>
      <c r="C18" s="241">
        <f t="shared" si="13"/>
        <v>520</v>
      </c>
      <c r="D18" s="242">
        <f>'2. 중블록 공급량(동부)'!C18</f>
        <v>520</v>
      </c>
      <c r="E18" s="241">
        <f t="shared" si="14"/>
        <v>551</v>
      </c>
      <c r="F18" s="242">
        <f>'2. 중블록 공급량(동부)'!I18</f>
        <v>443</v>
      </c>
      <c r="G18" s="242">
        <f>'3. 공급량(동부)'!G51</f>
        <v>39</v>
      </c>
      <c r="H18" s="242">
        <f>'3. 공급량(동부)'!I51</f>
        <v>62</v>
      </c>
      <c r="I18" s="241">
        <f>'3. 공급량(동부)'!K51</f>
        <v>7</v>
      </c>
      <c r="J18" s="242"/>
      <c r="K18" s="247">
        <f t="shared" si="1"/>
        <v>245</v>
      </c>
      <c r="L18" s="242">
        <f>'3. 공급량(동부)'!C183</f>
        <v>245</v>
      </c>
      <c r="M18" s="247">
        <f t="shared" si="2"/>
        <v>248</v>
      </c>
      <c r="N18" s="242">
        <f>'2. 중블록 공급량(동부)'!O18</f>
        <v>248</v>
      </c>
      <c r="O18" s="247">
        <f t="shared" si="3"/>
        <v>371</v>
      </c>
      <c r="P18" s="242">
        <f>'2. 중블록 공급량(동부)'!Q18</f>
        <v>122</v>
      </c>
      <c r="Q18" s="241">
        <f>'2. 중블록 공급량(동부)'!S18</f>
        <v>151</v>
      </c>
      <c r="R18" s="242">
        <f>'2. 중블록 공급량(동부)'!C51</f>
        <v>98</v>
      </c>
      <c r="S18" s="247">
        <f t="shared" si="4"/>
        <v>41</v>
      </c>
      <c r="T18" s="242">
        <f>'2. 중블록 공급량(동부)'!E51</f>
        <v>41</v>
      </c>
      <c r="U18" s="242">
        <f t="shared" si="5"/>
        <v>14</v>
      </c>
      <c r="V18" s="242">
        <f>'3. 공급량(동부)'!G183</f>
        <v>14</v>
      </c>
      <c r="W18" s="242">
        <f t="shared" si="6"/>
        <v>41</v>
      </c>
      <c r="X18" s="242">
        <f>'2. 중블록 공급량(동부)'!I51</f>
        <v>41</v>
      </c>
      <c r="Y18" s="242">
        <f t="shared" si="7"/>
        <v>12</v>
      </c>
      <c r="Z18" s="242">
        <f>'3. 공급량(동부)'!E183</f>
        <v>12</v>
      </c>
      <c r="AA18" s="242">
        <f t="shared" si="15"/>
        <v>35</v>
      </c>
      <c r="AB18" s="242">
        <f>'2. 중블록 공급량(동부)'!M51</f>
        <v>35</v>
      </c>
      <c r="AC18" s="242">
        <f>'3. 공급량(동부)'!S183</f>
        <v>0</v>
      </c>
      <c r="AD18" s="242">
        <f t="shared" si="8"/>
        <v>1834</v>
      </c>
      <c r="AE18" s="242">
        <f>'2. 중블록 공급량(동부)'!O51</f>
        <v>1465</v>
      </c>
      <c r="AF18" s="242">
        <f>'3. 공급량(동부)'!S117</f>
        <v>57</v>
      </c>
      <c r="AG18" s="242">
        <f>'2. 중블록 공급량(동부)'!S51</f>
        <v>312</v>
      </c>
      <c r="AH18" s="242">
        <f>'2. 중블록 공급량(동부)'!C84</f>
        <v>0</v>
      </c>
      <c r="AI18" s="242">
        <f t="shared" si="0"/>
        <v>606</v>
      </c>
      <c r="AJ18" s="242">
        <f>'2. 중블록 공급량(동부)'!E84</f>
        <v>606</v>
      </c>
      <c r="AK18" s="242">
        <f t="shared" si="9"/>
        <v>15</v>
      </c>
      <c r="AL18" s="242">
        <f>'3. 공급량(동부)'!C84</f>
        <v>15</v>
      </c>
      <c r="AM18" s="242">
        <f t="shared" si="10"/>
        <v>12</v>
      </c>
      <c r="AN18" s="242">
        <f>'3. 공급량(동부)'!E84</f>
        <v>12</v>
      </c>
      <c r="AO18" s="242">
        <f t="shared" si="11"/>
        <v>72</v>
      </c>
      <c r="AP18" s="242">
        <f>'3. 공급량(동부)'!G84</f>
        <v>72</v>
      </c>
      <c r="AQ18" s="242">
        <f t="shared" si="16"/>
        <v>78</v>
      </c>
      <c r="AR18" s="242">
        <f>'3. 공급량(동부)'!O182</f>
        <v>78</v>
      </c>
      <c r="AS18" s="242">
        <v>0</v>
      </c>
      <c r="AT18" s="242">
        <f t="shared" si="12"/>
        <v>46</v>
      </c>
      <c r="AU18" s="242">
        <f>'3. 공급량(동부)'!M150</f>
        <v>13</v>
      </c>
      <c r="AV18" s="242">
        <f>'3. 공급량(동부)'!O150</f>
        <v>33</v>
      </c>
    </row>
    <row r="19" spans="2:48" ht="36" customHeight="1" x14ac:dyDescent="0.3">
      <c r="B19" s="240" t="s">
        <v>461</v>
      </c>
      <c r="C19" s="241">
        <f t="shared" si="13"/>
        <v>491</v>
      </c>
      <c r="D19" s="242">
        <f>'2. 중블록 공급량(동부)'!C19</f>
        <v>491</v>
      </c>
      <c r="E19" s="241">
        <f t="shared" si="14"/>
        <v>536</v>
      </c>
      <c r="F19" s="242">
        <f>'2. 중블록 공급량(동부)'!I19</f>
        <v>434</v>
      </c>
      <c r="G19" s="242">
        <f>'3. 공급량(동부)'!G52</f>
        <v>37</v>
      </c>
      <c r="H19" s="242">
        <f>'3. 공급량(동부)'!I52</f>
        <v>60</v>
      </c>
      <c r="I19" s="241">
        <f>'3. 공급량(동부)'!K52</f>
        <v>5</v>
      </c>
      <c r="J19" s="242"/>
      <c r="K19" s="247">
        <f t="shared" si="1"/>
        <v>243</v>
      </c>
      <c r="L19" s="242">
        <f>'3. 공급량(동부)'!C184</f>
        <v>243</v>
      </c>
      <c r="M19" s="247">
        <f t="shared" si="2"/>
        <v>243</v>
      </c>
      <c r="N19" s="242">
        <f>'2. 중블록 공급량(동부)'!O19</f>
        <v>243</v>
      </c>
      <c r="O19" s="247">
        <f t="shared" si="3"/>
        <v>318</v>
      </c>
      <c r="P19" s="242">
        <f>'2. 중블록 공급량(동부)'!Q19</f>
        <v>112</v>
      </c>
      <c r="Q19" s="241">
        <f>'2. 중블록 공급량(동부)'!S19</f>
        <v>100</v>
      </c>
      <c r="R19" s="242">
        <f>'2. 중블록 공급량(동부)'!C52</f>
        <v>106</v>
      </c>
      <c r="S19" s="247">
        <f t="shared" si="4"/>
        <v>43</v>
      </c>
      <c r="T19" s="242">
        <f>'2. 중블록 공급량(동부)'!E52</f>
        <v>43</v>
      </c>
      <c r="U19" s="242">
        <f t="shared" si="5"/>
        <v>14</v>
      </c>
      <c r="V19" s="242">
        <f>'3. 공급량(동부)'!G184</f>
        <v>14</v>
      </c>
      <c r="W19" s="242">
        <f t="shared" si="6"/>
        <v>40</v>
      </c>
      <c r="X19" s="242">
        <f>'2. 중블록 공급량(동부)'!I52</f>
        <v>40</v>
      </c>
      <c r="Y19" s="242">
        <f t="shared" si="7"/>
        <v>15</v>
      </c>
      <c r="Z19" s="242">
        <f>'3. 공급량(동부)'!E184</f>
        <v>15</v>
      </c>
      <c r="AA19" s="242">
        <f t="shared" si="15"/>
        <v>36</v>
      </c>
      <c r="AB19" s="242">
        <f>'2. 중블록 공급량(동부)'!M52</f>
        <v>36</v>
      </c>
      <c r="AC19" s="242">
        <f>'3. 공급량(동부)'!S184</f>
        <v>0</v>
      </c>
      <c r="AD19" s="242">
        <f t="shared" si="8"/>
        <v>1879</v>
      </c>
      <c r="AE19" s="242">
        <f>'2. 중블록 공급량(동부)'!O52</f>
        <v>1513</v>
      </c>
      <c r="AF19" s="242">
        <f>'3. 공급량(동부)'!S118</f>
        <v>56</v>
      </c>
      <c r="AG19" s="242">
        <f>'2. 중블록 공급량(동부)'!S52</f>
        <v>310</v>
      </c>
      <c r="AH19" s="242">
        <f>'2. 중블록 공급량(동부)'!C85</f>
        <v>0</v>
      </c>
      <c r="AI19" s="242">
        <f t="shared" si="0"/>
        <v>635</v>
      </c>
      <c r="AJ19" s="242">
        <f>'2. 중블록 공급량(동부)'!E85</f>
        <v>635</v>
      </c>
      <c r="AK19" s="242">
        <f t="shared" si="9"/>
        <v>15</v>
      </c>
      <c r="AL19" s="242">
        <f>'3. 공급량(동부)'!C85</f>
        <v>15</v>
      </c>
      <c r="AM19" s="242">
        <f t="shared" si="10"/>
        <v>10</v>
      </c>
      <c r="AN19" s="242">
        <f>'3. 공급량(동부)'!E85</f>
        <v>10</v>
      </c>
      <c r="AO19" s="242">
        <f t="shared" si="11"/>
        <v>73</v>
      </c>
      <c r="AP19" s="242">
        <f>'3. 공급량(동부)'!G85</f>
        <v>73</v>
      </c>
      <c r="AQ19" s="242">
        <f t="shared" si="16"/>
        <v>79</v>
      </c>
      <c r="AR19" s="242">
        <f>'3. 공급량(동부)'!O183</f>
        <v>79</v>
      </c>
      <c r="AS19" s="242">
        <v>0</v>
      </c>
      <c r="AT19" s="242">
        <f t="shared" si="12"/>
        <v>49</v>
      </c>
      <c r="AU19" s="242">
        <f>'3. 공급량(동부)'!M151</f>
        <v>17</v>
      </c>
      <c r="AV19" s="242">
        <f>'3. 공급량(동부)'!O151</f>
        <v>32</v>
      </c>
    </row>
    <row r="20" spans="2:48" ht="36" customHeight="1" x14ac:dyDescent="0.3">
      <c r="B20" s="240" t="s">
        <v>462</v>
      </c>
      <c r="C20" s="241">
        <f t="shared" si="13"/>
        <v>481</v>
      </c>
      <c r="D20" s="242">
        <f>'2. 중블록 공급량(동부)'!C20</f>
        <v>481</v>
      </c>
      <c r="E20" s="241">
        <f t="shared" si="14"/>
        <v>536</v>
      </c>
      <c r="F20" s="242">
        <f>'2. 중블록 공급량(동부)'!I20</f>
        <v>435</v>
      </c>
      <c r="G20" s="242">
        <f>'3. 공급량(동부)'!G53</f>
        <v>36</v>
      </c>
      <c r="H20" s="242">
        <f>'3. 공급량(동부)'!I53</f>
        <v>59</v>
      </c>
      <c r="I20" s="241">
        <f>'3. 공급량(동부)'!K53</f>
        <v>6</v>
      </c>
      <c r="J20" s="242"/>
      <c r="K20" s="247">
        <f t="shared" si="1"/>
        <v>243</v>
      </c>
      <c r="L20" s="242">
        <f>'3. 공급량(동부)'!C185</f>
        <v>243</v>
      </c>
      <c r="M20" s="247">
        <f t="shared" si="2"/>
        <v>299</v>
      </c>
      <c r="N20" s="242">
        <f>'2. 중블록 공급량(동부)'!O20</f>
        <v>299</v>
      </c>
      <c r="O20" s="247">
        <f t="shared" si="3"/>
        <v>343</v>
      </c>
      <c r="P20" s="242">
        <f>'2. 중블록 공급량(동부)'!Q20</f>
        <v>109</v>
      </c>
      <c r="Q20" s="241">
        <f>'2. 중블록 공급량(동부)'!S20</f>
        <v>128</v>
      </c>
      <c r="R20" s="242">
        <f>'2. 중블록 공급량(동부)'!C53</f>
        <v>106</v>
      </c>
      <c r="S20" s="247">
        <f t="shared" si="4"/>
        <v>42</v>
      </c>
      <c r="T20" s="242">
        <f>'2. 중블록 공급량(동부)'!E53</f>
        <v>42</v>
      </c>
      <c r="U20" s="242">
        <f t="shared" si="5"/>
        <v>14</v>
      </c>
      <c r="V20" s="242">
        <f>'3. 공급량(동부)'!G185</f>
        <v>14</v>
      </c>
      <c r="W20" s="242">
        <f t="shared" si="6"/>
        <v>36</v>
      </c>
      <c r="X20" s="242">
        <f>'2. 중블록 공급량(동부)'!I53</f>
        <v>36</v>
      </c>
      <c r="Y20" s="242">
        <f t="shared" si="7"/>
        <v>18</v>
      </c>
      <c r="Z20" s="242">
        <f>'3. 공급량(동부)'!E185</f>
        <v>18</v>
      </c>
      <c r="AA20" s="242">
        <f t="shared" si="15"/>
        <v>32</v>
      </c>
      <c r="AB20" s="242">
        <f>'2. 중블록 공급량(동부)'!M53</f>
        <v>32</v>
      </c>
      <c r="AC20" s="242">
        <f>'3. 공급량(동부)'!S185</f>
        <v>0</v>
      </c>
      <c r="AD20" s="242">
        <f t="shared" si="8"/>
        <v>1840</v>
      </c>
      <c r="AE20" s="242">
        <f>'2. 중블록 공급량(동부)'!O53</f>
        <v>1476</v>
      </c>
      <c r="AF20" s="242">
        <f>'3. 공급량(동부)'!S119</f>
        <v>54</v>
      </c>
      <c r="AG20" s="242">
        <f>'2. 중블록 공급량(동부)'!S53</f>
        <v>310</v>
      </c>
      <c r="AH20" s="242">
        <f>'2. 중블록 공급량(동부)'!C86</f>
        <v>0</v>
      </c>
      <c r="AI20" s="242">
        <f t="shared" si="0"/>
        <v>740</v>
      </c>
      <c r="AJ20" s="242">
        <f>'2. 중블록 공급량(동부)'!E86</f>
        <v>740</v>
      </c>
      <c r="AK20" s="242">
        <f t="shared" si="9"/>
        <v>15</v>
      </c>
      <c r="AL20" s="242">
        <f>'3. 공급량(동부)'!C86</f>
        <v>15</v>
      </c>
      <c r="AM20" s="242">
        <f t="shared" si="10"/>
        <v>11</v>
      </c>
      <c r="AN20" s="242">
        <f>'3. 공급량(동부)'!E86</f>
        <v>11</v>
      </c>
      <c r="AO20" s="242">
        <f t="shared" si="11"/>
        <v>72</v>
      </c>
      <c r="AP20" s="242">
        <f>'3. 공급량(동부)'!G86</f>
        <v>72</v>
      </c>
      <c r="AQ20" s="242">
        <f t="shared" si="16"/>
        <v>79</v>
      </c>
      <c r="AR20" s="242">
        <f>'3. 공급량(동부)'!O184</f>
        <v>79</v>
      </c>
      <c r="AS20" s="242">
        <v>0</v>
      </c>
      <c r="AT20" s="242">
        <f t="shared" si="12"/>
        <v>38</v>
      </c>
      <c r="AU20" s="242">
        <f>'3. 공급량(동부)'!M152</f>
        <v>5</v>
      </c>
      <c r="AV20" s="242">
        <f>'3. 공급량(동부)'!O152</f>
        <v>33</v>
      </c>
    </row>
    <row r="21" spans="2:48" ht="36" customHeight="1" x14ac:dyDescent="0.3">
      <c r="B21" s="240" t="s">
        <v>463</v>
      </c>
      <c r="C21" s="241">
        <f t="shared" si="13"/>
        <v>471</v>
      </c>
      <c r="D21" s="242">
        <f>'2. 중블록 공급량(동부)'!C21</f>
        <v>471</v>
      </c>
      <c r="E21" s="241">
        <f t="shared" si="14"/>
        <v>520</v>
      </c>
      <c r="F21" s="242">
        <f>'2. 중블록 공급량(동부)'!I21</f>
        <v>421</v>
      </c>
      <c r="G21" s="242">
        <f>'3. 공급량(동부)'!G54</f>
        <v>41</v>
      </c>
      <c r="H21" s="242">
        <f>'3. 공급량(동부)'!I54</f>
        <v>52</v>
      </c>
      <c r="I21" s="241">
        <f>'3. 공급량(동부)'!K54</f>
        <v>6</v>
      </c>
      <c r="J21" s="242"/>
      <c r="K21" s="247">
        <f t="shared" si="1"/>
        <v>236</v>
      </c>
      <c r="L21" s="242">
        <f>'3. 공급량(동부)'!C186</f>
        <v>236</v>
      </c>
      <c r="M21" s="247">
        <f t="shared" si="2"/>
        <v>245</v>
      </c>
      <c r="N21" s="242">
        <f>'2. 중블록 공급량(동부)'!O21</f>
        <v>245</v>
      </c>
      <c r="O21" s="247">
        <f t="shared" si="3"/>
        <v>289</v>
      </c>
      <c r="P21" s="242">
        <f>'2. 중블록 공급량(동부)'!Q21</f>
        <v>102</v>
      </c>
      <c r="Q21" s="241">
        <f>'2. 중블록 공급량(동부)'!S21</f>
        <v>75</v>
      </c>
      <c r="R21" s="242">
        <f>'2. 중블록 공급량(동부)'!C54</f>
        <v>112</v>
      </c>
      <c r="S21" s="247">
        <f t="shared" si="4"/>
        <v>41</v>
      </c>
      <c r="T21" s="242">
        <f>'2. 중블록 공급량(동부)'!E54</f>
        <v>41</v>
      </c>
      <c r="U21" s="242">
        <f t="shared" si="5"/>
        <v>13</v>
      </c>
      <c r="V21" s="242">
        <f>'3. 공급량(동부)'!G186</f>
        <v>13</v>
      </c>
      <c r="W21" s="242">
        <f t="shared" si="6"/>
        <v>33</v>
      </c>
      <c r="X21" s="242">
        <f>'2. 중블록 공급량(동부)'!I54</f>
        <v>33</v>
      </c>
      <c r="Y21" s="242">
        <f t="shared" si="7"/>
        <v>17</v>
      </c>
      <c r="Z21" s="242">
        <f>'3. 공급량(동부)'!E186</f>
        <v>17</v>
      </c>
      <c r="AA21" s="242">
        <f t="shared" si="15"/>
        <v>30</v>
      </c>
      <c r="AB21" s="242">
        <f>'2. 중블록 공급량(동부)'!M54</f>
        <v>30</v>
      </c>
      <c r="AC21" s="242">
        <f>'3. 공급량(동부)'!S186</f>
        <v>0</v>
      </c>
      <c r="AD21" s="242">
        <f t="shared" si="8"/>
        <v>1824</v>
      </c>
      <c r="AE21" s="242">
        <f>'2. 중블록 공급량(동부)'!O54</f>
        <v>1460</v>
      </c>
      <c r="AF21" s="242">
        <f>'3. 공급량(동부)'!S120</f>
        <v>54</v>
      </c>
      <c r="AG21" s="242">
        <f>'2. 중블록 공급량(동부)'!S54</f>
        <v>310</v>
      </c>
      <c r="AH21" s="242">
        <f>'2. 중블록 공급량(동부)'!C87</f>
        <v>0</v>
      </c>
      <c r="AI21" s="242">
        <f t="shared" si="0"/>
        <v>712</v>
      </c>
      <c r="AJ21" s="242">
        <f>'2. 중블록 공급량(동부)'!E87</f>
        <v>712</v>
      </c>
      <c r="AK21" s="242">
        <f t="shared" si="9"/>
        <v>15</v>
      </c>
      <c r="AL21" s="242">
        <f>'3. 공급량(동부)'!C87</f>
        <v>15</v>
      </c>
      <c r="AM21" s="242">
        <f t="shared" si="10"/>
        <v>12</v>
      </c>
      <c r="AN21" s="242">
        <f>'3. 공급량(동부)'!E87</f>
        <v>12</v>
      </c>
      <c r="AO21" s="242">
        <f t="shared" si="11"/>
        <v>72</v>
      </c>
      <c r="AP21" s="242">
        <f>'3. 공급량(동부)'!G87</f>
        <v>72</v>
      </c>
      <c r="AQ21" s="242">
        <f t="shared" si="16"/>
        <v>79</v>
      </c>
      <c r="AR21" s="242">
        <f>'3. 공급량(동부)'!O185</f>
        <v>79</v>
      </c>
      <c r="AS21" s="242">
        <v>0</v>
      </c>
      <c r="AT21" s="242">
        <f t="shared" si="12"/>
        <v>41</v>
      </c>
      <c r="AU21" s="242">
        <f>'3. 공급량(동부)'!M153</f>
        <v>9</v>
      </c>
      <c r="AV21" s="242">
        <f>'3. 공급량(동부)'!O153</f>
        <v>32</v>
      </c>
    </row>
    <row r="22" spans="2:48" ht="36" customHeight="1" x14ac:dyDescent="0.3">
      <c r="B22" s="240" t="s">
        <v>464</v>
      </c>
      <c r="C22" s="241">
        <f t="shared" si="13"/>
        <v>481</v>
      </c>
      <c r="D22" s="242">
        <f>'2. 중블록 공급량(동부)'!C22</f>
        <v>481</v>
      </c>
      <c r="E22" s="241">
        <f t="shared" si="14"/>
        <v>525</v>
      </c>
      <c r="F22" s="242">
        <f>'2. 중블록 공급량(동부)'!I22</f>
        <v>425</v>
      </c>
      <c r="G22" s="242">
        <f>'3. 공급량(동부)'!G55</f>
        <v>42</v>
      </c>
      <c r="H22" s="242">
        <f>'3. 공급량(동부)'!I55</f>
        <v>53</v>
      </c>
      <c r="I22" s="241">
        <f>'3. 공급량(동부)'!K55</f>
        <v>5</v>
      </c>
      <c r="J22" s="242"/>
      <c r="K22" s="247">
        <f t="shared" si="1"/>
        <v>235</v>
      </c>
      <c r="L22" s="242">
        <f>'3. 공급량(동부)'!C187</f>
        <v>235</v>
      </c>
      <c r="M22" s="247">
        <f t="shared" si="2"/>
        <v>224</v>
      </c>
      <c r="N22" s="242">
        <f>'2. 중블록 공급량(동부)'!O22</f>
        <v>224</v>
      </c>
      <c r="O22" s="247">
        <f t="shared" si="3"/>
        <v>294</v>
      </c>
      <c r="P22" s="242">
        <f>'2. 중블록 공급량(동부)'!Q22</f>
        <v>116</v>
      </c>
      <c r="Q22" s="241">
        <f>'2. 중블록 공급량(동부)'!S22</f>
        <v>74</v>
      </c>
      <c r="R22" s="242">
        <f>'2. 중블록 공급량(동부)'!C55</f>
        <v>104</v>
      </c>
      <c r="S22" s="247">
        <f t="shared" si="4"/>
        <v>40</v>
      </c>
      <c r="T22" s="242">
        <f>'2. 중블록 공급량(동부)'!E55</f>
        <v>40</v>
      </c>
      <c r="U22" s="242">
        <f t="shared" si="5"/>
        <v>12</v>
      </c>
      <c r="V22" s="242">
        <f>'3. 공급량(동부)'!G187</f>
        <v>12</v>
      </c>
      <c r="W22" s="242">
        <f t="shared" si="6"/>
        <v>32</v>
      </c>
      <c r="X22" s="242">
        <f>'2. 중블록 공급량(동부)'!I55</f>
        <v>32</v>
      </c>
      <c r="Y22" s="242">
        <f t="shared" si="7"/>
        <v>15</v>
      </c>
      <c r="Z22" s="242">
        <f>'3. 공급량(동부)'!E187</f>
        <v>15</v>
      </c>
      <c r="AA22" s="242">
        <f t="shared" si="15"/>
        <v>29</v>
      </c>
      <c r="AB22" s="242">
        <f>'2. 중블록 공급량(동부)'!M55</f>
        <v>29</v>
      </c>
      <c r="AC22" s="242">
        <f>'3. 공급량(동부)'!S187</f>
        <v>0</v>
      </c>
      <c r="AD22" s="242">
        <f t="shared" si="8"/>
        <v>1807</v>
      </c>
      <c r="AE22" s="242">
        <f>'2. 중블록 공급량(동부)'!O55</f>
        <v>1441</v>
      </c>
      <c r="AF22" s="242">
        <f>'3. 공급량(동부)'!S121</f>
        <v>56</v>
      </c>
      <c r="AG22" s="242">
        <f>'2. 중블록 공급량(동부)'!S55</f>
        <v>310</v>
      </c>
      <c r="AH22" s="242">
        <f>'2. 중블록 공급량(동부)'!C88</f>
        <v>0</v>
      </c>
      <c r="AI22" s="242">
        <f t="shared" si="0"/>
        <v>650</v>
      </c>
      <c r="AJ22" s="242">
        <f>'2. 중블록 공급량(동부)'!E88</f>
        <v>650</v>
      </c>
      <c r="AK22" s="242">
        <f t="shared" si="9"/>
        <v>15</v>
      </c>
      <c r="AL22" s="242">
        <f>'3. 공급량(동부)'!C88</f>
        <v>15</v>
      </c>
      <c r="AM22" s="242">
        <f t="shared" si="10"/>
        <v>10</v>
      </c>
      <c r="AN22" s="242">
        <f>'3. 공급량(동부)'!E88</f>
        <v>10</v>
      </c>
      <c r="AO22" s="242">
        <f t="shared" si="11"/>
        <v>72</v>
      </c>
      <c r="AP22" s="242">
        <f>'3. 공급량(동부)'!G88</f>
        <v>72</v>
      </c>
      <c r="AQ22" s="242">
        <f t="shared" si="16"/>
        <v>78</v>
      </c>
      <c r="AR22" s="242">
        <f>'3. 공급량(동부)'!O186</f>
        <v>78</v>
      </c>
      <c r="AS22" s="242">
        <v>0</v>
      </c>
      <c r="AT22" s="242">
        <f t="shared" si="12"/>
        <v>32</v>
      </c>
      <c r="AU22" s="242">
        <f>'3. 공급량(동부)'!M154</f>
        <v>0</v>
      </c>
      <c r="AV22" s="242">
        <f>'3. 공급량(동부)'!O154</f>
        <v>32</v>
      </c>
    </row>
    <row r="23" spans="2:48" ht="36" customHeight="1" x14ac:dyDescent="0.3">
      <c r="B23" s="240" t="s">
        <v>465</v>
      </c>
      <c r="C23" s="241">
        <f t="shared" si="13"/>
        <v>502</v>
      </c>
      <c r="D23" s="242">
        <f>'2. 중블록 공급량(동부)'!C23</f>
        <v>502</v>
      </c>
      <c r="E23" s="241">
        <f t="shared" si="14"/>
        <v>566</v>
      </c>
      <c r="F23" s="242">
        <f>'2. 중블록 공급량(동부)'!I23</f>
        <v>457</v>
      </c>
      <c r="G23" s="242">
        <f>'3. 공급량(동부)'!G56</f>
        <v>41</v>
      </c>
      <c r="H23" s="242">
        <f>'3. 공급량(동부)'!I56</f>
        <v>62</v>
      </c>
      <c r="I23" s="241">
        <f>'3. 공급량(동부)'!K56</f>
        <v>6</v>
      </c>
      <c r="J23" s="242"/>
      <c r="K23" s="247">
        <f t="shared" si="1"/>
        <v>236</v>
      </c>
      <c r="L23" s="242">
        <f>'3. 공급량(동부)'!C188</f>
        <v>236</v>
      </c>
      <c r="M23" s="247">
        <f t="shared" si="2"/>
        <v>234</v>
      </c>
      <c r="N23" s="242">
        <f>'2. 중블록 공급량(동부)'!O23</f>
        <v>234</v>
      </c>
      <c r="O23" s="247">
        <f t="shared" si="3"/>
        <v>345</v>
      </c>
      <c r="P23" s="242">
        <f>'2. 중블록 공급량(동부)'!Q23</f>
        <v>150</v>
      </c>
      <c r="Q23" s="241">
        <f>'2. 중블록 공급량(동부)'!S23</f>
        <v>92</v>
      </c>
      <c r="R23" s="242">
        <f>'2. 중블록 공급량(동부)'!C56</f>
        <v>103</v>
      </c>
      <c r="S23" s="247">
        <f t="shared" si="4"/>
        <v>41</v>
      </c>
      <c r="T23" s="242">
        <f>'2. 중블록 공급량(동부)'!E56</f>
        <v>41</v>
      </c>
      <c r="U23" s="242">
        <f t="shared" si="5"/>
        <v>14</v>
      </c>
      <c r="V23" s="242">
        <f>'3. 공급량(동부)'!G188</f>
        <v>14</v>
      </c>
      <c r="W23" s="242">
        <f t="shared" si="6"/>
        <v>35</v>
      </c>
      <c r="X23" s="242">
        <f>'2. 중블록 공급량(동부)'!I56</f>
        <v>35</v>
      </c>
      <c r="Y23" s="242">
        <f t="shared" si="7"/>
        <v>13</v>
      </c>
      <c r="Z23" s="242">
        <f>'3. 공급량(동부)'!E188</f>
        <v>13</v>
      </c>
      <c r="AA23" s="242">
        <f t="shared" si="15"/>
        <v>29</v>
      </c>
      <c r="AB23" s="242">
        <f>'2. 중블록 공급량(동부)'!M56</f>
        <v>29</v>
      </c>
      <c r="AC23" s="242">
        <f>'3. 공급량(동부)'!S188</f>
        <v>0</v>
      </c>
      <c r="AD23" s="242">
        <f t="shared" si="8"/>
        <v>1897</v>
      </c>
      <c r="AE23" s="242">
        <f>'2. 중블록 공급량(동부)'!O56</f>
        <v>1531</v>
      </c>
      <c r="AF23" s="242">
        <f>'3. 공급량(동부)'!S122</f>
        <v>56</v>
      </c>
      <c r="AG23" s="242">
        <f>'2. 중블록 공급량(동부)'!S56</f>
        <v>310</v>
      </c>
      <c r="AH23" s="242">
        <f>'2. 중블록 공급량(동부)'!C89</f>
        <v>0</v>
      </c>
      <c r="AI23" s="242">
        <f t="shared" si="0"/>
        <v>669</v>
      </c>
      <c r="AJ23" s="242">
        <f>'2. 중블록 공급량(동부)'!E89</f>
        <v>669</v>
      </c>
      <c r="AK23" s="242">
        <f t="shared" si="9"/>
        <v>16</v>
      </c>
      <c r="AL23" s="242">
        <f>'3. 공급량(동부)'!C89</f>
        <v>16</v>
      </c>
      <c r="AM23" s="242">
        <f t="shared" si="10"/>
        <v>13</v>
      </c>
      <c r="AN23" s="242">
        <f>'3. 공급량(동부)'!E89</f>
        <v>13</v>
      </c>
      <c r="AO23" s="242">
        <f t="shared" si="11"/>
        <v>72</v>
      </c>
      <c r="AP23" s="242">
        <f>'3. 공급량(동부)'!G89</f>
        <v>72</v>
      </c>
      <c r="AQ23" s="242">
        <f t="shared" si="16"/>
        <v>79</v>
      </c>
      <c r="AR23" s="242">
        <f>'3. 공급량(동부)'!O187</f>
        <v>79</v>
      </c>
      <c r="AS23" s="242">
        <v>0</v>
      </c>
      <c r="AT23" s="242">
        <f t="shared" si="12"/>
        <v>46</v>
      </c>
      <c r="AU23" s="242">
        <f>'3. 공급량(동부)'!M155</f>
        <v>14</v>
      </c>
      <c r="AV23" s="242">
        <f>'3. 공급량(동부)'!O155</f>
        <v>32</v>
      </c>
    </row>
    <row r="24" spans="2:48" ht="36" customHeight="1" x14ac:dyDescent="0.3">
      <c r="B24" s="240" t="s">
        <v>466</v>
      </c>
      <c r="C24" s="241">
        <f t="shared" si="13"/>
        <v>557</v>
      </c>
      <c r="D24" s="242">
        <f>'2. 중블록 공급량(동부)'!C24</f>
        <v>557</v>
      </c>
      <c r="E24" s="241">
        <f t="shared" si="14"/>
        <v>590</v>
      </c>
      <c r="F24" s="242">
        <f>'2. 중블록 공급량(동부)'!I24</f>
        <v>475</v>
      </c>
      <c r="G24" s="242">
        <f>'3. 공급량(동부)'!G57</f>
        <v>43</v>
      </c>
      <c r="H24" s="242">
        <f>'3. 공급량(동부)'!I57</f>
        <v>66</v>
      </c>
      <c r="I24" s="241">
        <f>'3. 공급량(동부)'!K57</f>
        <v>6</v>
      </c>
      <c r="J24" s="242"/>
      <c r="K24" s="247">
        <f t="shared" si="1"/>
        <v>244</v>
      </c>
      <c r="L24" s="242">
        <f>'3. 공급량(동부)'!C189</f>
        <v>244</v>
      </c>
      <c r="M24" s="247">
        <f t="shared" si="2"/>
        <v>249</v>
      </c>
      <c r="N24" s="242">
        <f>'2. 중블록 공급량(동부)'!O24</f>
        <v>249</v>
      </c>
      <c r="O24" s="247">
        <f t="shared" si="3"/>
        <v>322</v>
      </c>
      <c r="P24" s="242">
        <f>'2. 중블록 공급량(동부)'!Q24</f>
        <v>116</v>
      </c>
      <c r="Q24" s="241">
        <f>'2. 중블록 공급량(동부)'!S24</f>
        <v>98</v>
      </c>
      <c r="R24" s="242">
        <f>'2. 중블록 공급량(동부)'!C57</f>
        <v>108</v>
      </c>
      <c r="S24" s="247">
        <f t="shared" si="4"/>
        <v>43</v>
      </c>
      <c r="T24" s="242">
        <f>'2. 중블록 공급량(동부)'!E57</f>
        <v>43</v>
      </c>
      <c r="U24" s="242">
        <f t="shared" si="5"/>
        <v>13</v>
      </c>
      <c r="V24" s="242">
        <f>'3. 공급량(동부)'!G189</f>
        <v>13</v>
      </c>
      <c r="W24" s="242">
        <f t="shared" si="6"/>
        <v>40</v>
      </c>
      <c r="X24" s="242">
        <f>'2. 중블록 공급량(동부)'!I57</f>
        <v>40</v>
      </c>
      <c r="Y24" s="242">
        <f t="shared" si="7"/>
        <v>12</v>
      </c>
      <c r="Z24" s="242">
        <f>'3. 공급량(동부)'!E189</f>
        <v>12</v>
      </c>
      <c r="AA24" s="242">
        <f t="shared" si="15"/>
        <v>31</v>
      </c>
      <c r="AB24" s="242">
        <f>'2. 중블록 공급량(동부)'!M57</f>
        <v>31</v>
      </c>
      <c r="AC24" s="242">
        <f>'3. 공급량(동부)'!S189</f>
        <v>0</v>
      </c>
      <c r="AD24" s="242">
        <f t="shared" si="8"/>
        <v>1981</v>
      </c>
      <c r="AE24" s="242">
        <f>'2. 중블록 공급량(동부)'!O57</f>
        <v>1615</v>
      </c>
      <c r="AF24" s="242">
        <f>'3. 공급량(동부)'!S123</f>
        <v>55</v>
      </c>
      <c r="AG24" s="242">
        <f>'2. 중블록 공급량(동부)'!S57</f>
        <v>311</v>
      </c>
      <c r="AH24" s="242">
        <f>'2. 중블록 공급량(동부)'!C90</f>
        <v>0</v>
      </c>
      <c r="AI24" s="242">
        <f t="shared" si="0"/>
        <v>981</v>
      </c>
      <c r="AJ24" s="242">
        <f>'2. 중블록 공급량(동부)'!E90</f>
        <v>981</v>
      </c>
      <c r="AK24" s="242">
        <f t="shared" si="9"/>
        <v>16</v>
      </c>
      <c r="AL24" s="242">
        <f>'3. 공급량(동부)'!C90</f>
        <v>16</v>
      </c>
      <c r="AM24" s="242">
        <f t="shared" si="10"/>
        <v>18</v>
      </c>
      <c r="AN24" s="242">
        <f>'3. 공급량(동부)'!E90</f>
        <v>18</v>
      </c>
      <c r="AO24" s="242">
        <f t="shared" si="11"/>
        <v>72</v>
      </c>
      <c r="AP24" s="242">
        <f>'3. 공급량(동부)'!G90</f>
        <v>72</v>
      </c>
      <c r="AQ24" s="242">
        <f t="shared" si="16"/>
        <v>78</v>
      </c>
      <c r="AR24" s="242">
        <f>'3. 공급량(동부)'!O188</f>
        <v>78</v>
      </c>
      <c r="AS24" s="242">
        <v>0</v>
      </c>
      <c r="AT24" s="242">
        <f t="shared" si="12"/>
        <v>32</v>
      </c>
      <c r="AU24" s="242">
        <f>'3. 공급량(동부)'!M156</f>
        <v>0</v>
      </c>
      <c r="AV24" s="242">
        <f>'3. 공급량(동부)'!O156</f>
        <v>32</v>
      </c>
    </row>
    <row r="25" spans="2:48" ht="36" customHeight="1" x14ac:dyDescent="0.3">
      <c r="B25" s="240" t="s">
        <v>467</v>
      </c>
      <c r="C25" s="241">
        <f t="shared" si="13"/>
        <v>535</v>
      </c>
      <c r="D25" s="242">
        <f>'2. 중블록 공급량(동부)'!C25</f>
        <v>535</v>
      </c>
      <c r="E25" s="241">
        <f t="shared" si="14"/>
        <v>558</v>
      </c>
      <c r="F25" s="242">
        <f>'2. 중블록 공급량(동부)'!I25</f>
        <v>439</v>
      </c>
      <c r="G25" s="242">
        <f>'3. 공급량(동부)'!G58</f>
        <v>41</v>
      </c>
      <c r="H25" s="242">
        <f>'3. 공급량(동부)'!I58</f>
        <v>73</v>
      </c>
      <c r="I25" s="241">
        <f>'3. 공급량(동부)'!K58</f>
        <v>5</v>
      </c>
      <c r="J25" s="242"/>
      <c r="K25" s="247">
        <f t="shared" si="1"/>
        <v>248</v>
      </c>
      <c r="L25" s="242">
        <f>'3. 공급량(동부)'!C190</f>
        <v>248</v>
      </c>
      <c r="M25" s="247">
        <f t="shared" si="2"/>
        <v>295</v>
      </c>
      <c r="N25" s="242">
        <f>'2. 중블록 공급량(동부)'!O25</f>
        <v>295</v>
      </c>
      <c r="O25" s="247">
        <f t="shared" si="3"/>
        <v>338</v>
      </c>
      <c r="P25" s="242">
        <f>'2. 중블록 공급량(동부)'!Q25</f>
        <v>118</v>
      </c>
      <c r="Q25" s="241">
        <f>'2. 중블록 공급량(동부)'!S25</f>
        <v>108</v>
      </c>
      <c r="R25" s="242">
        <f>'2. 중블록 공급량(동부)'!C58</f>
        <v>112</v>
      </c>
      <c r="S25" s="247">
        <f t="shared" si="4"/>
        <v>42</v>
      </c>
      <c r="T25" s="242">
        <f>'2. 중블록 공급량(동부)'!E58</f>
        <v>42</v>
      </c>
      <c r="U25" s="242">
        <f t="shared" si="5"/>
        <v>13</v>
      </c>
      <c r="V25" s="242">
        <f>'3. 공급량(동부)'!G190</f>
        <v>13</v>
      </c>
      <c r="W25" s="242">
        <f t="shared" si="6"/>
        <v>42</v>
      </c>
      <c r="X25" s="242">
        <f>'2. 중블록 공급량(동부)'!I58</f>
        <v>42</v>
      </c>
      <c r="Y25" s="242">
        <f t="shared" si="7"/>
        <v>12</v>
      </c>
      <c r="Z25" s="242">
        <f>'3. 공급량(동부)'!E190</f>
        <v>12</v>
      </c>
      <c r="AA25" s="242">
        <f t="shared" si="15"/>
        <v>31</v>
      </c>
      <c r="AB25" s="242">
        <f>'2. 중블록 공급량(동부)'!M58</f>
        <v>31</v>
      </c>
      <c r="AC25" s="242">
        <f>'3. 공급량(동부)'!S190</f>
        <v>0</v>
      </c>
      <c r="AD25" s="242">
        <f t="shared" si="8"/>
        <v>1990</v>
      </c>
      <c r="AE25" s="242">
        <f>'2. 중블록 공급량(동부)'!O58</f>
        <v>1624</v>
      </c>
      <c r="AF25" s="242">
        <f>'3. 공급량(동부)'!S124</f>
        <v>56</v>
      </c>
      <c r="AG25" s="242">
        <f>'2. 중블록 공급량(동부)'!S58</f>
        <v>310</v>
      </c>
      <c r="AH25" s="242">
        <f>'2. 중블록 공급량(동부)'!C91</f>
        <v>0</v>
      </c>
      <c r="AI25" s="242">
        <f t="shared" si="0"/>
        <v>761</v>
      </c>
      <c r="AJ25" s="242">
        <f>'2. 중블록 공급량(동부)'!E91</f>
        <v>761</v>
      </c>
      <c r="AK25" s="242">
        <f t="shared" si="9"/>
        <v>15</v>
      </c>
      <c r="AL25" s="242">
        <f>'3. 공급량(동부)'!C91</f>
        <v>15</v>
      </c>
      <c r="AM25" s="242">
        <f t="shared" si="10"/>
        <v>16</v>
      </c>
      <c r="AN25" s="242">
        <f>'3. 공급량(동부)'!E91</f>
        <v>16</v>
      </c>
      <c r="AO25" s="242">
        <f t="shared" si="11"/>
        <v>73</v>
      </c>
      <c r="AP25" s="242">
        <f>'3. 공급량(동부)'!G91</f>
        <v>73</v>
      </c>
      <c r="AQ25" s="242">
        <f t="shared" si="16"/>
        <v>79</v>
      </c>
      <c r="AR25" s="242">
        <f>'3. 공급량(동부)'!O189</f>
        <v>79</v>
      </c>
      <c r="AS25" s="242">
        <v>0</v>
      </c>
      <c r="AT25" s="242">
        <f t="shared" si="12"/>
        <v>34</v>
      </c>
      <c r="AU25" s="242">
        <f>'3. 공급량(동부)'!M157</f>
        <v>2</v>
      </c>
      <c r="AV25" s="242">
        <f>'3. 공급량(동부)'!O157</f>
        <v>32</v>
      </c>
    </row>
    <row r="26" spans="2:48" ht="36" customHeight="1" x14ac:dyDescent="0.3">
      <c r="B26" s="240" t="s">
        <v>468</v>
      </c>
      <c r="C26" s="241">
        <f t="shared" si="13"/>
        <v>507</v>
      </c>
      <c r="D26" s="242">
        <f>'2. 중블록 공급량(동부)'!C26</f>
        <v>507</v>
      </c>
      <c r="E26" s="241">
        <f t="shared" si="14"/>
        <v>552</v>
      </c>
      <c r="F26" s="242">
        <f>'2. 중블록 공급량(동부)'!I26</f>
        <v>444</v>
      </c>
      <c r="G26" s="242">
        <f>'3. 공급량(동부)'!G59</f>
        <v>33</v>
      </c>
      <c r="H26" s="242">
        <f>'3. 공급량(동부)'!I59</f>
        <v>69</v>
      </c>
      <c r="I26" s="241">
        <f>'3. 공급량(동부)'!K59</f>
        <v>6</v>
      </c>
      <c r="J26" s="242"/>
      <c r="K26" s="247">
        <f t="shared" si="1"/>
        <v>249</v>
      </c>
      <c r="L26" s="242">
        <f>'3. 공급량(동부)'!C191</f>
        <v>249</v>
      </c>
      <c r="M26" s="247">
        <f t="shared" si="2"/>
        <v>324</v>
      </c>
      <c r="N26" s="242">
        <f>'2. 중블록 공급량(동부)'!O26</f>
        <v>324</v>
      </c>
      <c r="O26" s="247">
        <f t="shared" si="3"/>
        <v>300</v>
      </c>
      <c r="P26" s="242">
        <f>'2. 중블록 공급량(동부)'!Q26</f>
        <v>104</v>
      </c>
      <c r="Q26" s="241">
        <f>'2. 중블록 공급량(동부)'!S26</f>
        <v>74</v>
      </c>
      <c r="R26" s="242">
        <f>'2. 중블록 공급량(동부)'!C59</f>
        <v>122</v>
      </c>
      <c r="S26" s="247">
        <f t="shared" si="4"/>
        <v>39</v>
      </c>
      <c r="T26" s="242">
        <f>'2. 중블록 공급량(동부)'!E59</f>
        <v>39</v>
      </c>
      <c r="U26" s="242">
        <f t="shared" si="5"/>
        <v>13</v>
      </c>
      <c r="V26" s="242">
        <f>'3. 공급량(동부)'!G191</f>
        <v>13</v>
      </c>
      <c r="W26" s="242">
        <f t="shared" si="6"/>
        <v>44</v>
      </c>
      <c r="X26" s="242">
        <f>'2. 중블록 공급량(동부)'!I59</f>
        <v>44</v>
      </c>
      <c r="Y26" s="242">
        <f t="shared" si="7"/>
        <v>12</v>
      </c>
      <c r="Z26" s="242">
        <f>'3. 공급량(동부)'!E191</f>
        <v>12</v>
      </c>
      <c r="AA26" s="242">
        <f t="shared" si="15"/>
        <v>31</v>
      </c>
      <c r="AB26" s="242">
        <f>'2. 중블록 공급량(동부)'!M59</f>
        <v>31</v>
      </c>
      <c r="AC26" s="242">
        <f>'3. 공급량(동부)'!S191</f>
        <v>0</v>
      </c>
      <c r="AD26" s="242">
        <f t="shared" si="8"/>
        <v>1926</v>
      </c>
      <c r="AE26" s="242">
        <f>'2. 중블록 공급량(동부)'!O59</f>
        <v>1559</v>
      </c>
      <c r="AF26" s="242">
        <f>'3. 공급량(동부)'!S125</f>
        <v>58</v>
      </c>
      <c r="AG26" s="242">
        <f>'2. 중블록 공급량(동부)'!S59</f>
        <v>309</v>
      </c>
      <c r="AH26" s="242">
        <f>'2. 중블록 공급량(동부)'!C92</f>
        <v>0</v>
      </c>
      <c r="AI26" s="242">
        <f t="shared" si="0"/>
        <v>977</v>
      </c>
      <c r="AJ26" s="242">
        <f>'2. 중블록 공급량(동부)'!E92</f>
        <v>977</v>
      </c>
      <c r="AK26" s="242">
        <f t="shared" si="9"/>
        <v>15</v>
      </c>
      <c r="AL26" s="242">
        <f>'3. 공급량(동부)'!C92</f>
        <v>15</v>
      </c>
      <c r="AM26" s="242">
        <f t="shared" si="10"/>
        <v>15</v>
      </c>
      <c r="AN26" s="242">
        <f>'3. 공급량(동부)'!E92</f>
        <v>15</v>
      </c>
      <c r="AO26" s="242">
        <f t="shared" si="11"/>
        <v>72</v>
      </c>
      <c r="AP26" s="242">
        <f>'3. 공급량(동부)'!G92</f>
        <v>72</v>
      </c>
      <c r="AQ26" s="242">
        <f t="shared" si="16"/>
        <v>79</v>
      </c>
      <c r="AR26" s="242">
        <f>'3. 공급량(동부)'!O190</f>
        <v>79</v>
      </c>
      <c r="AS26" s="242">
        <v>0</v>
      </c>
      <c r="AT26" s="242">
        <f t="shared" si="12"/>
        <v>42</v>
      </c>
      <c r="AU26" s="242">
        <f>'3. 공급량(동부)'!M158</f>
        <v>11</v>
      </c>
      <c r="AV26" s="242">
        <f>'3. 공급량(동부)'!O158</f>
        <v>31</v>
      </c>
    </row>
    <row r="27" spans="2:48" ht="36" customHeight="1" x14ac:dyDescent="0.3">
      <c r="B27" s="240" t="s">
        <v>469</v>
      </c>
      <c r="C27" s="241">
        <f t="shared" si="13"/>
        <v>467</v>
      </c>
      <c r="D27" s="242">
        <f>'2. 중블록 공급량(동부)'!C27</f>
        <v>467</v>
      </c>
      <c r="E27" s="241">
        <f t="shared" si="14"/>
        <v>536</v>
      </c>
      <c r="F27" s="242">
        <f>'2. 중블록 공급량(동부)'!I27</f>
        <v>438</v>
      </c>
      <c r="G27" s="242">
        <f>'3. 공급량(동부)'!G60</f>
        <v>31</v>
      </c>
      <c r="H27" s="242">
        <f>'3. 공급량(동부)'!I60</f>
        <v>63</v>
      </c>
      <c r="I27" s="241">
        <f>'3. 공급량(동부)'!K60</f>
        <v>4</v>
      </c>
      <c r="J27" s="242"/>
      <c r="K27" s="247">
        <f t="shared" si="1"/>
        <v>248</v>
      </c>
      <c r="L27" s="242">
        <f>'3. 공급량(동부)'!C192</f>
        <v>248</v>
      </c>
      <c r="M27" s="247">
        <f t="shared" si="2"/>
        <v>257</v>
      </c>
      <c r="N27" s="242">
        <f>'2. 중블록 공급량(동부)'!O27</f>
        <v>257</v>
      </c>
      <c r="O27" s="247">
        <f t="shared" si="3"/>
        <v>363</v>
      </c>
      <c r="P27" s="242">
        <f>'2. 중블록 공급량(동부)'!Q27</f>
        <v>115</v>
      </c>
      <c r="Q27" s="241">
        <f>'2. 중블록 공급량(동부)'!S27</f>
        <v>138</v>
      </c>
      <c r="R27" s="242">
        <f>'2. 중블록 공급량(동부)'!C60</f>
        <v>110</v>
      </c>
      <c r="S27" s="247">
        <f t="shared" si="4"/>
        <v>38</v>
      </c>
      <c r="T27" s="242">
        <f>'2. 중블록 공급량(동부)'!E60</f>
        <v>38</v>
      </c>
      <c r="U27" s="242">
        <f t="shared" si="5"/>
        <v>13</v>
      </c>
      <c r="V27" s="242">
        <f>'3. 공급량(동부)'!G192</f>
        <v>13</v>
      </c>
      <c r="W27" s="242">
        <f t="shared" si="6"/>
        <v>43</v>
      </c>
      <c r="X27" s="242">
        <f>'2. 중블록 공급량(동부)'!I60</f>
        <v>43</v>
      </c>
      <c r="Y27" s="242">
        <f t="shared" si="7"/>
        <v>11</v>
      </c>
      <c r="Z27" s="242">
        <f>'3. 공급량(동부)'!E192</f>
        <v>11</v>
      </c>
      <c r="AA27" s="242">
        <f t="shared" si="15"/>
        <v>31</v>
      </c>
      <c r="AB27" s="242">
        <f>'2. 중블록 공급량(동부)'!M60</f>
        <v>31</v>
      </c>
      <c r="AC27" s="242">
        <f>'3. 공급량(동부)'!S192</f>
        <v>0</v>
      </c>
      <c r="AD27" s="242">
        <f t="shared" si="8"/>
        <v>1852</v>
      </c>
      <c r="AE27" s="242">
        <f>'2. 중블록 공급량(동부)'!O60</f>
        <v>1488</v>
      </c>
      <c r="AF27" s="242">
        <f>'3. 공급량(동부)'!S126</f>
        <v>57</v>
      </c>
      <c r="AG27" s="242">
        <f>'2. 중블록 공급량(동부)'!S60</f>
        <v>307</v>
      </c>
      <c r="AH27" s="242">
        <f>'2. 중블록 공급량(동부)'!C93</f>
        <v>0</v>
      </c>
      <c r="AI27" s="242">
        <f t="shared" si="0"/>
        <v>811</v>
      </c>
      <c r="AJ27" s="242">
        <f>'2. 중블록 공급량(동부)'!E93</f>
        <v>811</v>
      </c>
      <c r="AK27" s="242">
        <f t="shared" si="9"/>
        <v>15</v>
      </c>
      <c r="AL27" s="242">
        <f>'3. 공급량(동부)'!C93</f>
        <v>15</v>
      </c>
      <c r="AM27" s="242">
        <f t="shared" si="10"/>
        <v>10</v>
      </c>
      <c r="AN27" s="242">
        <f>'3. 공급량(동부)'!E93</f>
        <v>10</v>
      </c>
      <c r="AO27" s="242">
        <f t="shared" si="11"/>
        <v>71</v>
      </c>
      <c r="AP27" s="242">
        <f>'3. 공급량(동부)'!G93</f>
        <v>71</v>
      </c>
      <c r="AQ27" s="242">
        <f t="shared" si="16"/>
        <v>80</v>
      </c>
      <c r="AR27" s="242">
        <f>'3. 공급량(동부)'!O191</f>
        <v>80</v>
      </c>
      <c r="AS27" s="242">
        <v>0</v>
      </c>
      <c r="AT27" s="242">
        <f t="shared" si="12"/>
        <v>31</v>
      </c>
      <c r="AU27" s="242">
        <f>'3. 공급량(동부)'!M159</f>
        <v>0</v>
      </c>
      <c r="AV27" s="242">
        <f>'3. 공급량(동부)'!O159</f>
        <v>31</v>
      </c>
    </row>
    <row r="28" spans="2:48" ht="36" customHeight="1" x14ac:dyDescent="0.3">
      <c r="B28" s="240" t="s">
        <v>470</v>
      </c>
      <c r="C28" s="241">
        <f t="shared" si="13"/>
        <v>425</v>
      </c>
      <c r="D28" s="242">
        <f>'2. 중블록 공급량(동부)'!C28</f>
        <v>425</v>
      </c>
      <c r="E28" s="241">
        <f t="shared" si="14"/>
        <v>497</v>
      </c>
      <c r="F28" s="242">
        <f>'2. 중블록 공급량(동부)'!I28</f>
        <v>408</v>
      </c>
      <c r="G28" s="242">
        <f>'3. 공급량(동부)'!G61</f>
        <v>29</v>
      </c>
      <c r="H28" s="242">
        <f>'3. 공급량(동부)'!I61</f>
        <v>54</v>
      </c>
      <c r="I28" s="241">
        <f>'3. 공급량(동부)'!K61</f>
        <v>6</v>
      </c>
      <c r="J28" s="242"/>
      <c r="K28" s="247">
        <f t="shared" si="1"/>
        <v>240</v>
      </c>
      <c r="L28" s="242">
        <f>'3. 공급량(동부)'!C193</f>
        <v>240</v>
      </c>
      <c r="M28" s="247">
        <f t="shared" si="2"/>
        <v>224</v>
      </c>
      <c r="N28" s="242">
        <f>'2. 중블록 공급량(동부)'!O28</f>
        <v>224</v>
      </c>
      <c r="O28" s="247">
        <f t="shared" si="3"/>
        <v>381</v>
      </c>
      <c r="P28" s="242">
        <f>'2. 중블록 공급량(동부)'!Q28</f>
        <v>130</v>
      </c>
      <c r="Q28" s="241">
        <f>'2. 중블록 공급량(동부)'!S28</f>
        <v>153</v>
      </c>
      <c r="R28" s="242">
        <f>'2. 중블록 공급량(동부)'!C61</f>
        <v>98</v>
      </c>
      <c r="S28" s="247">
        <f t="shared" si="4"/>
        <v>35</v>
      </c>
      <c r="T28" s="242">
        <f>'2. 중블록 공급량(동부)'!E61</f>
        <v>35</v>
      </c>
      <c r="U28" s="242">
        <f t="shared" si="5"/>
        <v>14</v>
      </c>
      <c r="V28" s="242">
        <f>'3. 공급량(동부)'!G193</f>
        <v>14</v>
      </c>
      <c r="W28" s="242">
        <f t="shared" si="6"/>
        <v>41</v>
      </c>
      <c r="X28" s="242">
        <f>'2. 중블록 공급량(동부)'!I61</f>
        <v>41</v>
      </c>
      <c r="Y28" s="242">
        <f t="shared" si="7"/>
        <v>9</v>
      </c>
      <c r="Z28" s="242">
        <f>'3. 공급량(동부)'!E193</f>
        <v>9</v>
      </c>
      <c r="AA28" s="242">
        <f t="shared" si="15"/>
        <v>29</v>
      </c>
      <c r="AB28" s="242">
        <f>'2. 중블록 공급량(동부)'!M61</f>
        <v>29</v>
      </c>
      <c r="AC28" s="242">
        <f>'3. 공급량(동부)'!S193</f>
        <v>0</v>
      </c>
      <c r="AD28" s="242">
        <f t="shared" si="8"/>
        <v>1738</v>
      </c>
      <c r="AE28" s="242">
        <f>'2. 중블록 공급량(동부)'!O61</f>
        <v>1379</v>
      </c>
      <c r="AF28" s="242">
        <f>'3. 공급량(동부)'!S127</f>
        <v>52</v>
      </c>
      <c r="AG28" s="242">
        <f>'2. 중블록 공급량(동부)'!S61</f>
        <v>307</v>
      </c>
      <c r="AH28" s="242">
        <f>'2. 중블록 공급량(동부)'!C94</f>
        <v>0</v>
      </c>
      <c r="AI28" s="242">
        <f t="shared" si="0"/>
        <v>629</v>
      </c>
      <c r="AJ28" s="242">
        <f>'2. 중블록 공급량(동부)'!E94</f>
        <v>629</v>
      </c>
      <c r="AK28" s="242">
        <f t="shared" si="9"/>
        <v>14</v>
      </c>
      <c r="AL28" s="242">
        <f>'3. 공급량(동부)'!C94</f>
        <v>14</v>
      </c>
      <c r="AM28" s="242">
        <f t="shared" si="10"/>
        <v>9</v>
      </c>
      <c r="AN28" s="242">
        <f>'3. 공급량(동부)'!E94</f>
        <v>9</v>
      </c>
      <c r="AO28" s="242">
        <f t="shared" si="11"/>
        <v>71</v>
      </c>
      <c r="AP28" s="242">
        <f>'3. 공급량(동부)'!G94</f>
        <v>71</v>
      </c>
      <c r="AQ28" s="242">
        <f t="shared" si="16"/>
        <v>79</v>
      </c>
      <c r="AR28" s="242">
        <f>'3. 공급량(동부)'!O192</f>
        <v>79</v>
      </c>
      <c r="AS28" s="242">
        <v>0</v>
      </c>
      <c r="AT28" s="242">
        <f t="shared" si="12"/>
        <v>39</v>
      </c>
      <c r="AU28" s="242">
        <f>'3. 공급량(동부)'!M160</f>
        <v>8</v>
      </c>
      <c r="AV28" s="242">
        <f>'3. 공급량(동부)'!O160</f>
        <v>31</v>
      </c>
    </row>
    <row r="29" spans="2:48" ht="36" customHeight="1" thickBot="1" x14ac:dyDescent="0.35">
      <c r="B29" s="248" t="s">
        <v>471</v>
      </c>
      <c r="C29" s="249">
        <f>D29</f>
        <v>375</v>
      </c>
      <c r="D29" s="250">
        <f>'2. 중블록 공급량(동부)'!C29</f>
        <v>375</v>
      </c>
      <c r="E29" s="251">
        <f>SUM(F29:J29)</f>
        <v>451</v>
      </c>
      <c r="F29" s="250">
        <f>'2. 중블록 공급량(동부)'!I29</f>
        <v>380</v>
      </c>
      <c r="G29" s="250">
        <f>'3. 공급량(동부)'!G62</f>
        <v>25</v>
      </c>
      <c r="H29" s="250">
        <f>'3. 공급량(동부)'!I62</f>
        <v>41</v>
      </c>
      <c r="I29" s="251">
        <f>'3. 공급량(동부)'!K62</f>
        <v>5</v>
      </c>
      <c r="J29" s="250"/>
      <c r="K29" s="249">
        <f t="shared" si="1"/>
        <v>224</v>
      </c>
      <c r="L29" s="250">
        <f>'3. 공급량(동부)'!C194</f>
        <v>224</v>
      </c>
      <c r="M29" s="249">
        <f t="shared" si="2"/>
        <v>195</v>
      </c>
      <c r="N29" s="250">
        <f>'2. 중블록 공급량(동부)'!O29</f>
        <v>195</v>
      </c>
      <c r="O29" s="249">
        <f t="shared" si="3"/>
        <v>331</v>
      </c>
      <c r="P29" s="250">
        <f>'2. 중블록 공급량(동부)'!Q29</f>
        <v>126</v>
      </c>
      <c r="Q29" s="251">
        <f>'2. 중블록 공급량(동부)'!S29</f>
        <v>93</v>
      </c>
      <c r="R29" s="250">
        <f>'2. 중블록 공급량(동부)'!C62</f>
        <v>112</v>
      </c>
      <c r="S29" s="249">
        <f t="shared" si="4"/>
        <v>33</v>
      </c>
      <c r="T29" s="250">
        <f>'2. 중블록 공급량(동부)'!E62</f>
        <v>33</v>
      </c>
      <c r="U29" s="250">
        <f t="shared" si="5"/>
        <v>13</v>
      </c>
      <c r="V29" s="242">
        <f>'3. 공급량(동부)'!G194</f>
        <v>13</v>
      </c>
      <c r="W29" s="250">
        <f t="shared" si="6"/>
        <v>35</v>
      </c>
      <c r="X29" s="250">
        <f>'2. 중블록 공급량(동부)'!I62</f>
        <v>35</v>
      </c>
      <c r="Y29" s="250">
        <f t="shared" si="7"/>
        <v>8</v>
      </c>
      <c r="Z29" s="250">
        <f>'3. 공급량(동부)'!E194</f>
        <v>8</v>
      </c>
      <c r="AA29" s="242">
        <f t="shared" si="15"/>
        <v>23</v>
      </c>
      <c r="AB29" s="250">
        <f>'2. 중블록 공급량(동부)'!M62</f>
        <v>23</v>
      </c>
      <c r="AC29" s="242">
        <f>'3. 공급량(동부)'!S194</f>
        <v>0</v>
      </c>
      <c r="AD29" s="250">
        <f t="shared" si="8"/>
        <v>1705</v>
      </c>
      <c r="AE29" s="250">
        <f>'2. 중블록 공급량(동부)'!O62</f>
        <v>1354</v>
      </c>
      <c r="AF29" s="250">
        <f>'3. 공급량(동부)'!S128</f>
        <v>45</v>
      </c>
      <c r="AG29" s="250">
        <f>'2. 중블록 공급량(동부)'!S62</f>
        <v>306</v>
      </c>
      <c r="AH29" s="250">
        <f>'2. 중블록 공급량(동부)'!C95</f>
        <v>0</v>
      </c>
      <c r="AI29" s="250">
        <f t="shared" si="0"/>
        <v>468</v>
      </c>
      <c r="AJ29" s="250">
        <f>'2. 중블록 공급량(동부)'!E95</f>
        <v>468</v>
      </c>
      <c r="AK29" s="250">
        <f t="shared" si="9"/>
        <v>14</v>
      </c>
      <c r="AL29" s="250">
        <f>'3. 공급량(동부)'!C95</f>
        <v>14</v>
      </c>
      <c r="AM29" s="250">
        <f t="shared" si="10"/>
        <v>9</v>
      </c>
      <c r="AN29" s="250">
        <f>'3. 공급량(동부)'!E95</f>
        <v>9</v>
      </c>
      <c r="AO29" s="250">
        <f t="shared" si="11"/>
        <v>71</v>
      </c>
      <c r="AP29" s="250">
        <f>'3. 공급량(동부)'!G95</f>
        <v>71</v>
      </c>
      <c r="AQ29" s="242">
        <f t="shared" si="16"/>
        <v>79</v>
      </c>
      <c r="AR29" s="242">
        <f>'3. 공급량(동부)'!O193</f>
        <v>79</v>
      </c>
      <c r="AS29" s="250">
        <v>0</v>
      </c>
      <c r="AT29" s="250">
        <f t="shared" si="12"/>
        <v>35</v>
      </c>
      <c r="AU29" s="250">
        <f>'3. 공급량(동부)'!M161</f>
        <v>5</v>
      </c>
      <c r="AV29" s="250">
        <f>'3. 공급량(동부)'!O161</f>
        <v>30</v>
      </c>
    </row>
    <row r="30" spans="2:48" s="255" customFormat="1" ht="36" customHeight="1" thickTop="1" x14ac:dyDescent="0.3">
      <c r="B30" s="252" t="s">
        <v>472</v>
      </c>
      <c r="C30" s="253">
        <f t="shared" ref="C30:AV30" si="17">MIN(C6:C29)</f>
        <v>226</v>
      </c>
      <c r="D30" s="253">
        <f t="shared" si="17"/>
        <v>226</v>
      </c>
      <c r="E30" s="253">
        <f t="shared" si="17"/>
        <v>345</v>
      </c>
      <c r="F30" s="253">
        <f t="shared" si="17"/>
        <v>309</v>
      </c>
      <c r="G30" s="253">
        <f t="shared" si="17"/>
        <v>18</v>
      </c>
      <c r="H30" s="253">
        <f>MIN(H6:H29)</f>
        <v>10</v>
      </c>
      <c r="I30" s="253">
        <f t="shared" si="17"/>
        <v>4</v>
      </c>
      <c r="J30" s="253">
        <f t="shared" si="17"/>
        <v>0</v>
      </c>
      <c r="K30" s="253">
        <f t="shared" si="17"/>
        <v>183</v>
      </c>
      <c r="L30" s="253">
        <f t="shared" si="17"/>
        <v>183</v>
      </c>
      <c r="M30" s="253">
        <f t="shared" si="17"/>
        <v>116</v>
      </c>
      <c r="N30" s="253">
        <f t="shared" si="17"/>
        <v>116</v>
      </c>
      <c r="O30" s="253">
        <f t="shared" si="17"/>
        <v>251</v>
      </c>
      <c r="P30" s="253">
        <f t="shared" si="17"/>
        <v>84</v>
      </c>
      <c r="Q30" s="253">
        <f t="shared" si="17"/>
        <v>56</v>
      </c>
      <c r="R30" s="253">
        <f t="shared" si="17"/>
        <v>88</v>
      </c>
      <c r="S30" s="253">
        <f t="shared" si="17"/>
        <v>31</v>
      </c>
      <c r="T30" s="254">
        <f t="shared" si="17"/>
        <v>31</v>
      </c>
      <c r="U30" s="254">
        <f t="shared" si="17"/>
        <v>11</v>
      </c>
      <c r="V30" s="254">
        <f t="shared" si="17"/>
        <v>11</v>
      </c>
      <c r="W30" s="254">
        <f t="shared" si="17"/>
        <v>8</v>
      </c>
      <c r="X30" s="254">
        <f t="shared" si="17"/>
        <v>8</v>
      </c>
      <c r="Y30" s="254">
        <f t="shared" si="17"/>
        <v>7</v>
      </c>
      <c r="Z30" s="254">
        <f t="shared" si="17"/>
        <v>7</v>
      </c>
      <c r="AA30" s="254">
        <f t="shared" si="17"/>
        <v>11</v>
      </c>
      <c r="AB30" s="254">
        <f t="shared" si="17"/>
        <v>11</v>
      </c>
      <c r="AC30" s="254">
        <f t="shared" ref="AC30" si="18">MIN(AC6:AC29)</f>
        <v>0</v>
      </c>
      <c r="AD30" s="254">
        <f t="shared" si="17"/>
        <v>1177</v>
      </c>
      <c r="AE30" s="254">
        <f t="shared" si="17"/>
        <v>865</v>
      </c>
      <c r="AF30" s="254">
        <f t="shared" si="17"/>
        <v>33</v>
      </c>
      <c r="AG30" s="254">
        <f t="shared" si="17"/>
        <v>278</v>
      </c>
      <c r="AH30" s="254">
        <f t="shared" si="17"/>
        <v>0</v>
      </c>
      <c r="AI30" s="254">
        <f t="shared" si="17"/>
        <v>278</v>
      </c>
      <c r="AJ30" s="254">
        <f t="shared" si="17"/>
        <v>278</v>
      </c>
      <c r="AK30" s="254">
        <f t="shared" si="17"/>
        <v>13</v>
      </c>
      <c r="AL30" s="254">
        <f t="shared" si="17"/>
        <v>13</v>
      </c>
      <c r="AM30" s="254">
        <f t="shared" si="17"/>
        <v>6</v>
      </c>
      <c r="AN30" s="254">
        <f t="shared" si="17"/>
        <v>6</v>
      </c>
      <c r="AO30" s="254">
        <f t="shared" si="17"/>
        <v>70</v>
      </c>
      <c r="AP30" s="254">
        <f t="shared" si="17"/>
        <v>70</v>
      </c>
      <c r="AQ30" s="254">
        <f t="shared" ref="AQ30" si="19">MIN(AQ6:AQ29)</f>
        <v>46</v>
      </c>
      <c r="AR30" s="254">
        <f t="shared" ref="AR30:AS30" si="20">MIN(AR6:AR29)</f>
        <v>46</v>
      </c>
      <c r="AS30" s="254">
        <f t="shared" si="20"/>
        <v>0</v>
      </c>
      <c r="AT30" s="254">
        <f t="shared" si="17"/>
        <v>29</v>
      </c>
      <c r="AU30" s="254">
        <f t="shared" si="17"/>
        <v>0</v>
      </c>
      <c r="AV30" s="254">
        <f t="shared" si="17"/>
        <v>29</v>
      </c>
    </row>
    <row r="31" spans="2:48" s="255" customFormat="1" ht="36" customHeight="1" x14ac:dyDescent="0.3">
      <c r="B31" s="256" t="s">
        <v>473</v>
      </c>
      <c r="C31" s="253">
        <f t="shared" ref="C31:AV31" si="21">MAX(C6:C29)</f>
        <v>568</v>
      </c>
      <c r="D31" s="253">
        <f t="shared" si="21"/>
        <v>568</v>
      </c>
      <c r="E31" s="253">
        <f t="shared" si="21"/>
        <v>612</v>
      </c>
      <c r="F31" s="253">
        <f t="shared" si="21"/>
        <v>503</v>
      </c>
      <c r="G31" s="253">
        <f t="shared" si="21"/>
        <v>43</v>
      </c>
      <c r="H31" s="253">
        <f t="shared" si="21"/>
        <v>73</v>
      </c>
      <c r="I31" s="253">
        <f t="shared" si="21"/>
        <v>7</v>
      </c>
      <c r="J31" s="253">
        <f t="shared" si="21"/>
        <v>0</v>
      </c>
      <c r="K31" s="253">
        <f t="shared" si="21"/>
        <v>307</v>
      </c>
      <c r="L31" s="253">
        <f t="shared" si="21"/>
        <v>307</v>
      </c>
      <c r="M31" s="253">
        <f t="shared" si="21"/>
        <v>324</v>
      </c>
      <c r="N31" s="253">
        <f t="shared" si="21"/>
        <v>324</v>
      </c>
      <c r="O31" s="253">
        <f t="shared" si="21"/>
        <v>381</v>
      </c>
      <c r="P31" s="253">
        <f t="shared" si="21"/>
        <v>150</v>
      </c>
      <c r="Q31" s="253">
        <f t="shared" si="21"/>
        <v>153</v>
      </c>
      <c r="R31" s="253">
        <f t="shared" si="21"/>
        <v>122</v>
      </c>
      <c r="S31" s="253">
        <f t="shared" si="21"/>
        <v>43</v>
      </c>
      <c r="T31" s="257">
        <f t="shared" si="21"/>
        <v>43</v>
      </c>
      <c r="U31" s="257">
        <f t="shared" si="21"/>
        <v>16</v>
      </c>
      <c r="V31" s="257">
        <f t="shared" si="21"/>
        <v>16</v>
      </c>
      <c r="W31" s="257">
        <f t="shared" si="21"/>
        <v>44</v>
      </c>
      <c r="X31" s="257">
        <f t="shared" si="21"/>
        <v>44</v>
      </c>
      <c r="Y31" s="257">
        <f t="shared" si="21"/>
        <v>18</v>
      </c>
      <c r="Z31" s="257">
        <f t="shared" si="21"/>
        <v>18</v>
      </c>
      <c r="AA31" s="257">
        <f t="shared" si="21"/>
        <v>36</v>
      </c>
      <c r="AB31" s="257">
        <f t="shared" si="21"/>
        <v>36</v>
      </c>
      <c r="AC31" s="257">
        <f t="shared" ref="AC31" si="22">MAX(AC6:AC29)</f>
        <v>0</v>
      </c>
      <c r="AD31" s="257">
        <f t="shared" si="21"/>
        <v>1990</v>
      </c>
      <c r="AE31" s="257">
        <f t="shared" si="21"/>
        <v>1624</v>
      </c>
      <c r="AF31" s="257">
        <f t="shared" si="21"/>
        <v>58</v>
      </c>
      <c r="AG31" s="257">
        <f t="shared" si="21"/>
        <v>314</v>
      </c>
      <c r="AH31" s="257">
        <f t="shared" si="21"/>
        <v>0</v>
      </c>
      <c r="AI31" s="257">
        <f t="shared" si="21"/>
        <v>981</v>
      </c>
      <c r="AJ31" s="257">
        <f t="shared" si="21"/>
        <v>981</v>
      </c>
      <c r="AK31" s="257">
        <f t="shared" si="21"/>
        <v>16</v>
      </c>
      <c r="AL31" s="257">
        <f t="shared" si="21"/>
        <v>16</v>
      </c>
      <c r="AM31" s="257">
        <f t="shared" si="21"/>
        <v>18</v>
      </c>
      <c r="AN31" s="257">
        <f t="shared" si="21"/>
        <v>18</v>
      </c>
      <c r="AO31" s="257">
        <f t="shared" si="21"/>
        <v>73</v>
      </c>
      <c r="AP31" s="257">
        <f t="shared" si="21"/>
        <v>73</v>
      </c>
      <c r="AQ31" s="257">
        <f t="shared" ref="AQ31" si="23">MAX(AQ6:AQ29)</f>
        <v>105</v>
      </c>
      <c r="AR31" s="257">
        <f t="shared" ref="AR31:AS31" si="24">MAX(AR6:AR29)</f>
        <v>105</v>
      </c>
      <c r="AS31" s="257">
        <f t="shared" si="24"/>
        <v>0</v>
      </c>
      <c r="AT31" s="257">
        <f t="shared" si="21"/>
        <v>49</v>
      </c>
      <c r="AU31" s="257">
        <f t="shared" si="21"/>
        <v>17</v>
      </c>
      <c r="AV31" s="257">
        <f t="shared" si="21"/>
        <v>34</v>
      </c>
    </row>
    <row r="32" spans="2:48" s="255" customFormat="1" ht="36" customHeight="1" x14ac:dyDescent="0.3">
      <c r="B32" s="258" t="s">
        <v>562</v>
      </c>
      <c r="C32" s="253">
        <f>AVERAGE(C6:C29)</f>
        <v>420</v>
      </c>
      <c r="D32" s="253">
        <f>AVERAGE(D6:D29)</f>
        <v>420</v>
      </c>
      <c r="E32" s="253">
        <f t="shared" ref="E32:AV32" si="25">AVERAGE(E6:E29)</f>
        <v>486.41666666666669</v>
      </c>
      <c r="F32" s="253">
        <f t="shared" si="25"/>
        <v>404.75</v>
      </c>
      <c r="G32" s="253">
        <f t="shared" si="25"/>
        <v>31.5</v>
      </c>
      <c r="H32" s="253">
        <f t="shared" si="25"/>
        <v>44.708333333333336</v>
      </c>
      <c r="I32" s="253">
        <f t="shared" si="25"/>
        <v>5.458333333333333</v>
      </c>
      <c r="J32" s="253" t="e">
        <f t="shared" si="25"/>
        <v>#DIV/0!</v>
      </c>
      <c r="K32" s="253">
        <f t="shared" si="25"/>
        <v>233.08333333333334</v>
      </c>
      <c r="L32" s="253">
        <f t="shared" si="25"/>
        <v>233.08333333333334</v>
      </c>
      <c r="M32" s="253">
        <f t="shared" si="25"/>
        <v>213.66666666666666</v>
      </c>
      <c r="N32" s="253">
        <f t="shared" si="25"/>
        <v>213.66666666666666</v>
      </c>
      <c r="O32" s="253">
        <f t="shared" si="25"/>
        <v>307.54166666666669</v>
      </c>
      <c r="P32" s="253">
        <f t="shared" si="25"/>
        <v>112.79166666666667</v>
      </c>
      <c r="Q32" s="253">
        <f t="shared" si="25"/>
        <v>91.666666666666671</v>
      </c>
      <c r="R32" s="253">
        <f t="shared" si="25"/>
        <v>103.08333333333333</v>
      </c>
      <c r="S32" s="253">
        <f t="shared" si="25"/>
        <v>37.625</v>
      </c>
      <c r="T32" s="253">
        <f t="shared" si="25"/>
        <v>37.625</v>
      </c>
      <c r="U32" s="253">
        <f t="shared" si="25"/>
        <v>13.083333333333334</v>
      </c>
      <c r="V32" s="253">
        <f t="shared" si="25"/>
        <v>13.083333333333334</v>
      </c>
      <c r="W32" s="253">
        <f t="shared" si="25"/>
        <v>29.125</v>
      </c>
      <c r="X32" s="253">
        <f t="shared" si="25"/>
        <v>29.125</v>
      </c>
      <c r="Y32" s="253">
        <f t="shared" si="25"/>
        <v>11.083333333333334</v>
      </c>
      <c r="Z32" s="253">
        <f t="shared" si="25"/>
        <v>11.083333333333334</v>
      </c>
      <c r="AA32" s="253">
        <f t="shared" si="25"/>
        <v>24.958333333333332</v>
      </c>
      <c r="AB32" s="253">
        <f t="shared" si="25"/>
        <v>24.958333333333332</v>
      </c>
      <c r="AC32" s="253">
        <f t="shared" ref="AC32" si="26">AVERAGE(AC6:AC29)</f>
        <v>0</v>
      </c>
      <c r="AD32" s="253">
        <f t="shared" si="25"/>
        <v>1657.1666666666667</v>
      </c>
      <c r="AE32" s="253">
        <f t="shared" si="25"/>
        <v>1304.75</v>
      </c>
      <c r="AF32" s="253">
        <f t="shared" si="25"/>
        <v>48.375</v>
      </c>
      <c r="AG32" s="253">
        <f t="shared" si="25"/>
        <v>304.04166666666669</v>
      </c>
      <c r="AH32" s="253">
        <f t="shared" si="25"/>
        <v>0</v>
      </c>
      <c r="AI32" s="253">
        <f t="shared" si="25"/>
        <v>611.5</v>
      </c>
      <c r="AJ32" s="253">
        <f t="shared" si="25"/>
        <v>611.5</v>
      </c>
      <c r="AK32" s="253">
        <f t="shared" si="25"/>
        <v>14.708333333333334</v>
      </c>
      <c r="AL32" s="253">
        <f t="shared" si="25"/>
        <v>14.708333333333334</v>
      </c>
      <c r="AM32" s="253">
        <f t="shared" si="25"/>
        <v>10.375</v>
      </c>
      <c r="AN32" s="253">
        <f t="shared" si="25"/>
        <v>10.375</v>
      </c>
      <c r="AO32" s="253">
        <f t="shared" si="25"/>
        <v>71.458333333333329</v>
      </c>
      <c r="AP32" s="253">
        <f t="shared" si="25"/>
        <v>71.458333333333329</v>
      </c>
      <c r="AQ32" s="253">
        <f t="shared" ref="AQ32" si="27">AVERAGE(AQ6:AQ29)</f>
        <v>76.833333333333329</v>
      </c>
      <c r="AR32" s="253">
        <f t="shared" ref="AR32:AS32" si="28">AVERAGE(AR6:AR29)</f>
        <v>76.833333333333329</v>
      </c>
      <c r="AS32" s="253">
        <f t="shared" si="28"/>
        <v>0</v>
      </c>
      <c r="AT32" s="253">
        <f t="shared" si="25"/>
        <v>36.583333333333336</v>
      </c>
      <c r="AU32" s="253">
        <f t="shared" si="25"/>
        <v>5.083333333333333</v>
      </c>
      <c r="AV32" s="253">
        <f t="shared" si="25"/>
        <v>31.5</v>
      </c>
    </row>
    <row r="33" spans="2:48" s="261" customFormat="1" ht="36" customHeight="1" x14ac:dyDescent="0.3">
      <c r="B33" s="259" t="s">
        <v>475</v>
      </c>
      <c r="C33" s="260">
        <f t="shared" ref="C33:AV33" si="29">SUM(C6:C29)</f>
        <v>10080</v>
      </c>
      <c r="D33" s="260">
        <f t="shared" si="29"/>
        <v>10080</v>
      </c>
      <c r="E33" s="260">
        <f t="shared" si="29"/>
        <v>11674</v>
      </c>
      <c r="F33" s="260">
        <f t="shared" si="29"/>
        <v>9714</v>
      </c>
      <c r="G33" s="260">
        <f t="shared" si="29"/>
        <v>756</v>
      </c>
      <c r="H33" s="260">
        <f t="shared" si="29"/>
        <v>1073</v>
      </c>
      <c r="I33" s="260">
        <f t="shared" si="29"/>
        <v>131</v>
      </c>
      <c r="J33" s="260">
        <f t="shared" si="29"/>
        <v>0</v>
      </c>
      <c r="K33" s="260">
        <f t="shared" si="29"/>
        <v>5594</v>
      </c>
      <c r="L33" s="260">
        <f t="shared" si="29"/>
        <v>5594</v>
      </c>
      <c r="M33" s="260">
        <f t="shared" si="29"/>
        <v>5128</v>
      </c>
      <c r="N33" s="260">
        <f t="shared" si="29"/>
        <v>5128</v>
      </c>
      <c r="O33" s="260">
        <f t="shared" si="29"/>
        <v>7381</v>
      </c>
      <c r="P33" s="260">
        <f t="shared" si="29"/>
        <v>2707</v>
      </c>
      <c r="Q33" s="260">
        <f t="shared" si="29"/>
        <v>2200</v>
      </c>
      <c r="R33" s="260">
        <f t="shared" si="29"/>
        <v>2474</v>
      </c>
      <c r="S33" s="260">
        <f t="shared" si="29"/>
        <v>903</v>
      </c>
      <c r="T33" s="260">
        <f t="shared" si="29"/>
        <v>903</v>
      </c>
      <c r="U33" s="260">
        <f t="shared" si="29"/>
        <v>314</v>
      </c>
      <c r="V33" s="260">
        <f t="shared" si="29"/>
        <v>314</v>
      </c>
      <c r="W33" s="260">
        <f t="shared" si="29"/>
        <v>699</v>
      </c>
      <c r="X33" s="260">
        <f t="shared" si="29"/>
        <v>699</v>
      </c>
      <c r="Y33" s="260">
        <f t="shared" si="29"/>
        <v>266</v>
      </c>
      <c r="Z33" s="260">
        <f t="shared" si="29"/>
        <v>266</v>
      </c>
      <c r="AA33" s="260">
        <f t="shared" si="29"/>
        <v>599</v>
      </c>
      <c r="AB33" s="260">
        <f t="shared" si="29"/>
        <v>599</v>
      </c>
      <c r="AC33" s="260">
        <f t="shared" ref="AC33" si="30">SUM(AC6:AC29)</f>
        <v>0</v>
      </c>
      <c r="AD33" s="260">
        <f t="shared" si="29"/>
        <v>39772</v>
      </c>
      <c r="AE33" s="260">
        <f t="shared" si="29"/>
        <v>31314</v>
      </c>
      <c r="AF33" s="260">
        <f t="shared" si="29"/>
        <v>1161</v>
      </c>
      <c r="AG33" s="260">
        <f t="shared" si="29"/>
        <v>7297</v>
      </c>
      <c r="AH33" s="260">
        <f t="shared" si="29"/>
        <v>0</v>
      </c>
      <c r="AI33" s="260">
        <f t="shared" si="29"/>
        <v>14676</v>
      </c>
      <c r="AJ33" s="260">
        <f t="shared" si="29"/>
        <v>14676</v>
      </c>
      <c r="AK33" s="260">
        <f t="shared" si="29"/>
        <v>353</v>
      </c>
      <c r="AL33" s="260">
        <f t="shared" si="29"/>
        <v>353</v>
      </c>
      <c r="AM33" s="260">
        <f t="shared" si="29"/>
        <v>249</v>
      </c>
      <c r="AN33" s="260">
        <f t="shared" si="29"/>
        <v>249</v>
      </c>
      <c r="AO33" s="260">
        <f t="shared" si="29"/>
        <v>1715</v>
      </c>
      <c r="AP33" s="260">
        <f t="shared" si="29"/>
        <v>1715</v>
      </c>
      <c r="AQ33" s="260">
        <f t="shared" ref="AQ33" si="31">SUM(AQ6:AQ29)</f>
        <v>1844</v>
      </c>
      <c r="AR33" s="260">
        <f t="shared" ref="AR33:AS33" si="32">SUM(AR6:AR29)</f>
        <v>1844</v>
      </c>
      <c r="AS33" s="260">
        <f t="shared" si="32"/>
        <v>0</v>
      </c>
      <c r="AT33" s="260">
        <f t="shared" si="29"/>
        <v>878</v>
      </c>
      <c r="AU33" s="260">
        <f t="shared" si="29"/>
        <v>122</v>
      </c>
      <c r="AV33" s="260">
        <f t="shared" si="29"/>
        <v>756</v>
      </c>
    </row>
    <row r="35" spans="2:48" x14ac:dyDescent="0.3">
      <c r="C35" s="429" t="s">
        <v>563</v>
      </c>
      <c r="D35" s="430"/>
      <c r="E35" s="429" t="s">
        <v>564</v>
      </c>
      <c r="F35" s="430"/>
    </row>
    <row r="36" spans="2:48" ht="26.25" customHeight="1" x14ac:dyDescent="0.3">
      <c r="C36" s="423" t="s">
        <v>565</v>
      </c>
      <c r="D36" s="425">
        <f>C33+E33+K33+M33+O33+S33+U33+W33+Y33+AA33+AD33+AI33+AK33+AM33+AO33+AT33</f>
        <v>100281</v>
      </c>
      <c r="E36" s="423" t="s">
        <v>565</v>
      </c>
      <c r="F36" s="425">
        <f>C30+E30+K30+M30+O30+S30+U30+W30+Y30+AA30+AD30+AI30+AK30+AM30+AO30+AT30</f>
        <v>2762</v>
      </c>
    </row>
    <row r="37" spans="2:48" ht="26.25" customHeight="1" x14ac:dyDescent="0.3">
      <c r="C37" s="424"/>
      <c r="D37" s="426"/>
      <c r="E37" s="424"/>
      <c r="F37" s="426"/>
    </row>
  </sheetData>
  <mergeCells count="42">
    <mergeCell ref="AA3:AC3"/>
    <mergeCell ref="AQ3:AS3"/>
    <mergeCell ref="AQ4:AQ5"/>
    <mergeCell ref="C2:T2"/>
    <mergeCell ref="B3:B5"/>
    <mergeCell ref="C3:D3"/>
    <mergeCell ref="E3:J3"/>
    <mergeCell ref="K3:L3"/>
    <mergeCell ref="M3:N3"/>
    <mergeCell ref="O3:R3"/>
    <mergeCell ref="S3:T3"/>
    <mergeCell ref="AK3:AL3"/>
    <mergeCell ref="AM3:AN3"/>
    <mergeCell ref="AO3:AP3"/>
    <mergeCell ref="AD4:AD5"/>
    <mergeCell ref="AI4:AI5"/>
    <mergeCell ref="AT3:AV3"/>
    <mergeCell ref="C4:C5"/>
    <mergeCell ref="E4:E5"/>
    <mergeCell ref="K4:K5"/>
    <mergeCell ref="M4:M5"/>
    <mergeCell ref="O4:O5"/>
    <mergeCell ref="S4:S5"/>
    <mergeCell ref="U3:V3"/>
    <mergeCell ref="W3:X3"/>
    <mergeCell ref="Y3:Z3"/>
    <mergeCell ref="AD3:AH3"/>
    <mergeCell ref="AI3:AJ3"/>
    <mergeCell ref="AM4:AM5"/>
    <mergeCell ref="AO4:AO5"/>
    <mergeCell ref="AT4:AT5"/>
    <mergeCell ref="AA4:AA5"/>
    <mergeCell ref="C36:C37"/>
    <mergeCell ref="D36:D37"/>
    <mergeCell ref="E36:E37"/>
    <mergeCell ref="F36:F37"/>
    <mergeCell ref="AK4:AK5"/>
    <mergeCell ref="C35:D35"/>
    <mergeCell ref="E35:F35"/>
    <mergeCell ref="U4:U5"/>
    <mergeCell ref="W4:W5"/>
    <mergeCell ref="Y4:Y5"/>
  </mergeCells>
  <phoneticPr fontId="1" type="noConversion"/>
  <printOptions horizontalCentered="1" verticalCentered="1"/>
  <pageMargins left="0.25" right="0.25" top="0.75" bottom="0.75" header="0.3" footer="0.3"/>
  <pageSetup paperSize="9" scale="15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3828-FA95-4F06-BAE6-B7856DEB078C}">
  <sheetPr>
    <tabColor rgb="FFFFFF00"/>
  </sheetPr>
  <dimension ref="A1:U134"/>
  <sheetViews>
    <sheetView view="pageBreakPreview" zoomScale="55" zoomScaleSheetLayoutView="55" workbookViewId="0">
      <selection activeCell="V5" sqref="V5"/>
    </sheetView>
  </sheetViews>
  <sheetFormatPr defaultRowHeight="16.5" x14ac:dyDescent="0.3"/>
  <cols>
    <col min="1" max="1" width="1.625" style="161" customWidth="1"/>
    <col min="2" max="2" width="9.625" style="161" customWidth="1"/>
    <col min="3" max="20" width="15.75" style="161" customWidth="1"/>
    <col min="21" max="21" width="1.625" style="161" customWidth="1"/>
    <col min="22" max="256" width="9" style="161"/>
    <col min="257" max="257" width="1.625" style="161" customWidth="1"/>
    <col min="258" max="258" width="9.625" style="161" customWidth="1"/>
    <col min="259" max="276" width="15.75" style="161" customWidth="1"/>
    <col min="277" max="277" width="1.625" style="161" customWidth="1"/>
    <col min="278" max="512" width="9" style="161"/>
    <col min="513" max="513" width="1.625" style="161" customWidth="1"/>
    <col min="514" max="514" width="9.625" style="161" customWidth="1"/>
    <col min="515" max="532" width="15.75" style="161" customWidth="1"/>
    <col min="533" max="533" width="1.625" style="161" customWidth="1"/>
    <col min="534" max="768" width="9" style="161"/>
    <col min="769" max="769" width="1.625" style="161" customWidth="1"/>
    <col min="770" max="770" width="9.625" style="161" customWidth="1"/>
    <col min="771" max="788" width="15.75" style="161" customWidth="1"/>
    <col min="789" max="789" width="1.625" style="161" customWidth="1"/>
    <col min="790" max="1024" width="9" style="161"/>
    <col min="1025" max="1025" width="1.625" style="161" customWidth="1"/>
    <col min="1026" max="1026" width="9.625" style="161" customWidth="1"/>
    <col min="1027" max="1044" width="15.75" style="161" customWidth="1"/>
    <col min="1045" max="1045" width="1.625" style="161" customWidth="1"/>
    <col min="1046" max="1280" width="9" style="161"/>
    <col min="1281" max="1281" width="1.625" style="161" customWidth="1"/>
    <col min="1282" max="1282" width="9.625" style="161" customWidth="1"/>
    <col min="1283" max="1300" width="15.75" style="161" customWidth="1"/>
    <col min="1301" max="1301" width="1.625" style="161" customWidth="1"/>
    <col min="1302" max="1536" width="9" style="161"/>
    <col min="1537" max="1537" width="1.625" style="161" customWidth="1"/>
    <col min="1538" max="1538" width="9.625" style="161" customWidth="1"/>
    <col min="1539" max="1556" width="15.75" style="161" customWidth="1"/>
    <col min="1557" max="1557" width="1.625" style="161" customWidth="1"/>
    <col min="1558" max="1792" width="9" style="161"/>
    <col min="1793" max="1793" width="1.625" style="161" customWidth="1"/>
    <col min="1794" max="1794" width="9.625" style="161" customWidth="1"/>
    <col min="1795" max="1812" width="15.75" style="161" customWidth="1"/>
    <col min="1813" max="1813" width="1.625" style="161" customWidth="1"/>
    <col min="1814" max="2048" width="9" style="161"/>
    <col min="2049" max="2049" width="1.625" style="161" customWidth="1"/>
    <col min="2050" max="2050" width="9.625" style="161" customWidth="1"/>
    <col min="2051" max="2068" width="15.75" style="161" customWidth="1"/>
    <col min="2069" max="2069" width="1.625" style="161" customWidth="1"/>
    <col min="2070" max="2304" width="9" style="161"/>
    <col min="2305" max="2305" width="1.625" style="161" customWidth="1"/>
    <col min="2306" max="2306" width="9.625" style="161" customWidth="1"/>
    <col min="2307" max="2324" width="15.75" style="161" customWidth="1"/>
    <col min="2325" max="2325" width="1.625" style="161" customWidth="1"/>
    <col min="2326" max="2560" width="9" style="161"/>
    <col min="2561" max="2561" width="1.625" style="161" customWidth="1"/>
    <col min="2562" max="2562" width="9.625" style="161" customWidth="1"/>
    <col min="2563" max="2580" width="15.75" style="161" customWidth="1"/>
    <col min="2581" max="2581" width="1.625" style="161" customWidth="1"/>
    <col min="2582" max="2816" width="9" style="161"/>
    <col min="2817" max="2817" width="1.625" style="161" customWidth="1"/>
    <col min="2818" max="2818" width="9.625" style="161" customWidth="1"/>
    <col min="2819" max="2836" width="15.75" style="161" customWidth="1"/>
    <col min="2837" max="2837" width="1.625" style="161" customWidth="1"/>
    <col min="2838" max="3072" width="9" style="161"/>
    <col min="3073" max="3073" width="1.625" style="161" customWidth="1"/>
    <col min="3074" max="3074" width="9.625" style="161" customWidth="1"/>
    <col min="3075" max="3092" width="15.75" style="161" customWidth="1"/>
    <col min="3093" max="3093" width="1.625" style="161" customWidth="1"/>
    <col min="3094" max="3328" width="9" style="161"/>
    <col min="3329" max="3329" width="1.625" style="161" customWidth="1"/>
    <col min="3330" max="3330" width="9.625" style="161" customWidth="1"/>
    <col min="3331" max="3348" width="15.75" style="161" customWidth="1"/>
    <col min="3349" max="3349" width="1.625" style="161" customWidth="1"/>
    <col min="3350" max="3584" width="9" style="161"/>
    <col min="3585" max="3585" width="1.625" style="161" customWidth="1"/>
    <col min="3586" max="3586" width="9.625" style="161" customWidth="1"/>
    <col min="3587" max="3604" width="15.75" style="161" customWidth="1"/>
    <col min="3605" max="3605" width="1.625" style="161" customWidth="1"/>
    <col min="3606" max="3840" width="9" style="161"/>
    <col min="3841" max="3841" width="1.625" style="161" customWidth="1"/>
    <col min="3842" max="3842" width="9.625" style="161" customWidth="1"/>
    <col min="3843" max="3860" width="15.75" style="161" customWidth="1"/>
    <col min="3861" max="3861" width="1.625" style="161" customWidth="1"/>
    <col min="3862" max="4096" width="9" style="161"/>
    <col min="4097" max="4097" width="1.625" style="161" customWidth="1"/>
    <col min="4098" max="4098" width="9.625" style="161" customWidth="1"/>
    <col min="4099" max="4116" width="15.75" style="161" customWidth="1"/>
    <col min="4117" max="4117" width="1.625" style="161" customWidth="1"/>
    <col min="4118" max="4352" width="9" style="161"/>
    <col min="4353" max="4353" width="1.625" style="161" customWidth="1"/>
    <col min="4354" max="4354" width="9.625" style="161" customWidth="1"/>
    <col min="4355" max="4372" width="15.75" style="161" customWidth="1"/>
    <col min="4373" max="4373" width="1.625" style="161" customWidth="1"/>
    <col min="4374" max="4608" width="9" style="161"/>
    <col min="4609" max="4609" width="1.625" style="161" customWidth="1"/>
    <col min="4610" max="4610" width="9.625" style="161" customWidth="1"/>
    <col min="4611" max="4628" width="15.75" style="161" customWidth="1"/>
    <col min="4629" max="4629" width="1.625" style="161" customWidth="1"/>
    <col min="4630" max="4864" width="9" style="161"/>
    <col min="4865" max="4865" width="1.625" style="161" customWidth="1"/>
    <col min="4866" max="4866" width="9.625" style="161" customWidth="1"/>
    <col min="4867" max="4884" width="15.75" style="161" customWidth="1"/>
    <col min="4885" max="4885" width="1.625" style="161" customWidth="1"/>
    <col min="4886" max="5120" width="9" style="161"/>
    <col min="5121" max="5121" width="1.625" style="161" customWidth="1"/>
    <col min="5122" max="5122" width="9.625" style="161" customWidth="1"/>
    <col min="5123" max="5140" width="15.75" style="161" customWidth="1"/>
    <col min="5141" max="5141" width="1.625" style="161" customWidth="1"/>
    <col min="5142" max="5376" width="9" style="161"/>
    <col min="5377" max="5377" width="1.625" style="161" customWidth="1"/>
    <col min="5378" max="5378" width="9.625" style="161" customWidth="1"/>
    <col min="5379" max="5396" width="15.75" style="161" customWidth="1"/>
    <col min="5397" max="5397" width="1.625" style="161" customWidth="1"/>
    <col min="5398" max="5632" width="9" style="161"/>
    <col min="5633" max="5633" width="1.625" style="161" customWidth="1"/>
    <col min="5634" max="5634" width="9.625" style="161" customWidth="1"/>
    <col min="5635" max="5652" width="15.75" style="161" customWidth="1"/>
    <col min="5653" max="5653" width="1.625" style="161" customWidth="1"/>
    <col min="5654" max="5888" width="9" style="161"/>
    <col min="5889" max="5889" width="1.625" style="161" customWidth="1"/>
    <col min="5890" max="5890" width="9.625" style="161" customWidth="1"/>
    <col min="5891" max="5908" width="15.75" style="161" customWidth="1"/>
    <col min="5909" max="5909" width="1.625" style="161" customWidth="1"/>
    <col min="5910" max="6144" width="9" style="161"/>
    <col min="6145" max="6145" width="1.625" style="161" customWidth="1"/>
    <col min="6146" max="6146" width="9.625" style="161" customWidth="1"/>
    <col min="6147" max="6164" width="15.75" style="161" customWidth="1"/>
    <col min="6165" max="6165" width="1.625" style="161" customWidth="1"/>
    <col min="6166" max="6400" width="9" style="161"/>
    <col min="6401" max="6401" width="1.625" style="161" customWidth="1"/>
    <col min="6402" max="6402" width="9.625" style="161" customWidth="1"/>
    <col min="6403" max="6420" width="15.75" style="161" customWidth="1"/>
    <col min="6421" max="6421" width="1.625" style="161" customWidth="1"/>
    <col min="6422" max="6656" width="9" style="161"/>
    <col min="6657" max="6657" width="1.625" style="161" customWidth="1"/>
    <col min="6658" max="6658" width="9.625" style="161" customWidth="1"/>
    <col min="6659" max="6676" width="15.75" style="161" customWidth="1"/>
    <col min="6677" max="6677" width="1.625" style="161" customWidth="1"/>
    <col min="6678" max="6912" width="9" style="161"/>
    <col min="6913" max="6913" width="1.625" style="161" customWidth="1"/>
    <col min="6914" max="6914" width="9.625" style="161" customWidth="1"/>
    <col min="6915" max="6932" width="15.75" style="161" customWidth="1"/>
    <col min="6933" max="6933" width="1.625" style="161" customWidth="1"/>
    <col min="6934" max="7168" width="9" style="161"/>
    <col min="7169" max="7169" width="1.625" style="161" customWidth="1"/>
    <col min="7170" max="7170" width="9.625" style="161" customWidth="1"/>
    <col min="7171" max="7188" width="15.75" style="161" customWidth="1"/>
    <col min="7189" max="7189" width="1.625" style="161" customWidth="1"/>
    <col min="7190" max="7424" width="9" style="161"/>
    <col min="7425" max="7425" width="1.625" style="161" customWidth="1"/>
    <col min="7426" max="7426" width="9.625" style="161" customWidth="1"/>
    <col min="7427" max="7444" width="15.75" style="161" customWidth="1"/>
    <col min="7445" max="7445" width="1.625" style="161" customWidth="1"/>
    <col min="7446" max="7680" width="9" style="161"/>
    <col min="7681" max="7681" width="1.625" style="161" customWidth="1"/>
    <col min="7682" max="7682" width="9.625" style="161" customWidth="1"/>
    <col min="7683" max="7700" width="15.75" style="161" customWidth="1"/>
    <col min="7701" max="7701" width="1.625" style="161" customWidth="1"/>
    <col min="7702" max="7936" width="9" style="161"/>
    <col min="7937" max="7937" width="1.625" style="161" customWidth="1"/>
    <col min="7938" max="7938" width="9.625" style="161" customWidth="1"/>
    <col min="7939" max="7956" width="15.75" style="161" customWidth="1"/>
    <col min="7957" max="7957" width="1.625" style="161" customWidth="1"/>
    <col min="7958" max="8192" width="9" style="161"/>
    <col min="8193" max="8193" width="1.625" style="161" customWidth="1"/>
    <col min="8194" max="8194" width="9.625" style="161" customWidth="1"/>
    <col min="8195" max="8212" width="15.75" style="161" customWidth="1"/>
    <col min="8213" max="8213" width="1.625" style="161" customWidth="1"/>
    <col min="8214" max="8448" width="9" style="161"/>
    <col min="8449" max="8449" width="1.625" style="161" customWidth="1"/>
    <col min="8450" max="8450" width="9.625" style="161" customWidth="1"/>
    <col min="8451" max="8468" width="15.75" style="161" customWidth="1"/>
    <col min="8469" max="8469" width="1.625" style="161" customWidth="1"/>
    <col min="8470" max="8704" width="9" style="161"/>
    <col min="8705" max="8705" width="1.625" style="161" customWidth="1"/>
    <col min="8706" max="8706" width="9.625" style="161" customWidth="1"/>
    <col min="8707" max="8724" width="15.75" style="161" customWidth="1"/>
    <col min="8725" max="8725" width="1.625" style="161" customWidth="1"/>
    <col min="8726" max="8960" width="9" style="161"/>
    <col min="8961" max="8961" width="1.625" style="161" customWidth="1"/>
    <col min="8962" max="8962" width="9.625" style="161" customWidth="1"/>
    <col min="8963" max="8980" width="15.75" style="161" customWidth="1"/>
    <col min="8981" max="8981" width="1.625" style="161" customWidth="1"/>
    <col min="8982" max="9216" width="9" style="161"/>
    <col min="9217" max="9217" width="1.625" style="161" customWidth="1"/>
    <col min="9218" max="9218" width="9.625" style="161" customWidth="1"/>
    <col min="9219" max="9236" width="15.75" style="161" customWidth="1"/>
    <col min="9237" max="9237" width="1.625" style="161" customWidth="1"/>
    <col min="9238" max="9472" width="9" style="161"/>
    <col min="9473" max="9473" width="1.625" style="161" customWidth="1"/>
    <col min="9474" max="9474" width="9.625" style="161" customWidth="1"/>
    <col min="9475" max="9492" width="15.75" style="161" customWidth="1"/>
    <col min="9493" max="9493" width="1.625" style="161" customWidth="1"/>
    <col min="9494" max="9728" width="9" style="161"/>
    <col min="9729" max="9729" width="1.625" style="161" customWidth="1"/>
    <col min="9730" max="9730" width="9.625" style="161" customWidth="1"/>
    <col min="9731" max="9748" width="15.75" style="161" customWidth="1"/>
    <col min="9749" max="9749" width="1.625" style="161" customWidth="1"/>
    <col min="9750" max="9984" width="9" style="161"/>
    <col min="9985" max="9985" width="1.625" style="161" customWidth="1"/>
    <col min="9986" max="9986" width="9.625" style="161" customWidth="1"/>
    <col min="9987" max="10004" width="15.75" style="161" customWidth="1"/>
    <col min="10005" max="10005" width="1.625" style="161" customWidth="1"/>
    <col min="10006" max="10240" width="9" style="161"/>
    <col min="10241" max="10241" width="1.625" style="161" customWidth="1"/>
    <col min="10242" max="10242" width="9.625" style="161" customWidth="1"/>
    <col min="10243" max="10260" width="15.75" style="161" customWidth="1"/>
    <col min="10261" max="10261" width="1.625" style="161" customWidth="1"/>
    <col min="10262" max="10496" width="9" style="161"/>
    <col min="10497" max="10497" width="1.625" style="161" customWidth="1"/>
    <col min="10498" max="10498" width="9.625" style="161" customWidth="1"/>
    <col min="10499" max="10516" width="15.75" style="161" customWidth="1"/>
    <col min="10517" max="10517" width="1.625" style="161" customWidth="1"/>
    <col min="10518" max="10752" width="9" style="161"/>
    <col min="10753" max="10753" width="1.625" style="161" customWidth="1"/>
    <col min="10754" max="10754" width="9.625" style="161" customWidth="1"/>
    <col min="10755" max="10772" width="15.75" style="161" customWidth="1"/>
    <col min="10773" max="10773" width="1.625" style="161" customWidth="1"/>
    <col min="10774" max="11008" width="9" style="161"/>
    <col min="11009" max="11009" width="1.625" style="161" customWidth="1"/>
    <col min="11010" max="11010" width="9.625" style="161" customWidth="1"/>
    <col min="11011" max="11028" width="15.75" style="161" customWidth="1"/>
    <col min="11029" max="11029" width="1.625" style="161" customWidth="1"/>
    <col min="11030" max="11264" width="9" style="161"/>
    <col min="11265" max="11265" width="1.625" style="161" customWidth="1"/>
    <col min="11266" max="11266" width="9.625" style="161" customWidth="1"/>
    <col min="11267" max="11284" width="15.75" style="161" customWidth="1"/>
    <col min="11285" max="11285" width="1.625" style="161" customWidth="1"/>
    <col min="11286" max="11520" width="9" style="161"/>
    <col min="11521" max="11521" width="1.625" style="161" customWidth="1"/>
    <col min="11522" max="11522" width="9.625" style="161" customWidth="1"/>
    <col min="11523" max="11540" width="15.75" style="161" customWidth="1"/>
    <col min="11541" max="11541" width="1.625" style="161" customWidth="1"/>
    <col min="11542" max="11776" width="9" style="161"/>
    <col min="11777" max="11777" width="1.625" style="161" customWidth="1"/>
    <col min="11778" max="11778" width="9.625" style="161" customWidth="1"/>
    <col min="11779" max="11796" width="15.75" style="161" customWidth="1"/>
    <col min="11797" max="11797" width="1.625" style="161" customWidth="1"/>
    <col min="11798" max="12032" width="9" style="161"/>
    <col min="12033" max="12033" width="1.625" style="161" customWidth="1"/>
    <col min="12034" max="12034" width="9.625" style="161" customWidth="1"/>
    <col min="12035" max="12052" width="15.75" style="161" customWidth="1"/>
    <col min="12053" max="12053" width="1.625" style="161" customWidth="1"/>
    <col min="12054" max="12288" width="9" style="161"/>
    <col min="12289" max="12289" width="1.625" style="161" customWidth="1"/>
    <col min="12290" max="12290" width="9.625" style="161" customWidth="1"/>
    <col min="12291" max="12308" width="15.75" style="161" customWidth="1"/>
    <col min="12309" max="12309" width="1.625" style="161" customWidth="1"/>
    <col min="12310" max="12544" width="9" style="161"/>
    <col min="12545" max="12545" width="1.625" style="161" customWidth="1"/>
    <col min="12546" max="12546" width="9.625" style="161" customWidth="1"/>
    <col min="12547" max="12564" width="15.75" style="161" customWidth="1"/>
    <col min="12565" max="12565" width="1.625" style="161" customWidth="1"/>
    <col min="12566" max="12800" width="9" style="161"/>
    <col min="12801" max="12801" width="1.625" style="161" customWidth="1"/>
    <col min="12802" max="12802" width="9.625" style="161" customWidth="1"/>
    <col min="12803" max="12820" width="15.75" style="161" customWidth="1"/>
    <col min="12821" max="12821" width="1.625" style="161" customWidth="1"/>
    <col min="12822" max="13056" width="9" style="161"/>
    <col min="13057" max="13057" width="1.625" style="161" customWidth="1"/>
    <col min="13058" max="13058" width="9.625" style="161" customWidth="1"/>
    <col min="13059" max="13076" width="15.75" style="161" customWidth="1"/>
    <col min="13077" max="13077" width="1.625" style="161" customWidth="1"/>
    <col min="13078" max="13312" width="9" style="161"/>
    <col min="13313" max="13313" width="1.625" style="161" customWidth="1"/>
    <col min="13314" max="13314" width="9.625" style="161" customWidth="1"/>
    <col min="13315" max="13332" width="15.75" style="161" customWidth="1"/>
    <col min="13333" max="13333" width="1.625" style="161" customWidth="1"/>
    <col min="13334" max="13568" width="9" style="161"/>
    <col min="13569" max="13569" width="1.625" style="161" customWidth="1"/>
    <col min="13570" max="13570" width="9.625" style="161" customWidth="1"/>
    <col min="13571" max="13588" width="15.75" style="161" customWidth="1"/>
    <col min="13589" max="13589" width="1.625" style="161" customWidth="1"/>
    <col min="13590" max="13824" width="9" style="161"/>
    <col min="13825" max="13825" width="1.625" style="161" customWidth="1"/>
    <col min="13826" max="13826" width="9.625" style="161" customWidth="1"/>
    <col min="13827" max="13844" width="15.75" style="161" customWidth="1"/>
    <col min="13845" max="13845" width="1.625" style="161" customWidth="1"/>
    <col min="13846" max="14080" width="9" style="161"/>
    <col min="14081" max="14081" width="1.625" style="161" customWidth="1"/>
    <col min="14082" max="14082" width="9.625" style="161" customWidth="1"/>
    <col min="14083" max="14100" width="15.75" style="161" customWidth="1"/>
    <col min="14101" max="14101" width="1.625" style="161" customWidth="1"/>
    <col min="14102" max="14336" width="9" style="161"/>
    <col min="14337" max="14337" width="1.625" style="161" customWidth="1"/>
    <col min="14338" max="14338" width="9.625" style="161" customWidth="1"/>
    <col min="14339" max="14356" width="15.75" style="161" customWidth="1"/>
    <col min="14357" max="14357" width="1.625" style="161" customWidth="1"/>
    <col min="14358" max="14592" width="9" style="161"/>
    <col min="14593" max="14593" width="1.625" style="161" customWidth="1"/>
    <col min="14594" max="14594" width="9.625" style="161" customWidth="1"/>
    <col min="14595" max="14612" width="15.75" style="161" customWidth="1"/>
    <col min="14613" max="14613" width="1.625" style="161" customWidth="1"/>
    <col min="14614" max="14848" width="9" style="161"/>
    <col min="14849" max="14849" width="1.625" style="161" customWidth="1"/>
    <col min="14850" max="14850" width="9.625" style="161" customWidth="1"/>
    <col min="14851" max="14868" width="15.75" style="161" customWidth="1"/>
    <col min="14869" max="14869" width="1.625" style="161" customWidth="1"/>
    <col min="14870" max="15104" width="9" style="161"/>
    <col min="15105" max="15105" width="1.625" style="161" customWidth="1"/>
    <col min="15106" max="15106" width="9.625" style="161" customWidth="1"/>
    <col min="15107" max="15124" width="15.75" style="161" customWidth="1"/>
    <col min="15125" max="15125" width="1.625" style="161" customWidth="1"/>
    <col min="15126" max="15360" width="9" style="161"/>
    <col min="15361" max="15361" width="1.625" style="161" customWidth="1"/>
    <col min="15362" max="15362" width="9.625" style="161" customWidth="1"/>
    <col min="15363" max="15380" width="15.75" style="161" customWidth="1"/>
    <col min="15381" max="15381" width="1.625" style="161" customWidth="1"/>
    <col min="15382" max="15616" width="9" style="161"/>
    <col min="15617" max="15617" width="1.625" style="161" customWidth="1"/>
    <col min="15618" max="15618" width="9.625" style="161" customWidth="1"/>
    <col min="15619" max="15636" width="15.75" style="161" customWidth="1"/>
    <col min="15637" max="15637" width="1.625" style="161" customWidth="1"/>
    <col min="15638" max="15872" width="9" style="161"/>
    <col min="15873" max="15873" width="1.625" style="161" customWidth="1"/>
    <col min="15874" max="15874" width="9.625" style="161" customWidth="1"/>
    <col min="15875" max="15892" width="15.75" style="161" customWidth="1"/>
    <col min="15893" max="15893" width="1.625" style="161" customWidth="1"/>
    <col min="15894" max="16128" width="9" style="161"/>
    <col min="16129" max="16129" width="1.625" style="161" customWidth="1"/>
    <col min="16130" max="16130" width="9.625" style="161" customWidth="1"/>
    <col min="16131" max="16148" width="15.75" style="161" customWidth="1"/>
    <col min="16149" max="16149" width="1.625" style="161" customWidth="1"/>
    <col min="16150" max="16384" width="9" style="161"/>
  </cols>
  <sheetData>
    <row r="1" spans="2:20" ht="9.9499999999999993" customHeight="1" thickBot="1" x14ac:dyDescent="0.35"/>
    <row r="2" spans="2:20" s="162" customFormat="1" ht="51.95" customHeight="1" thickBot="1" x14ac:dyDescent="0.35">
      <c r="B2" s="460" t="s">
        <v>566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2"/>
    </row>
    <row r="3" spans="2:20" s="164" customFormat="1" ht="36" customHeight="1" thickTop="1" x14ac:dyDescent="0.3">
      <c r="B3" s="163" t="s">
        <v>433</v>
      </c>
      <c r="C3" s="463" t="s">
        <v>726</v>
      </c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4"/>
    </row>
    <row r="4" spans="2:20" s="165" customFormat="1" ht="27.95" customHeight="1" x14ac:dyDescent="0.3">
      <c r="B4" s="455" t="s">
        <v>434</v>
      </c>
      <c r="C4" s="465" t="s">
        <v>294</v>
      </c>
      <c r="D4" s="466"/>
      <c r="E4" s="465" t="s">
        <v>195</v>
      </c>
      <c r="F4" s="466"/>
      <c r="G4" s="465" t="s">
        <v>117</v>
      </c>
      <c r="H4" s="466"/>
      <c r="I4" s="465" t="s">
        <v>196</v>
      </c>
      <c r="J4" s="466"/>
      <c r="K4" s="465" t="s">
        <v>366</v>
      </c>
      <c r="L4" s="466"/>
      <c r="M4" s="465" t="s">
        <v>223</v>
      </c>
      <c r="N4" s="466"/>
      <c r="O4" s="448" t="s">
        <v>298</v>
      </c>
      <c r="P4" s="449"/>
      <c r="Q4" s="448" t="s">
        <v>217</v>
      </c>
      <c r="R4" s="449"/>
      <c r="S4" s="448" t="s">
        <v>220</v>
      </c>
      <c r="T4" s="450"/>
    </row>
    <row r="5" spans="2:20" ht="27.95" customHeight="1" x14ac:dyDescent="0.3">
      <c r="B5" s="456"/>
      <c r="C5" s="166" t="s">
        <v>444</v>
      </c>
      <c r="D5" s="167" t="s">
        <v>445</v>
      </c>
      <c r="E5" s="166" t="s">
        <v>444</v>
      </c>
      <c r="F5" s="167" t="s">
        <v>445</v>
      </c>
      <c r="G5" s="166" t="s">
        <v>444</v>
      </c>
      <c r="H5" s="167" t="s">
        <v>445</v>
      </c>
      <c r="I5" s="166" t="s">
        <v>444</v>
      </c>
      <c r="J5" s="167" t="s">
        <v>445</v>
      </c>
      <c r="K5" s="166" t="s">
        <v>444</v>
      </c>
      <c r="L5" s="167" t="s">
        <v>445</v>
      </c>
      <c r="M5" s="166" t="s">
        <v>444</v>
      </c>
      <c r="N5" s="167" t="s">
        <v>445</v>
      </c>
      <c r="O5" s="166" t="s">
        <v>444</v>
      </c>
      <c r="P5" s="167" t="s">
        <v>445</v>
      </c>
      <c r="Q5" s="166" t="s">
        <v>444</v>
      </c>
      <c r="R5" s="167" t="s">
        <v>445</v>
      </c>
      <c r="S5" s="166" t="s">
        <v>446</v>
      </c>
      <c r="T5" s="168" t="s">
        <v>447</v>
      </c>
    </row>
    <row r="6" spans="2:20" ht="36" customHeight="1" x14ac:dyDescent="0.3">
      <c r="B6" s="169" t="s">
        <v>448</v>
      </c>
      <c r="C6" s="170">
        <v>317</v>
      </c>
      <c r="D6" s="171">
        <v>3578281</v>
      </c>
      <c r="E6" s="170">
        <v>0</v>
      </c>
      <c r="F6" s="171">
        <v>564783</v>
      </c>
      <c r="G6" s="170">
        <v>21</v>
      </c>
      <c r="H6" s="171">
        <v>233213</v>
      </c>
      <c r="I6" s="170">
        <v>375</v>
      </c>
      <c r="J6" s="171">
        <v>3552049</v>
      </c>
      <c r="K6" s="170">
        <v>26</v>
      </c>
      <c r="L6" s="171">
        <v>385039</v>
      </c>
      <c r="M6" s="170">
        <v>201</v>
      </c>
      <c r="N6" s="171">
        <v>9713675</v>
      </c>
      <c r="O6" s="170">
        <v>169</v>
      </c>
      <c r="P6" s="171">
        <v>15254623</v>
      </c>
      <c r="Q6" s="170">
        <v>123</v>
      </c>
      <c r="R6" s="171">
        <v>6159815</v>
      </c>
      <c r="S6" s="170">
        <v>71</v>
      </c>
      <c r="T6" s="172">
        <v>2556536</v>
      </c>
    </row>
    <row r="7" spans="2:20" ht="36" customHeight="1" x14ac:dyDescent="0.3">
      <c r="B7" s="173" t="s">
        <v>449</v>
      </c>
      <c r="C7" s="174">
        <v>271</v>
      </c>
      <c r="D7" s="175">
        <v>3578598</v>
      </c>
      <c r="E7" s="174">
        <v>0</v>
      </c>
      <c r="F7" s="175">
        <v>564783</v>
      </c>
      <c r="G7" s="174">
        <v>19</v>
      </c>
      <c r="H7" s="175">
        <v>233234</v>
      </c>
      <c r="I7" s="174">
        <v>334</v>
      </c>
      <c r="J7" s="175">
        <v>3552424</v>
      </c>
      <c r="K7" s="174">
        <v>19</v>
      </c>
      <c r="L7" s="175">
        <v>385065</v>
      </c>
      <c r="M7" s="174">
        <v>299</v>
      </c>
      <c r="N7" s="175">
        <v>9713876</v>
      </c>
      <c r="O7" s="174">
        <v>149</v>
      </c>
      <c r="P7" s="175">
        <v>15254792</v>
      </c>
      <c r="Q7" s="174">
        <v>99</v>
      </c>
      <c r="R7" s="175">
        <v>6159938</v>
      </c>
      <c r="S7" s="174">
        <v>57</v>
      </c>
      <c r="T7" s="176">
        <v>2556607</v>
      </c>
    </row>
    <row r="8" spans="2:20" ht="36" customHeight="1" x14ac:dyDescent="0.3">
      <c r="B8" s="173" t="s">
        <v>450</v>
      </c>
      <c r="C8" s="174">
        <v>245</v>
      </c>
      <c r="D8" s="175">
        <v>3578869</v>
      </c>
      <c r="E8" s="174">
        <v>0</v>
      </c>
      <c r="F8" s="175">
        <v>564783</v>
      </c>
      <c r="G8" s="174">
        <v>19</v>
      </c>
      <c r="H8" s="175">
        <v>233253</v>
      </c>
      <c r="I8" s="174">
        <v>316</v>
      </c>
      <c r="J8" s="175">
        <v>3552758</v>
      </c>
      <c r="K8" s="174">
        <v>12</v>
      </c>
      <c r="L8" s="175">
        <v>385084</v>
      </c>
      <c r="M8" s="174">
        <v>301</v>
      </c>
      <c r="N8" s="175">
        <v>9714175</v>
      </c>
      <c r="O8" s="174">
        <v>131</v>
      </c>
      <c r="P8" s="175">
        <v>15254941</v>
      </c>
      <c r="Q8" s="174">
        <v>84</v>
      </c>
      <c r="R8" s="175">
        <v>6160037</v>
      </c>
      <c r="S8" s="174">
        <v>57</v>
      </c>
      <c r="T8" s="176">
        <v>2556664</v>
      </c>
    </row>
    <row r="9" spans="2:20" ht="36" customHeight="1" x14ac:dyDescent="0.3">
      <c r="B9" s="173" t="s">
        <v>451</v>
      </c>
      <c r="C9" s="174">
        <v>229</v>
      </c>
      <c r="D9" s="175">
        <v>3579114</v>
      </c>
      <c r="E9" s="174">
        <v>0</v>
      </c>
      <c r="F9" s="175">
        <v>564783</v>
      </c>
      <c r="G9" s="174">
        <v>19</v>
      </c>
      <c r="H9" s="175">
        <v>233272</v>
      </c>
      <c r="I9" s="174">
        <v>309</v>
      </c>
      <c r="J9" s="175">
        <v>3553074</v>
      </c>
      <c r="K9" s="174">
        <v>12</v>
      </c>
      <c r="L9" s="175">
        <v>385096</v>
      </c>
      <c r="M9" s="174">
        <v>200</v>
      </c>
      <c r="N9" s="175">
        <v>9714476</v>
      </c>
      <c r="O9" s="174">
        <v>116</v>
      </c>
      <c r="P9" s="175">
        <v>15255072</v>
      </c>
      <c r="Q9" s="174">
        <v>93</v>
      </c>
      <c r="R9" s="175">
        <v>6160121</v>
      </c>
      <c r="S9" s="174">
        <v>56</v>
      </c>
      <c r="T9" s="176">
        <v>2556721</v>
      </c>
    </row>
    <row r="10" spans="2:20" ht="36" customHeight="1" x14ac:dyDescent="0.3">
      <c r="B10" s="173" t="s">
        <v>452</v>
      </c>
      <c r="C10" s="174">
        <v>226</v>
      </c>
      <c r="D10" s="175">
        <v>3579343</v>
      </c>
      <c r="E10" s="174">
        <v>0</v>
      </c>
      <c r="F10" s="175">
        <v>564783</v>
      </c>
      <c r="G10" s="174">
        <v>18</v>
      </c>
      <c r="H10" s="175">
        <v>233291</v>
      </c>
      <c r="I10" s="174">
        <v>326</v>
      </c>
      <c r="J10" s="175">
        <v>3553383</v>
      </c>
      <c r="K10" s="174">
        <v>11</v>
      </c>
      <c r="L10" s="175">
        <v>385108</v>
      </c>
      <c r="M10" s="174">
        <v>178</v>
      </c>
      <c r="N10" s="175">
        <v>9714676</v>
      </c>
      <c r="O10" s="174">
        <v>117</v>
      </c>
      <c r="P10" s="175">
        <v>15255188</v>
      </c>
      <c r="Q10" s="174">
        <v>99</v>
      </c>
      <c r="R10" s="175">
        <v>6160214</v>
      </c>
      <c r="S10" s="174">
        <v>56</v>
      </c>
      <c r="T10" s="176">
        <v>2556777</v>
      </c>
    </row>
    <row r="11" spans="2:20" ht="36" customHeight="1" x14ac:dyDescent="0.3">
      <c r="B11" s="173" t="s">
        <v>453</v>
      </c>
      <c r="C11" s="174">
        <v>252</v>
      </c>
      <c r="D11" s="175">
        <v>3579569</v>
      </c>
      <c r="E11" s="174">
        <v>0</v>
      </c>
      <c r="F11" s="175">
        <v>564783</v>
      </c>
      <c r="G11" s="174">
        <v>19</v>
      </c>
      <c r="H11" s="175">
        <v>233309</v>
      </c>
      <c r="I11" s="174">
        <v>315</v>
      </c>
      <c r="J11" s="175">
        <v>3553709</v>
      </c>
      <c r="K11" s="174">
        <v>11</v>
      </c>
      <c r="L11" s="175">
        <v>385119</v>
      </c>
      <c r="M11" s="174">
        <v>179</v>
      </c>
      <c r="N11" s="175">
        <v>9714854</v>
      </c>
      <c r="O11" s="174">
        <v>118</v>
      </c>
      <c r="P11" s="175">
        <v>15255305</v>
      </c>
      <c r="Q11" s="174">
        <v>103</v>
      </c>
      <c r="R11" s="175">
        <v>6160313</v>
      </c>
      <c r="S11" s="174">
        <v>57</v>
      </c>
      <c r="T11" s="176">
        <v>2556833</v>
      </c>
    </row>
    <row r="12" spans="2:20" ht="36" customHeight="1" x14ac:dyDescent="0.3">
      <c r="B12" s="173" t="s">
        <v>454</v>
      </c>
      <c r="C12" s="174">
        <v>298</v>
      </c>
      <c r="D12" s="175">
        <v>3579821</v>
      </c>
      <c r="E12" s="174">
        <v>0</v>
      </c>
      <c r="F12" s="175">
        <v>564783</v>
      </c>
      <c r="G12" s="174">
        <v>21</v>
      </c>
      <c r="H12" s="175">
        <v>233328</v>
      </c>
      <c r="I12" s="174">
        <v>329</v>
      </c>
      <c r="J12" s="175">
        <v>3554024</v>
      </c>
      <c r="K12" s="174">
        <v>15</v>
      </c>
      <c r="L12" s="175">
        <v>385130</v>
      </c>
      <c r="M12" s="174">
        <v>182</v>
      </c>
      <c r="N12" s="175">
        <v>9715033</v>
      </c>
      <c r="O12" s="174">
        <v>135</v>
      </c>
      <c r="P12" s="175">
        <v>15255423</v>
      </c>
      <c r="Q12" s="174">
        <v>108</v>
      </c>
      <c r="R12" s="175">
        <v>6160416</v>
      </c>
      <c r="S12" s="174">
        <v>63</v>
      </c>
      <c r="T12" s="176">
        <v>2556890</v>
      </c>
    </row>
    <row r="13" spans="2:20" ht="36" customHeight="1" x14ac:dyDescent="0.3">
      <c r="B13" s="173" t="s">
        <v>455</v>
      </c>
      <c r="C13" s="174">
        <v>361</v>
      </c>
      <c r="D13" s="175">
        <v>3580119</v>
      </c>
      <c r="E13" s="174">
        <v>0</v>
      </c>
      <c r="F13" s="175">
        <v>564783</v>
      </c>
      <c r="G13" s="174">
        <v>27</v>
      </c>
      <c r="H13" s="175">
        <v>233349</v>
      </c>
      <c r="I13" s="174">
        <v>382</v>
      </c>
      <c r="J13" s="175">
        <v>3554353</v>
      </c>
      <c r="K13" s="174">
        <v>26</v>
      </c>
      <c r="L13" s="175">
        <v>385145</v>
      </c>
      <c r="M13" s="174">
        <v>190</v>
      </c>
      <c r="N13" s="175">
        <v>9715215</v>
      </c>
      <c r="O13" s="174">
        <v>153</v>
      </c>
      <c r="P13" s="175">
        <v>15255558</v>
      </c>
      <c r="Q13" s="174">
        <v>110</v>
      </c>
      <c r="R13" s="175">
        <v>6160524</v>
      </c>
      <c r="S13" s="174">
        <v>73</v>
      </c>
      <c r="T13" s="176">
        <v>2556953</v>
      </c>
    </row>
    <row r="14" spans="2:20" ht="36" customHeight="1" x14ac:dyDescent="0.3">
      <c r="B14" s="173" t="s">
        <v>456</v>
      </c>
      <c r="C14" s="174">
        <v>455</v>
      </c>
      <c r="D14" s="175">
        <v>3580480</v>
      </c>
      <c r="E14" s="174">
        <v>0</v>
      </c>
      <c r="F14" s="175">
        <v>564783</v>
      </c>
      <c r="G14" s="174">
        <v>33</v>
      </c>
      <c r="H14" s="175">
        <v>233376</v>
      </c>
      <c r="I14" s="174">
        <v>412</v>
      </c>
      <c r="J14" s="175">
        <v>3554735</v>
      </c>
      <c r="K14" s="174">
        <v>44</v>
      </c>
      <c r="L14" s="175">
        <v>385171</v>
      </c>
      <c r="M14" s="174">
        <v>207</v>
      </c>
      <c r="N14" s="175">
        <v>9715405</v>
      </c>
      <c r="O14" s="174">
        <v>205</v>
      </c>
      <c r="P14" s="175">
        <v>15255711</v>
      </c>
      <c r="Q14" s="174">
        <v>106</v>
      </c>
      <c r="R14" s="175">
        <v>6160634</v>
      </c>
      <c r="S14" s="174">
        <v>93</v>
      </c>
      <c r="T14" s="176">
        <v>2557026</v>
      </c>
    </row>
    <row r="15" spans="2:20" ht="36" customHeight="1" x14ac:dyDescent="0.3">
      <c r="B15" s="173" t="s">
        <v>457</v>
      </c>
      <c r="C15" s="174">
        <v>517</v>
      </c>
      <c r="D15" s="175">
        <v>3580935</v>
      </c>
      <c r="E15" s="174">
        <v>0</v>
      </c>
      <c r="F15" s="175">
        <v>564783</v>
      </c>
      <c r="G15" s="174">
        <v>36</v>
      </c>
      <c r="H15" s="175">
        <v>233409</v>
      </c>
      <c r="I15" s="174">
        <v>431</v>
      </c>
      <c r="J15" s="175">
        <v>3555147</v>
      </c>
      <c r="K15" s="174">
        <v>54</v>
      </c>
      <c r="L15" s="175">
        <v>385215</v>
      </c>
      <c r="M15" s="174">
        <v>224</v>
      </c>
      <c r="N15" s="175">
        <v>9715612</v>
      </c>
      <c r="O15" s="174">
        <v>282</v>
      </c>
      <c r="P15" s="175">
        <v>15255916</v>
      </c>
      <c r="Q15" s="174">
        <v>109</v>
      </c>
      <c r="R15" s="175">
        <v>6160740</v>
      </c>
      <c r="S15" s="174">
        <v>91</v>
      </c>
      <c r="T15" s="176">
        <v>2557119</v>
      </c>
    </row>
    <row r="16" spans="2:20" ht="36" customHeight="1" x14ac:dyDescent="0.3">
      <c r="B16" s="173" t="s">
        <v>458</v>
      </c>
      <c r="C16" s="174">
        <v>568</v>
      </c>
      <c r="D16" s="175">
        <v>3581452</v>
      </c>
      <c r="E16" s="174">
        <v>0</v>
      </c>
      <c r="F16" s="175">
        <v>564783</v>
      </c>
      <c r="G16" s="174">
        <v>41</v>
      </c>
      <c r="H16" s="175">
        <v>233445</v>
      </c>
      <c r="I16" s="174">
        <v>503</v>
      </c>
      <c r="J16" s="175">
        <v>3555578</v>
      </c>
      <c r="K16" s="174">
        <v>59</v>
      </c>
      <c r="L16" s="175">
        <v>385269</v>
      </c>
      <c r="M16" s="174">
        <v>235</v>
      </c>
      <c r="N16" s="175">
        <v>9715836</v>
      </c>
      <c r="O16" s="174">
        <v>264</v>
      </c>
      <c r="P16" s="175">
        <v>15256198</v>
      </c>
      <c r="Q16" s="174">
        <v>132</v>
      </c>
      <c r="R16" s="175">
        <v>6160849</v>
      </c>
      <c r="S16" s="174">
        <v>137</v>
      </c>
      <c r="T16" s="176">
        <v>2557210</v>
      </c>
    </row>
    <row r="17" spans="2:20" ht="36" customHeight="1" x14ac:dyDescent="0.3">
      <c r="B17" s="173" t="s">
        <v>459</v>
      </c>
      <c r="C17" s="174">
        <v>529</v>
      </c>
      <c r="D17" s="175">
        <v>3582020</v>
      </c>
      <c r="E17" s="174">
        <v>0</v>
      </c>
      <c r="F17" s="175">
        <v>564783</v>
      </c>
      <c r="G17" s="174">
        <v>37</v>
      </c>
      <c r="H17" s="175">
        <v>233486</v>
      </c>
      <c r="I17" s="174">
        <v>483</v>
      </c>
      <c r="J17" s="175">
        <v>3556081</v>
      </c>
      <c r="K17" s="174">
        <v>60</v>
      </c>
      <c r="L17" s="175">
        <v>385328</v>
      </c>
      <c r="M17" s="174">
        <v>236</v>
      </c>
      <c r="N17" s="175">
        <v>9716071</v>
      </c>
      <c r="O17" s="174">
        <v>252</v>
      </c>
      <c r="P17" s="175">
        <v>15256462</v>
      </c>
      <c r="Q17" s="174">
        <v>121</v>
      </c>
      <c r="R17" s="175">
        <v>6160981</v>
      </c>
      <c r="S17" s="174">
        <v>105</v>
      </c>
      <c r="T17" s="176">
        <v>2557347</v>
      </c>
    </row>
    <row r="18" spans="2:20" ht="36" customHeight="1" x14ac:dyDescent="0.3">
      <c r="B18" s="173" t="s">
        <v>460</v>
      </c>
      <c r="C18" s="174">
        <v>520</v>
      </c>
      <c r="D18" s="175">
        <v>3582549</v>
      </c>
      <c r="E18" s="174">
        <v>0</v>
      </c>
      <c r="F18" s="175">
        <v>564783</v>
      </c>
      <c r="G18" s="174">
        <v>37</v>
      </c>
      <c r="H18" s="175">
        <v>233523</v>
      </c>
      <c r="I18" s="174">
        <v>443</v>
      </c>
      <c r="J18" s="175">
        <v>3556564</v>
      </c>
      <c r="K18" s="174">
        <v>59</v>
      </c>
      <c r="L18" s="175">
        <v>385388</v>
      </c>
      <c r="M18" s="174">
        <v>239</v>
      </c>
      <c r="N18" s="175">
        <v>9716307</v>
      </c>
      <c r="O18" s="174">
        <v>248</v>
      </c>
      <c r="P18" s="175">
        <v>15256714</v>
      </c>
      <c r="Q18" s="174">
        <v>122</v>
      </c>
      <c r="R18" s="175">
        <v>6161102</v>
      </c>
      <c r="S18" s="174">
        <v>151</v>
      </c>
      <c r="T18" s="176">
        <v>2557452</v>
      </c>
    </row>
    <row r="19" spans="2:20" ht="36" customHeight="1" x14ac:dyDescent="0.3">
      <c r="B19" s="173" t="s">
        <v>461</v>
      </c>
      <c r="C19" s="174">
        <v>491</v>
      </c>
      <c r="D19" s="175">
        <v>3583069</v>
      </c>
      <c r="E19" s="174">
        <v>0</v>
      </c>
      <c r="F19" s="175">
        <v>564783</v>
      </c>
      <c r="G19" s="174">
        <v>37</v>
      </c>
      <c r="H19" s="175">
        <v>233560</v>
      </c>
      <c r="I19" s="174">
        <v>434</v>
      </c>
      <c r="J19" s="175">
        <v>3557007</v>
      </c>
      <c r="K19" s="174">
        <v>56</v>
      </c>
      <c r="L19" s="175">
        <v>385447</v>
      </c>
      <c r="M19" s="174">
        <v>237</v>
      </c>
      <c r="N19" s="175">
        <v>9716546</v>
      </c>
      <c r="O19" s="174">
        <v>243</v>
      </c>
      <c r="P19" s="175">
        <v>15256962</v>
      </c>
      <c r="Q19" s="174">
        <v>112</v>
      </c>
      <c r="R19" s="175">
        <v>6161224</v>
      </c>
      <c r="S19" s="174">
        <v>100</v>
      </c>
      <c r="T19" s="176">
        <v>2557603</v>
      </c>
    </row>
    <row r="20" spans="2:20" ht="36" customHeight="1" x14ac:dyDescent="0.3">
      <c r="B20" s="173" t="s">
        <v>462</v>
      </c>
      <c r="C20" s="174">
        <v>481</v>
      </c>
      <c r="D20" s="175">
        <v>3583560</v>
      </c>
      <c r="E20" s="174">
        <v>0</v>
      </c>
      <c r="F20" s="175">
        <v>564783</v>
      </c>
      <c r="G20" s="174">
        <v>35</v>
      </c>
      <c r="H20" s="175">
        <v>233597</v>
      </c>
      <c r="I20" s="174">
        <v>435</v>
      </c>
      <c r="J20" s="175">
        <v>3557441</v>
      </c>
      <c r="K20" s="174">
        <v>56</v>
      </c>
      <c r="L20" s="175">
        <v>385503</v>
      </c>
      <c r="M20" s="174">
        <v>236</v>
      </c>
      <c r="N20" s="175">
        <v>9716783</v>
      </c>
      <c r="O20" s="174">
        <v>299</v>
      </c>
      <c r="P20" s="175">
        <v>15257205</v>
      </c>
      <c r="Q20" s="174">
        <v>109</v>
      </c>
      <c r="R20" s="175">
        <v>6161336</v>
      </c>
      <c r="S20" s="174">
        <v>128</v>
      </c>
      <c r="T20" s="176">
        <v>2557703</v>
      </c>
    </row>
    <row r="21" spans="2:20" ht="36" customHeight="1" x14ac:dyDescent="0.3">
      <c r="B21" s="173" t="s">
        <v>463</v>
      </c>
      <c r="C21" s="174">
        <v>471</v>
      </c>
      <c r="D21" s="175">
        <v>3584041</v>
      </c>
      <c r="E21" s="174">
        <v>0</v>
      </c>
      <c r="F21" s="175">
        <v>564783</v>
      </c>
      <c r="G21" s="174">
        <v>40</v>
      </c>
      <c r="H21" s="175">
        <v>233632</v>
      </c>
      <c r="I21" s="174">
        <v>421</v>
      </c>
      <c r="J21" s="175">
        <v>3557876</v>
      </c>
      <c r="K21" s="174">
        <v>50</v>
      </c>
      <c r="L21" s="175">
        <v>385559</v>
      </c>
      <c r="M21" s="174">
        <v>230</v>
      </c>
      <c r="N21" s="175">
        <v>9717019</v>
      </c>
      <c r="O21" s="174">
        <v>245</v>
      </c>
      <c r="P21" s="175">
        <v>15257504</v>
      </c>
      <c r="Q21" s="174">
        <v>102</v>
      </c>
      <c r="R21" s="175">
        <v>6161445</v>
      </c>
      <c r="S21" s="174">
        <v>75</v>
      </c>
      <c r="T21" s="176">
        <v>2557831</v>
      </c>
    </row>
    <row r="22" spans="2:20" ht="36" customHeight="1" x14ac:dyDescent="0.3">
      <c r="B22" s="173" t="s">
        <v>464</v>
      </c>
      <c r="C22" s="174">
        <v>481</v>
      </c>
      <c r="D22" s="175">
        <v>3584512</v>
      </c>
      <c r="E22" s="174">
        <v>0</v>
      </c>
      <c r="F22" s="175">
        <v>564783</v>
      </c>
      <c r="G22" s="174">
        <v>41</v>
      </c>
      <c r="H22" s="175">
        <v>233672</v>
      </c>
      <c r="I22" s="174">
        <v>425</v>
      </c>
      <c r="J22" s="175">
        <v>3558297</v>
      </c>
      <c r="K22" s="174">
        <v>50</v>
      </c>
      <c r="L22" s="175">
        <v>385609</v>
      </c>
      <c r="M22" s="174">
        <v>230</v>
      </c>
      <c r="N22" s="175">
        <v>9717249</v>
      </c>
      <c r="O22" s="174">
        <v>224</v>
      </c>
      <c r="P22" s="175">
        <v>15257749</v>
      </c>
      <c r="Q22" s="174">
        <v>116</v>
      </c>
      <c r="R22" s="175">
        <v>6161547</v>
      </c>
      <c r="S22" s="174">
        <v>74</v>
      </c>
      <c r="T22" s="176">
        <v>2557906</v>
      </c>
    </row>
    <row r="23" spans="2:20" ht="36" customHeight="1" x14ac:dyDescent="0.3">
      <c r="B23" s="173" t="s">
        <v>465</v>
      </c>
      <c r="C23" s="174">
        <v>502</v>
      </c>
      <c r="D23" s="175">
        <v>3584993</v>
      </c>
      <c r="E23" s="174">
        <v>0</v>
      </c>
      <c r="F23" s="175">
        <v>564783</v>
      </c>
      <c r="G23" s="174">
        <v>40</v>
      </c>
      <c r="H23" s="175">
        <v>233713</v>
      </c>
      <c r="I23" s="174">
        <v>457</v>
      </c>
      <c r="J23" s="175">
        <v>3558722</v>
      </c>
      <c r="K23" s="174">
        <v>59</v>
      </c>
      <c r="L23" s="175">
        <v>385659</v>
      </c>
      <c r="M23" s="174">
        <v>230</v>
      </c>
      <c r="N23" s="175">
        <v>9717479</v>
      </c>
      <c r="O23" s="174">
        <v>234</v>
      </c>
      <c r="P23" s="175">
        <v>15257973</v>
      </c>
      <c r="Q23" s="174">
        <v>150</v>
      </c>
      <c r="R23" s="175">
        <v>6161663</v>
      </c>
      <c r="S23" s="174">
        <v>92</v>
      </c>
      <c r="T23" s="176">
        <v>2557980</v>
      </c>
    </row>
    <row r="24" spans="2:20" ht="36" customHeight="1" x14ac:dyDescent="0.3">
      <c r="B24" s="173" t="s">
        <v>466</v>
      </c>
      <c r="C24" s="174">
        <v>557</v>
      </c>
      <c r="D24" s="175">
        <v>3585495</v>
      </c>
      <c r="E24" s="174">
        <v>0</v>
      </c>
      <c r="F24" s="175">
        <v>564783</v>
      </c>
      <c r="G24" s="174">
        <v>42</v>
      </c>
      <c r="H24" s="175">
        <v>233753</v>
      </c>
      <c r="I24" s="174">
        <v>475</v>
      </c>
      <c r="J24" s="175">
        <v>3559179</v>
      </c>
      <c r="K24" s="174">
        <v>62</v>
      </c>
      <c r="L24" s="175">
        <v>385718</v>
      </c>
      <c r="M24" s="174">
        <v>237</v>
      </c>
      <c r="N24" s="175">
        <v>9717709</v>
      </c>
      <c r="O24" s="174">
        <v>249</v>
      </c>
      <c r="P24" s="175">
        <v>15258207</v>
      </c>
      <c r="Q24" s="174">
        <v>116</v>
      </c>
      <c r="R24" s="175">
        <v>6161813</v>
      </c>
      <c r="S24" s="174">
        <v>98</v>
      </c>
      <c r="T24" s="176">
        <v>2558072</v>
      </c>
    </row>
    <row r="25" spans="2:20" ht="36" customHeight="1" x14ac:dyDescent="0.3">
      <c r="B25" s="173" t="s">
        <v>467</v>
      </c>
      <c r="C25" s="174">
        <v>535</v>
      </c>
      <c r="D25" s="175">
        <v>3586052</v>
      </c>
      <c r="E25" s="174">
        <v>0</v>
      </c>
      <c r="F25" s="175">
        <v>564783</v>
      </c>
      <c r="G25" s="174">
        <v>40</v>
      </c>
      <c r="H25" s="175">
        <v>233795</v>
      </c>
      <c r="I25" s="174">
        <v>439</v>
      </c>
      <c r="J25" s="175">
        <v>3559654</v>
      </c>
      <c r="K25" s="174">
        <v>67</v>
      </c>
      <c r="L25" s="175">
        <v>385780</v>
      </c>
      <c r="M25" s="174">
        <v>241</v>
      </c>
      <c r="N25" s="175">
        <v>9717946</v>
      </c>
      <c r="O25" s="174">
        <v>295</v>
      </c>
      <c r="P25" s="175">
        <v>15258456</v>
      </c>
      <c r="Q25" s="174">
        <v>118</v>
      </c>
      <c r="R25" s="175">
        <v>6161929</v>
      </c>
      <c r="S25" s="174">
        <v>108</v>
      </c>
      <c r="T25" s="176">
        <v>2558170</v>
      </c>
    </row>
    <row r="26" spans="2:20" ht="36" customHeight="1" x14ac:dyDescent="0.3">
      <c r="B26" s="173" t="s">
        <v>468</v>
      </c>
      <c r="C26" s="174">
        <v>507</v>
      </c>
      <c r="D26" s="175">
        <v>3586587</v>
      </c>
      <c r="E26" s="174">
        <v>0</v>
      </c>
      <c r="F26" s="175">
        <v>564783</v>
      </c>
      <c r="G26" s="174">
        <v>33</v>
      </c>
      <c r="H26" s="175">
        <v>233835</v>
      </c>
      <c r="I26" s="174">
        <v>444</v>
      </c>
      <c r="J26" s="175">
        <v>3560093</v>
      </c>
      <c r="K26" s="174">
        <v>64</v>
      </c>
      <c r="L26" s="175">
        <v>385847</v>
      </c>
      <c r="M26" s="174">
        <v>243</v>
      </c>
      <c r="N26" s="175">
        <v>9718187</v>
      </c>
      <c r="O26" s="174">
        <v>324</v>
      </c>
      <c r="P26" s="175">
        <v>15258751</v>
      </c>
      <c r="Q26" s="174">
        <v>104</v>
      </c>
      <c r="R26" s="175">
        <v>6162047</v>
      </c>
      <c r="S26" s="174">
        <v>74</v>
      </c>
      <c r="T26" s="176">
        <v>2558278</v>
      </c>
    </row>
    <row r="27" spans="2:20" ht="36" customHeight="1" x14ac:dyDescent="0.3">
      <c r="B27" s="173" t="s">
        <v>469</v>
      </c>
      <c r="C27" s="174">
        <v>467</v>
      </c>
      <c r="D27" s="175">
        <v>3587094</v>
      </c>
      <c r="E27" s="174">
        <v>0</v>
      </c>
      <c r="F27" s="175">
        <v>564783</v>
      </c>
      <c r="G27" s="174">
        <v>30</v>
      </c>
      <c r="H27" s="175">
        <v>233868</v>
      </c>
      <c r="I27" s="174">
        <v>438</v>
      </c>
      <c r="J27" s="175">
        <v>3560537</v>
      </c>
      <c r="K27" s="174">
        <v>60</v>
      </c>
      <c r="L27" s="175">
        <v>385911</v>
      </c>
      <c r="M27" s="174">
        <v>243</v>
      </c>
      <c r="N27" s="175">
        <v>9718430</v>
      </c>
      <c r="O27" s="174">
        <v>257</v>
      </c>
      <c r="P27" s="175">
        <v>15259075</v>
      </c>
      <c r="Q27" s="174">
        <v>115</v>
      </c>
      <c r="R27" s="175">
        <v>6162151</v>
      </c>
      <c r="S27" s="174">
        <v>138</v>
      </c>
      <c r="T27" s="176">
        <v>2558352</v>
      </c>
    </row>
    <row r="28" spans="2:20" ht="36" customHeight="1" x14ac:dyDescent="0.3">
      <c r="B28" s="173" t="s">
        <v>470</v>
      </c>
      <c r="C28" s="174">
        <v>425</v>
      </c>
      <c r="D28" s="175">
        <v>3587561</v>
      </c>
      <c r="E28" s="174">
        <v>0</v>
      </c>
      <c r="F28" s="175">
        <v>564783</v>
      </c>
      <c r="G28" s="174">
        <v>28</v>
      </c>
      <c r="H28" s="175">
        <v>233898</v>
      </c>
      <c r="I28" s="174">
        <v>408</v>
      </c>
      <c r="J28" s="175">
        <v>3560975</v>
      </c>
      <c r="K28" s="174">
        <v>51</v>
      </c>
      <c r="L28" s="175">
        <v>385971</v>
      </c>
      <c r="M28" s="174">
        <v>234</v>
      </c>
      <c r="N28" s="175">
        <v>9718673</v>
      </c>
      <c r="O28" s="174">
        <v>224</v>
      </c>
      <c r="P28" s="175">
        <v>15259332</v>
      </c>
      <c r="Q28" s="174">
        <v>130</v>
      </c>
      <c r="R28" s="175">
        <v>6162266</v>
      </c>
      <c r="S28" s="174">
        <v>153</v>
      </c>
      <c r="T28" s="176">
        <v>2558490</v>
      </c>
    </row>
    <row r="29" spans="2:20" ht="36" customHeight="1" thickBot="1" x14ac:dyDescent="0.35">
      <c r="B29" s="177" t="s">
        <v>471</v>
      </c>
      <c r="C29" s="178">
        <v>375</v>
      </c>
      <c r="D29" s="179">
        <v>3587986</v>
      </c>
      <c r="E29" s="178">
        <v>0</v>
      </c>
      <c r="F29" s="179">
        <v>564783</v>
      </c>
      <c r="G29" s="178">
        <v>25</v>
      </c>
      <c r="H29" s="179">
        <v>233926</v>
      </c>
      <c r="I29" s="178">
        <v>380</v>
      </c>
      <c r="J29" s="179">
        <v>3561383</v>
      </c>
      <c r="K29" s="178">
        <v>39</v>
      </c>
      <c r="L29" s="179">
        <v>386022</v>
      </c>
      <c r="M29" s="178">
        <v>218</v>
      </c>
      <c r="N29" s="179">
        <v>9718907</v>
      </c>
      <c r="O29" s="178">
        <v>195</v>
      </c>
      <c r="P29" s="179">
        <v>15259556</v>
      </c>
      <c r="Q29" s="178">
        <v>126</v>
      </c>
      <c r="R29" s="179">
        <v>6162396</v>
      </c>
      <c r="S29" s="178">
        <v>93</v>
      </c>
      <c r="T29" s="180">
        <v>2558643</v>
      </c>
    </row>
    <row r="30" spans="2:20" ht="36" customHeight="1" thickTop="1" x14ac:dyDescent="0.3">
      <c r="B30" s="181" t="s">
        <v>472</v>
      </c>
      <c r="C30" s="182">
        <f t="shared" ref="C30:T30" si="0">MIN(C6:C29)</f>
        <v>226</v>
      </c>
      <c r="D30" s="182">
        <f t="shared" si="0"/>
        <v>3578281</v>
      </c>
      <c r="E30" s="182">
        <f t="shared" si="0"/>
        <v>0</v>
      </c>
      <c r="F30" s="182">
        <f t="shared" si="0"/>
        <v>564783</v>
      </c>
      <c r="G30" s="182">
        <f t="shared" si="0"/>
        <v>18</v>
      </c>
      <c r="H30" s="182">
        <f t="shared" si="0"/>
        <v>233213</v>
      </c>
      <c r="I30" s="182">
        <f t="shared" si="0"/>
        <v>309</v>
      </c>
      <c r="J30" s="182">
        <f t="shared" si="0"/>
        <v>3552049</v>
      </c>
      <c r="K30" s="182">
        <f t="shared" si="0"/>
        <v>11</v>
      </c>
      <c r="L30" s="182">
        <f t="shared" si="0"/>
        <v>385039</v>
      </c>
      <c r="M30" s="182">
        <f t="shared" si="0"/>
        <v>178</v>
      </c>
      <c r="N30" s="182">
        <f t="shared" si="0"/>
        <v>9713675</v>
      </c>
      <c r="O30" s="182">
        <f t="shared" si="0"/>
        <v>116</v>
      </c>
      <c r="P30" s="182">
        <f t="shared" si="0"/>
        <v>15254623</v>
      </c>
      <c r="Q30" s="182">
        <f t="shared" si="0"/>
        <v>84</v>
      </c>
      <c r="R30" s="182">
        <f t="shared" si="0"/>
        <v>6159815</v>
      </c>
      <c r="S30" s="182">
        <f t="shared" si="0"/>
        <v>56</v>
      </c>
      <c r="T30" s="183">
        <f t="shared" si="0"/>
        <v>2556536</v>
      </c>
    </row>
    <row r="31" spans="2:20" ht="36" customHeight="1" x14ac:dyDescent="0.3">
      <c r="B31" s="173" t="s">
        <v>473</v>
      </c>
      <c r="C31" s="182">
        <f t="shared" ref="C31:T31" si="1">MAX(C6:C29)</f>
        <v>568</v>
      </c>
      <c r="D31" s="182">
        <f t="shared" si="1"/>
        <v>3587986</v>
      </c>
      <c r="E31" s="182">
        <f t="shared" si="1"/>
        <v>0</v>
      </c>
      <c r="F31" s="182">
        <f t="shared" si="1"/>
        <v>564783</v>
      </c>
      <c r="G31" s="182">
        <f t="shared" si="1"/>
        <v>42</v>
      </c>
      <c r="H31" s="182">
        <f t="shared" si="1"/>
        <v>233926</v>
      </c>
      <c r="I31" s="182">
        <f t="shared" si="1"/>
        <v>503</v>
      </c>
      <c r="J31" s="182">
        <f t="shared" si="1"/>
        <v>3561383</v>
      </c>
      <c r="K31" s="182">
        <f t="shared" si="1"/>
        <v>67</v>
      </c>
      <c r="L31" s="182">
        <f t="shared" si="1"/>
        <v>386022</v>
      </c>
      <c r="M31" s="182">
        <f t="shared" si="1"/>
        <v>301</v>
      </c>
      <c r="N31" s="182">
        <f t="shared" si="1"/>
        <v>9718907</v>
      </c>
      <c r="O31" s="182">
        <f t="shared" si="1"/>
        <v>324</v>
      </c>
      <c r="P31" s="182">
        <f t="shared" si="1"/>
        <v>15259556</v>
      </c>
      <c r="Q31" s="182">
        <f t="shared" si="1"/>
        <v>150</v>
      </c>
      <c r="R31" s="182">
        <f t="shared" si="1"/>
        <v>6162396</v>
      </c>
      <c r="S31" s="182">
        <f t="shared" si="1"/>
        <v>153</v>
      </c>
      <c r="T31" s="183">
        <f t="shared" si="1"/>
        <v>2558643</v>
      </c>
    </row>
    <row r="32" spans="2:20" ht="36" customHeight="1" x14ac:dyDescent="0.3">
      <c r="B32" s="173" t="s">
        <v>474</v>
      </c>
      <c r="C32" s="182">
        <f>AVERAGE(C6:C29)</f>
        <v>420</v>
      </c>
      <c r="D32" s="184"/>
      <c r="E32" s="182">
        <f>AVERAGE(E6:E29)</f>
        <v>0</v>
      </c>
      <c r="F32" s="184"/>
      <c r="G32" s="182">
        <f>AVERAGE(G6:G29)</f>
        <v>30.75</v>
      </c>
      <c r="H32" s="184"/>
      <c r="I32" s="182">
        <f>AVERAGE(I6:I29)</f>
        <v>404.75</v>
      </c>
      <c r="J32" s="184"/>
      <c r="K32" s="182">
        <f>AVERAGE(K6:K29)</f>
        <v>42.583333333333336</v>
      </c>
      <c r="L32" s="184"/>
      <c r="M32" s="182">
        <f>AVERAGE(M6:M29)</f>
        <v>227.08333333333334</v>
      </c>
      <c r="N32" s="184"/>
      <c r="O32" s="182">
        <f>AVERAGE(O6:O29)</f>
        <v>213.66666666666666</v>
      </c>
      <c r="P32" s="184"/>
      <c r="Q32" s="182">
        <f>AVERAGE(Q6:Q29)</f>
        <v>112.79166666666667</v>
      </c>
      <c r="R32" s="184"/>
      <c r="S32" s="182">
        <f>AVERAGE(S6:S29)</f>
        <v>91.666666666666671</v>
      </c>
      <c r="T32" s="185"/>
    </row>
    <row r="33" spans="1:21" ht="36" customHeight="1" thickBot="1" x14ac:dyDescent="0.35">
      <c r="B33" s="186" t="s">
        <v>475</v>
      </c>
      <c r="C33" s="187">
        <f>SUM(C6:C29)</f>
        <v>10080</v>
      </c>
      <c r="D33" s="188"/>
      <c r="E33" s="187">
        <f>SUM(E6:E29)</f>
        <v>0</v>
      </c>
      <c r="F33" s="188"/>
      <c r="G33" s="187">
        <f>SUM(G6:G29)</f>
        <v>738</v>
      </c>
      <c r="H33" s="188"/>
      <c r="I33" s="187">
        <f>SUM(I6:I29)</f>
        <v>9714</v>
      </c>
      <c r="J33" s="188"/>
      <c r="K33" s="187">
        <f>SUM(K6:K29)</f>
        <v>1022</v>
      </c>
      <c r="L33" s="188"/>
      <c r="M33" s="187">
        <f>SUM(M6:M29)</f>
        <v>5450</v>
      </c>
      <c r="N33" s="188"/>
      <c r="O33" s="187">
        <f>SUM(O6:O29)</f>
        <v>5128</v>
      </c>
      <c r="P33" s="188"/>
      <c r="Q33" s="187">
        <f>SUM(Q6:Q29)</f>
        <v>2707</v>
      </c>
      <c r="R33" s="188"/>
      <c r="S33" s="187">
        <f>SUM(S6:S29)</f>
        <v>2200</v>
      </c>
      <c r="T33" s="189"/>
    </row>
    <row r="34" spans="1:21" ht="9.9499999999999993" customHeight="1" thickBot="1" x14ac:dyDescent="0.35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1:21" ht="51.95" customHeight="1" thickBot="1" x14ac:dyDescent="0.35">
      <c r="A35" s="162"/>
      <c r="B35" s="457" t="s">
        <v>566</v>
      </c>
      <c r="C35" s="458"/>
      <c r="D35" s="458"/>
      <c r="E35" s="458"/>
      <c r="F35" s="458"/>
      <c r="G35" s="458"/>
      <c r="H35" s="458"/>
      <c r="I35" s="458"/>
      <c r="J35" s="458"/>
      <c r="K35" s="458"/>
      <c r="L35" s="458"/>
      <c r="M35" s="458"/>
      <c r="N35" s="458"/>
      <c r="O35" s="458"/>
      <c r="P35" s="458"/>
      <c r="Q35" s="458"/>
      <c r="R35" s="458"/>
      <c r="S35" s="458"/>
      <c r="T35" s="459"/>
      <c r="U35" s="162"/>
    </row>
    <row r="36" spans="1:21" ht="36" customHeight="1" thickTop="1" x14ac:dyDescent="0.3">
      <c r="A36" s="164"/>
      <c r="B36" s="191" t="s">
        <v>433</v>
      </c>
      <c r="C36" s="453" t="str">
        <f>C3</f>
        <v>2025년12월28일  일요일</v>
      </c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  <c r="Q36" s="453"/>
      <c r="R36" s="453"/>
      <c r="S36" s="453"/>
      <c r="T36" s="454"/>
      <c r="U36" s="164"/>
    </row>
    <row r="37" spans="1:21" ht="27.95" customHeight="1" x14ac:dyDescent="0.3">
      <c r="A37" s="165"/>
      <c r="B37" s="451" t="s">
        <v>434</v>
      </c>
      <c r="C37" s="448" t="s">
        <v>218</v>
      </c>
      <c r="D37" s="449"/>
      <c r="E37" s="448" t="s">
        <v>226</v>
      </c>
      <c r="F37" s="449"/>
      <c r="G37" s="448" t="s">
        <v>228</v>
      </c>
      <c r="H37" s="449"/>
      <c r="I37" s="448" t="s">
        <v>567</v>
      </c>
      <c r="J37" s="449"/>
      <c r="K37" s="448" t="s">
        <v>206</v>
      </c>
      <c r="L37" s="449"/>
      <c r="M37" s="448" t="s">
        <v>230</v>
      </c>
      <c r="N37" s="449"/>
      <c r="O37" s="448" t="s">
        <v>568</v>
      </c>
      <c r="P37" s="449"/>
      <c r="Q37" s="448" t="s">
        <v>569</v>
      </c>
      <c r="R37" s="449"/>
      <c r="S37" s="448" t="s">
        <v>240</v>
      </c>
      <c r="T37" s="450"/>
      <c r="U37" s="165"/>
    </row>
    <row r="38" spans="1:21" ht="27.95" customHeight="1" x14ac:dyDescent="0.3">
      <c r="B38" s="452"/>
      <c r="C38" s="166" t="s">
        <v>444</v>
      </c>
      <c r="D38" s="167" t="s">
        <v>445</v>
      </c>
      <c r="E38" s="166" t="s">
        <v>444</v>
      </c>
      <c r="F38" s="167" t="s">
        <v>445</v>
      </c>
      <c r="G38" s="166" t="s">
        <v>444</v>
      </c>
      <c r="H38" s="167" t="s">
        <v>445</v>
      </c>
      <c r="I38" s="166" t="s">
        <v>444</v>
      </c>
      <c r="J38" s="167" t="s">
        <v>445</v>
      </c>
      <c r="K38" s="166" t="s">
        <v>444</v>
      </c>
      <c r="L38" s="167" t="s">
        <v>445</v>
      </c>
      <c r="M38" s="166" t="s">
        <v>444</v>
      </c>
      <c r="N38" s="167" t="s">
        <v>445</v>
      </c>
      <c r="O38" s="166" t="s">
        <v>444</v>
      </c>
      <c r="P38" s="167" t="s">
        <v>445</v>
      </c>
      <c r="Q38" s="166" t="s">
        <v>444</v>
      </c>
      <c r="R38" s="167" t="s">
        <v>445</v>
      </c>
      <c r="S38" s="166" t="s">
        <v>446</v>
      </c>
      <c r="T38" s="168" t="s">
        <v>447</v>
      </c>
    </row>
    <row r="39" spans="1:21" ht="36" customHeight="1" x14ac:dyDescent="0.3">
      <c r="B39" s="169" t="s">
        <v>448</v>
      </c>
      <c r="C39" s="170">
        <v>97</v>
      </c>
      <c r="D39" s="171">
        <v>5275273</v>
      </c>
      <c r="E39" s="170">
        <v>32</v>
      </c>
      <c r="F39" s="171">
        <v>559630</v>
      </c>
      <c r="G39" s="170">
        <v>12</v>
      </c>
      <c r="H39" s="171">
        <v>23235</v>
      </c>
      <c r="I39" s="170">
        <v>22</v>
      </c>
      <c r="J39" s="171">
        <v>1208827</v>
      </c>
      <c r="K39" s="170">
        <v>9</v>
      </c>
      <c r="L39" s="171">
        <v>354252</v>
      </c>
      <c r="M39" s="170">
        <v>20</v>
      </c>
      <c r="N39" s="171">
        <v>250707</v>
      </c>
      <c r="O39" s="170">
        <v>1189</v>
      </c>
      <c r="P39" s="171">
        <v>11802009</v>
      </c>
      <c r="Q39" s="170">
        <v>39</v>
      </c>
      <c r="R39" s="171">
        <v>447095</v>
      </c>
      <c r="S39" s="170">
        <v>305</v>
      </c>
      <c r="T39" s="172">
        <v>5156568</v>
      </c>
    </row>
    <row r="40" spans="1:21" ht="36" customHeight="1" x14ac:dyDescent="0.3">
      <c r="B40" s="173" t="s">
        <v>449</v>
      </c>
      <c r="C40" s="174">
        <v>108</v>
      </c>
      <c r="D40" s="175">
        <v>5275370</v>
      </c>
      <c r="E40" s="174">
        <v>31</v>
      </c>
      <c r="F40" s="175">
        <v>559662</v>
      </c>
      <c r="G40" s="174">
        <v>13</v>
      </c>
      <c r="H40" s="175">
        <v>23247</v>
      </c>
      <c r="I40" s="174">
        <v>18</v>
      </c>
      <c r="J40" s="175">
        <v>1208849</v>
      </c>
      <c r="K40" s="174">
        <v>8</v>
      </c>
      <c r="L40" s="175">
        <v>354261</v>
      </c>
      <c r="M40" s="174">
        <v>17</v>
      </c>
      <c r="N40" s="175">
        <v>250727</v>
      </c>
      <c r="O40" s="174">
        <v>1034</v>
      </c>
      <c r="P40" s="175">
        <v>11803198</v>
      </c>
      <c r="Q40" s="174">
        <v>36</v>
      </c>
      <c r="R40" s="175">
        <v>447134</v>
      </c>
      <c r="S40" s="174">
        <v>304</v>
      </c>
      <c r="T40" s="176">
        <v>5156873</v>
      </c>
    </row>
    <row r="41" spans="1:21" ht="36" customHeight="1" x14ac:dyDescent="0.3">
      <c r="B41" s="173" t="s">
        <v>450</v>
      </c>
      <c r="C41" s="174">
        <v>113</v>
      </c>
      <c r="D41" s="175">
        <v>5275478</v>
      </c>
      <c r="E41" s="174">
        <v>31</v>
      </c>
      <c r="F41" s="175">
        <v>559693</v>
      </c>
      <c r="G41" s="174">
        <v>12</v>
      </c>
      <c r="H41" s="175">
        <v>23260</v>
      </c>
      <c r="I41" s="174">
        <v>12</v>
      </c>
      <c r="J41" s="175">
        <v>1208867</v>
      </c>
      <c r="K41" s="174">
        <v>9</v>
      </c>
      <c r="L41" s="175">
        <v>354269</v>
      </c>
      <c r="M41" s="174">
        <v>16</v>
      </c>
      <c r="N41" s="175">
        <v>250744</v>
      </c>
      <c r="O41" s="174">
        <v>944</v>
      </c>
      <c r="P41" s="175">
        <v>11804232</v>
      </c>
      <c r="Q41" s="174">
        <v>34</v>
      </c>
      <c r="R41" s="175">
        <v>447170</v>
      </c>
      <c r="S41" s="174">
        <v>289</v>
      </c>
      <c r="T41" s="176">
        <v>5157177</v>
      </c>
    </row>
    <row r="42" spans="1:21" ht="36" customHeight="1" x14ac:dyDescent="0.3">
      <c r="B42" s="173" t="s">
        <v>451</v>
      </c>
      <c r="C42" s="174">
        <v>104</v>
      </c>
      <c r="D42" s="175">
        <v>5275591</v>
      </c>
      <c r="E42" s="174">
        <v>31</v>
      </c>
      <c r="F42" s="175">
        <v>559724</v>
      </c>
      <c r="G42" s="174">
        <v>11</v>
      </c>
      <c r="H42" s="175">
        <v>23272</v>
      </c>
      <c r="I42" s="174">
        <v>10</v>
      </c>
      <c r="J42" s="175">
        <v>1208879</v>
      </c>
      <c r="K42" s="174">
        <v>8</v>
      </c>
      <c r="L42" s="175">
        <v>354278</v>
      </c>
      <c r="M42" s="174">
        <v>11</v>
      </c>
      <c r="N42" s="175">
        <v>250760</v>
      </c>
      <c r="O42" s="174">
        <v>904</v>
      </c>
      <c r="P42" s="175">
        <v>11805176</v>
      </c>
      <c r="Q42" s="174">
        <v>32</v>
      </c>
      <c r="R42" s="175">
        <v>447204</v>
      </c>
      <c r="S42" s="174">
        <v>283</v>
      </c>
      <c r="T42" s="176">
        <v>5157466</v>
      </c>
    </row>
    <row r="43" spans="1:21" ht="36" customHeight="1" x14ac:dyDescent="0.3">
      <c r="B43" s="173" t="s">
        <v>452</v>
      </c>
      <c r="C43" s="174">
        <v>96</v>
      </c>
      <c r="D43" s="175">
        <v>5275695</v>
      </c>
      <c r="E43" s="174">
        <v>31</v>
      </c>
      <c r="F43" s="175">
        <v>559755</v>
      </c>
      <c r="G43" s="174">
        <v>11</v>
      </c>
      <c r="H43" s="175">
        <v>23283</v>
      </c>
      <c r="I43" s="174">
        <v>8</v>
      </c>
      <c r="J43" s="175">
        <v>1208889</v>
      </c>
      <c r="K43" s="174">
        <v>7</v>
      </c>
      <c r="L43" s="175">
        <v>354286</v>
      </c>
      <c r="M43" s="174">
        <v>12</v>
      </c>
      <c r="N43" s="175">
        <v>250771</v>
      </c>
      <c r="O43" s="174">
        <v>865</v>
      </c>
      <c r="P43" s="175">
        <v>11806080</v>
      </c>
      <c r="Q43" s="174">
        <v>32</v>
      </c>
      <c r="R43" s="175">
        <v>447236</v>
      </c>
      <c r="S43" s="174">
        <v>278</v>
      </c>
      <c r="T43" s="176">
        <v>5157749</v>
      </c>
    </row>
    <row r="44" spans="1:21" ht="36" customHeight="1" x14ac:dyDescent="0.3">
      <c r="B44" s="173" t="s">
        <v>453</v>
      </c>
      <c r="C44" s="174">
        <v>92</v>
      </c>
      <c r="D44" s="175">
        <v>5275791</v>
      </c>
      <c r="E44" s="174">
        <v>32</v>
      </c>
      <c r="F44" s="175">
        <v>559786</v>
      </c>
      <c r="G44" s="174">
        <v>11</v>
      </c>
      <c r="H44" s="175">
        <v>23294</v>
      </c>
      <c r="I44" s="174">
        <v>8</v>
      </c>
      <c r="J44" s="175">
        <v>1208897</v>
      </c>
      <c r="K44" s="174">
        <v>9</v>
      </c>
      <c r="L44" s="175">
        <v>354293</v>
      </c>
      <c r="M44" s="174">
        <v>11</v>
      </c>
      <c r="N44" s="175">
        <v>250783</v>
      </c>
      <c r="O44" s="174">
        <v>881</v>
      </c>
      <c r="P44" s="175">
        <v>11806945</v>
      </c>
      <c r="Q44" s="174">
        <v>32</v>
      </c>
      <c r="R44" s="175">
        <v>447268</v>
      </c>
      <c r="S44" s="174">
        <v>280</v>
      </c>
      <c r="T44" s="176">
        <v>5158027</v>
      </c>
    </row>
    <row r="45" spans="1:21" ht="36" customHeight="1" x14ac:dyDescent="0.3">
      <c r="B45" s="173" t="s">
        <v>454</v>
      </c>
      <c r="C45" s="174">
        <v>88</v>
      </c>
      <c r="D45" s="175">
        <v>5275883</v>
      </c>
      <c r="E45" s="174">
        <v>33</v>
      </c>
      <c r="F45" s="175">
        <v>559818</v>
      </c>
      <c r="G45" s="174">
        <v>12</v>
      </c>
      <c r="H45" s="175">
        <v>23305</v>
      </c>
      <c r="I45" s="174">
        <v>9</v>
      </c>
      <c r="J45" s="175">
        <v>1208905</v>
      </c>
      <c r="K45" s="174">
        <v>9</v>
      </c>
      <c r="L45" s="175">
        <v>354302</v>
      </c>
      <c r="M45" s="174">
        <v>12</v>
      </c>
      <c r="N45" s="175">
        <v>250794</v>
      </c>
      <c r="O45" s="174">
        <v>921</v>
      </c>
      <c r="P45" s="175">
        <v>11807826</v>
      </c>
      <c r="Q45" s="174">
        <v>32</v>
      </c>
      <c r="R45" s="175">
        <v>447300</v>
      </c>
      <c r="S45" s="174">
        <v>290</v>
      </c>
      <c r="T45" s="176">
        <v>5158307</v>
      </c>
    </row>
    <row r="46" spans="1:21" ht="36" customHeight="1" x14ac:dyDescent="0.3">
      <c r="B46" s="173" t="s">
        <v>455</v>
      </c>
      <c r="C46" s="174">
        <v>93</v>
      </c>
      <c r="D46" s="175">
        <v>5275971</v>
      </c>
      <c r="E46" s="174">
        <v>37</v>
      </c>
      <c r="F46" s="175">
        <v>559851</v>
      </c>
      <c r="G46" s="174">
        <v>12</v>
      </c>
      <c r="H46" s="175">
        <v>23317</v>
      </c>
      <c r="I46" s="174">
        <v>13</v>
      </c>
      <c r="J46" s="175">
        <v>1208914</v>
      </c>
      <c r="K46" s="174">
        <v>11</v>
      </c>
      <c r="L46" s="175">
        <v>354311</v>
      </c>
      <c r="M46" s="174">
        <v>16</v>
      </c>
      <c r="N46" s="175">
        <v>250806</v>
      </c>
      <c r="O46" s="174">
        <v>1014</v>
      </c>
      <c r="P46" s="175">
        <v>11808747</v>
      </c>
      <c r="Q46" s="174">
        <v>37</v>
      </c>
      <c r="R46" s="175">
        <v>447332</v>
      </c>
      <c r="S46" s="174">
        <v>304</v>
      </c>
      <c r="T46" s="176">
        <v>5158597</v>
      </c>
    </row>
    <row r="47" spans="1:21" ht="36" customHeight="1" x14ac:dyDescent="0.3">
      <c r="B47" s="173" t="s">
        <v>456</v>
      </c>
      <c r="C47" s="174">
        <v>102</v>
      </c>
      <c r="D47" s="175">
        <v>5276064</v>
      </c>
      <c r="E47" s="174">
        <v>40</v>
      </c>
      <c r="F47" s="175">
        <v>559888</v>
      </c>
      <c r="G47" s="174">
        <v>13</v>
      </c>
      <c r="H47" s="175">
        <v>23329</v>
      </c>
      <c r="I47" s="174">
        <v>24</v>
      </c>
      <c r="J47" s="175">
        <v>1208927</v>
      </c>
      <c r="K47" s="174">
        <v>10</v>
      </c>
      <c r="L47" s="175">
        <v>354322</v>
      </c>
      <c r="M47" s="174">
        <v>23</v>
      </c>
      <c r="N47" s="175">
        <v>250822</v>
      </c>
      <c r="O47" s="174">
        <v>1185</v>
      </c>
      <c r="P47" s="175">
        <v>11809761</v>
      </c>
      <c r="Q47" s="174">
        <v>45</v>
      </c>
      <c r="R47" s="175">
        <v>447369</v>
      </c>
      <c r="S47" s="174">
        <v>312</v>
      </c>
      <c r="T47" s="176">
        <v>5158901</v>
      </c>
    </row>
    <row r="48" spans="1:21" ht="36" customHeight="1" x14ac:dyDescent="0.3">
      <c r="B48" s="173" t="s">
        <v>457</v>
      </c>
      <c r="C48" s="174">
        <v>105</v>
      </c>
      <c r="D48" s="175">
        <v>5276166</v>
      </c>
      <c r="E48" s="174">
        <v>42</v>
      </c>
      <c r="F48" s="175">
        <v>559928</v>
      </c>
      <c r="G48" s="174">
        <v>12</v>
      </c>
      <c r="H48" s="175">
        <v>23342</v>
      </c>
      <c r="I48" s="174">
        <v>33</v>
      </c>
      <c r="J48" s="175">
        <v>1208951</v>
      </c>
      <c r="K48" s="174">
        <v>10</v>
      </c>
      <c r="L48" s="175">
        <v>354332</v>
      </c>
      <c r="M48" s="174">
        <v>28</v>
      </c>
      <c r="N48" s="175">
        <v>250845</v>
      </c>
      <c r="O48" s="174">
        <v>1341</v>
      </c>
      <c r="P48" s="175">
        <v>11810946</v>
      </c>
      <c r="Q48" s="174">
        <v>52</v>
      </c>
      <c r="R48" s="175">
        <v>447414</v>
      </c>
      <c r="S48" s="174">
        <v>314</v>
      </c>
      <c r="T48" s="176">
        <v>5159213</v>
      </c>
    </row>
    <row r="49" spans="2:20" ht="36" customHeight="1" x14ac:dyDescent="0.3">
      <c r="B49" s="173" t="s">
        <v>458</v>
      </c>
      <c r="C49" s="174">
        <v>88</v>
      </c>
      <c r="D49" s="175">
        <v>5276271</v>
      </c>
      <c r="E49" s="174">
        <v>43</v>
      </c>
      <c r="F49" s="175">
        <v>559970</v>
      </c>
      <c r="G49" s="174">
        <v>15</v>
      </c>
      <c r="H49" s="175">
        <v>23354</v>
      </c>
      <c r="I49" s="174">
        <v>39</v>
      </c>
      <c r="J49" s="175">
        <v>1208984</v>
      </c>
      <c r="K49" s="174">
        <v>12</v>
      </c>
      <c r="L49" s="175">
        <v>354342</v>
      </c>
      <c r="M49" s="174">
        <v>31</v>
      </c>
      <c r="N49" s="175">
        <v>250873</v>
      </c>
      <c r="O49" s="174">
        <v>1547</v>
      </c>
      <c r="P49" s="175">
        <v>11812287</v>
      </c>
      <c r="Q49" s="174">
        <v>55</v>
      </c>
      <c r="R49" s="175">
        <v>447466</v>
      </c>
      <c r="S49" s="174">
        <v>314</v>
      </c>
      <c r="T49" s="176">
        <v>5159527</v>
      </c>
    </row>
    <row r="50" spans="2:20" ht="36" customHeight="1" x14ac:dyDescent="0.3">
      <c r="B50" s="173" t="s">
        <v>459</v>
      </c>
      <c r="C50" s="174">
        <v>97</v>
      </c>
      <c r="D50" s="175">
        <v>5276359</v>
      </c>
      <c r="E50" s="174">
        <v>42</v>
      </c>
      <c r="F50" s="175">
        <v>560013</v>
      </c>
      <c r="G50" s="174">
        <v>16</v>
      </c>
      <c r="H50" s="175">
        <v>23369</v>
      </c>
      <c r="I50" s="174">
        <v>41</v>
      </c>
      <c r="J50" s="175">
        <v>1209023</v>
      </c>
      <c r="K50" s="174">
        <v>11</v>
      </c>
      <c r="L50" s="175">
        <v>354354</v>
      </c>
      <c r="M50" s="174">
        <v>35</v>
      </c>
      <c r="N50" s="175">
        <v>250904</v>
      </c>
      <c r="O50" s="174">
        <v>1584</v>
      </c>
      <c r="P50" s="175">
        <v>11813834</v>
      </c>
      <c r="Q50" s="174">
        <v>57</v>
      </c>
      <c r="R50" s="175">
        <v>447521</v>
      </c>
      <c r="S50" s="174">
        <v>312</v>
      </c>
      <c r="T50" s="176">
        <v>5159841</v>
      </c>
    </row>
    <row r="51" spans="2:20" ht="36" customHeight="1" x14ac:dyDescent="0.3">
      <c r="B51" s="173" t="s">
        <v>460</v>
      </c>
      <c r="C51" s="174">
        <v>98</v>
      </c>
      <c r="D51" s="175">
        <v>5276456</v>
      </c>
      <c r="E51" s="174">
        <v>41</v>
      </c>
      <c r="F51" s="175">
        <v>560055</v>
      </c>
      <c r="G51" s="174">
        <v>14</v>
      </c>
      <c r="H51" s="175">
        <v>23385</v>
      </c>
      <c r="I51" s="174">
        <v>41</v>
      </c>
      <c r="J51" s="175">
        <v>1209064</v>
      </c>
      <c r="K51" s="174">
        <v>12</v>
      </c>
      <c r="L51" s="175">
        <v>354365</v>
      </c>
      <c r="M51" s="174">
        <v>35</v>
      </c>
      <c r="N51" s="175">
        <v>250939</v>
      </c>
      <c r="O51" s="174">
        <v>1465</v>
      </c>
      <c r="P51" s="175">
        <v>11815418</v>
      </c>
      <c r="Q51" s="174">
        <v>55</v>
      </c>
      <c r="R51" s="175">
        <v>447578</v>
      </c>
      <c r="S51" s="174">
        <v>312</v>
      </c>
      <c r="T51" s="176">
        <v>5160153</v>
      </c>
    </row>
    <row r="52" spans="2:20" ht="36" customHeight="1" x14ac:dyDescent="0.3">
      <c r="B52" s="173" t="s">
        <v>461</v>
      </c>
      <c r="C52" s="174">
        <v>106</v>
      </c>
      <c r="D52" s="175">
        <v>5276554</v>
      </c>
      <c r="E52" s="174">
        <v>43</v>
      </c>
      <c r="F52" s="175">
        <v>560096</v>
      </c>
      <c r="G52" s="174">
        <v>14</v>
      </c>
      <c r="H52" s="175">
        <v>23399</v>
      </c>
      <c r="I52" s="174">
        <v>40</v>
      </c>
      <c r="J52" s="175">
        <v>1209105</v>
      </c>
      <c r="K52" s="174">
        <v>15</v>
      </c>
      <c r="L52" s="175">
        <v>354377</v>
      </c>
      <c r="M52" s="174">
        <v>36</v>
      </c>
      <c r="N52" s="175">
        <v>250974</v>
      </c>
      <c r="O52" s="174">
        <v>1513</v>
      </c>
      <c r="P52" s="175">
        <v>11816883</v>
      </c>
      <c r="Q52" s="174">
        <v>54</v>
      </c>
      <c r="R52" s="175">
        <v>447633</v>
      </c>
      <c r="S52" s="174">
        <v>310</v>
      </c>
      <c r="T52" s="176">
        <v>5160465</v>
      </c>
    </row>
    <row r="53" spans="2:20" ht="36" customHeight="1" x14ac:dyDescent="0.3">
      <c r="B53" s="173" t="s">
        <v>462</v>
      </c>
      <c r="C53" s="174">
        <v>106</v>
      </c>
      <c r="D53" s="175">
        <v>5276660</v>
      </c>
      <c r="E53" s="174">
        <v>42</v>
      </c>
      <c r="F53" s="175">
        <v>560139</v>
      </c>
      <c r="G53" s="174">
        <v>13</v>
      </c>
      <c r="H53" s="175">
        <v>23413</v>
      </c>
      <c r="I53" s="174">
        <v>36</v>
      </c>
      <c r="J53" s="175">
        <v>1209145</v>
      </c>
      <c r="K53" s="174">
        <v>18</v>
      </c>
      <c r="L53" s="175">
        <v>354392</v>
      </c>
      <c r="M53" s="174">
        <v>32</v>
      </c>
      <c r="N53" s="175">
        <v>251010</v>
      </c>
      <c r="O53" s="174">
        <v>1476</v>
      </c>
      <c r="P53" s="175">
        <v>11818396</v>
      </c>
      <c r="Q53" s="174">
        <v>52</v>
      </c>
      <c r="R53" s="175">
        <v>447687</v>
      </c>
      <c r="S53" s="174">
        <v>310</v>
      </c>
      <c r="T53" s="176">
        <v>5160775</v>
      </c>
    </row>
    <row r="54" spans="2:20" ht="36" customHeight="1" x14ac:dyDescent="0.3">
      <c r="B54" s="173" t="s">
        <v>463</v>
      </c>
      <c r="C54" s="174">
        <v>112</v>
      </c>
      <c r="D54" s="175">
        <v>5276766</v>
      </c>
      <c r="E54" s="174">
        <v>41</v>
      </c>
      <c r="F54" s="175">
        <v>560181</v>
      </c>
      <c r="G54" s="174">
        <v>13</v>
      </c>
      <c r="H54" s="175">
        <v>23426</v>
      </c>
      <c r="I54" s="174">
        <v>33</v>
      </c>
      <c r="J54" s="175">
        <v>1209181</v>
      </c>
      <c r="K54" s="174">
        <v>17</v>
      </c>
      <c r="L54" s="175">
        <v>354410</v>
      </c>
      <c r="M54" s="174">
        <v>30</v>
      </c>
      <c r="N54" s="175">
        <v>251042</v>
      </c>
      <c r="O54" s="174">
        <v>1460</v>
      </c>
      <c r="P54" s="175">
        <v>11819872</v>
      </c>
      <c r="Q54" s="174">
        <v>53</v>
      </c>
      <c r="R54" s="175">
        <v>447739</v>
      </c>
      <c r="S54" s="174">
        <v>310</v>
      </c>
      <c r="T54" s="176">
        <v>5161085</v>
      </c>
    </row>
    <row r="55" spans="2:20" ht="36" customHeight="1" x14ac:dyDescent="0.3">
      <c r="B55" s="173" t="s">
        <v>464</v>
      </c>
      <c r="C55" s="174">
        <v>104</v>
      </c>
      <c r="D55" s="175">
        <v>5276878</v>
      </c>
      <c r="E55" s="174">
        <v>40</v>
      </c>
      <c r="F55" s="175">
        <v>560222</v>
      </c>
      <c r="G55" s="174">
        <v>12</v>
      </c>
      <c r="H55" s="175">
        <v>23439</v>
      </c>
      <c r="I55" s="174">
        <v>32</v>
      </c>
      <c r="J55" s="175">
        <v>1209214</v>
      </c>
      <c r="K55" s="174">
        <v>15</v>
      </c>
      <c r="L55" s="175">
        <v>354427</v>
      </c>
      <c r="M55" s="174">
        <v>29</v>
      </c>
      <c r="N55" s="175">
        <v>251072</v>
      </c>
      <c r="O55" s="174">
        <v>1441</v>
      </c>
      <c r="P55" s="175">
        <v>11821332</v>
      </c>
      <c r="Q55" s="174">
        <v>54</v>
      </c>
      <c r="R55" s="175">
        <v>447792</v>
      </c>
      <c r="S55" s="174">
        <v>310</v>
      </c>
      <c r="T55" s="176">
        <v>5161395</v>
      </c>
    </row>
    <row r="56" spans="2:20" ht="36" customHeight="1" x14ac:dyDescent="0.3">
      <c r="B56" s="173" t="s">
        <v>465</v>
      </c>
      <c r="C56" s="174">
        <v>103</v>
      </c>
      <c r="D56" s="175">
        <v>5276982</v>
      </c>
      <c r="E56" s="174">
        <v>41</v>
      </c>
      <c r="F56" s="175">
        <v>560262</v>
      </c>
      <c r="G56" s="174">
        <v>13</v>
      </c>
      <c r="H56" s="175">
        <v>23451</v>
      </c>
      <c r="I56" s="174">
        <v>35</v>
      </c>
      <c r="J56" s="175">
        <v>1209246</v>
      </c>
      <c r="K56" s="174">
        <v>12</v>
      </c>
      <c r="L56" s="175">
        <v>354442</v>
      </c>
      <c r="M56" s="174">
        <v>29</v>
      </c>
      <c r="N56" s="175">
        <v>251101</v>
      </c>
      <c r="O56" s="174">
        <v>1531</v>
      </c>
      <c r="P56" s="175">
        <v>11822773</v>
      </c>
      <c r="Q56" s="174">
        <v>55</v>
      </c>
      <c r="R56" s="175">
        <v>447846</v>
      </c>
      <c r="S56" s="174">
        <v>310</v>
      </c>
      <c r="T56" s="176">
        <v>5161705</v>
      </c>
    </row>
    <row r="57" spans="2:20" ht="36" customHeight="1" x14ac:dyDescent="0.3">
      <c r="B57" s="173" t="s">
        <v>466</v>
      </c>
      <c r="C57" s="174">
        <v>108</v>
      </c>
      <c r="D57" s="175">
        <v>5277085</v>
      </c>
      <c r="E57" s="174">
        <v>43</v>
      </c>
      <c r="F57" s="175">
        <v>560303</v>
      </c>
      <c r="G57" s="174">
        <v>13</v>
      </c>
      <c r="H57" s="175">
        <v>23464</v>
      </c>
      <c r="I57" s="174">
        <v>40</v>
      </c>
      <c r="J57" s="175">
        <v>1209281</v>
      </c>
      <c r="K57" s="174">
        <v>13</v>
      </c>
      <c r="L57" s="175">
        <v>354454</v>
      </c>
      <c r="M57" s="174">
        <v>31</v>
      </c>
      <c r="N57" s="175">
        <v>251130</v>
      </c>
      <c r="O57" s="174">
        <v>1615</v>
      </c>
      <c r="P57" s="175">
        <v>11824304</v>
      </c>
      <c r="Q57" s="174">
        <v>53</v>
      </c>
      <c r="R57" s="175">
        <v>447901</v>
      </c>
      <c r="S57" s="174">
        <v>311</v>
      </c>
      <c r="T57" s="176">
        <v>5162015</v>
      </c>
    </row>
    <row r="58" spans="2:20" ht="36" customHeight="1" x14ac:dyDescent="0.3">
      <c r="B58" s="173" t="s">
        <v>467</v>
      </c>
      <c r="C58" s="174">
        <v>112</v>
      </c>
      <c r="D58" s="175">
        <v>5277193</v>
      </c>
      <c r="E58" s="174">
        <v>42</v>
      </c>
      <c r="F58" s="175">
        <v>560346</v>
      </c>
      <c r="G58" s="174">
        <v>13</v>
      </c>
      <c r="H58" s="175">
        <v>23477</v>
      </c>
      <c r="I58" s="174">
        <v>42</v>
      </c>
      <c r="J58" s="175">
        <v>1209321</v>
      </c>
      <c r="K58" s="174">
        <v>12</v>
      </c>
      <c r="L58" s="175">
        <v>354467</v>
      </c>
      <c r="M58" s="174">
        <v>31</v>
      </c>
      <c r="N58" s="175">
        <v>251161</v>
      </c>
      <c r="O58" s="174">
        <v>1624</v>
      </c>
      <c r="P58" s="175">
        <v>11825919</v>
      </c>
      <c r="Q58" s="174">
        <v>55</v>
      </c>
      <c r="R58" s="175">
        <v>447954</v>
      </c>
      <c r="S58" s="174">
        <v>310</v>
      </c>
      <c r="T58" s="176">
        <v>5162326</v>
      </c>
    </row>
    <row r="59" spans="2:20" ht="36" customHeight="1" x14ac:dyDescent="0.3">
      <c r="B59" s="173" t="s">
        <v>468</v>
      </c>
      <c r="C59" s="174">
        <v>122</v>
      </c>
      <c r="D59" s="175">
        <v>5277305</v>
      </c>
      <c r="E59" s="174">
        <v>39</v>
      </c>
      <c r="F59" s="175">
        <v>560388</v>
      </c>
      <c r="G59" s="174">
        <v>12</v>
      </c>
      <c r="H59" s="175">
        <v>23490</v>
      </c>
      <c r="I59" s="174">
        <v>44</v>
      </c>
      <c r="J59" s="175">
        <v>1209363</v>
      </c>
      <c r="K59" s="174">
        <v>12</v>
      </c>
      <c r="L59" s="175">
        <v>354479</v>
      </c>
      <c r="M59" s="174">
        <v>31</v>
      </c>
      <c r="N59" s="175">
        <v>251192</v>
      </c>
      <c r="O59" s="174">
        <v>1559</v>
      </c>
      <c r="P59" s="175">
        <v>11827543</v>
      </c>
      <c r="Q59" s="174">
        <v>56</v>
      </c>
      <c r="R59" s="175">
        <v>448009</v>
      </c>
      <c r="S59" s="174">
        <v>309</v>
      </c>
      <c r="T59" s="176">
        <v>5162636</v>
      </c>
    </row>
    <row r="60" spans="2:20" ht="36" customHeight="1" x14ac:dyDescent="0.3">
      <c r="B60" s="173" t="s">
        <v>469</v>
      </c>
      <c r="C60" s="174">
        <v>110</v>
      </c>
      <c r="D60" s="175">
        <v>5277427</v>
      </c>
      <c r="E60" s="174">
        <v>38</v>
      </c>
      <c r="F60" s="175">
        <v>560427</v>
      </c>
      <c r="G60" s="174">
        <v>13</v>
      </c>
      <c r="H60" s="175">
        <v>23502</v>
      </c>
      <c r="I60" s="174">
        <v>43</v>
      </c>
      <c r="J60" s="175">
        <v>1209407</v>
      </c>
      <c r="K60" s="174">
        <v>10</v>
      </c>
      <c r="L60" s="175">
        <v>354491</v>
      </c>
      <c r="M60" s="174">
        <v>31</v>
      </c>
      <c r="N60" s="175">
        <v>251223</v>
      </c>
      <c r="O60" s="174">
        <v>1488</v>
      </c>
      <c r="P60" s="175">
        <v>11829102</v>
      </c>
      <c r="Q60" s="174">
        <v>56</v>
      </c>
      <c r="R60" s="175">
        <v>448065</v>
      </c>
      <c r="S60" s="174">
        <v>307</v>
      </c>
      <c r="T60" s="176">
        <v>5162945</v>
      </c>
    </row>
    <row r="61" spans="2:20" ht="36" customHeight="1" x14ac:dyDescent="0.3">
      <c r="B61" s="173" t="s">
        <v>470</v>
      </c>
      <c r="C61" s="174">
        <v>98</v>
      </c>
      <c r="D61" s="175">
        <v>5277537</v>
      </c>
      <c r="E61" s="174">
        <v>35</v>
      </c>
      <c r="F61" s="175">
        <v>560465</v>
      </c>
      <c r="G61" s="174">
        <v>14</v>
      </c>
      <c r="H61" s="175">
        <v>23515</v>
      </c>
      <c r="I61" s="174">
        <v>41</v>
      </c>
      <c r="J61" s="175">
        <v>1209450</v>
      </c>
      <c r="K61" s="174">
        <v>10</v>
      </c>
      <c r="L61" s="175">
        <v>354501</v>
      </c>
      <c r="M61" s="174">
        <v>29</v>
      </c>
      <c r="N61" s="175">
        <v>251254</v>
      </c>
      <c r="O61" s="174">
        <v>1379</v>
      </c>
      <c r="P61" s="175">
        <v>11830590</v>
      </c>
      <c r="Q61" s="174">
        <v>50</v>
      </c>
      <c r="R61" s="175">
        <v>448121</v>
      </c>
      <c r="S61" s="174">
        <v>307</v>
      </c>
      <c r="T61" s="176">
        <v>5163252</v>
      </c>
    </row>
    <row r="62" spans="2:20" ht="36" customHeight="1" thickBot="1" x14ac:dyDescent="0.35">
      <c r="B62" s="177" t="s">
        <v>471</v>
      </c>
      <c r="C62" s="178">
        <v>112</v>
      </c>
      <c r="D62" s="179">
        <v>5277635</v>
      </c>
      <c r="E62" s="178">
        <v>33</v>
      </c>
      <c r="F62" s="179">
        <v>560500</v>
      </c>
      <c r="G62" s="178">
        <v>13</v>
      </c>
      <c r="H62" s="179">
        <v>23529</v>
      </c>
      <c r="I62" s="178">
        <v>35</v>
      </c>
      <c r="J62" s="179">
        <v>1209491</v>
      </c>
      <c r="K62" s="178">
        <v>8</v>
      </c>
      <c r="L62" s="179">
        <v>354511</v>
      </c>
      <c r="M62" s="178">
        <v>23</v>
      </c>
      <c r="N62" s="179">
        <v>251283</v>
      </c>
      <c r="O62" s="178">
        <v>1354</v>
      </c>
      <c r="P62" s="179">
        <v>11831969</v>
      </c>
      <c r="Q62" s="178">
        <v>44</v>
      </c>
      <c r="R62" s="179">
        <v>448171</v>
      </c>
      <c r="S62" s="178">
        <v>306</v>
      </c>
      <c r="T62" s="180">
        <v>5163559</v>
      </c>
    </row>
    <row r="63" spans="2:20" ht="36" customHeight="1" thickTop="1" x14ac:dyDescent="0.3">
      <c r="B63" s="181" t="s">
        <v>472</v>
      </c>
      <c r="C63" s="182">
        <f t="shared" ref="C63:T63" si="2">MIN(C39:C62)</f>
        <v>88</v>
      </c>
      <c r="D63" s="182">
        <f t="shared" si="2"/>
        <v>5275273</v>
      </c>
      <c r="E63" s="182">
        <f t="shared" si="2"/>
        <v>31</v>
      </c>
      <c r="F63" s="182">
        <f t="shared" si="2"/>
        <v>559630</v>
      </c>
      <c r="G63" s="182">
        <f t="shared" si="2"/>
        <v>11</v>
      </c>
      <c r="H63" s="182">
        <f t="shared" si="2"/>
        <v>23235</v>
      </c>
      <c r="I63" s="182">
        <f t="shared" si="2"/>
        <v>8</v>
      </c>
      <c r="J63" s="182">
        <f t="shared" si="2"/>
        <v>1208827</v>
      </c>
      <c r="K63" s="182">
        <f t="shared" si="2"/>
        <v>7</v>
      </c>
      <c r="L63" s="182">
        <f t="shared" si="2"/>
        <v>354252</v>
      </c>
      <c r="M63" s="182">
        <f t="shared" si="2"/>
        <v>11</v>
      </c>
      <c r="N63" s="182">
        <f t="shared" si="2"/>
        <v>250707</v>
      </c>
      <c r="O63" s="182">
        <f t="shared" si="2"/>
        <v>865</v>
      </c>
      <c r="P63" s="182">
        <f t="shared" si="2"/>
        <v>11802009</v>
      </c>
      <c r="Q63" s="182">
        <f t="shared" si="2"/>
        <v>32</v>
      </c>
      <c r="R63" s="182">
        <f t="shared" si="2"/>
        <v>447095</v>
      </c>
      <c r="S63" s="182">
        <f t="shared" si="2"/>
        <v>278</v>
      </c>
      <c r="T63" s="183">
        <f t="shared" si="2"/>
        <v>5156568</v>
      </c>
    </row>
    <row r="64" spans="2:20" ht="36" customHeight="1" x14ac:dyDescent="0.3">
      <c r="B64" s="173" t="s">
        <v>473</v>
      </c>
      <c r="C64" s="182">
        <f t="shared" ref="C64:T64" si="3">MAX(C39:C62)</f>
        <v>122</v>
      </c>
      <c r="D64" s="182">
        <f t="shared" si="3"/>
        <v>5277635</v>
      </c>
      <c r="E64" s="182">
        <f t="shared" si="3"/>
        <v>43</v>
      </c>
      <c r="F64" s="182">
        <f t="shared" si="3"/>
        <v>560500</v>
      </c>
      <c r="G64" s="182">
        <f t="shared" si="3"/>
        <v>16</v>
      </c>
      <c r="H64" s="182">
        <f t="shared" si="3"/>
        <v>23529</v>
      </c>
      <c r="I64" s="182">
        <f t="shared" si="3"/>
        <v>44</v>
      </c>
      <c r="J64" s="182">
        <f t="shared" si="3"/>
        <v>1209491</v>
      </c>
      <c r="K64" s="182">
        <f t="shared" si="3"/>
        <v>18</v>
      </c>
      <c r="L64" s="182">
        <f t="shared" si="3"/>
        <v>354511</v>
      </c>
      <c r="M64" s="182">
        <f t="shared" si="3"/>
        <v>36</v>
      </c>
      <c r="N64" s="182">
        <f t="shared" si="3"/>
        <v>251283</v>
      </c>
      <c r="O64" s="182">
        <f t="shared" si="3"/>
        <v>1624</v>
      </c>
      <c r="P64" s="182">
        <f t="shared" si="3"/>
        <v>11831969</v>
      </c>
      <c r="Q64" s="182">
        <f t="shared" si="3"/>
        <v>57</v>
      </c>
      <c r="R64" s="182">
        <f t="shared" si="3"/>
        <v>448171</v>
      </c>
      <c r="S64" s="182">
        <f t="shared" si="3"/>
        <v>314</v>
      </c>
      <c r="T64" s="183">
        <f t="shared" si="3"/>
        <v>5163559</v>
      </c>
    </row>
    <row r="65" spans="2:20" ht="36" customHeight="1" x14ac:dyDescent="0.3">
      <c r="B65" s="173" t="s">
        <v>474</v>
      </c>
      <c r="C65" s="182">
        <f>AVERAGE(C39:C62)</f>
        <v>103.08333333333333</v>
      </c>
      <c r="D65" s="184"/>
      <c r="E65" s="182">
        <f>AVERAGE(E39:E62)</f>
        <v>37.625</v>
      </c>
      <c r="F65" s="184"/>
      <c r="G65" s="182">
        <f>AVERAGE(G39:G62)</f>
        <v>12.791666666666666</v>
      </c>
      <c r="H65" s="184"/>
      <c r="I65" s="182">
        <f>AVERAGE(I39:I62)</f>
        <v>29.125</v>
      </c>
      <c r="J65" s="184"/>
      <c r="K65" s="182">
        <f>AVERAGE(K39:K62)</f>
        <v>11.125</v>
      </c>
      <c r="L65" s="184"/>
      <c r="M65" s="182">
        <f>AVERAGE(M39:M62)</f>
        <v>24.958333333333332</v>
      </c>
      <c r="N65" s="184"/>
      <c r="O65" s="182">
        <f>AVERAGE(O39:O62)</f>
        <v>1304.75</v>
      </c>
      <c r="P65" s="184"/>
      <c r="Q65" s="182">
        <f>AVERAGE(Q39:Q62)</f>
        <v>46.666666666666664</v>
      </c>
      <c r="R65" s="184"/>
      <c r="S65" s="182">
        <f>AVERAGE(S39:S62)</f>
        <v>304.04166666666669</v>
      </c>
      <c r="T65" s="185"/>
    </row>
    <row r="66" spans="2:20" ht="36" customHeight="1" thickBot="1" x14ac:dyDescent="0.35">
      <c r="B66" s="186" t="s">
        <v>475</v>
      </c>
      <c r="C66" s="187">
        <f>SUM(C39:C62)</f>
        <v>2474</v>
      </c>
      <c r="D66" s="188"/>
      <c r="E66" s="187">
        <f>SUM(E39:E62)</f>
        <v>903</v>
      </c>
      <c r="F66" s="188"/>
      <c r="G66" s="187">
        <f>SUM(G39:G62)</f>
        <v>307</v>
      </c>
      <c r="H66" s="188"/>
      <c r="I66" s="187">
        <f>SUM(I39:I62)</f>
        <v>699</v>
      </c>
      <c r="J66" s="188"/>
      <c r="K66" s="187">
        <f>SUM(K39:K62)</f>
        <v>267</v>
      </c>
      <c r="L66" s="188"/>
      <c r="M66" s="187">
        <f>SUM(M39:M62)</f>
        <v>599</v>
      </c>
      <c r="N66" s="188"/>
      <c r="O66" s="187">
        <f>SUM(O39:O62)</f>
        <v>31314</v>
      </c>
      <c r="P66" s="188"/>
      <c r="Q66" s="187">
        <f>SUM(Q39:Q62)</f>
        <v>1120</v>
      </c>
      <c r="R66" s="188"/>
      <c r="S66" s="187">
        <f>SUM(S39:S62)</f>
        <v>7297</v>
      </c>
      <c r="T66" s="189"/>
    </row>
    <row r="67" spans="2:20" ht="9.9499999999999993" customHeight="1" thickBot="1" x14ac:dyDescent="0.35"/>
    <row r="68" spans="2:20" s="162" customFormat="1" ht="51.95" customHeight="1" thickBot="1" x14ac:dyDescent="0.35">
      <c r="B68" s="460" t="s">
        <v>566</v>
      </c>
      <c r="C68" s="461"/>
      <c r="D68" s="461"/>
      <c r="E68" s="461"/>
      <c r="F68" s="461"/>
      <c r="G68" s="461"/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2"/>
    </row>
    <row r="69" spans="2:20" s="164" customFormat="1" ht="36" customHeight="1" thickTop="1" x14ac:dyDescent="0.3">
      <c r="B69" s="163" t="s">
        <v>433</v>
      </c>
      <c r="C69" s="453" t="str">
        <f>C3</f>
        <v>2025년12월28일  일요일</v>
      </c>
      <c r="D69" s="453"/>
      <c r="E69" s="453"/>
      <c r="F69" s="453"/>
      <c r="G69" s="453"/>
      <c r="H69" s="453"/>
      <c r="I69" s="453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4"/>
    </row>
    <row r="70" spans="2:20" s="165" customFormat="1" ht="27.95" customHeight="1" x14ac:dyDescent="0.3">
      <c r="B70" s="455" t="s">
        <v>434</v>
      </c>
      <c r="C70" s="448" t="s">
        <v>238</v>
      </c>
      <c r="D70" s="449"/>
      <c r="E70" s="448" t="s">
        <v>570</v>
      </c>
      <c r="F70" s="449"/>
      <c r="G70" s="448" t="s">
        <v>571</v>
      </c>
      <c r="H70" s="449"/>
      <c r="I70" s="448" t="s">
        <v>572</v>
      </c>
      <c r="J70" s="449"/>
      <c r="K70" s="448"/>
      <c r="L70" s="449"/>
      <c r="M70" s="448"/>
      <c r="N70" s="449"/>
      <c r="O70" s="448"/>
      <c r="P70" s="449"/>
      <c r="Q70" s="448"/>
      <c r="R70" s="449"/>
      <c r="S70" s="448"/>
      <c r="T70" s="450"/>
    </row>
    <row r="71" spans="2:20" ht="27.95" customHeight="1" x14ac:dyDescent="0.3">
      <c r="B71" s="456"/>
      <c r="C71" s="166" t="s">
        <v>444</v>
      </c>
      <c r="D71" s="167" t="s">
        <v>445</v>
      </c>
      <c r="E71" s="166" t="s">
        <v>444</v>
      </c>
      <c r="F71" s="167" t="s">
        <v>445</v>
      </c>
      <c r="G71" s="166" t="s">
        <v>444</v>
      </c>
      <c r="H71" s="167" t="s">
        <v>445</v>
      </c>
      <c r="I71" s="166" t="s">
        <v>444</v>
      </c>
      <c r="J71" s="167" t="s">
        <v>445</v>
      </c>
      <c r="K71" s="166" t="s">
        <v>444</v>
      </c>
      <c r="L71" s="167" t="s">
        <v>445</v>
      </c>
      <c r="M71" s="166" t="s">
        <v>444</v>
      </c>
      <c r="N71" s="167" t="s">
        <v>445</v>
      </c>
      <c r="O71" s="166" t="s">
        <v>444</v>
      </c>
      <c r="P71" s="167" t="s">
        <v>445</v>
      </c>
      <c r="Q71" s="166" t="s">
        <v>444</v>
      </c>
      <c r="R71" s="167" t="s">
        <v>445</v>
      </c>
      <c r="S71" s="166" t="s">
        <v>446</v>
      </c>
      <c r="T71" s="168" t="s">
        <v>447</v>
      </c>
    </row>
    <row r="72" spans="2:20" ht="36" customHeight="1" x14ac:dyDescent="0.3">
      <c r="B72" s="169" t="s">
        <v>448</v>
      </c>
      <c r="C72" s="170">
        <v>0</v>
      </c>
      <c r="D72" s="171">
        <v>424819</v>
      </c>
      <c r="E72" s="170">
        <v>631</v>
      </c>
      <c r="F72" s="171">
        <v>4888123</v>
      </c>
      <c r="G72" s="170">
        <v>30</v>
      </c>
      <c r="H72" s="171">
        <v>288231</v>
      </c>
      <c r="I72" s="170">
        <v>1</v>
      </c>
      <c r="J72" s="171">
        <v>57690</v>
      </c>
      <c r="K72" s="170"/>
      <c r="L72" s="171"/>
      <c r="M72" s="170"/>
      <c r="N72" s="171"/>
      <c r="O72" s="170"/>
      <c r="P72" s="171"/>
      <c r="Q72" s="170"/>
      <c r="R72" s="171"/>
      <c r="S72" s="170"/>
      <c r="T72" s="172"/>
    </row>
    <row r="73" spans="2:20" ht="36" customHeight="1" x14ac:dyDescent="0.3">
      <c r="B73" s="173" t="s">
        <v>449</v>
      </c>
      <c r="C73" s="174">
        <v>0</v>
      </c>
      <c r="D73" s="175">
        <v>424819</v>
      </c>
      <c r="E73" s="174">
        <v>617</v>
      </c>
      <c r="F73" s="175">
        <v>4888754</v>
      </c>
      <c r="G73" s="174">
        <v>30</v>
      </c>
      <c r="H73" s="175">
        <v>288261</v>
      </c>
      <c r="I73" s="174">
        <v>11</v>
      </c>
      <c r="J73" s="175">
        <v>57691</v>
      </c>
      <c r="K73" s="174"/>
      <c r="L73" s="175"/>
      <c r="M73" s="174"/>
      <c r="N73" s="175"/>
      <c r="O73" s="174"/>
      <c r="P73" s="175"/>
      <c r="Q73" s="174"/>
      <c r="R73" s="175"/>
      <c r="S73" s="174"/>
      <c r="T73" s="176"/>
    </row>
    <row r="74" spans="2:20" ht="36" customHeight="1" x14ac:dyDescent="0.3">
      <c r="B74" s="173" t="s">
        <v>450</v>
      </c>
      <c r="C74" s="174">
        <v>0</v>
      </c>
      <c r="D74" s="175">
        <v>424819</v>
      </c>
      <c r="E74" s="174">
        <v>361</v>
      </c>
      <c r="F74" s="175">
        <v>4889371</v>
      </c>
      <c r="G74" s="174">
        <v>30</v>
      </c>
      <c r="H74" s="175">
        <v>288291</v>
      </c>
      <c r="I74" s="174">
        <v>0</v>
      </c>
      <c r="J74" s="175">
        <v>57702</v>
      </c>
      <c r="K74" s="174"/>
      <c r="L74" s="175"/>
      <c r="M74" s="174"/>
      <c r="N74" s="175"/>
      <c r="O74" s="174"/>
      <c r="P74" s="175"/>
      <c r="Q74" s="174"/>
      <c r="R74" s="175"/>
      <c r="S74" s="174"/>
      <c r="T74" s="176"/>
    </row>
    <row r="75" spans="2:20" ht="36" customHeight="1" x14ac:dyDescent="0.3">
      <c r="B75" s="173" t="s">
        <v>451</v>
      </c>
      <c r="C75" s="174">
        <v>0</v>
      </c>
      <c r="D75" s="175">
        <v>424819</v>
      </c>
      <c r="E75" s="174">
        <v>278</v>
      </c>
      <c r="F75" s="175">
        <v>4889732</v>
      </c>
      <c r="G75" s="174">
        <v>29</v>
      </c>
      <c r="H75" s="175">
        <v>288321</v>
      </c>
      <c r="I75" s="174">
        <v>0</v>
      </c>
      <c r="J75" s="175">
        <v>57702</v>
      </c>
      <c r="K75" s="174"/>
      <c r="L75" s="175"/>
      <c r="M75" s="174"/>
      <c r="N75" s="175"/>
      <c r="O75" s="174"/>
      <c r="P75" s="175"/>
      <c r="Q75" s="174"/>
      <c r="R75" s="175"/>
      <c r="S75" s="174"/>
      <c r="T75" s="176"/>
    </row>
    <row r="76" spans="2:20" ht="36" customHeight="1" x14ac:dyDescent="0.3">
      <c r="B76" s="173" t="s">
        <v>452</v>
      </c>
      <c r="C76" s="174">
        <v>0</v>
      </c>
      <c r="D76" s="175">
        <v>424819</v>
      </c>
      <c r="E76" s="174">
        <v>279</v>
      </c>
      <c r="F76" s="175">
        <v>4890010</v>
      </c>
      <c r="G76" s="174">
        <v>30</v>
      </c>
      <c r="H76" s="175">
        <v>288350</v>
      </c>
      <c r="I76" s="174">
        <v>3</v>
      </c>
      <c r="J76" s="175">
        <v>57702</v>
      </c>
      <c r="K76" s="174"/>
      <c r="L76" s="175"/>
      <c r="M76" s="174"/>
      <c r="N76" s="175"/>
      <c r="O76" s="174"/>
      <c r="P76" s="175"/>
      <c r="Q76" s="174"/>
      <c r="R76" s="175"/>
      <c r="S76" s="174"/>
      <c r="T76" s="176"/>
    </row>
    <row r="77" spans="2:20" ht="36" customHeight="1" x14ac:dyDescent="0.3">
      <c r="B77" s="173" t="s">
        <v>453</v>
      </c>
      <c r="C77" s="174">
        <v>0</v>
      </c>
      <c r="D77" s="175">
        <v>424819</v>
      </c>
      <c r="E77" s="174">
        <v>331</v>
      </c>
      <c r="F77" s="175">
        <v>4890289</v>
      </c>
      <c r="G77" s="174">
        <v>30</v>
      </c>
      <c r="H77" s="175">
        <v>288380</v>
      </c>
      <c r="I77" s="174">
        <v>10</v>
      </c>
      <c r="J77" s="175">
        <v>57705</v>
      </c>
      <c r="K77" s="174"/>
      <c r="L77" s="175"/>
      <c r="M77" s="174"/>
      <c r="N77" s="175"/>
      <c r="O77" s="174"/>
      <c r="P77" s="175"/>
      <c r="Q77" s="174"/>
      <c r="R77" s="175"/>
      <c r="S77" s="174"/>
      <c r="T77" s="176"/>
    </row>
    <row r="78" spans="2:20" ht="36" customHeight="1" x14ac:dyDescent="0.3">
      <c r="B78" s="173" t="s">
        <v>454</v>
      </c>
      <c r="C78" s="174">
        <v>0</v>
      </c>
      <c r="D78" s="175">
        <v>424819</v>
      </c>
      <c r="E78" s="174">
        <v>480</v>
      </c>
      <c r="F78" s="175">
        <v>4890620</v>
      </c>
      <c r="G78" s="174">
        <v>31</v>
      </c>
      <c r="H78" s="175">
        <v>288410</v>
      </c>
      <c r="I78" s="174">
        <v>1</v>
      </c>
      <c r="J78" s="175">
        <v>57715</v>
      </c>
      <c r="K78" s="174"/>
      <c r="L78" s="175"/>
      <c r="M78" s="174"/>
      <c r="N78" s="175"/>
      <c r="O78" s="174"/>
      <c r="P78" s="175"/>
      <c r="Q78" s="174"/>
      <c r="R78" s="175"/>
      <c r="S78" s="174"/>
      <c r="T78" s="176"/>
    </row>
    <row r="79" spans="2:20" ht="36" customHeight="1" x14ac:dyDescent="0.3">
      <c r="B79" s="173" t="s">
        <v>455</v>
      </c>
      <c r="C79" s="174">
        <v>0</v>
      </c>
      <c r="D79" s="175">
        <v>424819</v>
      </c>
      <c r="E79" s="174">
        <v>520</v>
      </c>
      <c r="F79" s="175">
        <v>4891100</v>
      </c>
      <c r="G79" s="174">
        <v>31</v>
      </c>
      <c r="H79" s="175">
        <v>288441</v>
      </c>
      <c r="I79" s="174">
        <v>2</v>
      </c>
      <c r="J79" s="175">
        <v>57716</v>
      </c>
      <c r="K79" s="174"/>
      <c r="L79" s="175"/>
      <c r="M79" s="174"/>
      <c r="N79" s="175"/>
      <c r="O79" s="174"/>
      <c r="P79" s="175"/>
      <c r="Q79" s="174"/>
      <c r="R79" s="175"/>
      <c r="S79" s="174"/>
      <c r="T79" s="176"/>
    </row>
    <row r="80" spans="2:20" ht="36" customHeight="1" x14ac:dyDescent="0.3">
      <c r="B80" s="173" t="s">
        <v>456</v>
      </c>
      <c r="C80" s="174">
        <v>0</v>
      </c>
      <c r="D80" s="175">
        <v>424819</v>
      </c>
      <c r="E80" s="174">
        <v>634</v>
      </c>
      <c r="F80" s="175">
        <v>4891620</v>
      </c>
      <c r="G80" s="174">
        <v>33</v>
      </c>
      <c r="H80" s="175">
        <v>288472</v>
      </c>
      <c r="I80" s="174">
        <v>1</v>
      </c>
      <c r="J80" s="175">
        <v>57718</v>
      </c>
      <c r="K80" s="174"/>
      <c r="L80" s="175"/>
      <c r="M80" s="174"/>
      <c r="N80" s="175"/>
      <c r="O80" s="174"/>
      <c r="P80" s="175"/>
      <c r="Q80" s="174"/>
      <c r="R80" s="175"/>
      <c r="S80" s="174"/>
      <c r="T80" s="176"/>
    </row>
    <row r="81" spans="2:20" ht="36" customHeight="1" x14ac:dyDescent="0.3">
      <c r="B81" s="173" t="s">
        <v>457</v>
      </c>
      <c r="C81" s="174">
        <v>0</v>
      </c>
      <c r="D81" s="175">
        <v>424819</v>
      </c>
      <c r="E81" s="174">
        <v>649</v>
      </c>
      <c r="F81" s="175">
        <v>4892254</v>
      </c>
      <c r="G81" s="174">
        <v>34</v>
      </c>
      <c r="H81" s="175">
        <v>288505</v>
      </c>
      <c r="I81" s="174">
        <v>12</v>
      </c>
      <c r="J81" s="175">
        <v>57719</v>
      </c>
      <c r="K81" s="174"/>
      <c r="L81" s="175"/>
      <c r="M81" s="174"/>
      <c r="N81" s="175"/>
      <c r="O81" s="174"/>
      <c r="P81" s="175"/>
      <c r="Q81" s="174"/>
      <c r="R81" s="175"/>
      <c r="S81" s="174"/>
      <c r="T81" s="176"/>
    </row>
    <row r="82" spans="2:20" ht="36" customHeight="1" x14ac:dyDescent="0.3">
      <c r="B82" s="173" t="s">
        <v>458</v>
      </c>
      <c r="C82" s="174">
        <v>0</v>
      </c>
      <c r="D82" s="175">
        <v>424819</v>
      </c>
      <c r="E82" s="174">
        <v>686</v>
      </c>
      <c r="F82" s="175">
        <v>4892903</v>
      </c>
      <c r="G82" s="174">
        <v>35</v>
      </c>
      <c r="H82" s="175">
        <v>288539</v>
      </c>
      <c r="I82" s="174">
        <v>0</v>
      </c>
      <c r="J82" s="175">
        <v>57731</v>
      </c>
      <c r="K82" s="174"/>
      <c r="L82" s="175"/>
      <c r="M82" s="174"/>
      <c r="N82" s="175"/>
      <c r="O82" s="174"/>
      <c r="P82" s="175"/>
      <c r="Q82" s="174"/>
      <c r="R82" s="175"/>
      <c r="S82" s="174"/>
      <c r="T82" s="176"/>
    </row>
    <row r="83" spans="2:20" ht="36" customHeight="1" x14ac:dyDescent="0.3">
      <c r="B83" s="173" t="s">
        <v>459</v>
      </c>
      <c r="C83" s="174">
        <v>0</v>
      </c>
      <c r="D83" s="175">
        <v>424819</v>
      </c>
      <c r="E83" s="174">
        <v>571</v>
      </c>
      <c r="F83" s="175">
        <v>4893589</v>
      </c>
      <c r="G83" s="174">
        <v>33</v>
      </c>
      <c r="H83" s="175">
        <v>288574</v>
      </c>
      <c r="I83" s="174">
        <v>0</v>
      </c>
      <c r="J83" s="175">
        <v>57731</v>
      </c>
      <c r="K83" s="174"/>
      <c r="L83" s="175"/>
      <c r="M83" s="174"/>
      <c r="N83" s="175"/>
      <c r="O83" s="174"/>
      <c r="P83" s="175"/>
      <c r="Q83" s="174"/>
      <c r="R83" s="175"/>
      <c r="S83" s="174"/>
      <c r="T83" s="176"/>
    </row>
    <row r="84" spans="2:20" ht="36" customHeight="1" x14ac:dyDescent="0.3">
      <c r="B84" s="173" t="s">
        <v>460</v>
      </c>
      <c r="C84" s="174">
        <v>0</v>
      </c>
      <c r="D84" s="175">
        <v>424819</v>
      </c>
      <c r="E84" s="174">
        <v>606</v>
      </c>
      <c r="F84" s="175">
        <v>4894160</v>
      </c>
      <c r="G84" s="174">
        <v>33</v>
      </c>
      <c r="H84" s="175">
        <v>288607</v>
      </c>
      <c r="I84" s="174">
        <v>14</v>
      </c>
      <c r="J84" s="175">
        <v>57731</v>
      </c>
      <c r="K84" s="174"/>
      <c r="L84" s="175"/>
      <c r="M84" s="174"/>
      <c r="N84" s="175"/>
      <c r="O84" s="174"/>
      <c r="P84" s="175"/>
      <c r="Q84" s="174"/>
      <c r="R84" s="175"/>
      <c r="S84" s="174"/>
      <c r="T84" s="176"/>
    </row>
    <row r="85" spans="2:20" ht="36" customHeight="1" x14ac:dyDescent="0.3">
      <c r="B85" s="173" t="s">
        <v>461</v>
      </c>
      <c r="C85" s="174">
        <v>0</v>
      </c>
      <c r="D85" s="175">
        <v>424819</v>
      </c>
      <c r="E85" s="174">
        <v>635</v>
      </c>
      <c r="F85" s="175">
        <v>4894766</v>
      </c>
      <c r="G85" s="174">
        <v>33</v>
      </c>
      <c r="H85" s="175">
        <v>288640</v>
      </c>
      <c r="I85" s="174">
        <v>17</v>
      </c>
      <c r="J85" s="175">
        <v>57745</v>
      </c>
      <c r="K85" s="174"/>
      <c r="L85" s="175"/>
      <c r="M85" s="174"/>
      <c r="N85" s="175"/>
      <c r="O85" s="174"/>
      <c r="P85" s="175"/>
      <c r="Q85" s="174"/>
      <c r="R85" s="175"/>
      <c r="S85" s="174"/>
      <c r="T85" s="176"/>
    </row>
    <row r="86" spans="2:20" ht="36" customHeight="1" x14ac:dyDescent="0.3">
      <c r="B86" s="173" t="s">
        <v>462</v>
      </c>
      <c r="C86" s="174">
        <v>0</v>
      </c>
      <c r="D86" s="175">
        <v>424819</v>
      </c>
      <c r="E86" s="174">
        <v>740</v>
      </c>
      <c r="F86" s="175">
        <v>4895401</v>
      </c>
      <c r="G86" s="174">
        <v>33</v>
      </c>
      <c r="H86" s="175">
        <v>288673</v>
      </c>
      <c r="I86" s="174">
        <v>5</v>
      </c>
      <c r="J86" s="175">
        <v>57762</v>
      </c>
      <c r="K86" s="174"/>
      <c r="L86" s="175"/>
      <c r="M86" s="174"/>
      <c r="N86" s="175"/>
      <c r="O86" s="174"/>
      <c r="P86" s="175"/>
      <c r="Q86" s="174"/>
      <c r="R86" s="175"/>
      <c r="S86" s="174"/>
      <c r="T86" s="176"/>
    </row>
    <row r="87" spans="2:20" ht="36" customHeight="1" x14ac:dyDescent="0.3">
      <c r="B87" s="173" t="s">
        <v>463</v>
      </c>
      <c r="C87" s="174">
        <v>0</v>
      </c>
      <c r="D87" s="175">
        <v>424819</v>
      </c>
      <c r="E87" s="174">
        <v>712</v>
      </c>
      <c r="F87" s="175">
        <v>4896141</v>
      </c>
      <c r="G87" s="174">
        <v>32</v>
      </c>
      <c r="H87" s="175">
        <v>288706</v>
      </c>
      <c r="I87" s="174">
        <v>8</v>
      </c>
      <c r="J87" s="175">
        <v>57767</v>
      </c>
      <c r="K87" s="174"/>
      <c r="L87" s="175"/>
      <c r="M87" s="174"/>
      <c r="N87" s="175"/>
      <c r="O87" s="174"/>
      <c r="P87" s="175"/>
      <c r="Q87" s="174"/>
      <c r="R87" s="175"/>
      <c r="S87" s="174"/>
      <c r="T87" s="176"/>
    </row>
    <row r="88" spans="2:20" ht="36" customHeight="1" x14ac:dyDescent="0.3">
      <c r="B88" s="173" t="s">
        <v>464</v>
      </c>
      <c r="C88" s="174">
        <v>0</v>
      </c>
      <c r="D88" s="175">
        <v>424819</v>
      </c>
      <c r="E88" s="174">
        <v>650</v>
      </c>
      <c r="F88" s="175">
        <v>4896853</v>
      </c>
      <c r="G88" s="174">
        <v>32</v>
      </c>
      <c r="H88" s="175">
        <v>288738</v>
      </c>
      <c r="I88" s="174">
        <v>0</v>
      </c>
      <c r="J88" s="175">
        <v>57775</v>
      </c>
      <c r="K88" s="174"/>
      <c r="L88" s="175"/>
      <c r="M88" s="174"/>
      <c r="N88" s="175"/>
      <c r="O88" s="174"/>
      <c r="P88" s="175"/>
      <c r="Q88" s="174"/>
      <c r="R88" s="175"/>
      <c r="S88" s="174"/>
      <c r="T88" s="176"/>
    </row>
    <row r="89" spans="2:20" ht="36" customHeight="1" x14ac:dyDescent="0.3">
      <c r="B89" s="173" t="s">
        <v>465</v>
      </c>
      <c r="C89" s="174">
        <v>0</v>
      </c>
      <c r="D89" s="175">
        <v>424819</v>
      </c>
      <c r="E89" s="174">
        <v>669</v>
      </c>
      <c r="F89" s="175">
        <v>4897503</v>
      </c>
      <c r="G89" s="174">
        <v>32</v>
      </c>
      <c r="H89" s="175">
        <v>288770</v>
      </c>
      <c r="I89" s="174">
        <v>14</v>
      </c>
      <c r="J89" s="175">
        <v>57775</v>
      </c>
      <c r="K89" s="174"/>
      <c r="L89" s="175"/>
      <c r="M89" s="174"/>
      <c r="N89" s="175"/>
      <c r="O89" s="174"/>
      <c r="P89" s="175"/>
      <c r="Q89" s="174"/>
      <c r="R89" s="175"/>
      <c r="S89" s="174"/>
      <c r="T89" s="176"/>
    </row>
    <row r="90" spans="2:20" ht="36" customHeight="1" x14ac:dyDescent="0.3">
      <c r="B90" s="173" t="s">
        <v>466</v>
      </c>
      <c r="C90" s="174">
        <v>0</v>
      </c>
      <c r="D90" s="175">
        <v>424819</v>
      </c>
      <c r="E90" s="174">
        <v>981</v>
      </c>
      <c r="F90" s="175">
        <v>4898172</v>
      </c>
      <c r="G90" s="174">
        <v>32</v>
      </c>
      <c r="H90" s="175">
        <v>288802</v>
      </c>
      <c r="I90" s="174">
        <v>0</v>
      </c>
      <c r="J90" s="175">
        <v>57789</v>
      </c>
      <c r="K90" s="174"/>
      <c r="L90" s="175"/>
      <c r="M90" s="174"/>
      <c r="N90" s="175"/>
      <c r="O90" s="174"/>
      <c r="P90" s="175"/>
      <c r="Q90" s="174"/>
      <c r="R90" s="175"/>
      <c r="S90" s="174"/>
      <c r="T90" s="176"/>
    </row>
    <row r="91" spans="2:20" ht="36" customHeight="1" x14ac:dyDescent="0.3">
      <c r="B91" s="173" t="s">
        <v>467</v>
      </c>
      <c r="C91" s="174">
        <v>0</v>
      </c>
      <c r="D91" s="175">
        <v>424819</v>
      </c>
      <c r="E91" s="174">
        <v>761</v>
      </c>
      <c r="F91" s="175">
        <v>4899153</v>
      </c>
      <c r="G91" s="174">
        <v>32</v>
      </c>
      <c r="H91" s="175">
        <v>288834</v>
      </c>
      <c r="I91" s="174">
        <v>3</v>
      </c>
      <c r="J91" s="175">
        <v>57789</v>
      </c>
      <c r="K91" s="174"/>
      <c r="L91" s="175"/>
      <c r="M91" s="174"/>
      <c r="N91" s="175"/>
      <c r="O91" s="174"/>
      <c r="P91" s="175"/>
      <c r="Q91" s="174"/>
      <c r="R91" s="175"/>
      <c r="S91" s="174"/>
      <c r="T91" s="176"/>
    </row>
    <row r="92" spans="2:20" ht="36" customHeight="1" x14ac:dyDescent="0.3">
      <c r="B92" s="173" t="s">
        <v>468</v>
      </c>
      <c r="C92" s="174">
        <v>0</v>
      </c>
      <c r="D92" s="175">
        <v>424819</v>
      </c>
      <c r="E92" s="174">
        <v>977</v>
      </c>
      <c r="F92" s="175">
        <v>4899914</v>
      </c>
      <c r="G92" s="174">
        <v>31</v>
      </c>
      <c r="H92" s="175">
        <v>288866</v>
      </c>
      <c r="I92" s="174">
        <v>11</v>
      </c>
      <c r="J92" s="175">
        <v>57792</v>
      </c>
      <c r="K92" s="174"/>
      <c r="L92" s="175"/>
      <c r="M92" s="174"/>
      <c r="N92" s="175"/>
      <c r="O92" s="174"/>
      <c r="P92" s="175"/>
      <c r="Q92" s="174"/>
      <c r="R92" s="175"/>
      <c r="S92" s="174"/>
      <c r="T92" s="176"/>
    </row>
    <row r="93" spans="2:20" ht="36" customHeight="1" x14ac:dyDescent="0.3">
      <c r="B93" s="173" t="s">
        <v>469</v>
      </c>
      <c r="C93" s="174">
        <v>0</v>
      </c>
      <c r="D93" s="175">
        <v>424819</v>
      </c>
      <c r="E93" s="174">
        <v>811</v>
      </c>
      <c r="F93" s="175">
        <v>4900891</v>
      </c>
      <c r="G93" s="174">
        <v>31</v>
      </c>
      <c r="H93" s="175">
        <v>288897</v>
      </c>
      <c r="I93" s="174">
        <v>0</v>
      </c>
      <c r="J93" s="175">
        <v>57803</v>
      </c>
      <c r="K93" s="174"/>
      <c r="L93" s="175"/>
      <c r="M93" s="174"/>
      <c r="N93" s="175"/>
      <c r="O93" s="174"/>
      <c r="P93" s="175"/>
      <c r="Q93" s="174"/>
      <c r="R93" s="175"/>
      <c r="S93" s="174"/>
      <c r="T93" s="176"/>
    </row>
    <row r="94" spans="2:20" ht="36" customHeight="1" x14ac:dyDescent="0.3">
      <c r="B94" s="173" t="s">
        <v>470</v>
      </c>
      <c r="C94" s="174">
        <v>0</v>
      </c>
      <c r="D94" s="175">
        <v>424819</v>
      </c>
      <c r="E94" s="174">
        <v>629</v>
      </c>
      <c r="F94" s="175">
        <v>4901702</v>
      </c>
      <c r="G94" s="174">
        <v>31</v>
      </c>
      <c r="H94" s="175">
        <v>288928</v>
      </c>
      <c r="I94" s="174">
        <v>8</v>
      </c>
      <c r="J94" s="175">
        <v>57803</v>
      </c>
      <c r="K94" s="174"/>
      <c r="L94" s="175"/>
      <c r="M94" s="174"/>
      <c r="N94" s="175"/>
      <c r="O94" s="174"/>
      <c r="P94" s="175"/>
      <c r="Q94" s="174"/>
      <c r="R94" s="175"/>
      <c r="S94" s="174"/>
      <c r="T94" s="176"/>
    </row>
    <row r="95" spans="2:20" ht="36" customHeight="1" thickBot="1" x14ac:dyDescent="0.35">
      <c r="B95" s="177" t="s">
        <v>471</v>
      </c>
      <c r="C95" s="178">
        <v>0</v>
      </c>
      <c r="D95" s="179">
        <v>424819</v>
      </c>
      <c r="E95" s="178">
        <v>468</v>
      </c>
      <c r="F95" s="179">
        <v>4902331</v>
      </c>
      <c r="G95" s="178">
        <v>30</v>
      </c>
      <c r="H95" s="179">
        <v>288959</v>
      </c>
      <c r="I95" s="178">
        <v>5</v>
      </c>
      <c r="J95" s="179">
        <v>57811</v>
      </c>
      <c r="K95" s="178"/>
      <c r="L95" s="179"/>
      <c r="M95" s="178"/>
      <c r="N95" s="179"/>
      <c r="O95" s="178"/>
      <c r="P95" s="179"/>
      <c r="Q95" s="178"/>
      <c r="R95" s="179"/>
      <c r="S95" s="178"/>
      <c r="T95" s="180"/>
    </row>
    <row r="96" spans="2:20" ht="36" customHeight="1" thickTop="1" x14ac:dyDescent="0.3">
      <c r="B96" s="181" t="s">
        <v>472</v>
      </c>
      <c r="C96" s="182">
        <f t="shared" ref="C96:T96" si="4">MIN(C72:C95)</f>
        <v>0</v>
      </c>
      <c r="D96" s="182">
        <f t="shared" si="4"/>
        <v>424819</v>
      </c>
      <c r="E96" s="182">
        <f t="shared" si="4"/>
        <v>278</v>
      </c>
      <c r="F96" s="182">
        <f t="shared" si="4"/>
        <v>4888123</v>
      </c>
      <c r="G96" s="182">
        <f t="shared" si="4"/>
        <v>29</v>
      </c>
      <c r="H96" s="182">
        <f t="shared" si="4"/>
        <v>288231</v>
      </c>
      <c r="I96" s="182">
        <f t="shared" si="4"/>
        <v>0</v>
      </c>
      <c r="J96" s="182">
        <f t="shared" si="4"/>
        <v>57690</v>
      </c>
      <c r="K96" s="182">
        <f t="shared" si="4"/>
        <v>0</v>
      </c>
      <c r="L96" s="182">
        <f t="shared" si="4"/>
        <v>0</v>
      </c>
      <c r="M96" s="182">
        <f t="shared" si="4"/>
        <v>0</v>
      </c>
      <c r="N96" s="182">
        <f t="shared" si="4"/>
        <v>0</v>
      </c>
      <c r="O96" s="182">
        <f t="shared" si="4"/>
        <v>0</v>
      </c>
      <c r="P96" s="182">
        <f t="shared" si="4"/>
        <v>0</v>
      </c>
      <c r="Q96" s="182">
        <f t="shared" si="4"/>
        <v>0</v>
      </c>
      <c r="R96" s="182">
        <f t="shared" si="4"/>
        <v>0</v>
      </c>
      <c r="S96" s="182">
        <f t="shared" si="4"/>
        <v>0</v>
      </c>
      <c r="T96" s="183">
        <f t="shared" si="4"/>
        <v>0</v>
      </c>
    </row>
    <row r="97" spans="1:21" ht="36" customHeight="1" x14ac:dyDescent="0.3">
      <c r="B97" s="173" t="s">
        <v>473</v>
      </c>
      <c r="C97" s="182">
        <f t="shared" ref="C97:T97" si="5">MAX(C72:C95)</f>
        <v>0</v>
      </c>
      <c r="D97" s="182">
        <f t="shared" si="5"/>
        <v>424819</v>
      </c>
      <c r="E97" s="182">
        <f t="shared" si="5"/>
        <v>981</v>
      </c>
      <c r="F97" s="182">
        <f t="shared" si="5"/>
        <v>4902331</v>
      </c>
      <c r="G97" s="182">
        <f t="shared" si="5"/>
        <v>35</v>
      </c>
      <c r="H97" s="182">
        <f t="shared" si="5"/>
        <v>288959</v>
      </c>
      <c r="I97" s="182">
        <f t="shared" si="5"/>
        <v>17</v>
      </c>
      <c r="J97" s="182">
        <f t="shared" si="5"/>
        <v>57811</v>
      </c>
      <c r="K97" s="182">
        <f t="shared" si="5"/>
        <v>0</v>
      </c>
      <c r="L97" s="182">
        <f t="shared" si="5"/>
        <v>0</v>
      </c>
      <c r="M97" s="182">
        <f t="shared" si="5"/>
        <v>0</v>
      </c>
      <c r="N97" s="182">
        <f t="shared" si="5"/>
        <v>0</v>
      </c>
      <c r="O97" s="182">
        <f t="shared" si="5"/>
        <v>0</v>
      </c>
      <c r="P97" s="182">
        <f t="shared" si="5"/>
        <v>0</v>
      </c>
      <c r="Q97" s="182">
        <f t="shared" si="5"/>
        <v>0</v>
      </c>
      <c r="R97" s="182">
        <f t="shared" si="5"/>
        <v>0</v>
      </c>
      <c r="S97" s="182">
        <f t="shared" si="5"/>
        <v>0</v>
      </c>
      <c r="T97" s="183">
        <f t="shared" si="5"/>
        <v>0</v>
      </c>
    </row>
    <row r="98" spans="1:21" ht="36" customHeight="1" x14ac:dyDescent="0.3">
      <c r="B98" s="173" t="s">
        <v>474</v>
      </c>
      <c r="C98" s="182">
        <f>AVERAGE(C72:C95)</f>
        <v>0</v>
      </c>
      <c r="D98" s="184"/>
      <c r="E98" s="182">
        <f>AVERAGE(E72:E95)</f>
        <v>611.5</v>
      </c>
      <c r="F98" s="184"/>
      <c r="G98" s="182">
        <f>AVERAGE(G72:G95)</f>
        <v>31.583333333333332</v>
      </c>
      <c r="H98" s="184"/>
      <c r="I98" s="182">
        <f>AVERAGE(I72:I95)</f>
        <v>5.25</v>
      </c>
      <c r="J98" s="184"/>
      <c r="K98" s="182" t="e">
        <f>AVERAGE(K72:K95)</f>
        <v>#DIV/0!</v>
      </c>
      <c r="L98" s="184"/>
      <c r="M98" s="182" t="e">
        <f>AVERAGE(M72:M95)</f>
        <v>#DIV/0!</v>
      </c>
      <c r="N98" s="184"/>
      <c r="O98" s="182" t="e">
        <f>AVERAGE(O72:O95)</f>
        <v>#DIV/0!</v>
      </c>
      <c r="P98" s="184"/>
      <c r="Q98" s="182" t="e">
        <f>AVERAGE(Q72:Q95)</f>
        <v>#DIV/0!</v>
      </c>
      <c r="R98" s="184"/>
      <c r="S98" s="182" t="e">
        <f>AVERAGE(S72:S95)</f>
        <v>#DIV/0!</v>
      </c>
      <c r="T98" s="185"/>
    </row>
    <row r="99" spans="1:21" ht="36" customHeight="1" thickBot="1" x14ac:dyDescent="0.35">
      <c r="B99" s="186" t="s">
        <v>475</v>
      </c>
      <c r="C99" s="187">
        <f>SUM(C72:C95)</f>
        <v>0</v>
      </c>
      <c r="D99" s="188"/>
      <c r="E99" s="187">
        <f>SUM(E72:E95)</f>
        <v>14676</v>
      </c>
      <c r="F99" s="188"/>
      <c r="G99" s="187">
        <f>SUM(G72:G95)</f>
        <v>758</v>
      </c>
      <c r="H99" s="188"/>
      <c r="I99" s="187">
        <f>SUM(I72:I95)</f>
        <v>126</v>
      </c>
      <c r="J99" s="188"/>
      <c r="K99" s="187">
        <f>SUM(K72:K95)</f>
        <v>0</v>
      </c>
      <c r="L99" s="188"/>
      <c r="M99" s="187">
        <f>SUM(M72:M95)</f>
        <v>0</v>
      </c>
      <c r="N99" s="188"/>
      <c r="O99" s="187">
        <f>SUM(O72:O95)</f>
        <v>0</v>
      </c>
      <c r="P99" s="188"/>
      <c r="Q99" s="187">
        <f>SUM(Q72:Q95)</f>
        <v>0</v>
      </c>
      <c r="R99" s="188"/>
      <c r="S99" s="187">
        <f>SUM(S72:S95)</f>
        <v>0</v>
      </c>
      <c r="T99" s="189"/>
    </row>
    <row r="100" spans="1:21" ht="9.9499999999999993" customHeight="1" thickBot="1" x14ac:dyDescent="0.35"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</row>
    <row r="101" spans="1:21" ht="51.95" customHeight="1" thickBot="1" x14ac:dyDescent="0.35">
      <c r="A101" s="162"/>
      <c r="B101" s="457" t="s">
        <v>566</v>
      </c>
      <c r="C101" s="458"/>
      <c r="D101" s="458"/>
      <c r="E101" s="458"/>
      <c r="F101" s="458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458"/>
      <c r="R101" s="458"/>
      <c r="S101" s="458"/>
      <c r="T101" s="459"/>
      <c r="U101" s="162"/>
    </row>
    <row r="102" spans="1:21" ht="36" customHeight="1" thickTop="1" x14ac:dyDescent="0.3">
      <c r="A102" s="164"/>
      <c r="B102" s="191" t="s">
        <v>433</v>
      </c>
      <c r="C102" s="453" t="str">
        <f>C3</f>
        <v>2025년12월28일  일요일</v>
      </c>
      <c r="D102" s="453"/>
      <c r="E102" s="453"/>
      <c r="F102" s="453"/>
      <c r="G102" s="453"/>
      <c r="H102" s="453"/>
      <c r="I102" s="453"/>
      <c r="J102" s="453"/>
      <c r="K102" s="453"/>
      <c r="L102" s="453"/>
      <c r="M102" s="453"/>
      <c r="N102" s="453"/>
      <c r="O102" s="453"/>
      <c r="P102" s="453"/>
      <c r="Q102" s="453"/>
      <c r="R102" s="453"/>
      <c r="S102" s="453"/>
      <c r="T102" s="454"/>
      <c r="U102" s="164"/>
    </row>
    <row r="103" spans="1:21" ht="27.95" customHeight="1" x14ac:dyDescent="0.3">
      <c r="A103" s="165"/>
      <c r="B103" s="451" t="s">
        <v>434</v>
      </c>
      <c r="C103" s="448"/>
      <c r="D103" s="449"/>
      <c r="E103" s="448"/>
      <c r="F103" s="449"/>
      <c r="G103" s="448"/>
      <c r="H103" s="449"/>
      <c r="I103" s="448"/>
      <c r="J103" s="449"/>
      <c r="K103" s="448"/>
      <c r="L103" s="449"/>
      <c r="M103" s="448"/>
      <c r="N103" s="449"/>
      <c r="O103" s="448"/>
      <c r="P103" s="449"/>
      <c r="Q103" s="448"/>
      <c r="R103" s="449"/>
      <c r="S103" s="448"/>
      <c r="T103" s="450"/>
      <c r="U103" s="165"/>
    </row>
    <row r="104" spans="1:21" ht="27.95" customHeight="1" x14ac:dyDescent="0.3">
      <c r="B104" s="452"/>
      <c r="C104" s="166" t="s">
        <v>444</v>
      </c>
      <c r="D104" s="167" t="s">
        <v>445</v>
      </c>
      <c r="E104" s="166" t="s">
        <v>444</v>
      </c>
      <c r="F104" s="167" t="s">
        <v>445</v>
      </c>
      <c r="G104" s="166" t="s">
        <v>444</v>
      </c>
      <c r="H104" s="167" t="s">
        <v>445</v>
      </c>
      <c r="I104" s="166" t="s">
        <v>444</v>
      </c>
      <c r="J104" s="167" t="s">
        <v>445</v>
      </c>
      <c r="K104" s="166" t="s">
        <v>444</v>
      </c>
      <c r="L104" s="167" t="s">
        <v>445</v>
      </c>
      <c r="M104" s="166" t="s">
        <v>444</v>
      </c>
      <c r="N104" s="167" t="s">
        <v>445</v>
      </c>
      <c r="O104" s="166" t="s">
        <v>444</v>
      </c>
      <c r="P104" s="167" t="s">
        <v>445</v>
      </c>
      <c r="Q104" s="166" t="s">
        <v>444</v>
      </c>
      <c r="R104" s="167" t="s">
        <v>445</v>
      </c>
      <c r="S104" s="166" t="s">
        <v>446</v>
      </c>
      <c r="T104" s="168" t="s">
        <v>447</v>
      </c>
    </row>
    <row r="105" spans="1:21" ht="36" customHeight="1" x14ac:dyDescent="0.3">
      <c r="B105" s="169" t="s">
        <v>448</v>
      </c>
      <c r="C105" s="170"/>
      <c r="D105" s="171"/>
      <c r="E105" s="170"/>
      <c r="F105" s="171"/>
      <c r="G105" s="170"/>
      <c r="H105" s="171"/>
      <c r="I105" s="170"/>
      <c r="J105" s="171"/>
      <c r="K105" s="170"/>
      <c r="L105" s="171"/>
      <c r="M105" s="170"/>
      <c r="N105" s="171"/>
      <c r="O105" s="170"/>
      <c r="P105" s="171"/>
      <c r="Q105" s="170"/>
      <c r="R105" s="171"/>
      <c r="S105" s="170"/>
      <c r="T105" s="172"/>
    </row>
    <row r="106" spans="1:21" ht="36" customHeight="1" x14ac:dyDescent="0.3">
      <c r="B106" s="173" t="s">
        <v>449</v>
      </c>
      <c r="C106" s="174"/>
      <c r="D106" s="175"/>
      <c r="E106" s="174"/>
      <c r="F106" s="175"/>
      <c r="G106" s="174"/>
      <c r="H106" s="175"/>
      <c r="I106" s="174"/>
      <c r="J106" s="175"/>
      <c r="K106" s="174"/>
      <c r="L106" s="175"/>
      <c r="M106" s="174"/>
      <c r="N106" s="175"/>
      <c r="O106" s="174"/>
      <c r="P106" s="175"/>
      <c r="Q106" s="174"/>
      <c r="R106" s="175"/>
      <c r="S106" s="174"/>
      <c r="T106" s="176"/>
    </row>
    <row r="107" spans="1:21" ht="36" customHeight="1" x14ac:dyDescent="0.3">
      <c r="B107" s="173" t="s">
        <v>450</v>
      </c>
      <c r="C107" s="174"/>
      <c r="D107" s="175"/>
      <c r="E107" s="174"/>
      <c r="F107" s="175"/>
      <c r="G107" s="174"/>
      <c r="H107" s="175"/>
      <c r="I107" s="174"/>
      <c r="J107" s="175"/>
      <c r="K107" s="174"/>
      <c r="L107" s="175"/>
      <c r="M107" s="174"/>
      <c r="N107" s="175"/>
      <c r="O107" s="174"/>
      <c r="P107" s="175"/>
      <c r="Q107" s="174"/>
      <c r="R107" s="175"/>
      <c r="S107" s="174"/>
      <c r="T107" s="176"/>
    </row>
    <row r="108" spans="1:21" ht="36" customHeight="1" x14ac:dyDescent="0.3">
      <c r="B108" s="173" t="s">
        <v>451</v>
      </c>
      <c r="C108" s="174"/>
      <c r="D108" s="175"/>
      <c r="E108" s="174"/>
      <c r="F108" s="175"/>
      <c r="G108" s="174"/>
      <c r="H108" s="175"/>
      <c r="I108" s="174"/>
      <c r="J108" s="175"/>
      <c r="K108" s="174"/>
      <c r="L108" s="175"/>
      <c r="M108" s="174"/>
      <c r="N108" s="175"/>
      <c r="O108" s="174"/>
      <c r="P108" s="175"/>
      <c r="Q108" s="174"/>
      <c r="R108" s="175"/>
      <c r="S108" s="174"/>
      <c r="T108" s="176"/>
    </row>
    <row r="109" spans="1:21" ht="36" customHeight="1" x14ac:dyDescent="0.3">
      <c r="B109" s="173" t="s">
        <v>452</v>
      </c>
      <c r="C109" s="174"/>
      <c r="D109" s="175"/>
      <c r="E109" s="174"/>
      <c r="F109" s="175"/>
      <c r="G109" s="174"/>
      <c r="H109" s="175"/>
      <c r="I109" s="174"/>
      <c r="J109" s="175"/>
      <c r="K109" s="174"/>
      <c r="L109" s="175"/>
      <c r="M109" s="174"/>
      <c r="N109" s="175"/>
      <c r="O109" s="174"/>
      <c r="P109" s="175"/>
      <c r="Q109" s="174"/>
      <c r="R109" s="175"/>
      <c r="S109" s="174"/>
      <c r="T109" s="176"/>
    </row>
    <row r="110" spans="1:21" ht="36" customHeight="1" x14ac:dyDescent="0.3">
      <c r="B110" s="173" t="s">
        <v>453</v>
      </c>
      <c r="C110" s="174"/>
      <c r="D110" s="175"/>
      <c r="E110" s="174"/>
      <c r="F110" s="175"/>
      <c r="G110" s="174"/>
      <c r="H110" s="175"/>
      <c r="I110" s="174"/>
      <c r="J110" s="175"/>
      <c r="K110" s="174"/>
      <c r="L110" s="175"/>
      <c r="M110" s="174"/>
      <c r="N110" s="175"/>
      <c r="O110" s="174"/>
      <c r="P110" s="175"/>
      <c r="Q110" s="174"/>
      <c r="R110" s="175"/>
      <c r="S110" s="174"/>
      <c r="T110" s="176"/>
    </row>
    <row r="111" spans="1:21" ht="36" customHeight="1" x14ac:dyDescent="0.3">
      <c r="B111" s="173" t="s">
        <v>454</v>
      </c>
      <c r="C111" s="174"/>
      <c r="D111" s="175"/>
      <c r="E111" s="174"/>
      <c r="F111" s="175"/>
      <c r="G111" s="174"/>
      <c r="H111" s="175"/>
      <c r="I111" s="174"/>
      <c r="J111" s="175"/>
      <c r="K111" s="174"/>
      <c r="L111" s="175"/>
      <c r="M111" s="174"/>
      <c r="N111" s="175"/>
      <c r="O111" s="174"/>
      <c r="P111" s="175"/>
      <c r="Q111" s="174"/>
      <c r="R111" s="175"/>
      <c r="S111" s="174"/>
      <c r="T111" s="176"/>
    </row>
    <row r="112" spans="1:21" ht="36" customHeight="1" x14ac:dyDescent="0.3">
      <c r="B112" s="173" t="s">
        <v>455</v>
      </c>
      <c r="C112" s="174"/>
      <c r="D112" s="175"/>
      <c r="E112" s="174"/>
      <c r="F112" s="175"/>
      <c r="G112" s="174"/>
      <c r="H112" s="175"/>
      <c r="I112" s="174"/>
      <c r="J112" s="175"/>
      <c r="K112" s="174"/>
      <c r="L112" s="175"/>
      <c r="M112" s="174"/>
      <c r="N112" s="175"/>
      <c r="O112" s="174"/>
      <c r="P112" s="175"/>
      <c r="Q112" s="174"/>
      <c r="R112" s="175"/>
      <c r="S112" s="174"/>
      <c r="T112" s="176"/>
    </row>
    <row r="113" spans="2:20" ht="36" customHeight="1" x14ac:dyDescent="0.3">
      <c r="B113" s="173" t="s">
        <v>456</v>
      </c>
      <c r="C113" s="174"/>
      <c r="D113" s="175"/>
      <c r="E113" s="174"/>
      <c r="F113" s="175"/>
      <c r="G113" s="174"/>
      <c r="H113" s="175"/>
      <c r="I113" s="174"/>
      <c r="J113" s="175"/>
      <c r="K113" s="174"/>
      <c r="L113" s="175"/>
      <c r="M113" s="174"/>
      <c r="N113" s="175"/>
      <c r="O113" s="174"/>
      <c r="P113" s="175"/>
      <c r="Q113" s="174"/>
      <c r="R113" s="175"/>
      <c r="S113" s="174"/>
      <c r="T113" s="176"/>
    </row>
    <row r="114" spans="2:20" ht="36" customHeight="1" x14ac:dyDescent="0.3">
      <c r="B114" s="173" t="s">
        <v>457</v>
      </c>
      <c r="C114" s="174"/>
      <c r="D114" s="175"/>
      <c r="E114" s="174"/>
      <c r="F114" s="175"/>
      <c r="G114" s="174"/>
      <c r="H114" s="175"/>
      <c r="I114" s="174"/>
      <c r="J114" s="175"/>
      <c r="K114" s="174"/>
      <c r="L114" s="175"/>
      <c r="M114" s="174"/>
      <c r="N114" s="175"/>
      <c r="O114" s="174"/>
      <c r="P114" s="175"/>
      <c r="Q114" s="174"/>
      <c r="R114" s="175"/>
      <c r="S114" s="174"/>
      <c r="T114" s="176"/>
    </row>
    <row r="115" spans="2:20" ht="36" customHeight="1" x14ac:dyDescent="0.3">
      <c r="B115" s="173" t="s">
        <v>458</v>
      </c>
      <c r="C115" s="174"/>
      <c r="D115" s="175"/>
      <c r="E115" s="174"/>
      <c r="F115" s="175"/>
      <c r="G115" s="174"/>
      <c r="H115" s="175"/>
      <c r="I115" s="174"/>
      <c r="J115" s="175"/>
      <c r="K115" s="174"/>
      <c r="L115" s="175"/>
      <c r="M115" s="174"/>
      <c r="N115" s="175"/>
      <c r="O115" s="174"/>
      <c r="P115" s="175"/>
      <c r="Q115" s="174"/>
      <c r="R115" s="175"/>
      <c r="S115" s="174"/>
      <c r="T115" s="176"/>
    </row>
    <row r="116" spans="2:20" ht="36" customHeight="1" x14ac:dyDescent="0.3">
      <c r="B116" s="173" t="s">
        <v>459</v>
      </c>
      <c r="C116" s="174"/>
      <c r="D116" s="175"/>
      <c r="E116" s="174"/>
      <c r="F116" s="175"/>
      <c r="G116" s="174"/>
      <c r="H116" s="175"/>
      <c r="I116" s="174"/>
      <c r="J116" s="175"/>
      <c r="K116" s="174"/>
      <c r="L116" s="175"/>
      <c r="M116" s="174"/>
      <c r="N116" s="175"/>
      <c r="O116" s="174"/>
      <c r="P116" s="175"/>
      <c r="Q116" s="174"/>
      <c r="R116" s="175"/>
      <c r="S116" s="174"/>
      <c r="T116" s="176"/>
    </row>
    <row r="117" spans="2:20" ht="36" customHeight="1" x14ac:dyDescent="0.3">
      <c r="B117" s="173" t="s">
        <v>460</v>
      </c>
      <c r="C117" s="174"/>
      <c r="D117" s="175"/>
      <c r="E117" s="174"/>
      <c r="F117" s="175"/>
      <c r="G117" s="174"/>
      <c r="H117" s="175"/>
      <c r="I117" s="174"/>
      <c r="J117" s="175"/>
      <c r="K117" s="174"/>
      <c r="L117" s="175"/>
      <c r="M117" s="174"/>
      <c r="N117" s="175"/>
      <c r="O117" s="174"/>
      <c r="P117" s="175"/>
      <c r="Q117" s="174"/>
      <c r="R117" s="175"/>
      <c r="S117" s="174"/>
      <c r="T117" s="176"/>
    </row>
    <row r="118" spans="2:20" ht="36" customHeight="1" x14ac:dyDescent="0.3">
      <c r="B118" s="173" t="s">
        <v>461</v>
      </c>
      <c r="C118" s="174"/>
      <c r="D118" s="175"/>
      <c r="E118" s="174"/>
      <c r="F118" s="175"/>
      <c r="G118" s="174"/>
      <c r="H118" s="175"/>
      <c r="I118" s="174"/>
      <c r="J118" s="175"/>
      <c r="K118" s="174"/>
      <c r="L118" s="175"/>
      <c r="M118" s="174"/>
      <c r="N118" s="175"/>
      <c r="O118" s="174"/>
      <c r="P118" s="175"/>
      <c r="Q118" s="174"/>
      <c r="R118" s="175"/>
      <c r="S118" s="174"/>
      <c r="T118" s="176"/>
    </row>
    <row r="119" spans="2:20" ht="36" customHeight="1" x14ac:dyDescent="0.3">
      <c r="B119" s="173" t="s">
        <v>462</v>
      </c>
      <c r="C119" s="174"/>
      <c r="D119" s="175"/>
      <c r="E119" s="174"/>
      <c r="F119" s="175"/>
      <c r="G119" s="174"/>
      <c r="H119" s="175"/>
      <c r="I119" s="174"/>
      <c r="J119" s="175"/>
      <c r="K119" s="174"/>
      <c r="L119" s="175"/>
      <c r="M119" s="174"/>
      <c r="N119" s="175"/>
      <c r="O119" s="174"/>
      <c r="P119" s="175"/>
      <c r="Q119" s="174"/>
      <c r="R119" s="175"/>
      <c r="S119" s="174"/>
      <c r="T119" s="176"/>
    </row>
    <row r="120" spans="2:20" ht="36" customHeight="1" x14ac:dyDescent="0.3">
      <c r="B120" s="173" t="s">
        <v>463</v>
      </c>
      <c r="C120" s="174"/>
      <c r="D120" s="175"/>
      <c r="E120" s="174"/>
      <c r="F120" s="175"/>
      <c r="G120" s="174"/>
      <c r="H120" s="175"/>
      <c r="I120" s="174"/>
      <c r="J120" s="175"/>
      <c r="K120" s="174"/>
      <c r="L120" s="175"/>
      <c r="M120" s="174"/>
      <c r="N120" s="175"/>
      <c r="O120" s="174"/>
      <c r="P120" s="175"/>
      <c r="Q120" s="174"/>
      <c r="R120" s="175"/>
      <c r="S120" s="174"/>
      <c r="T120" s="176"/>
    </row>
    <row r="121" spans="2:20" ht="36" customHeight="1" x14ac:dyDescent="0.3">
      <c r="B121" s="173" t="s">
        <v>464</v>
      </c>
      <c r="C121" s="174"/>
      <c r="D121" s="175"/>
      <c r="E121" s="174"/>
      <c r="F121" s="175"/>
      <c r="G121" s="174"/>
      <c r="H121" s="175"/>
      <c r="I121" s="174"/>
      <c r="J121" s="175"/>
      <c r="K121" s="174"/>
      <c r="L121" s="175"/>
      <c r="M121" s="174"/>
      <c r="N121" s="175"/>
      <c r="O121" s="174"/>
      <c r="P121" s="175"/>
      <c r="Q121" s="174"/>
      <c r="R121" s="175"/>
      <c r="S121" s="174"/>
      <c r="T121" s="176"/>
    </row>
    <row r="122" spans="2:20" ht="36" customHeight="1" x14ac:dyDescent="0.3">
      <c r="B122" s="173" t="s">
        <v>465</v>
      </c>
      <c r="C122" s="174"/>
      <c r="D122" s="175"/>
      <c r="E122" s="174"/>
      <c r="F122" s="175"/>
      <c r="G122" s="174"/>
      <c r="H122" s="175"/>
      <c r="I122" s="174"/>
      <c r="J122" s="175"/>
      <c r="K122" s="174"/>
      <c r="L122" s="175"/>
      <c r="M122" s="174"/>
      <c r="N122" s="175"/>
      <c r="O122" s="174"/>
      <c r="P122" s="175"/>
      <c r="Q122" s="174"/>
      <c r="R122" s="175"/>
      <c r="S122" s="174"/>
      <c r="T122" s="176"/>
    </row>
    <row r="123" spans="2:20" ht="36" customHeight="1" x14ac:dyDescent="0.3">
      <c r="B123" s="173" t="s">
        <v>466</v>
      </c>
      <c r="C123" s="174"/>
      <c r="D123" s="175"/>
      <c r="E123" s="174"/>
      <c r="F123" s="175"/>
      <c r="G123" s="174"/>
      <c r="H123" s="175"/>
      <c r="I123" s="174"/>
      <c r="J123" s="175"/>
      <c r="K123" s="174"/>
      <c r="L123" s="175"/>
      <c r="M123" s="174"/>
      <c r="N123" s="175"/>
      <c r="O123" s="174"/>
      <c r="P123" s="175"/>
      <c r="Q123" s="174"/>
      <c r="R123" s="175"/>
      <c r="S123" s="174"/>
      <c r="T123" s="176"/>
    </row>
    <row r="124" spans="2:20" ht="36" customHeight="1" x14ac:dyDescent="0.3">
      <c r="B124" s="173" t="s">
        <v>467</v>
      </c>
      <c r="C124" s="174"/>
      <c r="D124" s="175"/>
      <c r="E124" s="174"/>
      <c r="F124" s="175"/>
      <c r="G124" s="174"/>
      <c r="H124" s="175"/>
      <c r="I124" s="174"/>
      <c r="J124" s="175"/>
      <c r="K124" s="174"/>
      <c r="L124" s="175"/>
      <c r="M124" s="174"/>
      <c r="N124" s="175"/>
      <c r="O124" s="174"/>
      <c r="P124" s="175"/>
      <c r="Q124" s="174"/>
      <c r="R124" s="175"/>
      <c r="S124" s="174"/>
      <c r="T124" s="176"/>
    </row>
    <row r="125" spans="2:20" ht="36" customHeight="1" x14ac:dyDescent="0.3">
      <c r="B125" s="173" t="s">
        <v>468</v>
      </c>
      <c r="C125" s="174"/>
      <c r="D125" s="175"/>
      <c r="E125" s="174"/>
      <c r="F125" s="175"/>
      <c r="G125" s="174"/>
      <c r="H125" s="175"/>
      <c r="I125" s="174"/>
      <c r="J125" s="175"/>
      <c r="K125" s="174"/>
      <c r="L125" s="175"/>
      <c r="M125" s="174"/>
      <c r="N125" s="175"/>
      <c r="O125" s="174"/>
      <c r="P125" s="175"/>
      <c r="Q125" s="174"/>
      <c r="R125" s="175"/>
      <c r="S125" s="174"/>
      <c r="T125" s="176"/>
    </row>
    <row r="126" spans="2:20" ht="36" customHeight="1" x14ac:dyDescent="0.3">
      <c r="B126" s="173" t="s">
        <v>469</v>
      </c>
      <c r="C126" s="174"/>
      <c r="D126" s="175"/>
      <c r="E126" s="174"/>
      <c r="F126" s="175"/>
      <c r="G126" s="174"/>
      <c r="H126" s="175"/>
      <c r="I126" s="174"/>
      <c r="J126" s="175"/>
      <c r="K126" s="174"/>
      <c r="L126" s="175"/>
      <c r="M126" s="174"/>
      <c r="N126" s="175"/>
      <c r="O126" s="174"/>
      <c r="P126" s="175"/>
      <c r="Q126" s="174"/>
      <c r="R126" s="175"/>
      <c r="S126" s="174"/>
      <c r="T126" s="176"/>
    </row>
    <row r="127" spans="2:20" ht="36" customHeight="1" x14ac:dyDescent="0.3">
      <c r="B127" s="173" t="s">
        <v>470</v>
      </c>
      <c r="C127" s="174"/>
      <c r="D127" s="175"/>
      <c r="E127" s="174"/>
      <c r="F127" s="175"/>
      <c r="G127" s="174"/>
      <c r="H127" s="175"/>
      <c r="I127" s="174"/>
      <c r="J127" s="175"/>
      <c r="K127" s="174"/>
      <c r="L127" s="175"/>
      <c r="M127" s="174"/>
      <c r="N127" s="175"/>
      <c r="O127" s="174"/>
      <c r="P127" s="175"/>
      <c r="Q127" s="174"/>
      <c r="R127" s="175"/>
      <c r="S127" s="174"/>
      <c r="T127" s="176"/>
    </row>
    <row r="128" spans="2:20" ht="36" customHeight="1" thickBot="1" x14ac:dyDescent="0.35">
      <c r="B128" s="177" t="s">
        <v>471</v>
      </c>
      <c r="C128" s="178"/>
      <c r="D128" s="179"/>
      <c r="E128" s="178"/>
      <c r="F128" s="179"/>
      <c r="G128" s="178"/>
      <c r="H128" s="179"/>
      <c r="I128" s="178"/>
      <c r="J128" s="179"/>
      <c r="K128" s="178"/>
      <c r="L128" s="179"/>
      <c r="M128" s="178"/>
      <c r="N128" s="179"/>
      <c r="O128" s="178"/>
      <c r="P128" s="179"/>
      <c r="Q128" s="178"/>
      <c r="R128" s="179"/>
      <c r="S128" s="178"/>
      <c r="T128" s="180"/>
    </row>
    <row r="129" spans="2:20" ht="36" customHeight="1" thickTop="1" x14ac:dyDescent="0.3">
      <c r="B129" s="181" t="s">
        <v>472</v>
      </c>
      <c r="C129" s="182">
        <f t="shared" ref="C129:T129" si="6">MIN(C105:C128)</f>
        <v>0</v>
      </c>
      <c r="D129" s="182">
        <f t="shared" si="6"/>
        <v>0</v>
      </c>
      <c r="E129" s="182">
        <f t="shared" si="6"/>
        <v>0</v>
      </c>
      <c r="F129" s="182">
        <f t="shared" si="6"/>
        <v>0</v>
      </c>
      <c r="G129" s="182">
        <f t="shared" si="6"/>
        <v>0</v>
      </c>
      <c r="H129" s="182">
        <f t="shared" si="6"/>
        <v>0</v>
      </c>
      <c r="I129" s="182">
        <f t="shared" si="6"/>
        <v>0</v>
      </c>
      <c r="J129" s="182">
        <f t="shared" si="6"/>
        <v>0</v>
      </c>
      <c r="K129" s="182">
        <f t="shared" si="6"/>
        <v>0</v>
      </c>
      <c r="L129" s="182">
        <f t="shared" si="6"/>
        <v>0</v>
      </c>
      <c r="M129" s="182">
        <f t="shared" si="6"/>
        <v>0</v>
      </c>
      <c r="N129" s="182">
        <f t="shared" si="6"/>
        <v>0</v>
      </c>
      <c r="O129" s="182">
        <f t="shared" si="6"/>
        <v>0</v>
      </c>
      <c r="P129" s="182">
        <f t="shared" si="6"/>
        <v>0</v>
      </c>
      <c r="Q129" s="182">
        <f t="shared" si="6"/>
        <v>0</v>
      </c>
      <c r="R129" s="182">
        <f t="shared" si="6"/>
        <v>0</v>
      </c>
      <c r="S129" s="182">
        <f t="shared" si="6"/>
        <v>0</v>
      </c>
      <c r="T129" s="183">
        <f t="shared" si="6"/>
        <v>0</v>
      </c>
    </row>
    <row r="130" spans="2:20" ht="36" customHeight="1" x14ac:dyDescent="0.3">
      <c r="B130" s="173" t="s">
        <v>473</v>
      </c>
      <c r="C130" s="182">
        <f t="shared" ref="C130:T130" si="7">MAX(C105:C128)</f>
        <v>0</v>
      </c>
      <c r="D130" s="182">
        <f t="shared" si="7"/>
        <v>0</v>
      </c>
      <c r="E130" s="182">
        <f t="shared" si="7"/>
        <v>0</v>
      </c>
      <c r="F130" s="182">
        <f t="shared" si="7"/>
        <v>0</v>
      </c>
      <c r="G130" s="182">
        <f t="shared" si="7"/>
        <v>0</v>
      </c>
      <c r="H130" s="182">
        <f t="shared" si="7"/>
        <v>0</v>
      </c>
      <c r="I130" s="182">
        <f t="shared" si="7"/>
        <v>0</v>
      </c>
      <c r="J130" s="182">
        <f t="shared" si="7"/>
        <v>0</v>
      </c>
      <c r="K130" s="182">
        <f t="shared" si="7"/>
        <v>0</v>
      </c>
      <c r="L130" s="182">
        <f t="shared" si="7"/>
        <v>0</v>
      </c>
      <c r="M130" s="182">
        <f t="shared" si="7"/>
        <v>0</v>
      </c>
      <c r="N130" s="182">
        <f t="shared" si="7"/>
        <v>0</v>
      </c>
      <c r="O130" s="182">
        <f t="shared" si="7"/>
        <v>0</v>
      </c>
      <c r="P130" s="182">
        <f t="shared" si="7"/>
        <v>0</v>
      </c>
      <c r="Q130" s="182">
        <f t="shared" si="7"/>
        <v>0</v>
      </c>
      <c r="R130" s="182">
        <f t="shared" si="7"/>
        <v>0</v>
      </c>
      <c r="S130" s="182">
        <f t="shared" si="7"/>
        <v>0</v>
      </c>
      <c r="T130" s="183">
        <f t="shared" si="7"/>
        <v>0</v>
      </c>
    </row>
    <row r="131" spans="2:20" ht="36" customHeight="1" x14ac:dyDescent="0.3">
      <c r="B131" s="173" t="s">
        <v>474</v>
      </c>
      <c r="C131" s="182" t="e">
        <f>AVERAGE(C105:C128)</f>
        <v>#DIV/0!</v>
      </c>
      <c r="D131" s="184"/>
      <c r="E131" s="182" t="e">
        <f>AVERAGE(E105:E128)</f>
        <v>#DIV/0!</v>
      </c>
      <c r="F131" s="184"/>
      <c r="G131" s="182" t="e">
        <f>AVERAGE(G105:G128)</f>
        <v>#DIV/0!</v>
      </c>
      <c r="H131" s="184"/>
      <c r="I131" s="182" t="e">
        <f>AVERAGE(I105:I128)</f>
        <v>#DIV/0!</v>
      </c>
      <c r="J131" s="184"/>
      <c r="K131" s="182" t="e">
        <f>AVERAGE(K105:K128)</f>
        <v>#DIV/0!</v>
      </c>
      <c r="L131" s="184"/>
      <c r="M131" s="182" t="e">
        <f>AVERAGE(M105:M128)</f>
        <v>#DIV/0!</v>
      </c>
      <c r="N131" s="184"/>
      <c r="O131" s="182" t="e">
        <f>AVERAGE(O105:O128)</f>
        <v>#DIV/0!</v>
      </c>
      <c r="P131" s="184"/>
      <c r="Q131" s="182" t="e">
        <f>AVERAGE(Q105:Q128)</f>
        <v>#DIV/0!</v>
      </c>
      <c r="R131" s="184"/>
      <c r="S131" s="182" t="e">
        <f>AVERAGE(S105:S128)</f>
        <v>#DIV/0!</v>
      </c>
      <c r="T131" s="185"/>
    </row>
    <row r="132" spans="2:20" ht="36" customHeight="1" thickBot="1" x14ac:dyDescent="0.35">
      <c r="B132" s="186" t="s">
        <v>475</v>
      </c>
      <c r="C132" s="187">
        <f>SUM(C105:C128)</f>
        <v>0</v>
      </c>
      <c r="D132" s="188"/>
      <c r="E132" s="187">
        <f>SUM(E105:E128)</f>
        <v>0</v>
      </c>
      <c r="F132" s="188"/>
      <c r="G132" s="187">
        <f>SUM(G105:G128)</f>
        <v>0</v>
      </c>
      <c r="H132" s="188"/>
      <c r="I132" s="187">
        <f>SUM(I105:I128)</f>
        <v>0</v>
      </c>
      <c r="J132" s="188"/>
      <c r="K132" s="187">
        <f>SUM(K105:K128)</f>
        <v>0</v>
      </c>
      <c r="L132" s="188"/>
      <c r="M132" s="187">
        <f>SUM(M105:M128)</f>
        <v>0</v>
      </c>
      <c r="N132" s="188"/>
      <c r="O132" s="187">
        <f>SUM(O105:O128)</f>
        <v>0</v>
      </c>
      <c r="P132" s="188"/>
      <c r="Q132" s="187">
        <f>SUM(Q105:Q128)</f>
        <v>0</v>
      </c>
      <c r="R132" s="188"/>
      <c r="S132" s="187">
        <f>SUM(S105:S128)</f>
        <v>0</v>
      </c>
      <c r="T132" s="189"/>
    </row>
    <row r="133" spans="2:20" ht="9.9499999999999993" customHeight="1" x14ac:dyDescent="0.3"/>
    <row r="134" spans="2:20" ht="9.9499999999999993" customHeight="1" x14ac:dyDescent="0.3"/>
  </sheetData>
  <mergeCells count="48">
    <mergeCell ref="B2:T2"/>
    <mergeCell ref="C3:T3"/>
    <mergeCell ref="B4:B5"/>
    <mergeCell ref="C4:D4"/>
    <mergeCell ref="E4:F4"/>
    <mergeCell ref="G4:H4"/>
    <mergeCell ref="I4:J4"/>
    <mergeCell ref="K4:L4"/>
    <mergeCell ref="M4:N4"/>
    <mergeCell ref="O4:P4"/>
    <mergeCell ref="C69:T69"/>
    <mergeCell ref="Q4:R4"/>
    <mergeCell ref="S4:T4"/>
    <mergeCell ref="B35:T35"/>
    <mergeCell ref="C36:T36"/>
    <mergeCell ref="B37:B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B68:T68"/>
    <mergeCell ref="C102:T102"/>
    <mergeCell ref="B70:B71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B101:T101"/>
    <mergeCell ref="M103:N103"/>
    <mergeCell ref="O103:P103"/>
    <mergeCell ref="Q103:R103"/>
    <mergeCell ref="S103:T103"/>
    <mergeCell ref="B103:B104"/>
    <mergeCell ref="C103:D103"/>
    <mergeCell ref="E103:F103"/>
    <mergeCell ref="G103:H103"/>
    <mergeCell ref="I103:J103"/>
    <mergeCell ref="K103:L103"/>
  </mergeCells>
  <phoneticPr fontId="1" type="noConversion"/>
  <printOptions horizontalCentered="1" verticalCentered="1"/>
  <pageMargins left="0.25" right="0.25" top="0.75" bottom="0.75" header="0.3" footer="0.3"/>
  <pageSetup paperSize="9" scale="20" fitToHeight="2" orientation="landscape" r:id="rId1"/>
  <rowBreaks count="3" manualBreakCount="3">
    <brk id="34" max="20" man="1"/>
    <brk id="67" max="20" man="1"/>
    <brk id="100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42FC-659D-457A-BE05-0BA97B490ED4}">
  <sheetPr>
    <tabColor rgb="FFFFFF00"/>
  </sheetPr>
  <dimension ref="A1:U476"/>
  <sheetViews>
    <sheetView view="pageBreakPreview" zoomScale="55" zoomScaleSheetLayoutView="55" workbookViewId="0">
      <selection activeCell="V4" sqref="V4"/>
    </sheetView>
  </sheetViews>
  <sheetFormatPr defaultRowHeight="16.5" x14ac:dyDescent="0.3"/>
  <cols>
    <col min="1" max="1" width="1.625" style="161" customWidth="1"/>
    <col min="2" max="2" width="9.625" style="161" customWidth="1"/>
    <col min="3" max="20" width="15.75" style="161" customWidth="1"/>
    <col min="21" max="21" width="1.625" style="161" customWidth="1"/>
    <col min="22" max="256" width="9" style="161"/>
    <col min="257" max="257" width="1.625" style="161" customWidth="1"/>
    <col min="258" max="258" width="9.625" style="161" customWidth="1"/>
    <col min="259" max="276" width="15.75" style="161" customWidth="1"/>
    <col min="277" max="277" width="1.625" style="161" customWidth="1"/>
    <col min="278" max="512" width="9" style="161"/>
    <col min="513" max="513" width="1.625" style="161" customWidth="1"/>
    <col min="514" max="514" width="9.625" style="161" customWidth="1"/>
    <col min="515" max="532" width="15.75" style="161" customWidth="1"/>
    <col min="533" max="533" width="1.625" style="161" customWidth="1"/>
    <col min="534" max="768" width="9" style="161"/>
    <col min="769" max="769" width="1.625" style="161" customWidth="1"/>
    <col min="770" max="770" width="9.625" style="161" customWidth="1"/>
    <col min="771" max="788" width="15.75" style="161" customWidth="1"/>
    <col min="789" max="789" width="1.625" style="161" customWidth="1"/>
    <col min="790" max="1024" width="9" style="161"/>
    <col min="1025" max="1025" width="1.625" style="161" customWidth="1"/>
    <col min="1026" max="1026" width="9.625" style="161" customWidth="1"/>
    <col min="1027" max="1044" width="15.75" style="161" customWidth="1"/>
    <col min="1045" max="1045" width="1.625" style="161" customWidth="1"/>
    <col min="1046" max="1280" width="9" style="161"/>
    <col min="1281" max="1281" width="1.625" style="161" customWidth="1"/>
    <col min="1282" max="1282" width="9.625" style="161" customWidth="1"/>
    <col min="1283" max="1300" width="15.75" style="161" customWidth="1"/>
    <col min="1301" max="1301" width="1.625" style="161" customWidth="1"/>
    <col min="1302" max="1536" width="9" style="161"/>
    <col min="1537" max="1537" width="1.625" style="161" customWidth="1"/>
    <col min="1538" max="1538" width="9.625" style="161" customWidth="1"/>
    <col min="1539" max="1556" width="15.75" style="161" customWidth="1"/>
    <col min="1557" max="1557" width="1.625" style="161" customWidth="1"/>
    <col min="1558" max="1792" width="9" style="161"/>
    <col min="1793" max="1793" width="1.625" style="161" customWidth="1"/>
    <col min="1794" max="1794" width="9.625" style="161" customWidth="1"/>
    <col min="1795" max="1812" width="15.75" style="161" customWidth="1"/>
    <col min="1813" max="1813" width="1.625" style="161" customWidth="1"/>
    <col min="1814" max="2048" width="9" style="161"/>
    <col min="2049" max="2049" width="1.625" style="161" customWidth="1"/>
    <col min="2050" max="2050" width="9.625" style="161" customWidth="1"/>
    <col min="2051" max="2068" width="15.75" style="161" customWidth="1"/>
    <col min="2069" max="2069" width="1.625" style="161" customWidth="1"/>
    <col min="2070" max="2304" width="9" style="161"/>
    <col min="2305" max="2305" width="1.625" style="161" customWidth="1"/>
    <col min="2306" max="2306" width="9.625" style="161" customWidth="1"/>
    <col min="2307" max="2324" width="15.75" style="161" customWidth="1"/>
    <col min="2325" max="2325" width="1.625" style="161" customWidth="1"/>
    <col min="2326" max="2560" width="9" style="161"/>
    <col min="2561" max="2561" width="1.625" style="161" customWidth="1"/>
    <col min="2562" max="2562" width="9.625" style="161" customWidth="1"/>
    <col min="2563" max="2580" width="15.75" style="161" customWidth="1"/>
    <col min="2581" max="2581" width="1.625" style="161" customWidth="1"/>
    <col min="2582" max="2816" width="9" style="161"/>
    <col min="2817" max="2817" width="1.625" style="161" customWidth="1"/>
    <col min="2818" max="2818" width="9.625" style="161" customWidth="1"/>
    <col min="2819" max="2836" width="15.75" style="161" customWidth="1"/>
    <col min="2837" max="2837" width="1.625" style="161" customWidth="1"/>
    <col min="2838" max="3072" width="9" style="161"/>
    <col min="3073" max="3073" width="1.625" style="161" customWidth="1"/>
    <col min="3074" max="3074" width="9.625" style="161" customWidth="1"/>
    <col min="3075" max="3092" width="15.75" style="161" customWidth="1"/>
    <col min="3093" max="3093" width="1.625" style="161" customWidth="1"/>
    <col min="3094" max="3328" width="9" style="161"/>
    <col min="3329" max="3329" width="1.625" style="161" customWidth="1"/>
    <col min="3330" max="3330" width="9.625" style="161" customWidth="1"/>
    <col min="3331" max="3348" width="15.75" style="161" customWidth="1"/>
    <col min="3349" max="3349" width="1.625" style="161" customWidth="1"/>
    <col min="3350" max="3584" width="9" style="161"/>
    <col min="3585" max="3585" width="1.625" style="161" customWidth="1"/>
    <col min="3586" max="3586" width="9.625" style="161" customWidth="1"/>
    <col min="3587" max="3604" width="15.75" style="161" customWidth="1"/>
    <col min="3605" max="3605" width="1.625" style="161" customWidth="1"/>
    <col min="3606" max="3840" width="9" style="161"/>
    <col min="3841" max="3841" width="1.625" style="161" customWidth="1"/>
    <col min="3842" max="3842" width="9.625" style="161" customWidth="1"/>
    <col min="3843" max="3860" width="15.75" style="161" customWidth="1"/>
    <col min="3861" max="3861" width="1.625" style="161" customWidth="1"/>
    <col min="3862" max="4096" width="9" style="161"/>
    <col min="4097" max="4097" width="1.625" style="161" customWidth="1"/>
    <col min="4098" max="4098" width="9.625" style="161" customWidth="1"/>
    <col min="4099" max="4116" width="15.75" style="161" customWidth="1"/>
    <col min="4117" max="4117" width="1.625" style="161" customWidth="1"/>
    <col min="4118" max="4352" width="9" style="161"/>
    <col min="4353" max="4353" width="1.625" style="161" customWidth="1"/>
    <col min="4354" max="4354" width="9.625" style="161" customWidth="1"/>
    <col min="4355" max="4372" width="15.75" style="161" customWidth="1"/>
    <col min="4373" max="4373" width="1.625" style="161" customWidth="1"/>
    <col min="4374" max="4608" width="9" style="161"/>
    <col min="4609" max="4609" width="1.625" style="161" customWidth="1"/>
    <col min="4610" max="4610" width="9.625" style="161" customWidth="1"/>
    <col min="4611" max="4628" width="15.75" style="161" customWidth="1"/>
    <col min="4629" max="4629" width="1.625" style="161" customWidth="1"/>
    <col min="4630" max="4864" width="9" style="161"/>
    <col min="4865" max="4865" width="1.625" style="161" customWidth="1"/>
    <col min="4866" max="4866" width="9.625" style="161" customWidth="1"/>
    <col min="4867" max="4884" width="15.75" style="161" customWidth="1"/>
    <col min="4885" max="4885" width="1.625" style="161" customWidth="1"/>
    <col min="4886" max="5120" width="9" style="161"/>
    <col min="5121" max="5121" width="1.625" style="161" customWidth="1"/>
    <col min="5122" max="5122" width="9.625" style="161" customWidth="1"/>
    <col min="5123" max="5140" width="15.75" style="161" customWidth="1"/>
    <col min="5141" max="5141" width="1.625" style="161" customWidth="1"/>
    <col min="5142" max="5376" width="9" style="161"/>
    <col min="5377" max="5377" width="1.625" style="161" customWidth="1"/>
    <col min="5378" max="5378" width="9.625" style="161" customWidth="1"/>
    <col min="5379" max="5396" width="15.75" style="161" customWidth="1"/>
    <col min="5397" max="5397" width="1.625" style="161" customWidth="1"/>
    <col min="5398" max="5632" width="9" style="161"/>
    <col min="5633" max="5633" width="1.625" style="161" customWidth="1"/>
    <col min="5634" max="5634" width="9.625" style="161" customWidth="1"/>
    <col min="5635" max="5652" width="15.75" style="161" customWidth="1"/>
    <col min="5653" max="5653" width="1.625" style="161" customWidth="1"/>
    <col min="5654" max="5888" width="9" style="161"/>
    <col min="5889" max="5889" width="1.625" style="161" customWidth="1"/>
    <col min="5890" max="5890" width="9.625" style="161" customWidth="1"/>
    <col min="5891" max="5908" width="15.75" style="161" customWidth="1"/>
    <col min="5909" max="5909" width="1.625" style="161" customWidth="1"/>
    <col min="5910" max="6144" width="9" style="161"/>
    <col min="6145" max="6145" width="1.625" style="161" customWidth="1"/>
    <col min="6146" max="6146" width="9.625" style="161" customWidth="1"/>
    <col min="6147" max="6164" width="15.75" style="161" customWidth="1"/>
    <col min="6165" max="6165" width="1.625" style="161" customWidth="1"/>
    <col min="6166" max="6400" width="9" style="161"/>
    <col min="6401" max="6401" width="1.625" style="161" customWidth="1"/>
    <col min="6402" max="6402" width="9.625" style="161" customWidth="1"/>
    <col min="6403" max="6420" width="15.75" style="161" customWidth="1"/>
    <col min="6421" max="6421" width="1.625" style="161" customWidth="1"/>
    <col min="6422" max="6656" width="9" style="161"/>
    <col min="6657" max="6657" width="1.625" style="161" customWidth="1"/>
    <col min="6658" max="6658" width="9.625" style="161" customWidth="1"/>
    <col min="6659" max="6676" width="15.75" style="161" customWidth="1"/>
    <col min="6677" max="6677" width="1.625" style="161" customWidth="1"/>
    <col min="6678" max="6912" width="9" style="161"/>
    <col min="6913" max="6913" width="1.625" style="161" customWidth="1"/>
    <col min="6914" max="6914" width="9.625" style="161" customWidth="1"/>
    <col min="6915" max="6932" width="15.75" style="161" customWidth="1"/>
    <col min="6933" max="6933" width="1.625" style="161" customWidth="1"/>
    <col min="6934" max="7168" width="9" style="161"/>
    <col min="7169" max="7169" width="1.625" style="161" customWidth="1"/>
    <col min="7170" max="7170" width="9.625" style="161" customWidth="1"/>
    <col min="7171" max="7188" width="15.75" style="161" customWidth="1"/>
    <col min="7189" max="7189" width="1.625" style="161" customWidth="1"/>
    <col min="7190" max="7424" width="9" style="161"/>
    <col min="7425" max="7425" width="1.625" style="161" customWidth="1"/>
    <col min="7426" max="7426" width="9.625" style="161" customWidth="1"/>
    <col min="7427" max="7444" width="15.75" style="161" customWidth="1"/>
    <col min="7445" max="7445" width="1.625" style="161" customWidth="1"/>
    <col min="7446" max="7680" width="9" style="161"/>
    <col min="7681" max="7681" width="1.625" style="161" customWidth="1"/>
    <col min="7682" max="7682" width="9.625" style="161" customWidth="1"/>
    <col min="7683" max="7700" width="15.75" style="161" customWidth="1"/>
    <col min="7701" max="7701" width="1.625" style="161" customWidth="1"/>
    <col min="7702" max="7936" width="9" style="161"/>
    <col min="7937" max="7937" width="1.625" style="161" customWidth="1"/>
    <col min="7938" max="7938" width="9.625" style="161" customWidth="1"/>
    <col min="7939" max="7956" width="15.75" style="161" customWidth="1"/>
    <col min="7957" max="7957" width="1.625" style="161" customWidth="1"/>
    <col min="7958" max="8192" width="9" style="161"/>
    <col min="8193" max="8193" width="1.625" style="161" customWidth="1"/>
    <col min="8194" max="8194" width="9.625" style="161" customWidth="1"/>
    <col min="8195" max="8212" width="15.75" style="161" customWidth="1"/>
    <col min="8213" max="8213" width="1.625" style="161" customWidth="1"/>
    <col min="8214" max="8448" width="9" style="161"/>
    <col min="8449" max="8449" width="1.625" style="161" customWidth="1"/>
    <col min="8450" max="8450" width="9.625" style="161" customWidth="1"/>
    <col min="8451" max="8468" width="15.75" style="161" customWidth="1"/>
    <col min="8469" max="8469" width="1.625" style="161" customWidth="1"/>
    <col min="8470" max="8704" width="9" style="161"/>
    <col min="8705" max="8705" width="1.625" style="161" customWidth="1"/>
    <col min="8706" max="8706" width="9.625" style="161" customWidth="1"/>
    <col min="8707" max="8724" width="15.75" style="161" customWidth="1"/>
    <col min="8725" max="8725" width="1.625" style="161" customWidth="1"/>
    <col min="8726" max="8960" width="9" style="161"/>
    <col min="8961" max="8961" width="1.625" style="161" customWidth="1"/>
    <col min="8962" max="8962" width="9.625" style="161" customWidth="1"/>
    <col min="8963" max="8980" width="15.75" style="161" customWidth="1"/>
    <col min="8981" max="8981" width="1.625" style="161" customWidth="1"/>
    <col min="8982" max="9216" width="9" style="161"/>
    <col min="9217" max="9217" width="1.625" style="161" customWidth="1"/>
    <col min="9218" max="9218" width="9.625" style="161" customWidth="1"/>
    <col min="9219" max="9236" width="15.75" style="161" customWidth="1"/>
    <col min="9237" max="9237" width="1.625" style="161" customWidth="1"/>
    <col min="9238" max="9472" width="9" style="161"/>
    <col min="9473" max="9473" width="1.625" style="161" customWidth="1"/>
    <col min="9474" max="9474" width="9.625" style="161" customWidth="1"/>
    <col min="9475" max="9492" width="15.75" style="161" customWidth="1"/>
    <col min="9493" max="9493" width="1.625" style="161" customWidth="1"/>
    <col min="9494" max="9728" width="9" style="161"/>
    <col min="9729" max="9729" width="1.625" style="161" customWidth="1"/>
    <col min="9730" max="9730" width="9.625" style="161" customWidth="1"/>
    <col min="9731" max="9748" width="15.75" style="161" customWidth="1"/>
    <col min="9749" max="9749" width="1.625" style="161" customWidth="1"/>
    <col min="9750" max="9984" width="9" style="161"/>
    <col min="9985" max="9985" width="1.625" style="161" customWidth="1"/>
    <col min="9986" max="9986" width="9.625" style="161" customWidth="1"/>
    <col min="9987" max="10004" width="15.75" style="161" customWidth="1"/>
    <col min="10005" max="10005" width="1.625" style="161" customWidth="1"/>
    <col min="10006" max="10240" width="9" style="161"/>
    <col min="10241" max="10241" width="1.625" style="161" customWidth="1"/>
    <col min="10242" max="10242" width="9.625" style="161" customWidth="1"/>
    <col min="10243" max="10260" width="15.75" style="161" customWidth="1"/>
    <col min="10261" max="10261" width="1.625" style="161" customWidth="1"/>
    <col min="10262" max="10496" width="9" style="161"/>
    <col min="10497" max="10497" width="1.625" style="161" customWidth="1"/>
    <col min="10498" max="10498" width="9.625" style="161" customWidth="1"/>
    <col min="10499" max="10516" width="15.75" style="161" customWidth="1"/>
    <col min="10517" max="10517" width="1.625" style="161" customWidth="1"/>
    <col min="10518" max="10752" width="9" style="161"/>
    <col min="10753" max="10753" width="1.625" style="161" customWidth="1"/>
    <col min="10754" max="10754" width="9.625" style="161" customWidth="1"/>
    <col min="10755" max="10772" width="15.75" style="161" customWidth="1"/>
    <col min="10773" max="10773" width="1.625" style="161" customWidth="1"/>
    <col min="10774" max="11008" width="9" style="161"/>
    <col min="11009" max="11009" width="1.625" style="161" customWidth="1"/>
    <col min="11010" max="11010" width="9.625" style="161" customWidth="1"/>
    <col min="11011" max="11028" width="15.75" style="161" customWidth="1"/>
    <col min="11029" max="11029" width="1.625" style="161" customWidth="1"/>
    <col min="11030" max="11264" width="9" style="161"/>
    <col min="11265" max="11265" width="1.625" style="161" customWidth="1"/>
    <col min="11266" max="11266" width="9.625" style="161" customWidth="1"/>
    <col min="11267" max="11284" width="15.75" style="161" customWidth="1"/>
    <col min="11285" max="11285" width="1.625" style="161" customWidth="1"/>
    <col min="11286" max="11520" width="9" style="161"/>
    <col min="11521" max="11521" width="1.625" style="161" customWidth="1"/>
    <col min="11522" max="11522" width="9.625" style="161" customWidth="1"/>
    <col min="11523" max="11540" width="15.75" style="161" customWidth="1"/>
    <col min="11541" max="11541" width="1.625" style="161" customWidth="1"/>
    <col min="11542" max="11776" width="9" style="161"/>
    <col min="11777" max="11777" width="1.625" style="161" customWidth="1"/>
    <col min="11778" max="11778" width="9.625" style="161" customWidth="1"/>
    <col min="11779" max="11796" width="15.75" style="161" customWidth="1"/>
    <col min="11797" max="11797" width="1.625" style="161" customWidth="1"/>
    <col min="11798" max="12032" width="9" style="161"/>
    <col min="12033" max="12033" width="1.625" style="161" customWidth="1"/>
    <col min="12034" max="12034" width="9.625" style="161" customWidth="1"/>
    <col min="12035" max="12052" width="15.75" style="161" customWidth="1"/>
    <col min="12053" max="12053" width="1.625" style="161" customWidth="1"/>
    <col min="12054" max="12288" width="9" style="161"/>
    <col min="12289" max="12289" width="1.625" style="161" customWidth="1"/>
    <col min="12290" max="12290" width="9.625" style="161" customWidth="1"/>
    <col min="12291" max="12308" width="15.75" style="161" customWidth="1"/>
    <col min="12309" max="12309" width="1.625" style="161" customWidth="1"/>
    <col min="12310" max="12544" width="9" style="161"/>
    <col min="12545" max="12545" width="1.625" style="161" customWidth="1"/>
    <col min="12546" max="12546" width="9.625" style="161" customWidth="1"/>
    <col min="12547" max="12564" width="15.75" style="161" customWidth="1"/>
    <col min="12565" max="12565" width="1.625" style="161" customWidth="1"/>
    <col min="12566" max="12800" width="9" style="161"/>
    <col min="12801" max="12801" width="1.625" style="161" customWidth="1"/>
    <col min="12802" max="12802" width="9.625" style="161" customWidth="1"/>
    <col min="12803" max="12820" width="15.75" style="161" customWidth="1"/>
    <col min="12821" max="12821" width="1.625" style="161" customWidth="1"/>
    <col min="12822" max="13056" width="9" style="161"/>
    <col min="13057" max="13057" width="1.625" style="161" customWidth="1"/>
    <col min="13058" max="13058" width="9.625" style="161" customWidth="1"/>
    <col min="13059" max="13076" width="15.75" style="161" customWidth="1"/>
    <col min="13077" max="13077" width="1.625" style="161" customWidth="1"/>
    <col min="13078" max="13312" width="9" style="161"/>
    <col min="13313" max="13313" width="1.625" style="161" customWidth="1"/>
    <col min="13314" max="13314" width="9.625" style="161" customWidth="1"/>
    <col min="13315" max="13332" width="15.75" style="161" customWidth="1"/>
    <col min="13333" max="13333" width="1.625" style="161" customWidth="1"/>
    <col min="13334" max="13568" width="9" style="161"/>
    <col min="13569" max="13569" width="1.625" style="161" customWidth="1"/>
    <col min="13570" max="13570" width="9.625" style="161" customWidth="1"/>
    <col min="13571" max="13588" width="15.75" style="161" customWidth="1"/>
    <col min="13589" max="13589" width="1.625" style="161" customWidth="1"/>
    <col min="13590" max="13824" width="9" style="161"/>
    <col min="13825" max="13825" width="1.625" style="161" customWidth="1"/>
    <col min="13826" max="13826" width="9.625" style="161" customWidth="1"/>
    <col min="13827" max="13844" width="15.75" style="161" customWidth="1"/>
    <col min="13845" max="13845" width="1.625" style="161" customWidth="1"/>
    <col min="13846" max="14080" width="9" style="161"/>
    <col min="14081" max="14081" width="1.625" style="161" customWidth="1"/>
    <col min="14082" max="14082" width="9.625" style="161" customWidth="1"/>
    <col min="14083" max="14100" width="15.75" style="161" customWidth="1"/>
    <col min="14101" max="14101" width="1.625" style="161" customWidth="1"/>
    <col min="14102" max="14336" width="9" style="161"/>
    <col min="14337" max="14337" width="1.625" style="161" customWidth="1"/>
    <col min="14338" max="14338" width="9.625" style="161" customWidth="1"/>
    <col min="14339" max="14356" width="15.75" style="161" customWidth="1"/>
    <col min="14357" max="14357" width="1.625" style="161" customWidth="1"/>
    <col min="14358" max="14592" width="9" style="161"/>
    <col min="14593" max="14593" width="1.625" style="161" customWidth="1"/>
    <col min="14594" max="14594" width="9.625" style="161" customWidth="1"/>
    <col min="14595" max="14612" width="15.75" style="161" customWidth="1"/>
    <col min="14613" max="14613" width="1.625" style="161" customWidth="1"/>
    <col min="14614" max="14848" width="9" style="161"/>
    <col min="14849" max="14849" width="1.625" style="161" customWidth="1"/>
    <col min="14850" max="14850" width="9.625" style="161" customWidth="1"/>
    <col min="14851" max="14868" width="15.75" style="161" customWidth="1"/>
    <col min="14869" max="14869" width="1.625" style="161" customWidth="1"/>
    <col min="14870" max="15104" width="9" style="161"/>
    <col min="15105" max="15105" width="1.625" style="161" customWidth="1"/>
    <col min="15106" max="15106" width="9.625" style="161" customWidth="1"/>
    <col min="15107" max="15124" width="15.75" style="161" customWidth="1"/>
    <col min="15125" max="15125" width="1.625" style="161" customWidth="1"/>
    <col min="15126" max="15360" width="9" style="161"/>
    <col min="15361" max="15361" width="1.625" style="161" customWidth="1"/>
    <col min="15362" max="15362" width="9.625" style="161" customWidth="1"/>
    <col min="15363" max="15380" width="15.75" style="161" customWidth="1"/>
    <col min="15381" max="15381" width="1.625" style="161" customWidth="1"/>
    <col min="15382" max="15616" width="9" style="161"/>
    <col min="15617" max="15617" width="1.625" style="161" customWidth="1"/>
    <col min="15618" max="15618" width="9.625" style="161" customWidth="1"/>
    <col min="15619" max="15636" width="15.75" style="161" customWidth="1"/>
    <col min="15637" max="15637" width="1.625" style="161" customWidth="1"/>
    <col min="15638" max="15872" width="9" style="161"/>
    <col min="15873" max="15873" width="1.625" style="161" customWidth="1"/>
    <col min="15874" max="15874" width="9.625" style="161" customWidth="1"/>
    <col min="15875" max="15892" width="15.75" style="161" customWidth="1"/>
    <col min="15893" max="15893" width="1.625" style="161" customWidth="1"/>
    <col min="15894" max="16128" width="9" style="161"/>
    <col min="16129" max="16129" width="1.625" style="161" customWidth="1"/>
    <col min="16130" max="16130" width="9.625" style="161" customWidth="1"/>
    <col min="16131" max="16148" width="15.75" style="161" customWidth="1"/>
    <col min="16149" max="16149" width="1.625" style="161" customWidth="1"/>
    <col min="16150" max="16384" width="9" style="161"/>
  </cols>
  <sheetData>
    <row r="1" spans="2:20" ht="9.9499999999999993" customHeight="1" thickBot="1" x14ac:dyDescent="0.35"/>
    <row r="2" spans="2:20" s="162" customFormat="1" ht="51.95" customHeight="1" thickBot="1" x14ac:dyDescent="0.35">
      <c r="B2" s="460" t="s">
        <v>573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2"/>
    </row>
    <row r="3" spans="2:20" s="164" customFormat="1" ht="36" customHeight="1" thickTop="1" x14ac:dyDescent="0.3">
      <c r="B3" s="163" t="s">
        <v>433</v>
      </c>
      <c r="C3" s="463" t="s">
        <v>726</v>
      </c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4"/>
    </row>
    <row r="4" spans="2:20" s="165" customFormat="1" ht="27.95" customHeight="1" x14ac:dyDescent="0.3">
      <c r="B4" s="455" t="s">
        <v>434</v>
      </c>
      <c r="C4" s="465" t="s">
        <v>574</v>
      </c>
      <c r="D4" s="466"/>
      <c r="E4" s="465" t="s">
        <v>575</v>
      </c>
      <c r="F4" s="466"/>
      <c r="G4" s="465" t="s">
        <v>576</v>
      </c>
      <c r="H4" s="466"/>
      <c r="I4" s="465" t="s">
        <v>577</v>
      </c>
      <c r="J4" s="466"/>
      <c r="K4" s="465" t="s">
        <v>578</v>
      </c>
      <c r="L4" s="466"/>
      <c r="M4" s="465" t="s">
        <v>579</v>
      </c>
      <c r="N4" s="466"/>
      <c r="O4" s="448" t="s">
        <v>580</v>
      </c>
      <c r="P4" s="449"/>
      <c r="Q4" s="448" t="s">
        <v>581</v>
      </c>
      <c r="R4" s="449"/>
      <c r="S4" s="448" t="s">
        <v>582</v>
      </c>
      <c r="T4" s="450"/>
    </row>
    <row r="5" spans="2:20" ht="27.95" customHeight="1" x14ac:dyDescent="0.3">
      <c r="B5" s="456"/>
      <c r="C5" s="166" t="s">
        <v>444</v>
      </c>
      <c r="D5" s="167" t="s">
        <v>445</v>
      </c>
      <c r="E5" s="166" t="s">
        <v>444</v>
      </c>
      <c r="F5" s="167" t="s">
        <v>445</v>
      </c>
      <c r="G5" s="166" t="s">
        <v>444</v>
      </c>
      <c r="H5" s="167" t="s">
        <v>445</v>
      </c>
      <c r="I5" s="166" t="s">
        <v>444</v>
      </c>
      <c r="J5" s="167" t="s">
        <v>445</v>
      </c>
      <c r="K5" s="166" t="s">
        <v>444</v>
      </c>
      <c r="L5" s="167" t="s">
        <v>445</v>
      </c>
      <c r="M5" s="166" t="s">
        <v>444</v>
      </c>
      <c r="N5" s="167" t="s">
        <v>445</v>
      </c>
      <c r="O5" s="166" t="s">
        <v>444</v>
      </c>
      <c r="P5" s="167" t="s">
        <v>445</v>
      </c>
      <c r="Q5" s="166" t="s">
        <v>444</v>
      </c>
      <c r="R5" s="167" t="s">
        <v>445</v>
      </c>
      <c r="S5" s="166" t="s">
        <v>446</v>
      </c>
      <c r="T5" s="168" t="s">
        <v>447</v>
      </c>
    </row>
    <row r="6" spans="2:20" ht="36" customHeight="1" x14ac:dyDescent="0.3">
      <c r="B6" s="169" t="s">
        <v>448</v>
      </c>
      <c r="C6" s="170">
        <v>60</v>
      </c>
      <c r="D6" s="171">
        <v>1248541</v>
      </c>
      <c r="E6" s="170">
        <v>107</v>
      </c>
      <c r="F6" s="171">
        <v>1830424</v>
      </c>
      <c r="G6" s="170">
        <v>25</v>
      </c>
      <c r="H6" s="171">
        <v>994003</v>
      </c>
      <c r="I6" s="170">
        <v>21</v>
      </c>
      <c r="J6" s="171">
        <v>1088661</v>
      </c>
      <c r="K6" s="170">
        <v>25</v>
      </c>
      <c r="L6" s="171">
        <v>637256</v>
      </c>
      <c r="M6" s="170">
        <v>0</v>
      </c>
      <c r="N6" s="171">
        <v>0</v>
      </c>
      <c r="O6" s="170">
        <v>81</v>
      </c>
      <c r="P6" s="171">
        <v>1394616</v>
      </c>
      <c r="Q6" s="170">
        <v>71</v>
      </c>
      <c r="R6" s="171">
        <v>1202534</v>
      </c>
      <c r="S6" s="170">
        <v>51</v>
      </c>
      <c r="T6" s="172">
        <v>1212953</v>
      </c>
    </row>
    <row r="7" spans="2:20" ht="36" customHeight="1" x14ac:dyDescent="0.3">
      <c r="B7" s="173" t="s">
        <v>449</v>
      </c>
      <c r="C7" s="174">
        <v>59</v>
      </c>
      <c r="D7" s="175">
        <v>1248601</v>
      </c>
      <c r="E7" s="174">
        <v>101</v>
      </c>
      <c r="F7" s="175">
        <v>1830531</v>
      </c>
      <c r="G7" s="174">
        <v>24</v>
      </c>
      <c r="H7" s="175">
        <v>994028</v>
      </c>
      <c r="I7" s="174">
        <v>13</v>
      </c>
      <c r="J7" s="175">
        <v>1088682</v>
      </c>
      <c r="K7" s="174">
        <v>23</v>
      </c>
      <c r="L7" s="175">
        <v>637281</v>
      </c>
      <c r="M7" s="174">
        <v>0</v>
      </c>
      <c r="N7" s="175">
        <v>0</v>
      </c>
      <c r="O7" s="174">
        <v>72</v>
      </c>
      <c r="P7" s="175">
        <v>1394697</v>
      </c>
      <c r="Q7" s="174">
        <v>65</v>
      </c>
      <c r="R7" s="175">
        <v>1202605</v>
      </c>
      <c r="S7" s="174">
        <v>50</v>
      </c>
      <c r="T7" s="176">
        <v>1213004</v>
      </c>
    </row>
    <row r="8" spans="2:20" ht="36" customHeight="1" x14ac:dyDescent="0.3">
      <c r="B8" s="173" t="s">
        <v>450</v>
      </c>
      <c r="C8" s="174">
        <v>53</v>
      </c>
      <c r="D8" s="175">
        <v>1248660</v>
      </c>
      <c r="E8" s="174">
        <v>99</v>
      </c>
      <c r="F8" s="175">
        <v>1830632</v>
      </c>
      <c r="G8" s="174">
        <v>23</v>
      </c>
      <c r="H8" s="175">
        <v>994052</v>
      </c>
      <c r="I8" s="174">
        <v>7</v>
      </c>
      <c r="J8" s="175">
        <v>1088695</v>
      </c>
      <c r="K8" s="174">
        <v>20</v>
      </c>
      <c r="L8" s="175">
        <v>637304</v>
      </c>
      <c r="M8" s="174">
        <v>0</v>
      </c>
      <c r="N8" s="175">
        <v>0</v>
      </c>
      <c r="O8" s="174">
        <v>64</v>
      </c>
      <c r="P8" s="175">
        <v>1394769</v>
      </c>
      <c r="Q8" s="174">
        <v>63</v>
      </c>
      <c r="R8" s="175">
        <v>1202670</v>
      </c>
      <c r="S8" s="174">
        <v>47</v>
      </c>
      <c r="T8" s="176">
        <v>1213054</v>
      </c>
    </row>
    <row r="9" spans="2:20" ht="36" customHeight="1" x14ac:dyDescent="0.3">
      <c r="B9" s="173" t="s">
        <v>451</v>
      </c>
      <c r="C9" s="174">
        <v>54</v>
      </c>
      <c r="D9" s="175">
        <v>1248713</v>
      </c>
      <c r="E9" s="174">
        <v>96</v>
      </c>
      <c r="F9" s="175">
        <v>1830731</v>
      </c>
      <c r="G9" s="174">
        <v>25</v>
      </c>
      <c r="H9" s="175">
        <v>994075</v>
      </c>
      <c r="I9" s="174">
        <v>5</v>
      </c>
      <c r="J9" s="175">
        <v>1088702</v>
      </c>
      <c r="K9" s="174">
        <v>20</v>
      </c>
      <c r="L9" s="175">
        <v>637324</v>
      </c>
      <c r="M9" s="174">
        <v>0</v>
      </c>
      <c r="N9" s="175">
        <v>0</v>
      </c>
      <c r="O9" s="174">
        <v>63</v>
      </c>
      <c r="P9" s="175">
        <v>1394833</v>
      </c>
      <c r="Q9" s="174">
        <v>62</v>
      </c>
      <c r="R9" s="175">
        <v>1202733</v>
      </c>
      <c r="S9" s="174">
        <v>44</v>
      </c>
      <c r="T9" s="176">
        <v>1213101</v>
      </c>
    </row>
    <row r="10" spans="2:20" ht="36" customHeight="1" x14ac:dyDescent="0.3">
      <c r="B10" s="173" t="s">
        <v>452</v>
      </c>
      <c r="C10" s="174">
        <v>54</v>
      </c>
      <c r="D10" s="175">
        <v>1248767</v>
      </c>
      <c r="E10" s="174">
        <v>98</v>
      </c>
      <c r="F10" s="175">
        <v>1830827</v>
      </c>
      <c r="G10" s="174">
        <v>32</v>
      </c>
      <c r="H10" s="175">
        <v>994100</v>
      </c>
      <c r="I10" s="174">
        <v>3</v>
      </c>
      <c r="J10" s="175">
        <v>1088707</v>
      </c>
      <c r="K10" s="174">
        <v>18</v>
      </c>
      <c r="L10" s="175">
        <v>637344</v>
      </c>
      <c r="M10" s="174">
        <v>0</v>
      </c>
      <c r="N10" s="175">
        <v>0</v>
      </c>
      <c r="O10" s="174">
        <v>61</v>
      </c>
      <c r="P10" s="175">
        <v>1394896</v>
      </c>
      <c r="Q10" s="174">
        <v>62</v>
      </c>
      <c r="R10" s="175">
        <v>1202795</v>
      </c>
      <c r="S10" s="174">
        <v>48</v>
      </c>
      <c r="T10" s="176">
        <v>1213145</v>
      </c>
    </row>
    <row r="11" spans="2:20" ht="36" customHeight="1" x14ac:dyDescent="0.3">
      <c r="B11" s="173" t="s">
        <v>453</v>
      </c>
      <c r="C11" s="174">
        <v>57</v>
      </c>
      <c r="D11" s="175">
        <v>1248821</v>
      </c>
      <c r="E11" s="174">
        <v>98</v>
      </c>
      <c r="F11" s="175">
        <v>1830925</v>
      </c>
      <c r="G11" s="174">
        <v>32</v>
      </c>
      <c r="H11" s="175">
        <v>994132</v>
      </c>
      <c r="I11" s="174">
        <v>6</v>
      </c>
      <c r="J11" s="175">
        <v>1088710</v>
      </c>
      <c r="K11" s="174">
        <v>20</v>
      </c>
      <c r="L11" s="175">
        <v>637362</v>
      </c>
      <c r="M11" s="174">
        <v>0</v>
      </c>
      <c r="N11" s="175">
        <v>0</v>
      </c>
      <c r="O11" s="174">
        <v>62</v>
      </c>
      <c r="P11" s="175">
        <v>1394957</v>
      </c>
      <c r="Q11" s="174">
        <v>62</v>
      </c>
      <c r="R11" s="175">
        <v>1202857</v>
      </c>
      <c r="S11" s="174">
        <v>47</v>
      </c>
      <c r="T11" s="176">
        <v>1213193</v>
      </c>
    </row>
    <row r="12" spans="2:20" ht="36" customHeight="1" x14ac:dyDescent="0.3">
      <c r="B12" s="173" t="s">
        <v>454</v>
      </c>
      <c r="C12" s="174">
        <v>59</v>
      </c>
      <c r="D12" s="175">
        <v>1248878</v>
      </c>
      <c r="E12" s="174">
        <v>101</v>
      </c>
      <c r="F12" s="175">
        <v>1831023</v>
      </c>
      <c r="G12" s="174">
        <v>28</v>
      </c>
      <c r="H12" s="175">
        <v>994164</v>
      </c>
      <c r="I12" s="174">
        <v>12</v>
      </c>
      <c r="J12" s="175">
        <v>1088716</v>
      </c>
      <c r="K12" s="174">
        <v>22</v>
      </c>
      <c r="L12" s="175">
        <v>637382</v>
      </c>
      <c r="M12" s="174">
        <v>0</v>
      </c>
      <c r="N12" s="175">
        <v>0</v>
      </c>
      <c r="O12" s="174">
        <v>64</v>
      </c>
      <c r="P12" s="175">
        <v>1395019</v>
      </c>
      <c r="Q12" s="174">
        <v>64</v>
      </c>
      <c r="R12" s="175">
        <v>1202919</v>
      </c>
      <c r="S12" s="174">
        <v>51</v>
      </c>
      <c r="T12" s="176">
        <v>1213240</v>
      </c>
    </row>
    <row r="13" spans="2:20" ht="36" customHeight="1" x14ac:dyDescent="0.3">
      <c r="B13" s="173" t="s">
        <v>455</v>
      </c>
      <c r="C13" s="174">
        <v>66</v>
      </c>
      <c r="D13" s="175">
        <v>1248937</v>
      </c>
      <c r="E13" s="174">
        <v>105</v>
      </c>
      <c r="F13" s="175">
        <v>1831124</v>
      </c>
      <c r="G13" s="174">
        <v>34</v>
      </c>
      <c r="H13" s="175">
        <v>994192</v>
      </c>
      <c r="I13" s="174">
        <v>25</v>
      </c>
      <c r="J13" s="175">
        <v>1088728</v>
      </c>
      <c r="K13" s="174">
        <v>25</v>
      </c>
      <c r="L13" s="175">
        <v>637404</v>
      </c>
      <c r="M13" s="174">
        <v>0</v>
      </c>
      <c r="N13" s="175">
        <v>0</v>
      </c>
      <c r="O13" s="174">
        <v>69</v>
      </c>
      <c r="P13" s="175">
        <v>1395083</v>
      </c>
      <c r="Q13" s="174">
        <v>66</v>
      </c>
      <c r="R13" s="175">
        <v>1202983</v>
      </c>
      <c r="S13" s="174">
        <v>56</v>
      </c>
      <c r="T13" s="176">
        <v>1213291</v>
      </c>
    </row>
    <row r="14" spans="2:20" ht="36" customHeight="1" x14ac:dyDescent="0.3">
      <c r="B14" s="173" t="s">
        <v>456</v>
      </c>
      <c r="C14" s="174">
        <v>79</v>
      </c>
      <c r="D14" s="175">
        <v>1249003</v>
      </c>
      <c r="E14" s="174">
        <v>114</v>
      </c>
      <c r="F14" s="175">
        <v>1831229</v>
      </c>
      <c r="G14" s="174">
        <v>40</v>
      </c>
      <c r="H14" s="175">
        <v>994226</v>
      </c>
      <c r="I14" s="174">
        <v>44</v>
      </c>
      <c r="J14" s="175">
        <v>1088753</v>
      </c>
      <c r="K14" s="174">
        <v>31</v>
      </c>
      <c r="L14" s="175">
        <v>637429</v>
      </c>
      <c r="M14" s="174">
        <v>0</v>
      </c>
      <c r="N14" s="175">
        <v>0</v>
      </c>
      <c r="O14" s="174">
        <v>82</v>
      </c>
      <c r="P14" s="175">
        <v>1395152</v>
      </c>
      <c r="Q14" s="174">
        <v>71</v>
      </c>
      <c r="R14" s="175">
        <v>1203049</v>
      </c>
      <c r="S14" s="174">
        <v>72</v>
      </c>
      <c r="T14" s="176">
        <v>1213347</v>
      </c>
    </row>
    <row r="15" spans="2:20" ht="36" customHeight="1" x14ac:dyDescent="0.3">
      <c r="B15" s="173" t="s">
        <v>457</v>
      </c>
      <c r="C15" s="174">
        <v>87</v>
      </c>
      <c r="D15" s="175">
        <v>1249082</v>
      </c>
      <c r="E15" s="174">
        <v>122</v>
      </c>
      <c r="F15" s="175">
        <v>1831343</v>
      </c>
      <c r="G15" s="174">
        <v>42</v>
      </c>
      <c r="H15" s="175">
        <v>994266</v>
      </c>
      <c r="I15" s="174">
        <v>58</v>
      </c>
      <c r="J15" s="175">
        <v>1088797</v>
      </c>
      <c r="K15" s="174">
        <v>41</v>
      </c>
      <c r="L15" s="175">
        <v>637460</v>
      </c>
      <c r="M15" s="174">
        <v>0</v>
      </c>
      <c r="N15" s="175">
        <v>0</v>
      </c>
      <c r="O15" s="174">
        <v>91</v>
      </c>
      <c r="P15" s="175">
        <v>1395234</v>
      </c>
      <c r="Q15" s="174">
        <v>75</v>
      </c>
      <c r="R15" s="175">
        <v>1203120</v>
      </c>
      <c r="S15" s="174">
        <v>91</v>
      </c>
      <c r="T15" s="176">
        <v>1213419</v>
      </c>
    </row>
    <row r="16" spans="2:20" ht="36" customHeight="1" x14ac:dyDescent="0.3">
      <c r="B16" s="173" t="s">
        <v>458</v>
      </c>
      <c r="C16" s="174">
        <v>84</v>
      </c>
      <c r="D16" s="175">
        <v>1249169</v>
      </c>
      <c r="E16" s="174">
        <v>128</v>
      </c>
      <c r="F16" s="175">
        <v>1831465</v>
      </c>
      <c r="G16" s="174">
        <v>44</v>
      </c>
      <c r="H16" s="175">
        <v>994308</v>
      </c>
      <c r="I16" s="174">
        <v>76</v>
      </c>
      <c r="J16" s="175">
        <v>1088855</v>
      </c>
      <c r="K16" s="174">
        <v>49</v>
      </c>
      <c r="L16" s="175">
        <v>637501</v>
      </c>
      <c r="M16" s="174">
        <v>0</v>
      </c>
      <c r="N16" s="175">
        <v>0</v>
      </c>
      <c r="O16" s="174">
        <v>99</v>
      </c>
      <c r="P16" s="175">
        <v>1395325</v>
      </c>
      <c r="Q16" s="174">
        <v>78</v>
      </c>
      <c r="R16" s="175">
        <v>1203195</v>
      </c>
      <c r="S16" s="174">
        <v>132</v>
      </c>
      <c r="T16" s="176">
        <v>1213510</v>
      </c>
    </row>
    <row r="17" spans="2:20" ht="36" customHeight="1" x14ac:dyDescent="0.3">
      <c r="B17" s="173" t="s">
        <v>459</v>
      </c>
      <c r="C17" s="174">
        <v>82</v>
      </c>
      <c r="D17" s="175">
        <v>1249253</v>
      </c>
      <c r="E17" s="174">
        <v>126</v>
      </c>
      <c r="F17" s="175">
        <v>1831593</v>
      </c>
      <c r="G17" s="174">
        <v>48</v>
      </c>
      <c r="H17" s="175">
        <v>994352</v>
      </c>
      <c r="I17" s="174">
        <v>51</v>
      </c>
      <c r="J17" s="175">
        <v>1088931</v>
      </c>
      <c r="K17" s="174">
        <v>44</v>
      </c>
      <c r="L17" s="175">
        <v>637550</v>
      </c>
      <c r="M17" s="174">
        <v>0</v>
      </c>
      <c r="N17" s="175">
        <v>0</v>
      </c>
      <c r="O17" s="174">
        <v>98</v>
      </c>
      <c r="P17" s="175">
        <v>1395424</v>
      </c>
      <c r="Q17" s="174">
        <v>80</v>
      </c>
      <c r="R17" s="175">
        <v>1203273</v>
      </c>
      <c r="S17" s="174">
        <v>92</v>
      </c>
      <c r="T17" s="176">
        <v>1213642</v>
      </c>
    </row>
    <row r="18" spans="2:20" ht="36" customHeight="1" x14ac:dyDescent="0.3">
      <c r="B18" s="173" t="s">
        <v>460</v>
      </c>
      <c r="C18" s="174">
        <v>82</v>
      </c>
      <c r="D18" s="175">
        <v>1249335</v>
      </c>
      <c r="E18" s="174">
        <v>125</v>
      </c>
      <c r="F18" s="175">
        <v>1831719</v>
      </c>
      <c r="G18" s="174">
        <v>50</v>
      </c>
      <c r="H18" s="175">
        <v>994400</v>
      </c>
      <c r="I18" s="174">
        <v>49</v>
      </c>
      <c r="J18" s="175">
        <v>1088982</v>
      </c>
      <c r="K18" s="174">
        <v>40</v>
      </c>
      <c r="L18" s="175">
        <v>637594</v>
      </c>
      <c r="M18" s="174">
        <v>0</v>
      </c>
      <c r="N18" s="175">
        <v>0</v>
      </c>
      <c r="O18" s="174">
        <v>98</v>
      </c>
      <c r="P18" s="175">
        <v>1395522</v>
      </c>
      <c r="Q18" s="174">
        <v>83</v>
      </c>
      <c r="R18" s="175">
        <v>1203353</v>
      </c>
      <c r="S18" s="174">
        <v>73</v>
      </c>
      <c r="T18" s="176">
        <v>1213734</v>
      </c>
    </row>
    <row r="19" spans="2:20" ht="36" customHeight="1" x14ac:dyDescent="0.3">
      <c r="B19" s="173" t="s">
        <v>461</v>
      </c>
      <c r="C19" s="174">
        <v>80</v>
      </c>
      <c r="D19" s="175">
        <v>1249417</v>
      </c>
      <c r="E19" s="174">
        <v>123</v>
      </c>
      <c r="F19" s="175">
        <v>1831844</v>
      </c>
      <c r="G19" s="174">
        <v>47</v>
      </c>
      <c r="H19" s="175">
        <v>994450</v>
      </c>
      <c r="I19" s="174">
        <v>50</v>
      </c>
      <c r="J19" s="175">
        <v>1089031</v>
      </c>
      <c r="K19" s="174">
        <v>35</v>
      </c>
      <c r="L19" s="175">
        <v>637634</v>
      </c>
      <c r="M19" s="174">
        <v>0</v>
      </c>
      <c r="N19" s="175">
        <v>0</v>
      </c>
      <c r="O19" s="174">
        <v>97</v>
      </c>
      <c r="P19" s="175">
        <v>1395620</v>
      </c>
      <c r="Q19" s="174">
        <v>87</v>
      </c>
      <c r="R19" s="175">
        <v>1203436</v>
      </c>
      <c r="S19" s="174">
        <v>73</v>
      </c>
      <c r="T19" s="176">
        <v>1213807</v>
      </c>
    </row>
    <row r="20" spans="2:20" ht="36" customHeight="1" x14ac:dyDescent="0.3">
      <c r="B20" s="173" t="s">
        <v>462</v>
      </c>
      <c r="C20" s="174">
        <v>82</v>
      </c>
      <c r="D20" s="175">
        <v>1249497</v>
      </c>
      <c r="E20" s="174">
        <v>123</v>
      </c>
      <c r="F20" s="175">
        <v>1831967</v>
      </c>
      <c r="G20" s="174">
        <v>43</v>
      </c>
      <c r="H20" s="175">
        <v>994497</v>
      </c>
      <c r="I20" s="174">
        <v>45</v>
      </c>
      <c r="J20" s="175">
        <v>1089081</v>
      </c>
      <c r="K20" s="174">
        <v>34</v>
      </c>
      <c r="L20" s="175">
        <v>637669</v>
      </c>
      <c r="M20" s="174">
        <v>0</v>
      </c>
      <c r="N20" s="175">
        <v>0</v>
      </c>
      <c r="O20" s="174">
        <v>97</v>
      </c>
      <c r="P20" s="175">
        <v>1395717</v>
      </c>
      <c r="Q20" s="174">
        <v>88</v>
      </c>
      <c r="R20" s="175">
        <v>1203523</v>
      </c>
      <c r="S20" s="174">
        <v>72</v>
      </c>
      <c r="T20" s="176">
        <v>1213880</v>
      </c>
    </row>
    <row r="21" spans="2:20" ht="36" customHeight="1" x14ac:dyDescent="0.3">
      <c r="B21" s="173" t="s">
        <v>463</v>
      </c>
      <c r="C21" s="174">
        <v>78</v>
      </c>
      <c r="D21" s="175">
        <v>1249579</v>
      </c>
      <c r="E21" s="174">
        <v>122</v>
      </c>
      <c r="F21" s="175">
        <v>1832090</v>
      </c>
      <c r="G21" s="174">
        <v>42</v>
      </c>
      <c r="H21" s="175">
        <v>994540</v>
      </c>
      <c r="I21" s="174">
        <v>46</v>
      </c>
      <c r="J21" s="175">
        <v>1089126</v>
      </c>
      <c r="K21" s="174">
        <v>34</v>
      </c>
      <c r="L21" s="175">
        <v>637703</v>
      </c>
      <c r="M21" s="174">
        <v>0</v>
      </c>
      <c r="N21" s="175">
        <v>0</v>
      </c>
      <c r="O21" s="174">
        <v>94</v>
      </c>
      <c r="P21" s="175">
        <v>1395814</v>
      </c>
      <c r="Q21" s="174">
        <v>84</v>
      </c>
      <c r="R21" s="175">
        <v>1203611</v>
      </c>
      <c r="S21" s="174">
        <v>71</v>
      </c>
      <c r="T21" s="176">
        <v>1213952</v>
      </c>
    </row>
    <row r="22" spans="2:20" ht="36" customHeight="1" x14ac:dyDescent="0.3">
      <c r="B22" s="173" t="s">
        <v>464</v>
      </c>
      <c r="C22" s="174">
        <v>77</v>
      </c>
      <c r="D22" s="175">
        <v>1249657</v>
      </c>
      <c r="E22" s="174">
        <v>125</v>
      </c>
      <c r="F22" s="175">
        <v>1832212</v>
      </c>
      <c r="G22" s="174">
        <v>39</v>
      </c>
      <c r="H22" s="175">
        <v>994582</v>
      </c>
      <c r="I22" s="174">
        <v>48</v>
      </c>
      <c r="J22" s="175">
        <v>1089172</v>
      </c>
      <c r="K22" s="174">
        <v>34</v>
      </c>
      <c r="L22" s="175">
        <v>637737</v>
      </c>
      <c r="M22" s="174">
        <v>0</v>
      </c>
      <c r="N22" s="175">
        <v>0</v>
      </c>
      <c r="O22" s="174">
        <v>93</v>
      </c>
      <c r="P22" s="175">
        <v>1395908</v>
      </c>
      <c r="Q22" s="174">
        <v>78</v>
      </c>
      <c r="R22" s="175">
        <v>1203695</v>
      </c>
      <c r="S22" s="174">
        <v>74</v>
      </c>
      <c r="T22" s="176">
        <v>1214023</v>
      </c>
    </row>
    <row r="23" spans="2:20" ht="36" customHeight="1" x14ac:dyDescent="0.3">
      <c r="B23" s="173" t="s">
        <v>465</v>
      </c>
      <c r="C23" s="174">
        <v>77</v>
      </c>
      <c r="D23" s="175">
        <v>1249734</v>
      </c>
      <c r="E23" s="174">
        <v>128</v>
      </c>
      <c r="F23" s="175">
        <v>1832337</v>
      </c>
      <c r="G23" s="174">
        <v>44</v>
      </c>
      <c r="H23" s="175">
        <v>994621</v>
      </c>
      <c r="I23" s="174">
        <v>60</v>
      </c>
      <c r="J23" s="175">
        <v>1089220</v>
      </c>
      <c r="K23" s="174">
        <v>32</v>
      </c>
      <c r="L23" s="175">
        <v>637771</v>
      </c>
      <c r="M23" s="174">
        <v>0</v>
      </c>
      <c r="N23" s="175">
        <v>0</v>
      </c>
      <c r="O23" s="174">
        <v>96</v>
      </c>
      <c r="P23" s="175">
        <v>1396001</v>
      </c>
      <c r="Q23" s="174">
        <v>78</v>
      </c>
      <c r="R23" s="175">
        <v>1203773</v>
      </c>
      <c r="S23" s="174">
        <v>114</v>
      </c>
      <c r="T23" s="176">
        <v>1214097</v>
      </c>
    </row>
    <row r="24" spans="2:20" ht="36" customHeight="1" x14ac:dyDescent="0.3">
      <c r="B24" s="173" t="s">
        <v>466</v>
      </c>
      <c r="C24" s="174">
        <v>85</v>
      </c>
      <c r="D24" s="175">
        <v>1249811</v>
      </c>
      <c r="E24" s="174">
        <v>129</v>
      </c>
      <c r="F24" s="175">
        <v>1832465</v>
      </c>
      <c r="G24" s="174">
        <v>47</v>
      </c>
      <c r="H24" s="175">
        <v>994665</v>
      </c>
      <c r="I24" s="174">
        <v>84</v>
      </c>
      <c r="J24" s="175">
        <v>1089280</v>
      </c>
      <c r="K24" s="174">
        <v>40</v>
      </c>
      <c r="L24" s="175">
        <v>637803</v>
      </c>
      <c r="M24" s="174">
        <v>0</v>
      </c>
      <c r="N24" s="175">
        <v>0</v>
      </c>
      <c r="O24" s="174">
        <v>95</v>
      </c>
      <c r="P24" s="175">
        <v>1396097</v>
      </c>
      <c r="Q24" s="174">
        <v>83</v>
      </c>
      <c r="R24" s="175">
        <v>1203851</v>
      </c>
      <c r="S24" s="174">
        <v>127</v>
      </c>
      <c r="T24" s="176">
        <v>1214211</v>
      </c>
    </row>
    <row r="25" spans="2:20" ht="36" customHeight="1" x14ac:dyDescent="0.3">
      <c r="B25" s="173" t="s">
        <v>467</v>
      </c>
      <c r="C25" s="174">
        <v>83</v>
      </c>
      <c r="D25" s="175">
        <v>1249896</v>
      </c>
      <c r="E25" s="174">
        <v>128</v>
      </c>
      <c r="F25" s="175">
        <v>1832594</v>
      </c>
      <c r="G25" s="174">
        <v>44</v>
      </c>
      <c r="H25" s="175">
        <v>994712</v>
      </c>
      <c r="I25" s="174">
        <v>58</v>
      </c>
      <c r="J25" s="175">
        <v>1089364</v>
      </c>
      <c r="K25" s="174">
        <v>46</v>
      </c>
      <c r="L25" s="175">
        <v>637843</v>
      </c>
      <c r="M25" s="174">
        <v>0</v>
      </c>
      <c r="N25" s="175">
        <v>0</v>
      </c>
      <c r="O25" s="174">
        <v>97</v>
      </c>
      <c r="P25" s="175">
        <v>1396192</v>
      </c>
      <c r="Q25" s="174">
        <v>85</v>
      </c>
      <c r="R25" s="175">
        <v>1203934</v>
      </c>
      <c r="S25" s="174">
        <v>78</v>
      </c>
      <c r="T25" s="176">
        <v>1214338</v>
      </c>
    </row>
    <row r="26" spans="2:20" ht="36" customHeight="1" x14ac:dyDescent="0.3">
      <c r="B26" s="173" t="s">
        <v>468</v>
      </c>
      <c r="C26" s="174">
        <v>80</v>
      </c>
      <c r="D26" s="175">
        <v>1249979</v>
      </c>
      <c r="E26" s="174">
        <v>125</v>
      </c>
      <c r="F26" s="175">
        <v>1832722</v>
      </c>
      <c r="G26" s="174">
        <v>42</v>
      </c>
      <c r="H26" s="175">
        <v>994756</v>
      </c>
      <c r="I26" s="174">
        <v>53</v>
      </c>
      <c r="J26" s="175">
        <v>1089422</v>
      </c>
      <c r="K26" s="174">
        <v>41</v>
      </c>
      <c r="L26" s="175">
        <v>637889</v>
      </c>
      <c r="M26" s="174">
        <v>0</v>
      </c>
      <c r="N26" s="175">
        <v>0</v>
      </c>
      <c r="O26" s="174">
        <v>99</v>
      </c>
      <c r="P26" s="175">
        <v>1396289</v>
      </c>
      <c r="Q26" s="174">
        <v>87</v>
      </c>
      <c r="R26" s="175">
        <v>1204019</v>
      </c>
      <c r="S26" s="174">
        <v>76</v>
      </c>
      <c r="T26" s="176">
        <v>1214416</v>
      </c>
    </row>
    <row r="27" spans="2:20" ht="36" customHeight="1" x14ac:dyDescent="0.3">
      <c r="B27" s="173" t="s">
        <v>469</v>
      </c>
      <c r="C27" s="174">
        <v>77</v>
      </c>
      <c r="D27" s="175">
        <v>1250059</v>
      </c>
      <c r="E27" s="174">
        <v>120</v>
      </c>
      <c r="F27" s="175">
        <v>1832847</v>
      </c>
      <c r="G27" s="174">
        <v>39</v>
      </c>
      <c r="H27" s="175">
        <v>994798</v>
      </c>
      <c r="I27" s="174">
        <v>46</v>
      </c>
      <c r="J27" s="175">
        <v>1089475</v>
      </c>
      <c r="K27" s="174">
        <v>33</v>
      </c>
      <c r="L27" s="175">
        <v>637930</v>
      </c>
      <c r="M27" s="174">
        <v>0</v>
      </c>
      <c r="N27" s="175">
        <v>0</v>
      </c>
      <c r="O27" s="174">
        <v>96</v>
      </c>
      <c r="P27" s="175">
        <v>1396388</v>
      </c>
      <c r="Q27" s="174">
        <v>82</v>
      </c>
      <c r="R27" s="175">
        <v>1204106</v>
      </c>
      <c r="S27" s="174">
        <v>72</v>
      </c>
      <c r="T27" s="176">
        <v>1214492</v>
      </c>
    </row>
    <row r="28" spans="2:20" ht="36" customHeight="1" x14ac:dyDescent="0.3">
      <c r="B28" s="173" t="s">
        <v>470</v>
      </c>
      <c r="C28" s="174">
        <v>72</v>
      </c>
      <c r="D28" s="175">
        <v>1250136</v>
      </c>
      <c r="E28" s="174">
        <v>118</v>
      </c>
      <c r="F28" s="175">
        <v>1832967</v>
      </c>
      <c r="G28" s="174">
        <v>35</v>
      </c>
      <c r="H28" s="175">
        <v>994837</v>
      </c>
      <c r="I28" s="174">
        <v>35</v>
      </c>
      <c r="J28" s="175">
        <v>1089521</v>
      </c>
      <c r="K28" s="174">
        <v>31</v>
      </c>
      <c r="L28" s="175">
        <v>637963</v>
      </c>
      <c r="M28" s="174">
        <v>0</v>
      </c>
      <c r="N28" s="175">
        <v>0</v>
      </c>
      <c r="O28" s="174">
        <v>91</v>
      </c>
      <c r="P28" s="175">
        <v>1396484</v>
      </c>
      <c r="Q28" s="174">
        <v>75</v>
      </c>
      <c r="R28" s="175">
        <v>1204188</v>
      </c>
      <c r="S28" s="174">
        <v>65</v>
      </c>
      <c r="T28" s="176">
        <v>1214564</v>
      </c>
    </row>
    <row r="29" spans="2:20" ht="36" customHeight="1" thickBot="1" x14ac:dyDescent="0.35">
      <c r="B29" s="177" t="s">
        <v>471</v>
      </c>
      <c r="C29" s="178">
        <v>65</v>
      </c>
      <c r="D29" s="179">
        <v>1250208</v>
      </c>
      <c r="E29" s="178">
        <v>111</v>
      </c>
      <c r="F29" s="179">
        <v>1833085</v>
      </c>
      <c r="G29" s="178">
        <v>32</v>
      </c>
      <c r="H29" s="179">
        <v>994872</v>
      </c>
      <c r="I29" s="178">
        <v>29</v>
      </c>
      <c r="J29" s="179">
        <v>1089556</v>
      </c>
      <c r="K29" s="178">
        <v>28</v>
      </c>
      <c r="L29" s="179">
        <v>637994</v>
      </c>
      <c r="M29" s="178">
        <v>0</v>
      </c>
      <c r="N29" s="179">
        <v>0</v>
      </c>
      <c r="O29" s="178">
        <v>87</v>
      </c>
      <c r="P29" s="179">
        <v>1396575</v>
      </c>
      <c r="Q29" s="178">
        <v>68</v>
      </c>
      <c r="R29" s="179">
        <v>1204263</v>
      </c>
      <c r="S29" s="178">
        <v>58</v>
      </c>
      <c r="T29" s="180">
        <v>1214629</v>
      </c>
    </row>
    <row r="30" spans="2:20" ht="36" customHeight="1" thickTop="1" x14ac:dyDescent="0.3">
      <c r="B30" s="181" t="s">
        <v>472</v>
      </c>
      <c r="C30" s="182">
        <f t="shared" ref="C30:T30" si="0">MIN(C6:C29)</f>
        <v>53</v>
      </c>
      <c r="D30" s="182">
        <f t="shared" si="0"/>
        <v>1248541</v>
      </c>
      <c r="E30" s="182">
        <f t="shared" si="0"/>
        <v>96</v>
      </c>
      <c r="F30" s="182">
        <f t="shared" si="0"/>
        <v>1830424</v>
      </c>
      <c r="G30" s="182">
        <f t="shared" si="0"/>
        <v>23</v>
      </c>
      <c r="H30" s="182">
        <f t="shared" si="0"/>
        <v>994003</v>
      </c>
      <c r="I30" s="182">
        <f t="shared" si="0"/>
        <v>3</v>
      </c>
      <c r="J30" s="182">
        <f t="shared" si="0"/>
        <v>1088661</v>
      </c>
      <c r="K30" s="182">
        <f t="shared" si="0"/>
        <v>18</v>
      </c>
      <c r="L30" s="182">
        <f t="shared" si="0"/>
        <v>637256</v>
      </c>
      <c r="M30" s="182">
        <f t="shared" si="0"/>
        <v>0</v>
      </c>
      <c r="N30" s="182">
        <f t="shared" si="0"/>
        <v>0</v>
      </c>
      <c r="O30" s="182">
        <f t="shared" si="0"/>
        <v>61</v>
      </c>
      <c r="P30" s="182">
        <f t="shared" si="0"/>
        <v>1394616</v>
      </c>
      <c r="Q30" s="182">
        <f t="shared" si="0"/>
        <v>62</v>
      </c>
      <c r="R30" s="182">
        <f t="shared" si="0"/>
        <v>1202534</v>
      </c>
      <c r="S30" s="182">
        <f t="shared" si="0"/>
        <v>44</v>
      </c>
      <c r="T30" s="183">
        <f t="shared" si="0"/>
        <v>1212953</v>
      </c>
    </row>
    <row r="31" spans="2:20" ht="36" customHeight="1" x14ac:dyDescent="0.3">
      <c r="B31" s="173" t="s">
        <v>473</v>
      </c>
      <c r="C31" s="182">
        <f t="shared" ref="C31:T31" si="1">MAX(C6:C29)</f>
        <v>87</v>
      </c>
      <c r="D31" s="182">
        <f t="shared" si="1"/>
        <v>1250208</v>
      </c>
      <c r="E31" s="182">
        <f t="shared" si="1"/>
        <v>129</v>
      </c>
      <c r="F31" s="182">
        <f t="shared" si="1"/>
        <v>1833085</v>
      </c>
      <c r="G31" s="182">
        <f t="shared" si="1"/>
        <v>50</v>
      </c>
      <c r="H31" s="182">
        <f t="shared" si="1"/>
        <v>994872</v>
      </c>
      <c r="I31" s="182">
        <f t="shared" si="1"/>
        <v>84</v>
      </c>
      <c r="J31" s="182">
        <f t="shared" si="1"/>
        <v>1089556</v>
      </c>
      <c r="K31" s="182">
        <f t="shared" si="1"/>
        <v>49</v>
      </c>
      <c r="L31" s="182">
        <f t="shared" si="1"/>
        <v>637994</v>
      </c>
      <c r="M31" s="182">
        <f t="shared" si="1"/>
        <v>0</v>
      </c>
      <c r="N31" s="182">
        <f t="shared" si="1"/>
        <v>0</v>
      </c>
      <c r="O31" s="182">
        <f t="shared" si="1"/>
        <v>99</v>
      </c>
      <c r="P31" s="182">
        <f t="shared" si="1"/>
        <v>1396575</v>
      </c>
      <c r="Q31" s="182">
        <f t="shared" si="1"/>
        <v>88</v>
      </c>
      <c r="R31" s="182">
        <f t="shared" si="1"/>
        <v>1204263</v>
      </c>
      <c r="S31" s="182">
        <f t="shared" si="1"/>
        <v>132</v>
      </c>
      <c r="T31" s="183">
        <f t="shared" si="1"/>
        <v>1214629</v>
      </c>
    </row>
    <row r="32" spans="2:20" ht="36" customHeight="1" x14ac:dyDescent="0.3">
      <c r="B32" s="173" t="s">
        <v>474</v>
      </c>
      <c r="C32" s="182">
        <f>AVERAGE(C6:C29)</f>
        <v>72.166666666666671</v>
      </c>
      <c r="D32" s="184"/>
      <c r="E32" s="182">
        <f>AVERAGE(E6:E29)</f>
        <v>115.5</v>
      </c>
      <c r="F32" s="184"/>
      <c r="G32" s="182">
        <f>AVERAGE(G6:G29)</f>
        <v>37.541666666666664</v>
      </c>
      <c r="H32" s="184"/>
      <c r="I32" s="182">
        <f>AVERAGE(I6:I29)</f>
        <v>38.5</v>
      </c>
      <c r="J32" s="184"/>
      <c r="K32" s="182">
        <f>AVERAGE(K6:K29)</f>
        <v>31.916666666666668</v>
      </c>
      <c r="L32" s="184"/>
      <c r="M32" s="182">
        <f>AVERAGE(M6:M29)</f>
        <v>0</v>
      </c>
      <c r="N32" s="184"/>
      <c r="O32" s="182">
        <f>AVERAGE(O6:O29)</f>
        <v>85.25</v>
      </c>
      <c r="P32" s="184"/>
      <c r="Q32" s="182">
        <f>AVERAGE(Q6:Q29)</f>
        <v>74.875</v>
      </c>
      <c r="R32" s="184"/>
      <c r="S32" s="182">
        <f>AVERAGE(S6:S29)</f>
        <v>72.25</v>
      </c>
      <c r="T32" s="185"/>
    </row>
    <row r="33" spans="1:21" ht="36" customHeight="1" thickBot="1" x14ac:dyDescent="0.35">
      <c r="B33" s="186" t="s">
        <v>475</v>
      </c>
      <c r="C33" s="187">
        <f>SUM(C6:C29)</f>
        <v>1732</v>
      </c>
      <c r="D33" s="188"/>
      <c r="E33" s="187">
        <f>SUM(E6:E29)</f>
        <v>2772</v>
      </c>
      <c r="F33" s="188"/>
      <c r="G33" s="187">
        <f>SUM(G6:G29)</f>
        <v>901</v>
      </c>
      <c r="H33" s="188"/>
      <c r="I33" s="187">
        <f>SUM(I6:I29)</f>
        <v>924</v>
      </c>
      <c r="J33" s="188"/>
      <c r="K33" s="187">
        <f>SUM(K6:K29)</f>
        <v>766</v>
      </c>
      <c r="L33" s="188"/>
      <c r="M33" s="187">
        <f>SUM(M6:M29)</f>
        <v>0</v>
      </c>
      <c r="N33" s="188"/>
      <c r="O33" s="187">
        <f>SUM(O6:O29)</f>
        <v>2046</v>
      </c>
      <c r="P33" s="188"/>
      <c r="Q33" s="187">
        <f>SUM(Q6:Q29)</f>
        <v>1797</v>
      </c>
      <c r="R33" s="188"/>
      <c r="S33" s="187">
        <f>SUM(S6:S29)</f>
        <v>1734</v>
      </c>
      <c r="T33" s="189"/>
    </row>
    <row r="34" spans="1:21" ht="9.9499999999999993" customHeight="1" thickBot="1" x14ac:dyDescent="0.35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1:21" ht="51.95" customHeight="1" thickBot="1" x14ac:dyDescent="0.35">
      <c r="A35" s="162"/>
      <c r="B35" s="457" t="s">
        <v>584</v>
      </c>
      <c r="C35" s="458"/>
      <c r="D35" s="458"/>
      <c r="E35" s="458"/>
      <c r="F35" s="458"/>
      <c r="G35" s="458"/>
      <c r="H35" s="458"/>
      <c r="I35" s="458"/>
      <c r="J35" s="458"/>
      <c r="K35" s="458"/>
      <c r="L35" s="458"/>
      <c r="M35" s="458"/>
      <c r="N35" s="458"/>
      <c r="O35" s="458"/>
      <c r="P35" s="458"/>
      <c r="Q35" s="458"/>
      <c r="R35" s="458"/>
      <c r="S35" s="458"/>
      <c r="T35" s="459"/>
      <c r="U35" s="162"/>
    </row>
    <row r="36" spans="1:21" ht="36" customHeight="1" thickTop="1" x14ac:dyDescent="0.3">
      <c r="A36" s="164"/>
      <c r="B36" s="191" t="s">
        <v>433</v>
      </c>
      <c r="C36" s="453" t="str">
        <f>C3</f>
        <v>2025년12월28일  일요일</v>
      </c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  <c r="Q36" s="453"/>
      <c r="R36" s="453"/>
      <c r="S36" s="453"/>
      <c r="T36" s="454"/>
      <c r="U36" s="164"/>
    </row>
    <row r="37" spans="1:21" ht="27.95" customHeight="1" x14ac:dyDescent="0.3">
      <c r="A37" s="165"/>
      <c r="B37" s="451" t="s">
        <v>434</v>
      </c>
      <c r="C37" s="448" t="s">
        <v>585</v>
      </c>
      <c r="D37" s="449"/>
      <c r="E37" s="448" t="s">
        <v>586</v>
      </c>
      <c r="F37" s="449"/>
      <c r="G37" s="448" t="s">
        <v>587</v>
      </c>
      <c r="H37" s="449"/>
      <c r="I37" s="448" t="s">
        <v>588</v>
      </c>
      <c r="J37" s="449"/>
      <c r="K37" s="448" t="s">
        <v>589</v>
      </c>
      <c r="L37" s="449"/>
      <c r="M37" s="448" t="s">
        <v>590</v>
      </c>
      <c r="N37" s="449"/>
      <c r="O37" s="448" t="s">
        <v>591</v>
      </c>
      <c r="P37" s="449"/>
      <c r="Q37" s="448" t="s">
        <v>592</v>
      </c>
      <c r="R37" s="449"/>
      <c r="S37" s="448" t="s">
        <v>593</v>
      </c>
      <c r="T37" s="450"/>
      <c r="U37" s="165"/>
    </row>
    <row r="38" spans="1:21" ht="27.95" customHeight="1" x14ac:dyDescent="0.3">
      <c r="B38" s="452"/>
      <c r="C38" s="166" t="s">
        <v>444</v>
      </c>
      <c r="D38" s="167" t="s">
        <v>445</v>
      </c>
      <c r="E38" s="166" t="s">
        <v>444</v>
      </c>
      <c r="F38" s="167" t="s">
        <v>445</v>
      </c>
      <c r="G38" s="166" t="s">
        <v>444</v>
      </c>
      <c r="H38" s="167" t="s">
        <v>445</v>
      </c>
      <c r="I38" s="166" t="s">
        <v>444</v>
      </c>
      <c r="J38" s="167" t="s">
        <v>445</v>
      </c>
      <c r="K38" s="166" t="s">
        <v>444</v>
      </c>
      <c r="L38" s="167" t="s">
        <v>445</v>
      </c>
      <c r="M38" s="166" t="s">
        <v>444</v>
      </c>
      <c r="N38" s="167" t="s">
        <v>445</v>
      </c>
      <c r="O38" s="166" t="s">
        <v>444</v>
      </c>
      <c r="P38" s="167" t="s">
        <v>445</v>
      </c>
      <c r="Q38" s="166" t="s">
        <v>444</v>
      </c>
      <c r="R38" s="167" t="s">
        <v>445</v>
      </c>
      <c r="S38" s="166" t="s">
        <v>446</v>
      </c>
      <c r="T38" s="168" t="s">
        <v>447</v>
      </c>
    </row>
    <row r="39" spans="1:21" ht="36" customHeight="1" x14ac:dyDescent="0.3">
      <c r="B39" s="169" t="s">
        <v>448</v>
      </c>
      <c r="C39" s="170">
        <v>17</v>
      </c>
      <c r="D39" s="171">
        <v>328694</v>
      </c>
      <c r="E39" s="170">
        <v>18</v>
      </c>
      <c r="F39" s="171">
        <v>446079</v>
      </c>
      <c r="G39" s="170">
        <v>22</v>
      </c>
      <c r="H39" s="171">
        <v>393333</v>
      </c>
      <c r="I39" s="170">
        <v>26</v>
      </c>
      <c r="J39" s="171">
        <v>561936</v>
      </c>
      <c r="K39" s="170">
        <v>5</v>
      </c>
      <c r="L39" s="171">
        <v>278775</v>
      </c>
      <c r="M39" s="170">
        <v>112</v>
      </c>
      <c r="N39" s="171">
        <v>3637896</v>
      </c>
      <c r="O39" s="170">
        <v>155</v>
      </c>
      <c r="P39" s="171">
        <v>2816289</v>
      </c>
      <c r="Q39" s="170">
        <v>83</v>
      </c>
      <c r="R39" s="171">
        <v>3564523</v>
      </c>
      <c r="S39" s="170">
        <v>209</v>
      </c>
      <c r="T39" s="172">
        <v>1220898</v>
      </c>
    </row>
    <row r="40" spans="1:21" ht="36" customHeight="1" x14ac:dyDescent="0.3">
      <c r="B40" s="173" t="s">
        <v>449</v>
      </c>
      <c r="C40" s="174">
        <v>15</v>
      </c>
      <c r="D40" s="175">
        <v>328711</v>
      </c>
      <c r="E40" s="174">
        <v>18</v>
      </c>
      <c r="F40" s="175">
        <v>446097</v>
      </c>
      <c r="G40" s="174">
        <v>20</v>
      </c>
      <c r="H40" s="175">
        <v>393355</v>
      </c>
      <c r="I40" s="174">
        <v>19</v>
      </c>
      <c r="J40" s="175">
        <v>561962</v>
      </c>
      <c r="K40" s="174">
        <v>5</v>
      </c>
      <c r="L40" s="175">
        <v>278780</v>
      </c>
      <c r="M40" s="174">
        <v>97</v>
      </c>
      <c r="N40" s="175">
        <v>3638008</v>
      </c>
      <c r="O40" s="174">
        <v>213</v>
      </c>
      <c r="P40" s="175">
        <v>2816444</v>
      </c>
      <c r="Q40" s="174">
        <v>123</v>
      </c>
      <c r="R40" s="175">
        <v>3564606</v>
      </c>
      <c r="S40" s="174">
        <v>90</v>
      </c>
      <c r="T40" s="176">
        <v>1221107</v>
      </c>
    </row>
    <row r="41" spans="1:21" ht="36" customHeight="1" x14ac:dyDescent="0.3">
      <c r="B41" s="173" t="s">
        <v>450</v>
      </c>
      <c r="C41" s="174">
        <v>14</v>
      </c>
      <c r="D41" s="175">
        <v>328726</v>
      </c>
      <c r="E41" s="174">
        <v>18</v>
      </c>
      <c r="F41" s="175">
        <v>446115</v>
      </c>
      <c r="G41" s="174">
        <v>19</v>
      </c>
      <c r="H41" s="175">
        <v>393375</v>
      </c>
      <c r="I41" s="174">
        <v>11</v>
      </c>
      <c r="J41" s="175">
        <v>561981</v>
      </c>
      <c r="K41" s="174">
        <v>5</v>
      </c>
      <c r="L41" s="175">
        <v>278785</v>
      </c>
      <c r="M41" s="174">
        <v>82</v>
      </c>
      <c r="N41" s="175">
        <v>3638105</v>
      </c>
      <c r="O41" s="174">
        <v>97</v>
      </c>
      <c r="P41" s="175">
        <v>2816657</v>
      </c>
      <c r="Q41" s="174">
        <v>45</v>
      </c>
      <c r="R41" s="175">
        <v>3564729</v>
      </c>
      <c r="S41" s="174">
        <v>41</v>
      </c>
      <c r="T41" s="176">
        <v>1221197</v>
      </c>
    </row>
    <row r="42" spans="1:21" ht="36" customHeight="1" x14ac:dyDescent="0.3">
      <c r="B42" s="173" t="s">
        <v>451</v>
      </c>
      <c r="C42" s="174">
        <v>13</v>
      </c>
      <c r="D42" s="175">
        <v>328740</v>
      </c>
      <c r="E42" s="174">
        <v>18</v>
      </c>
      <c r="F42" s="175">
        <v>446133</v>
      </c>
      <c r="G42" s="174">
        <v>20</v>
      </c>
      <c r="H42" s="175">
        <v>393394</v>
      </c>
      <c r="I42" s="174">
        <v>11</v>
      </c>
      <c r="J42" s="175">
        <v>561992</v>
      </c>
      <c r="K42" s="174">
        <v>5</v>
      </c>
      <c r="L42" s="175">
        <v>278790</v>
      </c>
      <c r="M42" s="174">
        <v>75</v>
      </c>
      <c r="N42" s="175">
        <v>3638187</v>
      </c>
      <c r="O42" s="174">
        <v>27</v>
      </c>
      <c r="P42" s="175">
        <v>2816754</v>
      </c>
      <c r="Q42" s="174">
        <v>43</v>
      </c>
      <c r="R42" s="175">
        <v>3564774</v>
      </c>
      <c r="S42" s="174">
        <v>38</v>
      </c>
      <c r="T42" s="176">
        <v>1221238</v>
      </c>
    </row>
    <row r="43" spans="1:21" ht="36" customHeight="1" x14ac:dyDescent="0.3">
      <c r="B43" s="173" t="s">
        <v>452</v>
      </c>
      <c r="C43" s="174">
        <v>14</v>
      </c>
      <c r="D43" s="175">
        <v>328753</v>
      </c>
      <c r="E43" s="174">
        <v>19</v>
      </c>
      <c r="F43" s="175">
        <v>446151</v>
      </c>
      <c r="G43" s="174">
        <v>18</v>
      </c>
      <c r="H43" s="175">
        <v>393414</v>
      </c>
      <c r="I43" s="174">
        <v>10</v>
      </c>
      <c r="J43" s="175">
        <v>562003</v>
      </c>
      <c r="K43" s="174">
        <v>6</v>
      </c>
      <c r="L43" s="175">
        <v>278795</v>
      </c>
      <c r="M43" s="174">
        <v>74</v>
      </c>
      <c r="N43" s="175">
        <v>3638262</v>
      </c>
      <c r="O43" s="174">
        <v>28</v>
      </c>
      <c r="P43" s="175">
        <v>2816781</v>
      </c>
      <c r="Q43" s="174">
        <v>44</v>
      </c>
      <c r="R43" s="175">
        <v>3564817</v>
      </c>
      <c r="S43" s="174">
        <v>38</v>
      </c>
      <c r="T43" s="176">
        <v>1221276</v>
      </c>
    </row>
    <row r="44" spans="1:21" ht="36" customHeight="1" x14ac:dyDescent="0.3">
      <c r="B44" s="173" t="s">
        <v>453</v>
      </c>
      <c r="C44" s="174">
        <v>13</v>
      </c>
      <c r="D44" s="175">
        <v>328767</v>
      </c>
      <c r="E44" s="174">
        <v>18</v>
      </c>
      <c r="F44" s="175">
        <v>446170</v>
      </c>
      <c r="G44" s="174">
        <v>20</v>
      </c>
      <c r="H44" s="175">
        <v>393432</v>
      </c>
      <c r="I44" s="174">
        <v>10</v>
      </c>
      <c r="J44" s="175">
        <v>562013</v>
      </c>
      <c r="K44" s="174">
        <v>4</v>
      </c>
      <c r="L44" s="175">
        <v>278801</v>
      </c>
      <c r="M44" s="174">
        <v>80</v>
      </c>
      <c r="N44" s="175">
        <v>3638336</v>
      </c>
      <c r="O44" s="174">
        <v>27</v>
      </c>
      <c r="P44" s="175">
        <v>2816809</v>
      </c>
      <c r="Q44" s="174">
        <v>95</v>
      </c>
      <c r="R44" s="175">
        <v>3564861</v>
      </c>
      <c r="S44" s="174">
        <v>37</v>
      </c>
      <c r="T44" s="176">
        <v>1221314</v>
      </c>
    </row>
    <row r="45" spans="1:21" ht="36" customHeight="1" x14ac:dyDescent="0.3">
      <c r="B45" s="173" t="s">
        <v>454</v>
      </c>
      <c r="C45" s="174">
        <v>18</v>
      </c>
      <c r="D45" s="175">
        <v>328780</v>
      </c>
      <c r="E45" s="174">
        <v>19</v>
      </c>
      <c r="F45" s="175">
        <v>446188</v>
      </c>
      <c r="G45" s="174">
        <v>22</v>
      </c>
      <c r="H45" s="175">
        <v>393452</v>
      </c>
      <c r="I45" s="174">
        <v>14</v>
      </c>
      <c r="J45" s="175">
        <v>562023</v>
      </c>
      <c r="K45" s="174">
        <v>6</v>
      </c>
      <c r="L45" s="175">
        <v>278805</v>
      </c>
      <c r="M45" s="174">
        <v>94</v>
      </c>
      <c r="N45" s="175">
        <v>3638416</v>
      </c>
      <c r="O45" s="174">
        <v>28</v>
      </c>
      <c r="P45" s="175">
        <v>2816836</v>
      </c>
      <c r="Q45" s="174">
        <v>224</v>
      </c>
      <c r="R45" s="175">
        <v>3564956</v>
      </c>
      <c r="S45" s="174">
        <v>36</v>
      </c>
      <c r="T45" s="176">
        <v>1221351</v>
      </c>
    </row>
    <row r="46" spans="1:21" ht="36" customHeight="1" x14ac:dyDescent="0.3">
      <c r="B46" s="173" t="s">
        <v>455</v>
      </c>
      <c r="C46" s="174">
        <v>19</v>
      </c>
      <c r="D46" s="175">
        <v>328798</v>
      </c>
      <c r="E46" s="174">
        <v>17</v>
      </c>
      <c r="F46" s="175">
        <v>446207</v>
      </c>
      <c r="G46" s="174">
        <v>27</v>
      </c>
      <c r="H46" s="175">
        <v>393474</v>
      </c>
      <c r="I46" s="174">
        <v>27</v>
      </c>
      <c r="J46" s="175">
        <v>562037</v>
      </c>
      <c r="K46" s="174">
        <v>5</v>
      </c>
      <c r="L46" s="175">
        <v>278811</v>
      </c>
      <c r="M46" s="174">
        <v>124</v>
      </c>
      <c r="N46" s="175">
        <v>3638510</v>
      </c>
      <c r="O46" s="174">
        <v>163</v>
      </c>
      <c r="P46" s="175">
        <v>2816864</v>
      </c>
      <c r="Q46" s="174">
        <v>96</v>
      </c>
      <c r="R46" s="175">
        <v>3565180</v>
      </c>
      <c r="S46" s="174">
        <v>45</v>
      </c>
      <c r="T46" s="176">
        <v>1221387</v>
      </c>
    </row>
    <row r="47" spans="1:21" ht="36" customHeight="1" x14ac:dyDescent="0.3">
      <c r="B47" s="173" t="s">
        <v>456</v>
      </c>
      <c r="C47" s="174">
        <v>19</v>
      </c>
      <c r="D47" s="175">
        <v>328817</v>
      </c>
      <c r="E47" s="174">
        <v>17</v>
      </c>
      <c r="F47" s="175">
        <v>446224</v>
      </c>
      <c r="G47" s="174">
        <v>34</v>
      </c>
      <c r="H47" s="175">
        <v>393501</v>
      </c>
      <c r="I47" s="174">
        <v>47</v>
      </c>
      <c r="J47" s="175">
        <v>562064</v>
      </c>
      <c r="K47" s="174">
        <v>6</v>
      </c>
      <c r="L47" s="175">
        <v>278816</v>
      </c>
      <c r="M47" s="174">
        <v>160</v>
      </c>
      <c r="N47" s="175">
        <v>3638634</v>
      </c>
      <c r="O47" s="174">
        <v>191</v>
      </c>
      <c r="P47" s="175">
        <v>2817027</v>
      </c>
      <c r="Q47" s="174">
        <v>134</v>
      </c>
      <c r="R47" s="175">
        <v>3565276</v>
      </c>
      <c r="S47" s="174">
        <v>52</v>
      </c>
      <c r="T47" s="176">
        <v>1221432</v>
      </c>
    </row>
    <row r="48" spans="1:21" ht="36" customHeight="1" x14ac:dyDescent="0.3">
      <c r="B48" s="173" t="s">
        <v>457</v>
      </c>
      <c r="C48" s="174">
        <v>21</v>
      </c>
      <c r="D48" s="175">
        <v>328836</v>
      </c>
      <c r="E48" s="174">
        <v>16</v>
      </c>
      <c r="F48" s="175">
        <v>446241</v>
      </c>
      <c r="G48" s="174">
        <v>37</v>
      </c>
      <c r="H48" s="175">
        <v>393535</v>
      </c>
      <c r="I48" s="174">
        <v>56</v>
      </c>
      <c r="J48" s="175">
        <v>562111</v>
      </c>
      <c r="K48" s="174">
        <v>6</v>
      </c>
      <c r="L48" s="175">
        <v>278822</v>
      </c>
      <c r="M48" s="174">
        <v>192</v>
      </c>
      <c r="N48" s="175">
        <v>3638794</v>
      </c>
      <c r="O48" s="174">
        <v>43</v>
      </c>
      <c r="P48" s="175">
        <v>2817218</v>
      </c>
      <c r="Q48" s="174">
        <v>255</v>
      </c>
      <c r="R48" s="175">
        <v>3565410</v>
      </c>
      <c r="S48" s="174">
        <v>61</v>
      </c>
      <c r="T48" s="176">
        <v>1221484</v>
      </c>
    </row>
    <row r="49" spans="2:20" ht="36" customHeight="1" x14ac:dyDescent="0.3">
      <c r="B49" s="173" t="s">
        <v>458</v>
      </c>
      <c r="C49" s="174">
        <v>20</v>
      </c>
      <c r="D49" s="175">
        <v>328857</v>
      </c>
      <c r="E49" s="174">
        <v>17</v>
      </c>
      <c r="F49" s="175">
        <v>446257</v>
      </c>
      <c r="G49" s="174">
        <v>41</v>
      </c>
      <c r="H49" s="175">
        <v>393572</v>
      </c>
      <c r="I49" s="174">
        <v>63</v>
      </c>
      <c r="J49" s="175">
        <v>562167</v>
      </c>
      <c r="K49" s="174">
        <v>5</v>
      </c>
      <c r="L49" s="175">
        <v>278828</v>
      </c>
      <c r="M49" s="174">
        <v>212</v>
      </c>
      <c r="N49" s="175">
        <v>3638986</v>
      </c>
      <c r="O49" s="174">
        <v>128</v>
      </c>
      <c r="P49" s="175">
        <v>2817261</v>
      </c>
      <c r="Q49" s="174">
        <v>180</v>
      </c>
      <c r="R49" s="175">
        <v>3565665</v>
      </c>
      <c r="S49" s="174">
        <v>65</v>
      </c>
      <c r="T49" s="176">
        <v>1221545</v>
      </c>
    </row>
    <row r="50" spans="2:20" ht="36" customHeight="1" x14ac:dyDescent="0.3">
      <c r="B50" s="173" t="s">
        <v>459</v>
      </c>
      <c r="C50" s="174">
        <v>20</v>
      </c>
      <c r="D50" s="175">
        <v>328877</v>
      </c>
      <c r="E50" s="174">
        <v>19</v>
      </c>
      <c r="F50" s="175">
        <v>446274</v>
      </c>
      <c r="G50" s="174">
        <v>38</v>
      </c>
      <c r="H50" s="175">
        <v>393613</v>
      </c>
      <c r="I50" s="174">
        <v>65</v>
      </c>
      <c r="J50" s="175">
        <v>562230</v>
      </c>
      <c r="K50" s="174">
        <v>6</v>
      </c>
      <c r="L50" s="175">
        <v>278833</v>
      </c>
      <c r="M50" s="174">
        <v>200</v>
      </c>
      <c r="N50" s="175">
        <v>3639198</v>
      </c>
      <c r="O50" s="174">
        <v>131</v>
      </c>
      <c r="P50" s="175">
        <v>2817389</v>
      </c>
      <c r="Q50" s="174">
        <v>73</v>
      </c>
      <c r="R50" s="175">
        <v>3565845</v>
      </c>
      <c r="S50" s="174">
        <v>67</v>
      </c>
      <c r="T50" s="176">
        <v>1221610</v>
      </c>
    </row>
    <row r="51" spans="2:20" ht="36" customHeight="1" x14ac:dyDescent="0.3">
      <c r="B51" s="173" t="s">
        <v>460</v>
      </c>
      <c r="C51" s="174">
        <v>19</v>
      </c>
      <c r="D51" s="175">
        <v>328897</v>
      </c>
      <c r="E51" s="174">
        <v>19</v>
      </c>
      <c r="F51" s="175">
        <v>446293</v>
      </c>
      <c r="G51" s="174">
        <v>39</v>
      </c>
      <c r="H51" s="175">
        <v>393651</v>
      </c>
      <c r="I51" s="174">
        <v>62</v>
      </c>
      <c r="J51" s="175">
        <v>562295</v>
      </c>
      <c r="K51" s="174">
        <v>7</v>
      </c>
      <c r="L51" s="175">
        <v>278839</v>
      </c>
      <c r="M51" s="174">
        <v>196</v>
      </c>
      <c r="N51" s="175">
        <v>3639398</v>
      </c>
      <c r="O51" s="174">
        <v>37</v>
      </c>
      <c r="P51" s="175">
        <v>2817520</v>
      </c>
      <c r="Q51" s="174">
        <v>201</v>
      </c>
      <c r="R51" s="175">
        <v>3565918</v>
      </c>
      <c r="S51" s="174">
        <v>67</v>
      </c>
      <c r="T51" s="176">
        <v>1221677</v>
      </c>
    </row>
    <row r="52" spans="2:20" ht="36" customHeight="1" x14ac:dyDescent="0.3">
      <c r="B52" s="173" t="s">
        <v>461</v>
      </c>
      <c r="C52" s="174">
        <v>22</v>
      </c>
      <c r="D52" s="175">
        <v>328916</v>
      </c>
      <c r="E52" s="174">
        <v>17</v>
      </c>
      <c r="F52" s="175">
        <v>446312</v>
      </c>
      <c r="G52" s="174">
        <v>37</v>
      </c>
      <c r="H52" s="175">
        <v>393690</v>
      </c>
      <c r="I52" s="174">
        <v>60</v>
      </c>
      <c r="J52" s="175">
        <v>562357</v>
      </c>
      <c r="K52" s="174">
        <v>5</v>
      </c>
      <c r="L52" s="175">
        <v>278846</v>
      </c>
      <c r="M52" s="174">
        <v>193</v>
      </c>
      <c r="N52" s="175">
        <v>3639594</v>
      </c>
      <c r="O52" s="174">
        <v>38</v>
      </c>
      <c r="P52" s="175">
        <v>2817557</v>
      </c>
      <c r="Q52" s="174">
        <v>232</v>
      </c>
      <c r="R52" s="175">
        <v>3566119</v>
      </c>
      <c r="S52" s="174">
        <v>69</v>
      </c>
      <c r="T52" s="176">
        <v>1221744</v>
      </c>
    </row>
    <row r="53" spans="2:20" ht="36" customHeight="1" x14ac:dyDescent="0.3">
      <c r="B53" s="173" t="s">
        <v>462</v>
      </c>
      <c r="C53" s="174">
        <v>23</v>
      </c>
      <c r="D53" s="175">
        <v>328938</v>
      </c>
      <c r="E53" s="174">
        <v>17</v>
      </c>
      <c r="F53" s="175">
        <v>446329</v>
      </c>
      <c r="G53" s="174">
        <v>36</v>
      </c>
      <c r="H53" s="175">
        <v>393727</v>
      </c>
      <c r="I53" s="174">
        <v>59</v>
      </c>
      <c r="J53" s="175">
        <v>562417</v>
      </c>
      <c r="K53" s="174">
        <v>6</v>
      </c>
      <c r="L53" s="175">
        <v>278851</v>
      </c>
      <c r="M53" s="174">
        <v>190</v>
      </c>
      <c r="N53" s="175">
        <v>3639787</v>
      </c>
      <c r="O53" s="174">
        <v>108</v>
      </c>
      <c r="P53" s="175">
        <v>2817595</v>
      </c>
      <c r="Q53" s="174">
        <v>271</v>
      </c>
      <c r="R53" s="175">
        <v>3566351</v>
      </c>
      <c r="S53" s="174">
        <v>65</v>
      </c>
      <c r="T53" s="176">
        <v>1221813</v>
      </c>
    </row>
    <row r="54" spans="2:20" ht="36" customHeight="1" x14ac:dyDescent="0.3">
      <c r="B54" s="173" t="s">
        <v>463</v>
      </c>
      <c r="C54" s="174">
        <v>19</v>
      </c>
      <c r="D54" s="175">
        <v>328961</v>
      </c>
      <c r="E54" s="174">
        <v>17</v>
      </c>
      <c r="F54" s="175">
        <v>446346</v>
      </c>
      <c r="G54" s="174">
        <v>41</v>
      </c>
      <c r="H54" s="175">
        <v>393763</v>
      </c>
      <c r="I54" s="174">
        <v>52</v>
      </c>
      <c r="J54" s="175">
        <v>562476</v>
      </c>
      <c r="K54" s="174">
        <v>6</v>
      </c>
      <c r="L54" s="175">
        <v>278857</v>
      </c>
      <c r="M54" s="174">
        <v>184</v>
      </c>
      <c r="N54" s="175">
        <v>3639977</v>
      </c>
      <c r="O54" s="174">
        <v>175</v>
      </c>
      <c r="P54" s="175">
        <v>2817703</v>
      </c>
      <c r="Q54" s="174">
        <v>188</v>
      </c>
      <c r="R54" s="175">
        <v>3566622</v>
      </c>
      <c r="S54" s="174">
        <v>65</v>
      </c>
      <c r="T54" s="176">
        <v>1221878</v>
      </c>
    </row>
    <row r="55" spans="2:20" ht="36" customHeight="1" x14ac:dyDescent="0.3">
      <c r="B55" s="173" t="s">
        <v>464</v>
      </c>
      <c r="C55" s="174">
        <v>19</v>
      </c>
      <c r="D55" s="175">
        <v>328980</v>
      </c>
      <c r="E55" s="174">
        <v>20</v>
      </c>
      <c r="F55" s="175">
        <v>446363</v>
      </c>
      <c r="G55" s="174">
        <v>42</v>
      </c>
      <c r="H55" s="175">
        <v>393804</v>
      </c>
      <c r="I55" s="174">
        <v>53</v>
      </c>
      <c r="J55" s="175">
        <v>562528</v>
      </c>
      <c r="K55" s="174">
        <v>5</v>
      </c>
      <c r="L55" s="175">
        <v>278863</v>
      </c>
      <c r="M55" s="174">
        <v>178</v>
      </c>
      <c r="N55" s="175">
        <v>3640161</v>
      </c>
      <c r="O55" s="174">
        <v>223</v>
      </c>
      <c r="P55" s="175">
        <v>2817878</v>
      </c>
      <c r="Q55" s="174">
        <v>73</v>
      </c>
      <c r="R55" s="175">
        <v>3566810</v>
      </c>
      <c r="S55" s="174">
        <v>66</v>
      </c>
      <c r="T55" s="176">
        <v>1221943</v>
      </c>
    </row>
    <row r="56" spans="2:20" ht="36" customHeight="1" x14ac:dyDescent="0.3">
      <c r="B56" s="173" t="s">
        <v>465</v>
      </c>
      <c r="C56" s="174">
        <v>18</v>
      </c>
      <c r="D56" s="175">
        <v>328999</v>
      </c>
      <c r="E56" s="174">
        <v>19</v>
      </c>
      <c r="F56" s="175">
        <v>446383</v>
      </c>
      <c r="G56" s="174">
        <v>41</v>
      </c>
      <c r="H56" s="175">
        <v>393846</v>
      </c>
      <c r="I56" s="174">
        <v>62</v>
      </c>
      <c r="J56" s="175">
        <v>562581</v>
      </c>
      <c r="K56" s="174">
        <v>6</v>
      </c>
      <c r="L56" s="175">
        <v>278868</v>
      </c>
      <c r="M56" s="174">
        <v>194</v>
      </c>
      <c r="N56" s="175">
        <v>3640339</v>
      </c>
      <c r="O56" s="174">
        <v>184</v>
      </c>
      <c r="P56" s="175">
        <v>2818101</v>
      </c>
      <c r="Q56" s="174">
        <v>120</v>
      </c>
      <c r="R56" s="175">
        <v>3566883</v>
      </c>
      <c r="S56" s="174">
        <v>69</v>
      </c>
      <c r="T56" s="176">
        <v>1222009</v>
      </c>
    </row>
    <row r="57" spans="2:20" ht="36" customHeight="1" x14ac:dyDescent="0.3">
      <c r="B57" s="173" t="s">
        <v>466</v>
      </c>
      <c r="C57" s="174">
        <v>19</v>
      </c>
      <c r="D57" s="175">
        <v>329017</v>
      </c>
      <c r="E57" s="174">
        <v>19</v>
      </c>
      <c r="F57" s="175">
        <v>446402</v>
      </c>
      <c r="G57" s="174">
        <v>43</v>
      </c>
      <c r="H57" s="175">
        <v>393887</v>
      </c>
      <c r="I57" s="174">
        <v>66</v>
      </c>
      <c r="J57" s="175">
        <v>562643</v>
      </c>
      <c r="K57" s="174">
        <v>6</v>
      </c>
      <c r="L57" s="175">
        <v>278874</v>
      </c>
      <c r="M57" s="174">
        <v>208</v>
      </c>
      <c r="N57" s="175">
        <v>3640533</v>
      </c>
      <c r="O57" s="174">
        <v>434</v>
      </c>
      <c r="P57" s="175">
        <v>2818285</v>
      </c>
      <c r="Q57" s="174">
        <v>177</v>
      </c>
      <c r="R57" s="175">
        <v>3567003</v>
      </c>
      <c r="S57" s="174">
        <v>70</v>
      </c>
      <c r="T57" s="176">
        <v>1222078</v>
      </c>
    </row>
    <row r="58" spans="2:20" ht="36" customHeight="1" x14ac:dyDescent="0.3">
      <c r="B58" s="173" t="s">
        <v>467</v>
      </c>
      <c r="C58" s="174">
        <v>20</v>
      </c>
      <c r="D58" s="175">
        <v>329036</v>
      </c>
      <c r="E58" s="174">
        <v>18</v>
      </c>
      <c r="F58" s="175">
        <v>446421</v>
      </c>
      <c r="G58" s="174">
        <v>41</v>
      </c>
      <c r="H58" s="175">
        <v>393930</v>
      </c>
      <c r="I58" s="174">
        <v>73</v>
      </c>
      <c r="J58" s="175">
        <v>562709</v>
      </c>
      <c r="K58" s="174">
        <v>5</v>
      </c>
      <c r="L58" s="175">
        <v>278880</v>
      </c>
      <c r="M58" s="174">
        <v>200</v>
      </c>
      <c r="N58" s="175">
        <v>3640741</v>
      </c>
      <c r="O58" s="174">
        <v>206</v>
      </c>
      <c r="P58" s="175">
        <v>2818719</v>
      </c>
      <c r="Q58" s="174">
        <v>184</v>
      </c>
      <c r="R58" s="175">
        <v>3567180</v>
      </c>
      <c r="S58" s="174">
        <v>71</v>
      </c>
      <c r="T58" s="176">
        <v>1222148</v>
      </c>
    </row>
    <row r="59" spans="2:20" ht="36" customHeight="1" x14ac:dyDescent="0.3">
      <c r="B59" s="173" t="s">
        <v>468</v>
      </c>
      <c r="C59" s="174">
        <v>21</v>
      </c>
      <c r="D59" s="175">
        <v>329056</v>
      </c>
      <c r="E59" s="174">
        <v>18</v>
      </c>
      <c r="F59" s="175">
        <v>446439</v>
      </c>
      <c r="G59" s="174">
        <v>33</v>
      </c>
      <c r="H59" s="175">
        <v>393971</v>
      </c>
      <c r="I59" s="174">
        <v>69</v>
      </c>
      <c r="J59" s="175">
        <v>562782</v>
      </c>
      <c r="K59" s="174">
        <v>6</v>
      </c>
      <c r="L59" s="175">
        <v>278885</v>
      </c>
      <c r="M59" s="174">
        <v>200</v>
      </c>
      <c r="N59" s="175">
        <v>3640941</v>
      </c>
      <c r="O59" s="174">
        <v>217</v>
      </c>
      <c r="P59" s="175">
        <v>2818925</v>
      </c>
      <c r="Q59" s="174">
        <v>392</v>
      </c>
      <c r="R59" s="175">
        <v>3567364</v>
      </c>
      <c r="S59" s="174">
        <v>69</v>
      </c>
      <c r="T59" s="176">
        <v>1222219</v>
      </c>
    </row>
    <row r="60" spans="2:20" ht="36" customHeight="1" x14ac:dyDescent="0.3">
      <c r="B60" s="173" t="s">
        <v>469</v>
      </c>
      <c r="C60" s="174">
        <v>22</v>
      </c>
      <c r="D60" s="175">
        <v>329077</v>
      </c>
      <c r="E60" s="174">
        <v>17</v>
      </c>
      <c r="F60" s="175">
        <v>446457</v>
      </c>
      <c r="G60" s="174">
        <v>31</v>
      </c>
      <c r="H60" s="175">
        <v>394004</v>
      </c>
      <c r="I60" s="174">
        <v>63</v>
      </c>
      <c r="J60" s="175">
        <v>562851</v>
      </c>
      <c r="K60" s="174">
        <v>4</v>
      </c>
      <c r="L60" s="175">
        <v>278891</v>
      </c>
      <c r="M60" s="174">
        <v>189</v>
      </c>
      <c r="N60" s="175">
        <v>3641141</v>
      </c>
      <c r="O60" s="174">
        <v>79</v>
      </c>
      <c r="P60" s="175">
        <v>2819142</v>
      </c>
      <c r="Q60" s="174">
        <v>374</v>
      </c>
      <c r="R60" s="175">
        <v>3567756</v>
      </c>
      <c r="S60" s="174">
        <v>67</v>
      </c>
      <c r="T60" s="176">
        <v>1222288</v>
      </c>
    </row>
    <row r="61" spans="2:20" ht="36" customHeight="1" x14ac:dyDescent="0.3">
      <c r="B61" s="173" t="s">
        <v>470</v>
      </c>
      <c r="C61" s="174">
        <v>20</v>
      </c>
      <c r="D61" s="175">
        <v>329099</v>
      </c>
      <c r="E61" s="174">
        <v>18</v>
      </c>
      <c r="F61" s="175">
        <v>446474</v>
      </c>
      <c r="G61" s="174">
        <v>29</v>
      </c>
      <c r="H61" s="175">
        <v>394035</v>
      </c>
      <c r="I61" s="174">
        <v>54</v>
      </c>
      <c r="J61" s="175">
        <v>562914</v>
      </c>
      <c r="K61" s="174">
        <v>6</v>
      </c>
      <c r="L61" s="175">
        <v>278895</v>
      </c>
      <c r="M61" s="174">
        <v>159</v>
      </c>
      <c r="N61" s="175">
        <v>3641330</v>
      </c>
      <c r="O61" s="174">
        <v>90</v>
      </c>
      <c r="P61" s="175">
        <v>2819221</v>
      </c>
      <c r="Q61" s="174">
        <v>217</v>
      </c>
      <c r="R61" s="175">
        <v>3568130</v>
      </c>
      <c r="S61" s="174">
        <v>64</v>
      </c>
      <c r="T61" s="176">
        <v>1222355</v>
      </c>
    </row>
    <row r="62" spans="2:20" ht="36" customHeight="1" thickBot="1" x14ac:dyDescent="0.35">
      <c r="B62" s="177" t="s">
        <v>471</v>
      </c>
      <c r="C62" s="178">
        <v>17</v>
      </c>
      <c r="D62" s="179">
        <v>329119</v>
      </c>
      <c r="E62" s="178">
        <v>19</v>
      </c>
      <c r="F62" s="179">
        <v>446492</v>
      </c>
      <c r="G62" s="178">
        <v>25</v>
      </c>
      <c r="H62" s="179">
        <v>394064</v>
      </c>
      <c r="I62" s="178">
        <v>41</v>
      </c>
      <c r="J62" s="179">
        <v>562968</v>
      </c>
      <c r="K62" s="178">
        <v>5</v>
      </c>
      <c r="L62" s="179">
        <v>278901</v>
      </c>
      <c r="M62" s="178">
        <v>139</v>
      </c>
      <c r="N62" s="179">
        <v>3641489</v>
      </c>
      <c r="O62" s="178">
        <v>73</v>
      </c>
      <c r="P62" s="179">
        <v>2819311</v>
      </c>
      <c r="Q62" s="178">
        <v>102</v>
      </c>
      <c r="R62" s="179">
        <v>3568347</v>
      </c>
      <c r="S62" s="178">
        <v>58</v>
      </c>
      <c r="T62" s="180">
        <v>1222419</v>
      </c>
    </row>
    <row r="63" spans="2:20" ht="36" customHeight="1" thickTop="1" x14ac:dyDescent="0.3">
      <c r="B63" s="181" t="s">
        <v>472</v>
      </c>
      <c r="C63" s="182">
        <f t="shared" ref="C63:T63" si="2">MIN(C39:C62)</f>
        <v>13</v>
      </c>
      <c r="D63" s="182">
        <f t="shared" si="2"/>
        <v>328694</v>
      </c>
      <c r="E63" s="182">
        <f t="shared" si="2"/>
        <v>16</v>
      </c>
      <c r="F63" s="182">
        <f t="shared" si="2"/>
        <v>446079</v>
      </c>
      <c r="G63" s="182">
        <f t="shared" si="2"/>
        <v>18</v>
      </c>
      <c r="H63" s="182">
        <f t="shared" si="2"/>
        <v>393333</v>
      </c>
      <c r="I63" s="182">
        <f t="shared" si="2"/>
        <v>10</v>
      </c>
      <c r="J63" s="182">
        <f t="shared" si="2"/>
        <v>561936</v>
      </c>
      <c r="K63" s="182">
        <f t="shared" si="2"/>
        <v>4</v>
      </c>
      <c r="L63" s="182">
        <f t="shared" si="2"/>
        <v>278775</v>
      </c>
      <c r="M63" s="182">
        <f t="shared" si="2"/>
        <v>74</v>
      </c>
      <c r="N63" s="182">
        <f t="shared" si="2"/>
        <v>3637896</v>
      </c>
      <c r="O63" s="182">
        <f t="shared" si="2"/>
        <v>27</v>
      </c>
      <c r="P63" s="182">
        <f t="shared" si="2"/>
        <v>2816289</v>
      </c>
      <c r="Q63" s="182">
        <f t="shared" si="2"/>
        <v>43</v>
      </c>
      <c r="R63" s="182">
        <f t="shared" si="2"/>
        <v>3564523</v>
      </c>
      <c r="S63" s="182">
        <f t="shared" si="2"/>
        <v>36</v>
      </c>
      <c r="T63" s="183">
        <f t="shared" si="2"/>
        <v>1220898</v>
      </c>
    </row>
    <row r="64" spans="2:20" ht="36" customHeight="1" x14ac:dyDescent="0.3">
      <c r="B64" s="173" t="s">
        <v>473</v>
      </c>
      <c r="C64" s="182">
        <f t="shared" ref="C64:T64" si="3">MAX(C39:C62)</f>
        <v>23</v>
      </c>
      <c r="D64" s="182">
        <f t="shared" si="3"/>
        <v>329119</v>
      </c>
      <c r="E64" s="182">
        <f t="shared" si="3"/>
        <v>20</v>
      </c>
      <c r="F64" s="182">
        <f t="shared" si="3"/>
        <v>446492</v>
      </c>
      <c r="G64" s="182">
        <f t="shared" si="3"/>
        <v>43</v>
      </c>
      <c r="H64" s="182">
        <f t="shared" si="3"/>
        <v>394064</v>
      </c>
      <c r="I64" s="182">
        <f t="shared" si="3"/>
        <v>73</v>
      </c>
      <c r="J64" s="182">
        <f t="shared" si="3"/>
        <v>562968</v>
      </c>
      <c r="K64" s="182">
        <f t="shared" si="3"/>
        <v>7</v>
      </c>
      <c r="L64" s="182">
        <f t="shared" si="3"/>
        <v>278901</v>
      </c>
      <c r="M64" s="182">
        <f t="shared" si="3"/>
        <v>212</v>
      </c>
      <c r="N64" s="182">
        <f t="shared" si="3"/>
        <v>3641489</v>
      </c>
      <c r="O64" s="182">
        <f t="shared" si="3"/>
        <v>434</v>
      </c>
      <c r="P64" s="182">
        <f t="shared" si="3"/>
        <v>2819311</v>
      </c>
      <c r="Q64" s="182">
        <f t="shared" si="3"/>
        <v>392</v>
      </c>
      <c r="R64" s="182">
        <f t="shared" si="3"/>
        <v>3568347</v>
      </c>
      <c r="S64" s="182">
        <f t="shared" si="3"/>
        <v>209</v>
      </c>
      <c r="T64" s="183">
        <f t="shared" si="3"/>
        <v>1222419</v>
      </c>
    </row>
    <row r="65" spans="2:20" ht="36" customHeight="1" x14ac:dyDescent="0.3">
      <c r="B65" s="173" t="s">
        <v>474</v>
      </c>
      <c r="C65" s="182">
        <f>AVERAGE(C39:C62)</f>
        <v>18.416666666666668</v>
      </c>
      <c r="D65" s="184"/>
      <c r="E65" s="182">
        <f>AVERAGE(E39:E62)</f>
        <v>18</v>
      </c>
      <c r="F65" s="184"/>
      <c r="G65" s="182">
        <f>AVERAGE(G39:G62)</f>
        <v>31.5</v>
      </c>
      <c r="H65" s="184"/>
      <c r="I65" s="182">
        <f>AVERAGE(I39:I62)</f>
        <v>44.708333333333336</v>
      </c>
      <c r="J65" s="184"/>
      <c r="K65" s="182">
        <f>AVERAGE(K39:K62)</f>
        <v>5.458333333333333</v>
      </c>
      <c r="L65" s="184"/>
      <c r="M65" s="182">
        <f>AVERAGE(M39:M62)</f>
        <v>155.5</v>
      </c>
      <c r="N65" s="184"/>
      <c r="O65" s="182">
        <f>AVERAGE(O39:O62)</f>
        <v>128.95833333333334</v>
      </c>
      <c r="P65" s="184"/>
      <c r="Q65" s="182">
        <f>AVERAGE(Q39:Q62)</f>
        <v>163.58333333333334</v>
      </c>
      <c r="R65" s="184"/>
      <c r="S65" s="182">
        <f>AVERAGE(S39:S62)</f>
        <v>65.791666666666671</v>
      </c>
      <c r="T65" s="185"/>
    </row>
    <row r="66" spans="2:20" ht="36" customHeight="1" thickBot="1" x14ac:dyDescent="0.35">
      <c r="B66" s="186" t="s">
        <v>475</v>
      </c>
      <c r="C66" s="187">
        <f>SUM(C39:C62)</f>
        <v>442</v>
      </c>
      <c r="D66" s="188"/>
      <c r="E66" s="187">
        <f>SUM(E39:E62)</f>
        <v>432</v>
      </c>
      <c r="F66" s="188"/>
      <c r="G66" s="187">
        <f>SUM(G39:G62)</f>
        <v>756</v>
      </c>
      <c r="H66" s="188"/>
      <c r="I66" s="187">
        <f>SUM(I39:I62)</f>
        <v>1073</v>
      </c>
      <c r="J66" s="188"/>
      <c r="K66" s="187">
        <f>SUM(K39:K62)</f>
        <v>131</v>
      </c>
      <c r="L66" s="188"/>
      <c r="M66" s="187">
        <f>SUM(M39:M62)</f>
        <v>3732</v>
      </c>
      <c r="N66" s="188"/>
      <c r="O66" s="187">
        <f>SUM(O39:O62)</f>
        <v>3095</v>
      </c>
      <c r="P66" s="188"/>
      <c r="Q66" s="187">
        <f>SUM(Q39:Q62)</f>
        <v>3926</v>
      </c>
      <c r="R66" s="188"/>
      <c r="S66" s="187">
        <f>SUM(S39:S62)</f>
        <v>1579</v>
      </c>
      <c r="T66" s="189"/>
    </row>
    <row r="67" spans="2:20" ht="9.9499999999999993" customHeight="1" thickBot="1" x14ac:dyDescent="0.35"/>
    <row r="68" spans="2:20" s="162" customFormat="1" ht="51.95" customHeight="1" thickBot="1" x14ac:dyDescent="0.35">
      <c r="B68" s="460" t="s">
        <v>584</v>
      </c>
      <c r="C68" s="461"/>
      <c r="D68" s="461"/>
      <c r="E68" s="461"/>
      <c r="F68" s="461"/>
      <c r="G68" s="461"/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2"/>
    </row>
    <row r="69" spans="2:20" s="164" customFormat="1" ht="36" customHeight="1" thickTop="1" x14ac:dyDescent="0.3">
      <c r="B69" s="163" t="s">
        <v>433</v>
      </c>
      <c r="C69" s="453" t="str">
        <f>C3</f>
        <v>2025년12월28일  일요일</v>
      </c>
      <c r="D69" s="453"/>
      <c r="E69" s="453"/>
      <c r="F69" s="453"/>
      <c r="G69" s="453"/>
      <c r="H69" s="453"/>
      <c r="I69" s="453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4"/>
    </row>
    <row r="70" spans="2:20" s="165" customFormat="1" ht="27.95" customHeight="1" x14ac:dyDescent="0.3">
      <c r="B70" s="455" t="s">
        <v>434</v>
      </c>
      <c r="C70" s="448" t="s">
        <v>594</v>
      </c>
      <c r="D70" s="449"/>
      <c r="E70" s="448" t="s">
        <v>595</v>
      </c>
      <c r="F70" s="449"/>
      <c r="G70" s="448" t="s">
        <v>596</v>
      </c>
      <c r="H70" s="449"/>
      <c r="I70" s="448" t="s">
        <v>597</v>
      </c>
      <c r="J70" s="449"/>
      <c r="K70" s="448" t="s">
        <v>598</v>
      </c>
      <c r="L70" s="449"/>
      <c r="M70" s="448" t="s">
        <v>599</v>
      </c>
      <c r="N70" s="449"/>
      <c r="O70" s="448" t="s">
        <v>600</v>
      </c>
      <c r="P70" s="449"/>
      <c r="Q70" s="448" t="s">
        <v>601</v>
      </c>
      <c r="R70" s="449"/>
      <c r="S70" s="448" t="s">
        <v>602</v>
      </c>
      <c r="T70" s="450"/>
    </row>
    <row r="71" spans="2:20" ht="27.95" customHeight="1" x14ac:dyDescent="0.3">
      <c r="B71" s="456"/>
      <c r="C71" s="166" t="s">
        <v>444</v>
      </c>
      <c r="D71" s="167" t="s">
        <v>445</v>
      </c>
      <c r="E71" s="166" t="s">
        <v>444</v>
      </c>
      <c r="F71" s="167" t="s">
        <v>445</v>
      </c>
      <c r="G71" s="166" t="s">
        <v>444</v>
      </c>
      <c r="H71" s="167" t="s">
        <v>445</v>
      </c>
      <c r="I71" s="166" t="s">
        <v>444</v>
      </c>
      <c r="J71" s="167" t="s">
        <v>445</v>
      </c>
      <c r="K71" s="166" t="s">
        <v>444</v>
      </c>
      <c r="L71" s="167" t="s">
        <v>445</v>
      </c>
      <c r="M71" s="166" t="s">
        <v>444</v>
      </c>
      <c r="N71" s="167" t="s">
        <v>445</v>
      </c>
      <c r="O71" s="166" t="s">
        <v>444</v>
      </c>
      <c r="P71" s="167" t="s">
        <v>445</v>
      </c>
      <c r="Q71" s="166" t="s">
        <v>444</v>
      </c>
      <c r="R71" s="167" t="s">
        <v>445</v>
      </c>
      <c r="S71" s="166" t="s">
        <v>446</v>
      </c>
      <c r="T71" s="168" t="s">
        <v>447</v>
      </c>
    </row>
    <row r="72" spans="2:20" ht="36" customHeight="1" x14ac:dyDescent="0.3">
      <c r="B72" s="169" t="s">
        <v>448</v>
      </c>
      <c r="C72" s="170">
        <v>14</v>
      </c>
      <c r="D72" s="171">
        <v>158424</v>
      </c>
      <c r="E72" s="170">
        <v>14</v>
      </c>
      <c r="F72" s="171">
        <v>303350</v>
      </c>
      <c r="G72" s="170">
        <v>71</v>
      </c>
      <c r="H72" s="171">
        <v>2230547</v>
      </c>
      <c r="I72" s="170">
        <v>40</v>
      </c>
      <c r="J72" s="171">
        <v>591999</v>
      </c>
      <c r="K72" s="170">
        <v>35</v>
      </c>
      <c r="L72" s="171">
        <v>602574</v>
      </c>
      <c r="M72" s="170">
        <v>12</v>
      </c>
      <c r="N72" s="171">
        <v>246490</v>
      </c>
      <c r="O72" s="170">
        <v>0</v>
      </c>
      <c r="P72" s="171">
        <v>12663</v>
      </c>
      <c r="Q72" s="170">
        <v>45</v>
      </c>
      <c r="R72" s="171">
        <v>495402</v>
      </c>
      <c r="S72" s="170">
        <v>0</v>
      </c>
      <c r="T72" s="172">
        <v>277125</v>
      </c>
    </row>
    <row r="73" spans="2:20" ht="36" customHeight="1" x14ac:dyDescent="0.3">
      <c r="B73" s="173" t="s">
        <v>449</v>
      </c>
      <c r="C73" s="174">
        <v>14</v>
      </c>
      <c r="D73" s="175">
        <v>158438</v>
      </c>
      <c r="E73" s="174">
        <v>10</v>
      </c>
      <c r="F73" s="175">
        <v>303364</v>
      </c>
      <c r="G73" s="174">
        <v>71</v>
      </c>
      <c r="H73" s="175">
        <v>2230618</v>
      </c>
      <c r="I73" s="174">
        <v>36</v>
      </c>
      <c r="J73" s="175">
        <v>592039</v>
      </c>
      <c r="K73" s="174">
        <v>32</v>
      </c>
      <c r="L73" s="175">
        <v>602609</v>
      </c>
      <c r="M73" s="174">
        <v>9</v>
      </c>
      <c r="N73" s="175">
        <v>246502</v>
      </c>
      <c r="O73" s="174">
        <v>0</v>
      </c>
      <c r="P73" s="175">
        <v>12663</v>
      </c>
      <c r="Q73" s="174">
        <v>43</v>
      </c>
      <c r="R73" s="175">
        <v>495447</v>
      </c>
      <c r="S73" s="174">
        <v>0</v>
      </c>
      <c r="T73" s="176">
        <v>277125</v>
      </c>
    </row>
    <row r="74" spans="2:20" ht="36" customHeight="1" x14ac:dyDescent="0.3">
      <c r="B74" s="173" t="s">
        <v>450</v>
      </c>
      <c r="C74" s="174">
        <v>14</v>
      </c>
      <c r="D74" s="175">
        <v>158452</v>
      </c>
      <c r="E74" s="174">
        <v>7</v>
      </c>
      <c r="F74" s="175">
        <v>303374</v>
      </c>
      <c r="G74" s="174">
        <v>70</v>
      </c>
      <c r="H74" s="175">
        <v>2230689</v>
      </c>
      <c r="I74" s="174">
        <v>31</v>
      </c>
      <c r="J74" s="175">
        <v>592075</v>
      </c>
      <c r="K74" s="174">
        <v>28</v>
      </c>
      <c r="L74" s="175">
        <v>602641</v>
      </c>
      <c r="M74" s="174">
        <v>8</v>
      </c>
      <c r="N74" s="175">
        <v>246511</v>
      </c>
      <c r="O74" s="174">
        <v>0</v>
      </c>
      <c r="P74" s="175">
        <v>12663</v>
      </c>
      <c r="Q74" s="174">
        <v>34</v>
      </c>
      <c r="R74" s="175">
        <v>495490</v>
      </c>
      <c r="S74" s="174">
        <v>0</v>
      </c>
      <c r="T74" s="176">
        <v>277125</v>
      </c>
    </row>
    <row r="75" spans="2:20" ht="36" customHeight="1" x14ac:dyDescent="0.3">
      <c r="B75" s="173" t="s">
        <v>451</v>
      </c>
      <c r="C75" s="174">
        <v>13</v>
      </c>
      <c r="D75" s="175">
        <v>158466</v>
      </c>
      <c r="E75" s="174">
        <v>6</v>
      </c>
      <c r="F75" s="175">
        <v>303381</v>
      </c>
      <c r="G75" s="174">
        <v>70</v>
      </c>
      <c r="H75" s="175">
        <v>2230759</v>
      </c>
      <c r="I75" s="174">
        <v>32</v>
      </c>
      <c r="J75" s="175">
        <v>592106</v>
      </c>
      <c r="K75" s="174">
        <v>26</v>
      </c>
      <c r="L75" s="175">
        <v>602669</v>
      </c>
      <c r="M75" s="174">
        <v>7</v>
      </c>
      <c r="N75" s="175">
        <v>246519</v>
      </c>
      <c r="O75" s="174">
        <v>0</v>
      </c>
      <c r="P75" s="175">
        <v>12663</v>
      </c>
      <c r="Q75" s="174">
        <v>26</v>
      </c>
      <c r="R75" s="175">
        <v>495524</v>
      </c>
      <c r="S75" s="174">
        <v>0</v>
      </c>
      <c r="T75" s="176">
        <v>277125</v>
      </c>
    </row>
    <row r="76" spans="2:20" ht="36" customHeight="1" x14ac:dyDescent="0.3">
      <c r="B76" s="173" t="s">
        <v>452</v>
      </c>
      <c r="C76" s="174">
        <v>14</v>
      </c>
      <c r="D76" s="175">
        <v>158479</v>
      </c>
      <c r="E76" s="174">
        <v>6</v>
      </c>
      <c r="F76" s="175">
        <v>303387</v>
      </c>
      <c r="G76" s="174">
        <v>70</v>
      </c>
      <c r="H76" s="175">
        <v>2230829</v>
      </c>
      <c r="I76" s="174">
        <v>31</v>
      </c>
      <c r="J76" s="175">
        <v>592138</v>
      </c>
      <c r="K76" s="174">
        <v>25</v>
      </c>
      <c r="L76" s="175">
        <v>602695</v>
      </c>
      <c r="M76" s="174">
        <v>7</v>
      </c>
      <c r="N76" s="175">
        <v>246526</v>
      </c>
      <c r="O76" s="174">
        <v>0</v>
      </c>
      <c r="P76" s="175">
        <v>12663</v>
      </c>
      <c r="Q76" s="174">
        <v>24</v>
      </c>
      <c r="R76" s="175">
        <v>495550</v>
      </c>
      <c r="S76" s="174">
        <v>0</v>
      </c>
      <c r="T76" s="176">
        <v>277125</v>
      </c>
    </row>
    <row r="77" spans="2:20" ht="36" customHeight="1" x14ac:dyDescent="0.3">
      <c r="B77" s="173" t="s">
        <v>453</v>
      </c>
      <c r="C77" s="174">
        <v>14</v>
      </c>
      <c r="D77" s="175">
        <v>158493</v>
      </c>
      <c r="E77" s="174">
        <v>6</v>
      </c>
      <c r="F77" s="175">
        <v>303393</v>
      </c>
      <c r="G77" s="174">
        <v>70</v>
      </c>
      <c r="H77" s="175">
        <v>2230899</v>
      </c>
      <c r="I77" s="174">
        <v>33</v>
      </c>
      <c r="J77" s="175">
        <v>592169</v>
      </c>
      <c r="K77" s="174">
        <v>23</v>
      </c>
      <c r="L77" s="175">
        <v>602720</v>
      </c>
      <c r="M77" s="174">
        <v>8</v>
      </c>
      <c r="N77" s="175">
        <v>246533</v>
      </c>
      <c r="O77" s="174">
        <v>0</v>
      </c>
      <c r="P77" s="175">
        <v>12663</v>
      </c>
      <c r="Q77" s="174">
        <v>21</v>
      </c>
      <c r="R77" s="175">
        <v>495574</v>
      </c>
      <c r="S77" s="174">
        <v>0</v>
      </c>
      <c r="T77" s="176">
        <v>277125</v>
      </c>
    </row>
    <row r="78" spans="2:20" ht="36" customHeight="1" x14ac:dyDescent="0.3">
      <c r="B78" s="173" t="s">
        <v>454</v>
      </c>
      <c r="C78" s="174">
        <v>14</v>
      </c>
      <c r="D78" s="175">
        <v>158507</v>
      </c>
      <c r="E78" s="174">
        <v>6</v>
      </c>
      <c r="F78" s="175">
        <v>303399</v>
      </c>
      <c r="G78" s="174">
        <v>70</v>
      </c>
      <c r="H78" s="175">
        <v>2230969</v>
      </c>
      <c r="I78" s="174">
        <v>34</v>
      </c>
      <c r="J78" s="175">
        <v>592202</v>
      </c>
      <c r="K78" s="174">
        <v>25</v>
      </c>
      <c r="L78" s="175">
        <v>602743</v>
      </c>
      <c r="M78" s="174">
        <v>8</v>
      </c>
      <c r="N78" s="175">
        <v>246541</v>
      </c>
      <c r="O78" s="174">
        <v>0</v>
      </c>
      <c r="P78" s="175">
        <v>12663</v>
      </c>
      <c r="Q78" s="174">
        <v>19</v>
      </c>
      <c r="R78" s="175">
        <v>495595</v>
      </c>
      <c r="S78" s="174">
        <v>0</v>
      </c>
      <c r="T78" s="176">
        <v>277125</v>
      </c>
    </row>
    <row r="79" spans="2:20" ht="36" customHeight="1" x14ac:dyDescent="0.3">
      <c r="B79" s="173" t="s">
        <v>455</v>
      </c>
      <c r="C79" s="174">
        <v>15</v>
      </c>
      <c r="D79" s="175">
        <v>158521</v>
      </c>
      <c r="E79" s="174">
        <v>7</v>
      </c>
      <c r="F79" s="175">
        <v>303405</v>
      </c>
      <c r="G79" s="174">
        <v>71</v>
      </c>
      <c r="H79" s="175">
        <v>2231039</v>
      </c>
      <c r="I79" s="174">
        <v>41</v>
      </c>
      <c r="J79" s="175">
        <v>592236</v>
      </c>
      <c r="K79" s="174">
        <v>26</v>
      </c>
      <c r="L79" s="175">
        <v>602768</v>
      </c>
      <c r="M79" s="174">
        <v>10</v>
      </c>
      <c r="N79" s="175">
        <v>246549</v>
      </c>
      <c r="O79" s="174">
        <v>0</v>
      </c>
      <c r="P79" s="175">
        <v>12663</v>
      </c>
      <c r="Q79" s="174">
        <v>19</v>
      </c>
      <c r="R79" s="175">
        <v>495614</v>
      </c>
      <c r="S79" s="174">
        <v>0</v>
      </c>
      <c r="T79" s="176">
        <v>277125</v>
      </c>
    </row>
    <row r="80" spans="2:20" ht="36" customHeight="1" x14ac:dyDescent="0.3">
      <c r="B80" s="173" t="s">
        <v>456</v>
      </c>
      <c r="C80" s="174">
        <v>15</v>
      </c>
      <c r="D80" s="175">
        <v>158536</v>
      </c>
      <c r="E80" s="174">
        <v>9</v>
      </c>
      <c r="F80" s="175">
        <v>303412</v>
      </c>
      <c r="G80" s="174">
        <v>72</v>
      </c>
      <c r="H80" s="175">
        <v>2231110</v>
      </c>
      <c r="I80" s="174">
        <v>46</v>
      </c>
      <c r="J80" s="175">
        <v>592277</v>
      </c>
      <c r="K80" s="174">
        <v>29</v>
      </c>
      <c r="L80" s="175">
        <v>602794</v>
      </c>
      <c r="M80" s="174">
        <v>12</v>
      </c>
      <c r="N80" s="175">
        <v>246559</v>
      </c>
      <c r="O80" s="174">
        <v>0</v>
      </c>
      <c r="P80" s="175">
        <v>12663</v>
      </c>
      <c r="Q80" s="174">
        <v>20</v>
      </c>
      <c r="R80" s="175">
        <v>495633</v>
      </c>
      <c r="S80" s="174">
        <v>0</v>
      </c>
      <c r="T80" s="176">
        <v>277125</v>
      </c>
    </row>
    <row r="81" spans="2:20" ht="36" customHeight="1" x14ac:dyDescent="0.3">
      <c r="B81" s="173" t="s">
        <v>457</v>
      </c>
      <c r="C81" s="174">
        <v>16</v>
      </c>
      <c r="D81" s="175">
        <v>158551</v>
      </c>
      <c r="E81" s="174">
        <v>11</v>
      </c>
      <c r="F81" s="175">
        <v>303421</v>
      </c>
      <c r="G81" s="174">
        <v>72</v>
      </c>
      <c r="H81" s="175">
        <v>2231182</v>
      </c>
      <c r="I81" s="174">
        <v>50</v>
      </c>
      <c r="J81" s="175">
        <v>592323</v>
      </c>
      <c r="K81" s="174">
        <v>37</v>
      </c>
      <c r="L81" s="175">
        <v>602823</v>
      </c>
      <c r="M81" s="174">
        <v>15</v>
      </c>
      <c r="N81" s="175">
        <v>246571</v>
      </c>
      <c r="O81" s="174">
        <v>0</v>
      </c>
      <c r="P81" s="175">
        <v>12663</v>
      </c>
      <c r="Q81" s="174">
        <v>22</v>
      </c>
      <c r="R81" s="175">
        <v>495653</v>
      </c>
      <c r="S81" s="174">
        <v>0</v>
      </c>
      <c r="T81" s="176">
        <v>277125</v>
      </c>
    </row>
    <row r="82" spans="2:20" ht="36" customHeight="1" x14ac:dyDescent="0.3">
      <c r="B82" s="173" t="s">
        <v>458</v>
      </c>
      <c r="C82" s="174">
        <v>15</v>
      </c>
      <c r="D82" s="175">
        <v>158567</v>
      </c>
      <c r="E82" s="174">
        <v>11</v>
      </c>
      <c r="F82" s="175">
        <v>303432</v>
      </c>
      <c r="G82" s="174">
        <v>73</v>
      </c>
      <c r="H82" s="175">
        <v>2231254</v>
      </c>
      <c r="I82" s="174">
        <v>56</v>
      </c>
      <c r="J82" s="175">
        <v>592373</v>
      </c>
      <c r="K82" s="174">
        <v>39</v>
      </c>
      <c r="L82" s="175">
        <v>602860</v>
      </c>
      <c r="M82" s="174">
        <v>18</v>
      </c>
      <c r="N82" s="175">
        <v>246586</v>
      </c>
      <c r="O82" s="174">
        <v>0</v>
      </c>
      <c r="P82" s="175">
        <v>12663</v>
      </c>
      <c r="Q82" s="174">
        <v>25</v>
      </c>
      <c r="R82" s="175">
        <v>495675</v>
      </c>
      <c r="S82" s="174">
        <v>0</v>
      </c>
      <c r="T82" s="176">
        <v>277125</v>
      </c>
    </row>
    <row r="83" spans="2:20" ht="36" customHeight="1" x14ac:dyDescent="0.3">
      <c r="B83" s="173" t="s">
        <v>459</v>
      </c>
      <c r="C83" s="174">
        <v>15</v>
      </c>
      <c r="D83" s="175">
        <v>158582</v>
      </c>
      <c r="E83" s="174">
        <v>11</v>
      </c>
      <c r="F83" s="175">
        <v>303443</v>
      </c>
      <c r="G83" s="174">
        <v>72</v>
      </c>
      <c r="H83" s="175">
        <v>2231327</v>
      </c>
      <c r="I83" s="174">
        <v>56</v>
      </c>
      <c r="J83" s="175">
        <v>592429</v>
      </c>
      <c r="K83" s="174">
        <v>41</v>
      </c>
      <c r="L83" s="175">
        <v>602899</v>
      </c>
      <c r="M83" s="174">
        <v>17</v>
      </c>
      <c r="N83" s="175">
        <v>246604</v>
      </c>
      <c r="O83" s="174">
        <v>0</v>
      </c>
      <c r="P83" s="175">
        <v>12663</v>
      </c>
      <c r="Q83" s="174">
        <v>28</v>
      </c>
      <c r="R83" s="175">
        <v>495700</v>
      </c>
      <c r="S83" s="174">
        <v>0</v>
      </c>
      <c r="T83" s="176">
        <v>277125</v>
      </c>
    </row>
    <row r="84" spans="2:20" ht="36" customHeight="1" x14ac:dyDescent="0.3">
      <c r="B84" s="173" t="s">
        <v>460</v>
      </c>
      <c r="C84" s="174">
        <v>15</v>
      </c>
      <c r="D84" s="175">
        <v>158597</v>
      </c>
      <c r="E84" s="174">
        <v>12</v>
      </c>
      <c r="F84" s="175">
        <v>303454</v>
      </c>
      <c r="G84" s="174">
        <v>72</v>
      </c>
      <c r="H84" s="175">
        <v>2231399</v>
      </c>
      <c r="I84" s="174">
        <v>59</v>
      </c>
      <c r="J84" s="175">
        <v>592485</v>
      </c>
      <c r="K84" s="174">
        <v>44</v>
      </c>
      <c r="L84" s="175">
        <v>602940</v>
      </c>
      <c r="M84" s="174">
        <v>17</v>
      </c>
      <c r="N84" s="175">
        <v>246621</v>
      </c>
      <c r="O84" s="174">
        <v>0</v>
      </c>
      <c r="P84" s="175">
        <v>12663</v>
      </c>
      <c r="Q84" s="174">
        <v>27</v>
      </c>
      <c r="R84" s="175">
        <v>495728</v>
      </c>
      <c r="S84" s="174">
        <v>0</v>
      </c>
      <c r="T84" s="176">
        <v>277125</v>
      </c>
    </row>
    <row r="85" spans="2:20" ht="36" customHeight="1" x14ac:dyDescent="0.3">
      <c r="B85" s="173" t="s">
        <v>461</v>
      </c>
      <c r="C85" s="174">
        <v>15</v>
      </c>
      <c r="D85" s="175">
        <v>158612</v>
      </c>
      <c r="E85" s="174">
        <v>10</v>
      </c>
      <c r="F85" s="175">
        <v>303466</v>
      </c>
      <c r="G85" s="174">
        <v>73</v>
      </c>
      <c r="H85" s="175">
        <v>2231471</v>
      </c>
      <c r="I85" s="174">
        <v>55</v>
      </c>
      <c r="J85" s="175">
        <v>592544</v>
      </c>
      <c r="K85" s="174">
        <v>42</v>
      </c>
      <c r="L85" s="175">
        <v>602984</v>
      </c>
      <c r="M85" s="174">
        <v>16</v>
      </c>
      <c r="N85" s="175">
        <v>246638</v>
      </c>
      <c r="O85" s="174">
        <v>0</v>
      </c>
      <c r="P85" s="175">
        <v>12663</v>
      </c>
      <c r="Q85" s="174">
        <v>28</v>
      </c>
      <c r="R85" s="175">
        <v>495755</v>
      </c>
      <c r="S85" s="174">
        <v>0</v>
      </c>
      <c r="T85" s="176">
        <v>277125</v>
      </c>
    </row>
    <row r="86" spans="2:20" ht="36" customHeight="1" x14ac:dyDescent="0.3">
      <c r="B86" s="173" t="s">
        <v>462</v>
      </c>
      <c r="C86" s="174">
        <v>15</v>
      </c>
      <c r="D86" s="175">
        <v>158627</v>
      </c>
      <c r="E86" s="174">
        <v>11</v>
      </c>
      <c r="F86" s="175">
        <v>303476</v>
      </c>
      <c r="G86" s="174">
        <v>72</v>
      </c>
      <c r="H86" s="175">
        <v>2231544</v>
      </c>
      <c r="I86" s="174">
        <v>53</v>
      </c>
      <c r="J86" s="175">
        <v>592599</v>
      </c>
      <c r="K86" s="174">
        <v>42</v>
      </c>
      <c r="L86" s="175">
        <v>603026</v>
      </c>
      <c r="M86" s="174">
        <v>16</v>
      </c>
      <c r="N86" s="175">
        <v>246654</v>
      </c>
      <c r="O86" s="174">
        <v>0</v>
      </c>
      <c r="P86" s="175">
        <v>12663</v>
      </c>
      <c r="Q86" s="174">
        <v>27</v>
      </c>
      <c r="R86" s="175">
        <v>495783</v>
      </c>
      <c r="S86" s="174">
        <v>0</v>
      </c>
      <c r="T86" s="176">
        <v>277125</v>
      </c>
    </row>
    <row r="87" spans="2:20" ht="36" customHeight="1" x14ac:dyDescent="0.3">
      <c r="B87" s="173" t="s">
        <v>463</v>
      </c>
      <c r="C87" s="174">
        <v>15</v>
      </c>
      <c r="D87" s="175">
        <v>158642</v>
      </c>
      <c r="E87" s="174">
        <v>12</v>
      </c>
      <c r="F87" s="175">
        <v>303487</v>
      </c>
      <c r="G87" s="174">
        <v>72</v>
      </c>
      <c r="H87" s="175">
        <v>2231616</v>
      </c>
      <c r="I87" s="174">
        <v>52</v>
      </c>
      <c r="J87" s="175">
        <v>592652</v>
      </c>
      <c r="K87" s="174">
        <v>42</v>
      </c>
      <c r="L87" s="175">
        <v>603068</v>
      </c>
      <c r="M87" s="174">
        <v>17</v>
      </c>
      <c r="N87" s="175">
        <v>246670</v>
      </c>
      <c r="O87" s="174">
        <v>0</v>
      </c>
      <c r="P87" s="175">
        <v>12663</v>
      </c>
      <c r="Q87" s="174">
        <v>29</v>
      </c>
      <c r="R87" s="175">
        <v>495810</v>
      </c>
      <c r="S87" s="174">
        <v>0</v>
      </c>
      <c r="T87" s="176">
        <v>277125</v>
      </c>
    </row>
    <row r="88" spans="2:20" ht="36" customHeight="1" x14ac:dyDescent="0.3">
      <c r="B88" s="173" t="s">
        <v>464</v>
      </c>
      <c r="C88" s="174">
        <v>15</v>
      </c>
      <c r="D88" s="175">
        <v>158657</v>
      </c>
      <c r="E88" s="174">
        <v>10</v>
      </c>
      <c r="F88" s="175">
        <v>303499</v>
      </c>
      <c r="G88" s="174">
        <v>72</v>
      </c>
      <c r="H88" s="175">
        <v>2231688</v>
      </c>
      <c r="I88" s="174">
        <v>56</v>
      </c>
      <c r="J88" s="175">
        <v>592704</v>
      </c>
      <c r="K88" s="174">
        <v>43</v>
      </c>
      <c r="L88" s="175">
        <v>603110</v>
      </c>
      <c r="M88" s="174">
        <v>17</v>
      </c>
      <c r="N88" s="175">
        <v>246687</v>
      </c>
      <c r="O88" s="174">
        <v>0</v>
      </c>
      <c r="P88" s="175">
        <v>12663</v>
      </c>
      <c r="Q88" s="174">
        <v>31</v>
      </c>
      <c r="R88" s="175">
        <v>495839</v>
      </c>
      <c r="S88" s="174">
        <v>0</v>
      </c>
      <c r="T88" s="176">
        <v>277125</v>
      </c>
    </row>
    <row r="89" spans="2:20" ht="36" customHeight="1" x14ac:dyDescent="0.3">
      <c r="B89" s="173" t="s">
        <v>465</v>
      </c>
      <c r="C89" s="174">
        <v>16</v>
      </c>
      <c r="D89" s="175">
        <v>158672</v>
      </c>
      <c r="E89" s="174">
        <v>13</v>
      </c>
      <c r="F89" s="175">
        <v>303509</v>
      </c>
      <c r="G89" s="174">
        <v>72</v>
      </c>
      <c r="H89" s="175">
        <v>2231760</v>
      </c>
      <c r="I89" s="174">
        <v>52</v>
      </c>
      <c r="J89" s="175">
        <v>592760</v>
      </c>
      <c r="K89" s="174">
        <v>45</v>
      </c>
      <c r="L89" s="175">
        <v>603153</v>
      </c>
      <c r="M89" s="174">
        <v>18</v>
      </c>
      <c r="N89" s="175">
        <v>246704</v>
      </c>
      <c r="O89" s="174">
        <v>0</v>
      </c>
      <c r="P89" s="175">
        <v>12663</v>
      </c>
      <c r="Q89" s="174">
        <v>35</v>
      </c>
      <c r="R89" s="175">
        <v>495870</v>
      </c>
      <c r="S89" s="174">
        <v>0</v>
      </c>
      <c r="T89" s="176">
        <v>277125</v>
      </c>
    </row>
    <row r="90" spans="2:20" ht="36" customHeight="1" x14ac:dyDescent="0.3">
      <c r="B90" s="173" t="s">
        <v>466</v>
      </c>
      <c r="C90" s="174">
        <v>16</v>
      </c>
      <c r="D90" s="175">
        <v>158688</v>
      </c>
      <c r="E90" s="174">
        <v>18</v>
      </c>
      <c r="F90" s="175">
        <v>303522</v>
      </c>
      <c r="G90" s="174">
        <v>72</v>
      </c>
      <c r="H90" s="175">
        <v>2231832</v>
      </c>
      <c r="I90" s="174">
        <v>56</v>
      </c>
      <c r="J90" s="175">
        <v>592812</v>
      </c>
      <c r="K90" s="174">
        <v>44</v>
      </c>
      <c r="L90" s="175">
        <v>603198</v>
      </c>
      <c r="M90" s="174">
        <v>21</v>
      </c>
      <c r="N90" s="175">
        <v>246722</v>
      </c>
      <c r="O90" s="174">
        <v>0</v>
      </c>
      <c r="P90" s="175">
        <v>12663</v>
      </c>
      <c r="Q90" s="174">
        <v>40</v>
      </c>
      <c r="R90" s="175">
        <v>495905</v>
      </c>
      <c r="S90" s="174">
        <v>0</v>
      </c>
      <c r="T90" s="176">
        <v>277125</v>
      </c>
    </row>
    <row r="91" spans="2:20" ht="36" customHeight="1" x14ac:dyDescent="0.3">
      <c r="B91" s="173" t="s">
        <v>467</v>
      </c>
      <c r="C91" s="174">
        <v>15</v>
      </c>
      <c r="D91" s="175">
        <v>158704</v>
      </c>
      <c r="E91" s="174">
        <v>16</v>
      </c>
      <c r="F91" s="175">
        <v>303540</v>
      </c>
      <c r="G91" s="174">
        <v>73</v>
      </c>
      <c r="H91" s="175">
        <v>2231904</v>
      </c>
      <c r="I91" s="174">
        <v>60</v>
      </c>
      <c r="J91" s="175">
        <v>592868</v>
      </c>
      <c r="K91" s="174">
        <v>44</v>
      </c>
      <c r="L91" s="175">
        <v>603242</v>
      </c>
      <c r="M91" s="174">
        <v>20</v>
      </c>
      <c r="N91" s="175">
        <v>246743</v>
      </c>
      <c r="O91" s="174">
        <v>0</v>
      </c>
      <c r="P91" s="175">
        <v>12663</v>
      </c>
      <c r="Q91" s="174">
        <v>44</v>
      </c>
      <c r="R91" s="175">
        <v>495945</v>
      </c>
      <c r="S91" s="174">
        <v>0</v>
      </c>
      <c r="T91" s="176">
        <v>277125</v>
      </c>
    </row>
    <row r="92" spans="2:20" ht="36" customHeight="1" x14ac:dyDescent="0.3">
      <c r="B92" s="173" t="s">
        <v>468</v>
      </c>
      <c r="C92" s="174">
        <v>15</v>
      </c>
      <c r="D92" s="175">
        <v>158719</v>
      </c>
      <c r="E92" s="174">
        <v>15</v>
      </c>
      <c r="F92" s="175">
        <v>303556</v>
      </c>
      <c r="G92" s="174">
        <v>72</v>
      </c>
      <c r="H92" s="175">
        <v>2231977</v>
      </c>
      <c r="I92" s="174">
        <v>56</v>
      </c>
      <c r="J92" s="175">
        <v>592928</v>
      </c>
      <c r="K92" s="174">
        <v>46</v>
      </c>
      <c r="L92" s="175">
        <v>603286</v>
      </c>
      <c r="M92" s="174">
        <v>20</v>
      </c>
      <c r="N92" s="175">
        <v>246763</v>
      </c>
      <c r="O92" s="174">
        <v>0</v>
      </c>
      <c r="P92" s="175">
        <v>12663</v>
      </c>
      <c r="Q92" s="174">
        <v>46</v>
      </c>
      <c r="R92" s="175">
        <v>495989</v>
      </c>
      <c r="S92" s="174">
        <v>0</v>
      </c>
      <c r="T92" s="176">
        <v>277125</v>
      </c>
    </row>
    <row r="93" spans="2:20" ht="36" customHeight="1" x14ac:dyDescent="0.3">
      <c r="B93" s="173" t="s">
        <v>469</v>
      </c>
      <c r="C93" s="174">
        <v>15</v>
      </c>
      <c r="D93" s="175">
        <v>158734</v>
      </c>
      <c r="E93" s="174">
        <v>10</v>
      </c>
      <c r="F93" s="175">
        <v>303571</v>
      </c>
      <c r="G93" s="174">
        <v>71</v>
      </c>
      <c r="H93" s="175">
        <v>2232049</v>
      </c>
      <c r="I93" s="174">
        <v>53</v>
      </c>
      <c r="J93" s="175">
        <v>592984</v>
      </c>
      <c r="K93" s="174">
        <v>46</v>
      </c>
      <c r="L93" s="175">
        <v>603332</v>
      </c>
      <c r="M93" s="174">
        <v>18</v>
      </c>
      <c r="N93" s="175">
        <v>246783</v>
      </c>
      <c r="O93" s="174">
        <v>0</v>
      </c>
      <c r="P93" s="175">
        <v>12663</v>
      </c>
      <c r="Q93" s="174">
        <v>46</v>
      </c>
      <c r="R93" s="175">
        <v>496035</v>
      </c>
      <c r="S93" s="174">
        <v>0</v>
      </c>
      <c r="T93" s="176">
        <v>277125</v>
      </c>
    </row>
    <row r="94" spans="2:20" ht="36" customHeight="1" x14ac:dyDescent="0.3">
      <c r="B94" s="173" t="s">
        <v>470</v>
      </c>
      <c r="C94" s="174">
        <v>14</v>
      </c>
      <c r="D94" s="175">
        <v>158749</v>
      </c>
      <c r="E94" s="174">
        <v>9</v>
      </c>
      <c r="F94" s="175">
        <v>303581</v>
      </c>
      <c r="G94" s="174">
        <v>71</v>
      </c>
      <c r="H94" s="175">
        <v>2232120</v>
      </c>
      <c r="I94" s="174">
        <v>49</v>
      </c>
      <c r="J94" s="175">
        <v>593037</v>
      </c>
      <c r="K94" s="174">
        <v>44</v>
      </c>
      <c r="L94" s="175">
        <v>603378</v>
      </c>
      <c r="M94" s="174">
        <v>16</v>
      </c>
      <c r="N94" s="175">
        <v>246801</v>
      </c>
      <c r="O94" s="174">
        <v>0</v>
      </c>
      <c r="P94" s="175">
        <v>12663</v>
      </c>
      <c r="Q94" s="174">
        <v>44</v>
      </c>
      <c r="R94" s="175">
        <v>496081</v>
      </c>
      <c r="S94" s="174">
        <v>0</v>
      </c>
      <c r="T94" s="176">
        <v>277125</v>
      </c>
    </row>
    <row r="95" spans="2:20" ht="36" customHeight="1" thickBot="1" x14ac:dyDescent="0.35">
      <c r="B95" s="177" t="s">
        <v>471</v>
      </c>
      <c r="C95" s="178">
        <v>14</v>
      </c>
      <c r="D95" s="179">
        <v>158763</v>
      </c>
      <c r="E95" s="178">
        <v>9</v>
      </c>
      <c r="F95" s="179">
        <v>303590</v>
      </c>
      <c r="G95" s="178">
        <v>71</v>
      </c>
      <c r="H95" s="179">
        <v>2232191</v>
      </c>
      <c r="I95" s="178">
        <v>45</v>
      </c>
      <c r="J95" s="179">
        <v>593086</v>
      </c>
      <c r="K95" s="178">
        <v>43</v>
      </c>
      <c r="L95" s="179">
        <v>603422</v>
      </c>
      <c r="M95" s="178">
        <v>14</v>
      </c>
      <c r="N95" s="179">
        <v>246817</v>
      </c>
      <c r="O95" s="178">
        <v>0</v>
      </c>
      <c r="P95" s="179">
        <v>12663</v>
      </c>
      <c r="Q95" s="178">
        <v>41</v>
      </c>
      <c r="R95" s="179">
        <v>496125</v>
      </c>
      <c r="S95" s="178">
        <v>0</v>
      </c>
      <c r="T95" s="180">
        <v>277125</v>
      </c>
    </row>
    <row r="96" spans="2:20" ht="36" customHeight="1" thickTop="1" x14ac:dyDescent="0.3">
      <c r="B96" s="181" t="s">
        <v>472</v>
      </c>
      <c r="C96" s="182">
        <f t="shared" ref="C96:T96" si="4">MIN(C72:C95)</f>
        <v>13</v>
      </c>
      <c r="D96" s="182">
        <f t="shared" si="4"/>
        <v>158424</v>
      </c>
      <c r="E96" s="182">
        <f t="shared" si="4"/>
        <v>6</v>
      </c>
      <c r="F96" s="182">
        <f t="shared" si="4"/>
        <v>303350</v>
      </c>
      <c r="G96" s="182">
        <f t="shared" si="4"/>
        <v>70</v>
      </c>
      <c r="H96" s="182">
        <f t="shared" si="4"/>
        <v>2230547</v>
      </c>
      <c r="I96" s="182">
        <f t="shared" si="4"/>
        <v>31</v>
      </c>
      <c r="J96" s="182">
        <f t="shared" si="4"/>
        <v>591999</v>
      </c>
      <c r="K96" s="182">
        <f t="shared" si="4"/>
        <v>23</v>
      </c>
      <c r="L96" s="182">
        <f t="shared" si="4"/>
        <v>602574</v>
      </c>
      <c r="M96" s="182">
        <f t="shared" si="4"/>
        <v>7</v>
      </c>
      <c r="N96" s="182">
        <f t="shared" si="4"/>
        <v>246490</v>
      </c>
      <c r="O96" s="182">
        <f t="shared" si="4"/>
        <v>0</v>
      </c>
      <c r="P96" s="182">
        <f t="shared" si="4"/>
        <v>12663</v>
      </c>
      <c r="Q96" s="182">
        <f t="shared" si="4"/>
        <v>19</v>
      </c>
      <c r="R96" s="182">
        <f t="shared" si="4"/>
        <v>495402</v>
      </c>
      <c r="S96" s="182">
        <f t="shared" si="4"/>
        <v>0</v>
      </c>
      <c r="T96" s="183">
        <f t="shared" si="4"/>
        <v>277125</v>
      </c>
    </row>
    <row r="97" spans="1:21" ht="36" customHeight="1" x14ac:dyDescent="0.3">
      <c r="B97" s="173" t="s">
        <v>473</v>
      </c>
      <c r="C97" s="182">
        <f t="shared" ref="C97:T97" si="5">MAX(C72:C95)</f>
        <v>16</v>
      </c>
      <c r="D97" s="182">
        <f t="shared" si="5"/>
        <v>158763</v>
      </c>
      <c r="E97" s="182">
        <f t="shared" si="5"/>
        <v>18</v>
      </c>
      <c r="F97" s="182">
        <f t="shared" si="5"/>
        <v>303590</v>
      </c>
      <c r="G97" s="182">
        <f t="shared" si="5"/>
        <v>73</v>
      </c>
      <c r="H97" s="182">
        <f t="shared" si="5"/>
        <v>2232191</v>
      </c>
      <c r="I97" s="182">
        <f t="shared" si="5"/>
        <v>60</v>
      </c>
      <c r="J97" s="182">
        <f t="shared" si="5"/>
        <v>593086</v>
      </c>
      <c r="K97" s="182">
        <f t="shared" si="5"/>
        <v>46</v>
      </c>
      <c r="L97" s="182">
        <f t="shared" si="5"/>
        <v>603422</v>
      </c>
      <c r="M97" s="182">
        <f t="shared" si="5"/>
        <v>21</v>
      </c>
      <c r="N97" s="182">
        <f t="shared" si="5"/>
        <v>246817</v>
      </c>
      <c r="O97" s="182">
        <f t="shared" si="5"/>
        <v>0</v>
      </c>
      <c r="P97" s="182">
        <f t="shared" si="5"/>
        <v>12663</v>
      </c>
      <c r="Q97" s="182">
        <f t="shared" si="5"/>
        <v>46</v>
      </c>
      <c r="R97" s="182">
        <f t="shared" si="5"/>
        <v>496125</v>
      </c>
      <c r="S97" s="182">
        <f t="shared" si="5"/>
        <v>0</v>
      </c>
      <c r="T97" s="183">
        <f t="shared" si="5"/>
        <v>277125</v>
      </c>
    </row>
    <row r="98" spans="1:21" ht="36" customHeight="1" x14ac:dyDescent="0.3">
      <c r="B98" s="173" t="s">
        <v>474</v>
      </c>
      <c r="C98" s="182">
        <f>AVERAGE(C72:C95)</f>
        <v>14.708333333333334</v>
      </c>
      <c r="D98" s="184"/>
      <c r="E98" s="182">
        <f>AVERAGE(E72:E95)</f>
        <v>10.375</v>
      </c>
      <c r="F98" s="184"/>
      <c r="G98" s="182">
        <f>AVERAGE(G72:G95)</f>
        <v>71.458333333333329</v>
      </c>
      <c r="H98" s="184"/>
      <c r="I98" s="182">
        <f>AVERAGE(I72:I95)</f>
        <v>47.166666666666664</v>
      </c>
      <c r="J98" s="184"/>
      <c r="K98" s="182">
        <f>AVERAGE(K72:K95)</f>
        <v>37.125</v>
      </c>
      <c r="L98" s="184"/>
      <c r="M98" s="182">
        <f>AVERAGE(M72:M95)</f>
        <v>14.208333333333334</v>
      </c>
      <c r="N98" s="184"/>
      <c r="O98" s="182">
        <f>AVERAGE(O72:O95)</f>
        <v>0</v>
      </c>
      <c r="P98" s="184"/>
      <c r="Q98" s="182">
        <f>AVERAGE(Q72:Q95)</f>
        <v>31.833333333333332</v>
      </c>
      <c r="R98" s="184"/>
      <c r="S98" s="182">
        <f>AVERAGE(S72:S95)</f>
        <v>0</v>
      </c>
      <c r="T98" s="185"/>
    </row>
    <row r="99" spans="1:21" ht="36" customHeight="1" thickBot="1" x14ac:dyDescent="0.35">
      <c r="B99" s="186" t="s">
        <v>475</v>
      </c>
      <c r="C99" s="187">
        <f>SUM(C72:C95)</f>
        <v>353</v>
      </c>
      <c r="D99" s="188"/>
      <c r="E99" s="187">
        <f>SUM(E72:E95)</f>
        <v>249</v>
      </c>
      <c r="F99" s="188"/>
      <c r="G99" s="187">
        <f>SUM(G72:G95)</f>
        <v>1715</v>
      </c>
      <c r="H99" s="188"/>
      <c r="I99" s="187">
        <f>SUM(I72:I95)</f>
        <v>1132</v>
      </c>
      <c r="J99" s="188"/>
      <c r="K99" s="187">
        <f>SUM(K72:K95)</f>
        <v>891</v>
      </c>
      <c r="L99" s="188"/>
      <c r="M99" s="187">
        <f>SUM(M72:M95)</f>
        <v>341</v>
      </c>
      <c r="N99" s="188"/>
      <c r="O99" s="187">
        <f>SUM(O72:O95)</f>
        <v>0</v>
      </c>
      <c r="P99" s="188"/>
      <c r="Q99" s="187">
        <f>SUM(Q72:Q95)</f>
        <v>764</v>
      </c>
      <c r="R99" s="188"/>
      <c r="S99" s="187">
        <f>SUM(S72:S95)</f>
        <v>0</v>
      </c>
      <c r="T99" s="189"/>
    </row>
    <row r="100" spans="1:21" ht="9.9499999999999993" customHeight="1" thickBot="1" x14ac:dyDescent="0.35"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</row>
    <row r="101" spans="1:21" ht="51.95" customHeight="1" thickBot="1" x14ac:dyDescent="0.35">
      <c r="A101" s="162"/>
      <c r="B101" s="457" t="s">
        <v>584</v>
      </c>
      <c r="C101" s="458"/>
      <c r="D101" s="458"/>
      <c r="E101" s="458"/>
      <c r="F101" s="458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458"/>
      <c r="R101" s="458"/>
      <c r="S101" s="458"/>
      <c r="T101" s="459"/>
      <c r="U101" s="162"/>
    </row>
    <row r="102" spans="1:21" ht="36" customHeight="1" thickTop="1" x14ac:dyDescent="0.3">
      <c r="A102" s="164"/>
      <c r="B102" s="191" t="s">
        <v>433</v>
      </c>
      <c r="C102" s="453" t="str">
        <f>C3</f>
        <v>2025년12월28일  일요일</v>
      </c>
      <c r="D102" s="453"/>
      <c r="E102" s="453"/>
      <c r="F102" s="453"/>
      <c r="G102" s="453"/>
      <c r="H102" s="453"/>
      <c r="I102" s="453"/>
      <c r="J102" s="453"/>
      <c r="K102" s="453"/>
      <c r="L102" s="453"/>
      <c r="M102" s="453"/>
      <c r="N102" s="453"/>
      <c r="O102" s="453"/>
      <c r="P102" s="453"/>
      <c r="Q102" s="453"/>
      <c r="R102" s="453"/>
      <c r="S102" s="453"/>
      <c r="T102" s="454"/>
      <c r="U102" s="164"/>
    </row>
    <row r="103" spans="1:21" ht="27.95" customHeight="1" x14ac:dyDescent="0.3">
      <c r="A103" s="165"/>
      <c r="B103" s="451" t="s">
        <v>434</v>
      </c>
      <c r="C103" s="448" t="s">
        <v>603</v>
      </c>
      <c r="D103" s="449"/>
      <c r="E103" s="448" t="s">
        <v>604</v>
      </c>
      <c r="F103" s="449"/>
      <c r="G103" s="448" t="s">
        <v>605</v>
      </c>
      <c r="H103" s="449"/>
      <c r="I103" s="448" t="s">
        <v>606</v>
      </c>
      <c r="J103" s="449"/>
      <c r="K103" s="448" t="s">
        <v>607</v>
      </c>
      <c r="L103" s="449"/>
      <c r="M103" s="448" t="s">
        <v>608</v>
      </c>
      <c r="N103" s="449"/>
      <c r="O103" s="448" t="s">
        <v>609</v>
      </c>
      <c r="P103" s="449"/>
      <c r="Q103" s="448" t="s">
        <v>610</v>
      </c>
      <c r="R103" s="449"/>
      <c r="S103" s="448" t="s">
        <v>611</v>
      </c>
      <c r="T103" s="450"/>
      <c r="U103" s="165"/>
    </row>
    <row r="104" spans="1:21" ht="27.95" customHeight="1" x14ac:dyDescent="0.3">
      <c r="B104" s="452"/>
      <c r="C104" s="166" t="s">
        <v>444</v>
      </c>
      <c r="D104" s="167" t="s">
        <v>445</v>
      </c>
      <c r="E104" s="166" t="s">
        <v>444</v>
      </c>
      <c r="F104" s="167" t="s">
        <v>445</v>
      </c>
      <c r="G104" s="166" t="s">
        <v>444</v>
      </c>
      <c r="H104" s="167" t="s">
        <v>445</v>
      </c>
      <c r="I104" s="166" t="s">
        <v>444</v>
      </c>
      <c r="J104" s="167" t="s">
        <v>445</v>
      </c>
      <c r="K104" s="166" t="s">
        <v>444</v>
      </c>
      <c r="L104" s="167" t="s">
        <v>445</v>
      </c>
      <c r="M104" s="166" t="s">
        <v>444</v>
      </c>
      <c r="N104" s="167" t="s">
        <v>445</v>
      </c>
      <c r="O104" s="166" t="s">
        <v>444</v>
      </c>
      <c r="P104" s="167" t="s">
        <v>445</v>
      </c>
      <c r="Q104" s="166" t="s">
        <v>444</v>
      </c>
      <c r="R104" s="167" t="s">
        <v>445</v>
      </c>
      <c r="S104" s="166" t="s">
        <v>446</v>
      </c>
      <c r="T104" s="168" t="s">
        <v>447</v>
      </c>
    </row>
    <row r="105" spans="1:21" ht="36" customHeight="1" x14ac:dyDescent="0.3">
      <c r="B105" s="169" t="s">
        <v>448</v>
      </c>
      <c r="C105" s="170">
        <v>70</v>
      </c>
      <c r="D105" s="171">
        <v>1059975</v>
      </c>
      <c r="E105" s="170">
        <v>7</v>
      </c>
      <c r="F105" s="171">
        <v>104140</v>
      </c>
      <c r="G105" s="170">
        <v>1</v>
      </c>
      <c r="H105" s="171">
        <v>137500</v>
      </c>
      <c r="I105" s="170">
        <v>96</v>
      </c>
      <c r="J105" s="171">
        <v>2019223</v>
      </c>
      <c r="K105" s="170">
        <v>0</v>
      </c>
      <c r="L105" s="171">
        <v>1470115</v>
      </c>
      <c r="M105" s="170">
        <v>87</v>
      </c>
      <c r="N105" s="171">
        <v>1589751</v>
      </c>
      <c r="O105" s="170">
        <v>26</v>
      </c>
      <c r="P105" s="171">
        <v>463880</v>
      </c>
      <c r="Q105" s="170">
        <v>42</v>
      </c>
      <c r="R105" s="171">
        <v>763593</v>
      </c>
      <c r="S105" s="170">
        <v>41</v>
      </c>
      <c r="T105" s="172">
        <v>608849</v>
      </c>
    </row>
    <row r="106" spans="1:21" ht="36" customHeight="1" x14ac:dyDescent="0.3">
      <c r="B106" s="173" t="s">
        <v>449</v>
      </c>
      <c r="C106" s="174">
        <v>62</v>
      </c>
      <c r="D106" s="175">
        <v>1060045</v>
      </c>
      <c r="E106" s="174">
        <v>7</v>
      </c>
      <c r="F106" s="175">
        <v>104147</v>
      </c>
      <c r="G106" s="174">
        <v>0</v>
      </c>
      <c r="H106" s="175">
        <v>137501</v>
      </c>
      <c r="I106" s="174">
        <v>91</v>
      </c>
      <c r="J106" s="175">
        <v>2019319</v>
      </c>
      <c r="K106" s="174">
        <v>0</v>
      </c>
      <c r="L106" s="175">
        <v>1470115</v>
      </c>
      <c r="M106" s="174">
        <v>76</v>
      </c>
      <c r="N106" s="175">
        <v>1589838</v>
      </c>
      <c r="O106" s="174">
        <v>22</v>
      </c>
      <c r="P106" s="175">
        <v>463906</v>
      </c>
      <c r="Q106" s="174">
        <v>30</v>
      </c>
      <c r="R106" s="175">
        <v>763635</v>
      </c>
      <c r="S106" s="174">
        <v>38</v>
      </c>
      <c r="T106" s="176">
        <v>608890</v>
      </c>
    </row>
    <row r="107" spans="1:21" ht="36" customHeight="1" x14ac:dyDescent="0.3">
      <c r="B107" s="173" t="s">
        <v>450</v>
      </c>
      <c r="C107" s="174">
        <v>58</v>
      </c>
      <c r="D107" s="175">
        <v>1060107</v>
      </c>
      <c r="E107" s="174">
        <v>7</v>
      </c>
      <c r="F107" s="175">
        <v>104154</v>
      </c>
      <c r="G107" s="174">
        <v>0</v>
      </c>
      <c r="H107" s="175">
        <v>137501</v>
      </c>
      <c r="I107" s="174">
        <v>84</v>
      </c>
      <c r="J107" s="175">
        <v>2019410</v>
      </c>
      <c r="K107" s="174">
        <v>0</v>
      </c>
      <c r="L107" s="175">
        <v>1470115</v>
      </c>
      <c r="M107" s="174">
        <v>70</v>
      </c>
      <c r="N107" s="175">
        <v>1589914</v>
      </c>
      <c r="O107" s="174">
        <v>17</v>
      </c>
      <c r="P107" s="175">
        <v>463928</v>
      </c>
      <c r="Q107" s="174">
        <v>23</v>
      </c>
      <c r="R107" s="175">
        <v>763665</v>
      </c>
      <c r="S107" s="174">
        <v>35</v>
      </c>
      <c r="T107" s="176">
        <v>608928</v>
      </c>
    </row>
    <row r="108" spans="1:21" ht="36" customHeight="1" x14ac:dyDescent="0.3">
      <c r="B108" s="173" t="s">
        <v>451</v>
      </c>
      <c r="C108" s="174">
        <v>55</v>
      </c>
      <c r="D108" s="175">
        <v>1060165</v>
      </c>
      <c r="E108" s="174">
        <v>6</v>
      </c>
      <c r="F108" s="175">
        <v>104161</v>
      </c>
      <c r="G108" s="174">
        <v>0</v>
      </c>
      <c r="H108" s="175">
        <v>137501</v>
      </c>
      <c r="I108" s="174">
        <v>83</v>
      </c>
      <c r="J108" s="175">
        <v>2019494</v>
      </c>
      <c r="K108" s="174">
        <v>0</v>
      </c>
      <c r="L108" s="175">
        <v>1470115</v>
      </c>
      <c r="M108" s="174">
        <v>65</v>
      </c>
      <c r="N108" s="175">
        <v>1589984</v>
      </c>
      <c r="O108" s="174">
        <v>16</v>
      </c>
      <c r="P108" s="175">
        <v>463945</v>
      </c>
      <c r="Q108" s="174">
        <v>18</v>
      </c>
      <c r="R108" s="175">
        <v>763688</v>
      </c>
      <c r="S108" s="174">
        <v>34</v>
      </c>
      <c r="T108" s="176">
        <v>608963</v>
      </c>
    </row>
    <row r="109" spans="1:21" ht="36" customHeight="1" x14ac:dyDescent="0.3">
      <c r="B109" s="173" t="s">
        <v>452</v>
      </c>
      <c r="C109" s="174">
        <v>54</v>
      </c>
      <c r="D109" s="175">
        <v>1060220</v>
      </c>
      <c r="E109" s="174">
        <v>7</v>
      </c>
      <c r="F109" s="175">
        <v>104167</v>
      </c>
      <c r="G109" s="174">
        <v>0</v>
      </c>
      <c r="H109" s="175">
        <v>137501</v>
      </c>
      <c r="I109" s="174">
        <v>83</v>
      </c>
      <c r="J109" s="175">
        <v>2019577</v>
      </c>
      <c r="K109" s="174">
        <v>0</v>
      </c>
      <c r="L109" s="175">
        <v>1470115</v>
      </c>
      <c r="M109" s="174">
        <v>64</v>
      </c>
      <c r="N109" s="175">
        <v>1590049</v>
      </c>
      <c r="O109" s="174">
        <v>14</v>
      </c>
      <c r="P109" s="175">
        <v>463961</v>
      </c>
      <c r="Q109" s="174">
        <v>18</v>
      </c>
      <c r="R109" s="175">
        <v>763706</v>
      </c>
      <c r="S109" s="174">
        <v>34</v>
      </c>
      <c r="T109" s="176">
        <v>608997</v>
      </c>
    </row>
    <row r="110" spans="1:21" ht="36" customHeight="1" x14ac:dyDescent="0.3">
      <c r="B110" s="173" t="s">
        <v>453</v>
      </c>
      <c r="C110" s="174">
        <v>57</v>
      </c>
      <c r="D110" s="175">
        <v>1060274</v>
      </c>
      <c r="E110" s="174">
        <v>7</v>
      </c>
      <c r="F110" s="175">
        <v>104174</v>
      </c>
      <c r="G110" s="174">
        <v>0</v>
      </c>
      <c r="H110" s="175">
        <v>137501</v>
      </c>
      <c r="I110" s="174">
        <v>84</v>
      </c>
      <c r="J110" s="175">
        <v>2019660</v>
      </c>
      <c r="K110" s="174">
        <v>0</v>
      </c>
      <c r="L110" s="175">
        <v>1470115</v>
      </c>
      <c r="M110" s="174">
        <v>66</v>
      </c>
      <c r="N110" s="175">
        <v>1590113</v>
      </c>
      <c r="O110" s="174">
        <v>16</v>
      </c>
      <c r="P110" s="175">
        <v>463975</v>
      </c>
      <c r="Q110" s="174">
        <v>19</v>
      </c>
      <c r="R110" s="175">
        <v>763724</v>
      </c>
      <c r="S110" s="174">
        <v>33</v>
      </c>
      <c r="T110" s="176">
        <v>609031</v>
      </c>
    </row>
    <row r="111" spans="1:21" ht="36" customHeight="1" x14ac:dyDescent="0.3">
      <c r="B111" s="173" t="s">
        <v>454</v>
      </c>
      <c r="C111" s="174">
        <v>64</v>
      </c>
      <c r="D111" s="175">
        <v>1060331</v>
      </c>
      <c r="E111" s="174">
        <v>7</v>
      </c>
      <c r="F111" s="175">
        <v>104181</v>
      </c>
      <c r="G111" s="174">
        <v>0</v>
      </c>
      <c r="H111" s="175">
        <v>137501</v>
      </c>
      <c r="I111" s="174">
        <v>91</v>
      </c>
      <c r="J111" s="175">
        <v>2019744</v>
      </c>
      <c r="K111" s="174">
        <v>0</v>
      </c>
      <c r="L111" s="175">
        <v>1470115</v>
      </c>
      <c r="M111" s="174">
        <v>69</v>
      </c>
      <c r="N111" s="175">
        <v>1590179</v>
      </c>
      <c r="O111" s="174">
        <v>18</v>
      </c>
      <c r="P111" s="175">
        <v>463991</v>
      </c>
      <c r="Q111" s="174">
        <v>22</v>
      </c>
      <c r="R111" s="175">
        <v>763743</v>
      </c>
      <c r="S111" s="174">
        <v>35</v>
      </c>
      <c r="T111" s="176">
        <v>609064</v>
      </c>
    </row>
    <row r="112" spans="1:21" ht="36" customHeight="1" x14ac:dyDescent="0.3">
      <c r="B112" s="173" t="s">
        <v>455</v>
      </c>
      <c r="C112" s="174">
        <v>65</v>
      </c>
      <c r="D112" s="175">
        <v>1060395</v>
      </c>
      <c r="E112" s="174">
        <v>6</v>
      </c>
      <c r="F112" s="175">
        <v>104188</v>
      </c>
      <c r="G112" s="174">
        <v>0</v>
      </c>
      <c r="H112" s="175">
        <v>137501</v>
      </c>
      <c r="I112" s="174">
        <v>96</v>
      </c>
      <c r="J112" s="175">
        <v>2019835</v>
      </c>
      <c r="K112" s="174">
        <v>0</v>
      </c>
      <c r="L112" s="175">
        <v>1470115</v>
      </c>
      <c r="M112" s="174">
        <v>76</v>
      </c>
      <c r="N112" s="175">
        <v>1590248</v>
      </c>
      <c r="O112" s="174">
        <v>24</v>
      </c>
      <c r="P112" s="175">
        <v>464009</v>
      </c>
      <c r="Q112" s="174">
        <v>27</v>
      </c>
      <c r="R112" s="175">
        <v>763765</v>
      </c>
      <c r="S112" s="174">
        <v>38</v>
      </c>
      <c r="T112" s="176">
        <v>609099</v>
      </c>
    </row>
    <row r="113" spans="2:20" ht="36" customHeight="1" x14ac:dyDescent="0.3">
      <c r="B113" s="173" t="s">
        <v>456</v>
      </c>
      <c r="C113" s="174">
        <v>77</v>
      </c>
      <c r="D113" s="175">
        <v>1060460</v>
      </c>
      <c r="E113" s="174">
        <v>6</v>
      </c>
      <c r="F113" s="175">
        <v>104194</v>
      </c>
      <c r="G113" s="174">
        <v>0</v>
      </c>
      <c r="H113" s="175">
        <v>137501</v>
      </c>
      <c r="I113" s="174">
        <v>109</v>
      </c>
      <c r="J113" s="175">
        <v>2019931</v>
      </c>
      <c r="K113" s="174">
        <v>12</v>
      </c>
      <c r="L113" s="175">
        <v>1470115</v>
      </c>
      <c r="M113" s="174">
        <v>94</v>
      </c>
      <c r="N113" s="175">
        <v>1590324</v>
      </c>
      <c r="O113" s="174">
        <v>34</v>
      </c>
      <c r="P113" s="175">
        <v>464033</v>
      </c>
      <c r="Q113" s="174">
        <v>39</v>
      </c>
      <c r="R113" s="175">
        <v>763792</v>
      </c>
      <c r="S113" s="174">
        <v>48</v>
      </c>
      <c r="T113" s="176">
        <v>609137</v>
      </c>
    </row>
    <row r="114" spans="2:20" ht="36" customHeight="1" x14ac:dyDescent="0.3">
      <c r="B114" s="173" t="s">
        <v>457</v>
      </c>
      <c r="C114" s="174">
        <v>84</v>
      </c>
      <c r="D114" s="175">
        <v>1060537</v>
      </c>
      <c r="E114" s="174">
        <v>7</v>
      </c>
      <c r="F114" s="175">
        <v>104200</v>
      </c>
      <c r="G114" s="174">
        <v>4</v>
      </c>
      <c r="H114" s="175">
        <v>137501</v>
      </c>
      <c r="I114" s="174">
        <v>121</v>
      </c>
      <c r="J114" s="175">
        <v>2020040</v>
      </c>
      <c r="K114" s="174">
        <v>54</v>
      </c>
      <c r="L114" s="175">
        <v>1470127</v>
      </c>
      <c r="M114" s="174">
        <v>112</v>
      </c>
      <c r="N114" s="175">
        <v>1590418</v>
      </c>
      <c r="O114" s="174">
        <v>44</v>
      </c>
      <c r="P114" s="175">
        <v>464067</v>
      </c>
      <c r="Q114" s="174">
        <v>51</v>
      </c>
      <c r="R114" s="175">
        <v>763831</v>
      </c>
      <c r="S114" s="174">
        <v>54</v>
      </c>
      <c r="T114" s="176">
        <v>609185</v>
      </c>
    </row>
    <row r="115" spans="2:20" ht="36" customHeight="1" x14ac:dyDescent="0.3">
      <c r="B115" s="173" t="s">
        <v>458</v>
      </c>
      <c r="C115" s="174">
        <v>90</v>
      </c>
      <c r="D115" s="175">
        <v>1060621</v>
      </c>
      <c r="E115" s="174">
        <v>7</v>
      </c>
      <c r="F115" s="175">
        <v>104207</v>
      </c>
      <c r="G115" s="174">
        <v>7</v>
      </c>
      <c r="H115" s="175">
        <v>137505</v>
      </c>
      <c r="I115" s="174">
        <v>127</v>
      </c>
      <c r="J115" s="175">
        <v>2020161</v>
      </c>
      <c r="K115" s="174">
        <v>127</v>
      </c>
      <c r="L115" s="175">
        <v>1470181</v>
      </c>
      <c r="M115" s="174">
        <v>117</v>
      </c>
      <c r="N115" s="175">
        <v>1590530</v>
      </c>
      <c r="O115" s="174">
        <v>49</v>
      </c>
      <c r="P115" s="175">
        <v>464111</v>
      </c>
      <c r="Q115" s="174">
        <v>59</v>
      </c>
      <c r="R115" s="175">
        <v>763882</v>
      </c>
      <c r="S115" s="174">
        <v>57</v>
      </c>
      <c r="T115" s="176">
        <v>609239</v>
      </c>
    </row>
    <row r="116" spans="2:20" ht="36" customHeight="1" x14ac:dyDescent="0.3">
      <c r="B116" s="173" t="s">
        <v>459</v>
      </c>
      <c r="C116" s="174">
        <v>88</v>
      </c>
      <c r="D116" s="175">
        <v>1060711</v>
      </c>
      <c r="E116" s="174">
        <v>7</v>
      </c>
      <c r="F116" s="175">
        <v>104214</v>
      </c>
      <c r="G116" s="174">
        <v>9</v>
      </c>
      <c r="H116" s="175">
        <v>137512</v>
      </c>
      <c r="I116" s="174">
        <v>131</v>
      </c>
      <c r="J116" s="175">
        <v>2020288</v>
      </c>
      <c r="K116" s="174">
        <v>131</v>
      </c>
      <c r="L116" s="175">
        <v>1470308</v>
      </c>
      <c r="M116" s="174">
        <v>115</v>
      </c>
      <c r="N116" s="175">
        <v>1590647</v>
      </c>
      <c r="O116" s="174">
        <v>50</v>
      </c>
      <c r="P116" s="175">
        <v>464160</v>
      </c>
      <c r="Q116" s="174">
        <v>62</v>
      </c>
      <c r="R116" s="175">
        <v>763941</v>
      </c>
      <c r="S116" s="174">
        <v>58</v>
      </c>
      <c r="T116" s="176">
        <v>609296</v>
      </c>
    </row>
    <row r="117" spans="2:20" ht="36" customHeight="1" x14ac:dyDescent="0.3">
      <c r="B117" s="173" t="s">
        <v>460</v>
      </c>
      <c r="C117" s="174">
        <v>87</v>
      </c>
      <c r="D117" s="175">
        <v>1060799</v>
      </c>
      <c r="E117" s="174">
        <v>7</v>
      </c>
      <c r="F117" s="175">
        <v>104221</v>
      </c>
      <c r="G117" s="174">
        <v>10</v>
      </c>
      <c r="H117" s="175">
        <v>137521</v>
      </c>
      <c r="I117" s="174">
        <v>132</v>
      </c>
      <c r="J117" s="175">
        <v>2020419</v>
      </c>
      <c r="K117" s="174">
        <v>100</v>
      </c>
      <c r="L117" s="175">
        <v>1470439</v>
      </c>
      <c r="M117" s="174">
        <v>119</v>
      </c>
      <c r="N117" s="175">
        <v>1590762</v>
      </c>
      <c r="O117" s="174">
        <v>46</v>
      </c>
      <c r="P117" s="175">
        <v>464210</v>
      </c>
      <c r="Q117" s="174">
        <v>66</v>
      </c>
      <c r="R117" s="175">
        <v>764003</v>
      </c>
      <c r="S117" s="174">
        <v>57</v>
      </c>
      <c r="T117" s="176">
        <v>609354</v>
      </c>
    </row>
    <row r="118" spans="2:20" ht="36" customHeight="1" x14ac:dyDescent="0.3">
      <c r="B118" s="173" t="s">
        <v>461</v>
      </c>
      <c r="C118" s="174">
        <v>84</v>
      </c>
      <c r="D118" s="175">
        <v>1060886</v>
      </c>
      <c r="E118" s="174">
        <v>8</v>
      </c>
      <c r="F118" s="175">
        <v>104228</v>
      </c>
      <c r="G118" s="174">
        <v>7</v>
      </c>
      <c r="H118" s="175">
        <v>137531</v>
      </c>
      <c r="I118" s="174">
        <v>131</v>
      </c>
      <c r="J118" s="175">
        <v>2020551</v>
      </c>
      <c r="K118" s="174">
        <v>100</v>
      </c>
      <c r="L118" s="175">
        <v>1470539</v>
      </c>
      <c r="M118" s="174">
        <v>116</v>
      </c>
      <c r="N118" s="175">
        <v>1590881</v>
      </c>
      <c r="O118" s="174">
        <v>47</v>
      </c>
      <c r="P118" s="175">
        <v>464256</v>
      </c>
      <c r="Q118" s="174">
        <v>59</v>
      </c>
      <c r="R118" s="175">
        <v>764069</v>
      </c>
      <c r="S118" s="174">
        <v>56</v>
      </c>
      <c r="T118" s="176">
        <v>609411</v>
      </c>
    </row>
    <row r="119" spans="2:20" ht="36" customHeight="1" x14ac:dyDescent="0.3">
      <c r="B119" s="173" t="s">
        <v>462</v>
      </c>
      <c r="C119" s="174">
        <v>83</v>
      </c>
      <c r="D119" s="175">
        <v>1060970</v>
      </c>
      <c r="E119" s="174">
        <v>7</v>
      </c>
      <c r="F119" s="175">
        <v>104236</v>
      </c>
      <c r="G119" s="174">
        <v>6</v>
      </c>
      <c r="H119" s="175">
        <v>137538</v>
      </c>
      <c r="I119" s="174">
        <v>125</v>
      </c>
      <c r="J119" s="175">
        <v>2020682</v>
      </c>
      <c r="K119" s="174">
        <v>82</v>
      </c>
      <c r="L119" s="175">
        <v>1470639</v>
      </c>
      <c r="M119" s="174">
        <v>112</v>
      </c>
      <c r="N119" s="175">
        <v>1590997</v>
      </c>
      <c r="O119" s="174">
        <v>44</v>
      </c>
      <c r="P119" s="175">
        <v>464303</v>
      </c>
      <c r="Q119" s="174">
        <v>55</v>
      </c>
      <c r="R119" s="175">
        <v>764128</v>
      </c>
      <c r="S119" s="174">
        <v>54</v>
      </c>
      <c r="T119" s="176">
        <v>609467</v>
      </c>
    </row>
    <row r="120" spans="2:20" ht="36" customHeight="1" x14ac:dyDescent="0.3">
      <c r="B120" s="173" t="s">
        <v>463</v>
      </c>
      <c r="C120" s="174">
        <v>82</v>
      </c>
      <c r="D120" s="175">
        <v>1061053</v>
      </c>
      <c r="E120" s="174">
        <v>7</v>
      </c>
      <c r="F120" s="175">
        <v>104243</v>
      </c>
      <c r="G120" s="174">
        <v>6</v>
      </c>
      <c r="H120" s="175">
        <v>137544</v>
      </c>
      <c r="I120" s="174">
        <v>126</v>
      </c>
      <c r="J120" s="175">
        <v>2020807</v>
      </c>
      <c r="K120" s="174">
        <v>112</v>
      </c>
      <c r="L120" s="175">
        <v>1470721</v>
      </c>
      <c r="M120" s="174">
        <v>107</v>
      </c>
      <c r="N120" s="175">
        <v>1591109</v>
      </c>
      <c r="O120" s="174">
        <v>43</v>
      </c>
      <c r="P120" s="175">
        <v>464347</v>
      </c>
      <c r="Q120" s="174">
        <v>53</v>
      </c>
      <c r="R120" s="175">
        <v>764183</v>
      </c>
      <c r="S120" s="174">
        <v>54</v>
      </c>
      <c r="T120" s="176">
        <v>609521</v>
      </c>
    </row>
    <row r="121" spans="2:20" ht="36" customHeight="1" x14ac:dyDescent="0.3">
      <c r="B121" s="173" t="s">
        <v>464</v>
      </c>
      <c r="C121" s="174">
        <v>88</v>
      </c>
      <c r="D121" s="175">
        <v>1061135</v>
      </c>
      <c r="E121" s="174">
        <v>7</v>
      </c>
      <c r="F121" s="175">
        <v>104250</v>
      </c>
      <c r="G121" s="174">
        <v>7</v>
      </c>
      <c r="H121" s="175">
        <v>137550</v>
      </c>
      <c r="I121" s="174">
        <v>125</v>
      </c>
      <c r="J121" s="175">
        <v>2020933</v>
      </c>
      <c r="K121" s="174">
        <v>73</v>
      </c>
      <c r="L121" s="175">
        <v>1470833</v>
      </c>
      <c r="M121" s="174">
        <v>111</v>
      </c>
      <c r="N121" s="175">
        <v>1591216</v>
      </c>
      <c r="O121" s="174">
        <v>44</v>
      </c>
      <c r="P121" s="175">
        <v>464390</v>
      </c>
      <c r="Q121" s="174">
        <v>55</v>
      </c>
      <c r="R121" s="175">
        <v>764236</v>
      </c>
      <c r="S121" s="174">
        <v>56</v>
      </c>
      <c r="T121" s="176">
        <v>609575</v>
      </c>
    </row>
    <row r="122" spans="2:20" ht="36" customHeight="1" x14ac:dyDescent="0.3">
      <c r="B122" s="173" t="s">
        <v>465</v>
      </c>
      <c r="C122" s="174">
        <v>93</v>
      </c>
      <c r="D122" s="175">
        <v>1061223</v>
      </c>
      <c r="E122" s="174">
        <v>8</v>
      </c>
      <c r="F122" s="175">
        <v>104257</v>
      </c>
      <c r="G122" s="174">
        <v>8</v>
      </c>
      <c r="H122" s="175">
        <v>137557</v>
      </c>
      <c r="I122" s="174">
        <v>127</v>
      </c>
      <c r="J122" s="175">
        <v>2021058</v>
      </c>
      <c r="K122" s="174">
        <v>87</v>
      </c>
      <c r="L122" s="175">
        <v>1470906</v>
      </c>
      <c r="M122" s="174">
        <v>113</v>
      </c>
      <c r="N122" s="175">
        <v>1591327</v>
      </c>
      <c r="O122" s="174">
        <v>48</v>
      </c>
      <c r="P122" s="175">
        <v>464434</v>
      </c>
      <c r="Q122" s="174">
        <v>61</v>
      </c>
      <c r="R122" s="175">
        <v>764291</v>
      </c>
      <c r="S122" s="174">
        <v>56</v>
      </c>
      <c r="T122" s="176">
        <v>609631</v>
      </c>
    </row>
    <row r="123" spans="2:20" ht="36" customHeight="1" x14ac:dyDescent="0.3">
      <c r="B123" s="173" t="s">
        <v>466</v>
      </c>
      <c r="C123" s="174">
        <v>94</v>
      </c>
      <c r="D123" s="175">
        <v>1061316</v>
      </c>
      <c r="E123" s="174">
        <v>7</v>
      </c>
      <c r="F123" s="175">
        <v>104265</v>
      </c>
      <c r="G123" s="174">
        <v>8</v>
      </c>
      <c r="H123" s="175">
        <v>137565</v>
      </c>
      <c r="I123" s="174">
        <v>126</v>
      </c>
      <c r="J123" s="175">
        <v>2021185</v>
      </c>
      <c r="K123" s="174">
        <v>103</v>
      </c>
      <c r="L123" s="175">
        <v>1470993</v>
      </c>
      <c r="M123" s="174">
        <v>116</v>
      </c>
      <c r="N123" s="175">
        <v>1591440</v>
      </c>
      <c r="O123" s="174">
        <v>51</v>
      </c>
      <c r="P123" s="175">
        <v>464482</v>
      </c>
      <c r="Q123" s="174">
        <v>66</v>
      </c>
      <c r="R123" s="175">
        <v>764352</v>
      </c>
      <c r="S123" s="174">
        <v>55</v>
      </c>
      <c r="T123" s="176">
        <v>609687</v>
      </c>
    </row>
    <row r="124" spans="2:20" ht="36" customHeight="1" x14ac:dyDescent="0.3">
      <c r="B124" s="173" t="s">
        <v>467</v>
      </c>
      <c r="C124" s="174">
        <v>92</v>
      </c>
      <c r="D124" s="175">
        <v>1061410</v>
      </c>
      <c r="E124" s="174">
        <v>8</v>
      </c>
      <c r="F124" s="175">
        <v>104272</v>
      </c>
      <c r="G124" s="174">
        <v>9</v>
      </c>
      <c r="H124" s="175">
        <v>137573</v>
      </c>
      <c r="I124" s="174">
        <v>131</v>
      </c>
      <c r="J124" s="175">
        <v>2021311</v>
      </c>
      <c r="K124" s="174">
        <v>149</v>
      </c>
      <c r="L124" s="175">
        <v>1471096</v>
      </c>
      <c r="M124" s="174">
        <v>119</v>
      </c>
      <c r="N124" s="175">
        <v>1591556</v>
      </c>
      <c r="O124" s="174">
        <v>55</v>
      </c>
      <c r="P124" s="175">
        <v>464533</v>
      </c>
      <c r="Q124" s="174">
        <v>65</v>
      </c>
      <c r="R124" s="175">
        <v>764418</v>
      </c>
      <c r="S124" s="174">
        <v>56</v>
      </c>
      <c r="T124" s="176">
        <v>609742</v>
      </c>
    </row>
    <row r="125" spans="2:20" ht="36" customHeight="1" x14ac:dyDescent="0.3">
      <c r="B125" s="173" t="s">
        <v>468</v>
      </c>
      <c r="C125" s="174">
        <v>93</v>
      </c>
      <c r="D125" s="175">
        <v>1061502</v>
      </c>
      <c r="E125" s="174">
        <v>8</v>
      </c>
      <c r="F125" s="175">
        <v>104280</v>
      </c>
      <c r="G125" s="174">
        <v>9</v>
      </c>
      <c r="H125" s="175">
        <v>137582</v>
      </c>
      <c r="I125" s="174">
        <v>128</v>
      </c>
      <c r="J125" s="175">
        <v>2021442</v>
      </c>
      <c r="K125" s="174">
        <v>117</v>
      </c>
      <c r="L125" s="175">
        <v>1471245</v>
      </c>
      <c r="M125" s="174">
        <v>126</v>
      </c>
      <c r="N125" s="175">
        <v>1591675</v>
      </c>
      <c r="O125" s="174">
        <v>55</v>
      </c>
      <c r="P125" s="175">
        <v>464588</v>
      </c>
      <c r="Q125" s="174">
        <v>68</v>
      </c>
      <c r="R125" s="175">
        <v>764483</v>
      </c>
      <c r="S125" s="174">
        <v>58</v>
      </c>
      <c r="T125" s="176">
        <v>609798</v>
      </c>
    </row>
    <row r="126" spans="2:20" ht="36" customHeight="1" x14ac:dyDescent="0.3">
      <c r="B126" s="173" t="s">
        <v>469</v>
      </c>
      <c r="C126" s="174">
        <v>92</v>
      </c>
      <c r="D126" s="175">
        <v>1061595</v>
      </c>
      <c r="E126" s="174">
        <v>7</v>
      </c>
      <c r="F126" s="175">
        <v>104288</v>
      </c>
      <c r="G126" s="174">
        <v>9</v>
      </c>
      <c r="H126" s="175">
        <v>137591</v>
      </c>
      <c r="I126" s="174">
        <v>125</v>
      </c>
      <c r="J126" s="175">
        <v>2021570</v>
      </c>
      <c r="K126" s="174">
        <v>85</v>
      </c>
      <c r="L126" s="175">
        <v>1471362</v>
      </c>
      <c r="M126" s="174">
        <v>122</v>
      </c>
      <c r="N126" s="175">
        <v>1591801</v>
      </c>
      <c r="O126" s="174">
        <v>52</v>
      </c>
      <c r="P126" s="175">
        <v>464643</v>
      </c>
      <c r="Q126" s="174">
        <v>67</v>
      </c>
      <c r="R126" s="175">
        <v>764551</v>
      </c>
      <c r="S126" s="174">
        <v>57</v>
      </c>
      <c r="T126" s="176">
        <v>609856</v>
      </c>
    </row>
    <row r="127" spans="2:20" ht="36" customHeight="1" x14ac:dyDescent="0.3">
      <c r="B127" s="173" t="s">
        <v>470</v>
      </c>
      <c r="C127" s="174">
        <v>87</v>
      </c>
      <c r="D127" s="175">
        <v>1061687</v>
      </c>
      <c r="E127" s="174">
        <v>6</v>
      </c>
      <c r="F127" s="175">
        <v>104295</v>
      </c>
      <c r="G127" s="174">
        <v>6</v>
      </c>
      <c r="H127" s="175">
        <v>137600</v>
      </c>
      <c r="I127" s="174">
        <v>118</v>
      </c>
      <c r="J127" s="175">
        <v>2021695</v>
      </c>
      <c r="K127" s="174">
        <v>48</v>
      </c>
      <c r="L127" s="175">
        <v>1471447</v>
      </c>
      <c r="M127" s="174">
        <v>115</v>
      </c>
      <c r="N127" s="175">
        <v>1591923</v>
      </c>
      <c r="O127" s="174">
        <v>46</v>
      </c>
      <c r="P127" s="175">
        <v>464695</v>
      </c>
      <c r="Q127" s="174">
        <v>62</v>
      </c>
      <c r="R127" s="175">
        <v>764618</v>
      </c>
      <c r="S127" s="174">
        <v>52</v>
      </c>
      <c r="T127" s="176">
        <v>609913</v>
      </c>
    </row>
    <row r="128" spans="2:20" ht="36" customHeight="1" thickBot="1" x14ac:dyDescent="0.35">
      <c r="B128" s="177" t="s">
        <v>471</v>
      </c>
      <c r="C128" s="178">
        <v>79</v>
      </c>
      <c r="D128" s="179">
        <v>1061774</v>
      </c>
      <c r="E128" s="178">
        <v>7</v>
      </c>
      <c r="F128" s="179">
        <v>104301</v>
      </c>
      <c r="G128" s="178">
        <v>5</v>
      </c>
      <c r="H128" s="179">
        <v>137606</v>
      </c>
      <c r="I128" s="178">
        <v>107</v>
      </c>
      <c r="J128" s="179">
        <v>2021813</v>
      </c>
      <c r="K128" s="178">
        <v>25</v>
      </c>
      <c r="L128" s="179">
        <v>1471495</v>
      </c>
      <c r="M128" s="178">
        <v>103</v>
      </c>
      <c r="N128" s="179">
        <v>1592038</v>
      </c>
      <c r="O128" s="178">
        <v>35</v>
      </c>
      <c r="P128" s="179">
        <v>464741</v>
      </c>
      <c r="Q128" s="178">
        <v>50</v>
      </c>
      <c r="R128" s="179">
        <v>764680</v>
      </c>
      <c r="S128" s="178">
        <v>45</v>
      </c>
      <c r="T128" s="180">
        <v>609965</v>
      </c>
    </row>
    <row r="129" spans="1:21" ht="36" customHeight="1" thickTop="1" x14ac:dyDescent="0.3">
      <c r="B129" s="181" t="s">
        <v>472</v>
      </c>
      <c r="C129" s="182">
        <f t="shared" ref="C129:T129" si="6">MIN(C105:C128)</f>
        <v>54</v>
      </c>
      <c r="D129" s="182">
        <f t="shared" si="6"/>
        <v>1059975</v>
      </c>
      <c r="E129" s="182">
        <f t="shared" si="6"/>
        <v>6</v>
      </c>
      <c r="F129" s="182">
        <f t="shared" si="6"/>
        <v>104140</v>
      </c>
      <c r="G129" s="182">
        <f t="shared" si="6"/>
        <v>0</v>
      </c>
      <c r="H129" s="182">
        <f t="shared" si="6"/>
        <v>137500</v>
      </c>
      <c r="I129" s="182">
        <f t="shared" si="6"/>
        <v>83</v>
      </c>
      <c r="J129" s="182">
        <f t="shared" si="6"/>
        <v>2019223</v>
      </c>
      <c r="K129" s="182">
        <f t="shared" si="6"/>
        <v>0</v>
      </c>
      <c r="L129" s="182">
        <f t="shared" si="6"/>
        <v>1470115</v>
      </c>
      <c r="M129" s="182">
        <f t="shared" si="6"/>
        <v>64</v>
      </c>
      <c r="N129" s="182">
        <f t="shared" si="6"/>
        <v>1589751</v>
      </c>
      <c r="O129" s="182">
        <f t="shared" si="6"/>
        <v>14</v>
      </c>
      <c r="P129" s="182">
        <f t="shared" si="6"/>
        <v>463880</v>
      </c>
      <c r="Q129" s="182">
        <f t="shared" si="6"/>
        <v>18</v>
      </c>
      <c r="R129" s="182">
        <f t="shared" si="6"/>
        <v>763593</v>
      </c>
      <c r="S129" s="182">
        <f t="shared" si="6"/>
        <v>33</v>
      </c>
      <c r="T129" s="183">
        <f t="shared" si="6"/>
        <v>608849</v>
      </c>
    </row>
    <row r="130" spans="1:21" ht="36" customHeight="1" x14ac:dyDescent="0.3">
      <c r="B130" s="173" t="s">
        <v>473</v>
      </c>
      <c r="C130" s="182">
        <f t="shared" ref="C130:T130" si="7">MAX(C105:C128)</f>
        <v>94</v>
      </c>
      <c r="D130" s="182">
        <f t="shared" si="7"/>
        <v>1061774</v>
      </c>
      <c r="E130" s="182">
        <f t="shared" si="7"/>
        <v>8</v>
      </c>
      <c r="F130" s="182">
        <f t="shared" si="7"/>
        <v>104301</v>
      </c>
      <c r="G130" s="182">
        <f t="shared" si="7"/>
        <v>10</v>
      </c>
      <c r="H130" s="182">
        <f t="shared" si="7"/>
        <v>137606</v>
      </c>
      <c r="I130" s="182">
        <f t="shared" si="7"/>
        <v>132</v>
      </c>
      <c r="J130" s="182">
        <f t="shared" si="7"/>
        <v>2021813</v>
      </c>
      <c r="K130" s="182">
        <f t="shared" si="7"/>
        <v>149</v>
      </c>
      <c r="L130" s="182">
        <f t="shared" si="7"/>
        <v>1471495</v>
      </c>
      <c r="M130" s="182">
        <f t="shared" si="7"/>
        <v>126</v>
      </c>
      <c r="N130" s="182">
        <f t="shared" si="7"/>
        <v>1592038</v>
      </c>
      <c r="O130" s="182">
        <f t="shared" si="7"/>
        <v>55</v>
      </c>
      <c r="P130" s="182">
        <f t="shared" si="7"/>
        <v>464741</v>
      </c>
      <c r="Q130" s="182">
        <f t="shared" si="7"/>
        <v>68</v>
      </c>
      <c r="R130" s="182">
        <f t="shared" si="7"/>
        <v>764680</v>
      </c>
      <c r="S130" s="182">
        <f t="shared" si="7"/>
        <v>58</v>
      </c>
      <c r="T130" s="183">
        <f t="shared" si="7"/>
        <v>609965</v>
      </c>
    </row>
    <row r="131" spans="1:21" ht="36" customHeight="1" x14ac:dyDescent="0.3">
      <c r="B131" s="173" t="s">
        <v>474</v>
      </c>
      <c r="C131" s="182">
        <f>AVERAGE(C105:C128)</f>
        <v>78.25</v>
      </c>
      <c r="D131" s="184"/>
      <c r="E131" s="182">
        <f>AVERAGE(E105:E128)</f>
        <v>7</v>
      </c>
      <c r="F131" s="184"/>
      <c r="G131" s="182">
        <f>AVERAGE(G105:G128)</f>
        <v>4.625</v>
      </c>
      <c r="H131" s="184"/>
      <c r="I131" s="182">
        <f>AVERAGE(I105:I128)</f>
        <v>112.375</v>
      </c>
      <c r="J131" s="184"/>
      <c r="K131" s="182">
        <f>AVERAGE(K105:K128)</f>
        <v>58.541666666666664</v>
      </c>
      <c r="L131" s="184"/>
      <c r="M131" s="182">
        <f>AVERAGE(M105:M128)</f>
        <v>99.583333333333329</v>
      </c>
      <c r="N131" s="184"/>
      <c r="O131" s="182">
        <f>AVERAGE(O105:O128)</f>
        <v>37.333333333333336</v>
      </c>
      <c r="P131" s="184"/>
      <c r="Q131" s="182">
        <f>AVERAGE(Q105:Q128)</f>
        <v>47.375</v>
      </c>
      <c r="R131" s="184"/>
      <c r="S131" s="182">
        <f>AVERAGE(S105:S128)</f>
        <v>48.375</v>
      </c>
      <c r="T131" s="185"/>
    </row>
    <row r="132" spans="1:21" ht="36" customHeight="1" thickBot="1" x14ac:dyDescent="0.35">
      <c r="B132" s="186" t="s">
        <v>475</v>
      </c>
      <c r="C132" s="187">
        <f>SUM(C105:C128)</f>
        <v>1878</v>
      </c>
      <c r="D132" s="188"/>
      <c r="E132" s="187">
        <f>SUM(E105:E128)</f>
        <v>168</v>
      </c>
      <c r="F132" s="188"/>
      <c r="G132" s="187">
        <f>SUM(G105:G128)</f>
        <v>111</v>
      </c>
      <c r="H132" s="188"/>
      <c r="I132" s="187">
        <f>SUM(I105:I128)</f>
        <v>2697</v>
      </c>
      <c r="J132" s="188"/>
      <c r="K132" s="187">
        <f>SUM(K105:K128)</f>
        <v>1405</v>
      </c>
      <c r="L132" s="188"/>
      <c r="M132" s="187">
        <f>SUM(M105:M128)</f>
        <v>2390</v>
      </c>
      <c r="N132" s="188"/>
      <c r="O132" s="187">
        <f>SUM(O105:O128)</f>
        <v>896</v>
      </c>
      <c r="P132" s="188"/>
      <c r="Q132" s="187">
        <f>SUM(Q105:Q128)</f>
        <v>1137</v>
      </c>
      <c r="R132" s="188"/>
      <c r="S132" s="187">
        <f>SUM(S105:S128)</f>
        <v>1161</v>
      </c>
      <c r="T132" s="189"/>
    </row>
    <row r="133" spans="1:21" ht="9.9499999999999993" customHeight="1" thickBot="1" x14ac:dyDescent="0.35"/>
    <row r="134" spans="1:21" ht="51.95" customHeight="1" thickBot="1" x14ac:dyDescent="0.35">
      <c r="A134" s="162"/>
      <c r="B134" s="457" t="s">
        <v>584</v>
      </c>
      <c r="C134" s="458"/>
      <c r="D134" s="458"/>
      <c r="E134" s="458"/>
      <c r="F134" s="458"/>
      <c r="G134" s="458"/>
      <c r="H134" s="458"/>
      <c r="I134" s="458"/>
      <c r="J134" s="458"/>
      <c r="K134" s="458"/>
      <c r="L134" s="458"/>
      <c r="M134" s="458"/>
      <c r="N134" s="458"/>
      <c r="O134" s="458"/>
      <c r="P134" s="458"/>
      <c r="Q134" s="458"/>
      <c r="R134" s="458"/>
      <c r="S134" s="458"/>
      <c r="T134" s="459"/>
      <c r="U134" s="162"/>
    </row>
    <row r="135" spans="1:21" ht="36" customHeight="1" thickTop="1" x14ac:dyDescent="0.3">
      <c r="A135" s="164"/>
      <c r="B135" s="191" t="s">
        <v>433</v>
      </c>
      <c r="C135" s="453" t="str">
        <f>C36</f>
        <v>2025년12월28일  일요일</v>
      </c>
      <c r="D135" s="453"/>
      <c r="E135" s="453"/>
      <c r="F135" s="453"/>
      <c r="G135" s="453"/>
      <c r="H135" s="453"/>
      <c r="I135" s="453"/>
      <c r="J135" s="453"/>
      <c r="K135" s="453"/>
      <c r="L135" s="453"/>
      <c r="M135" s="453"/>
      <c r="N135" s="453"/>
      <c r="O135" s="453"/>
      <c r="P135" s="453"/>
      <c r="Q135" s="453"/>
      <c r="R135" s="453"/>
      <c r="S135" s="453"/>
      <c r="T135" s="454"/>
      <c r="U135" s="164"/>
    </row>
    <row r="136" spans="1:21" ht="27.95" customHeight="1" x14ac:dyDescent="0.3">
      <c r="A136" s="165"/>
      <c r="B136" s="451" t="s">
        <v>434</v>
      </c>
      <c r="C136" s="448" t="s">
        <v>612</v>
      </c>
      <c r="D136" s="449"/>
      <c r="E136" s="448" t="s">
        <v>613</v>
      </c>
      <c r="F136" s="449"/>
      <c r="G136" s="448" t="s">
        <v>614</v>
      </c>
      <c r="H136" s="449"/>
      <c r="I136" s="448" t="s">
        <v>615</v>
      </c>
      <c r="J136" s="449"/>
      <c r="K136" s="448" t="s">
        <v>616</v>
      </c>
      <c r="L136" s="449"/>
      <c r="M136" s="448" t="s">
        <v>617</v>
      </c>
      <c r="N136" s="449"/>
      <c r="O136" s="448" t="s">
        <v>618</v>
      </c>
      <c r="P136" s="449"/>
      <c r="Q136" s="448"/>
      <c r="R136" s="449"/>
      <c r="S136" s="448"/>
      <c r="T136" s="450"/>
      <c r="U136" s="165"/>
    </row>
    <row r="137" spans="1:21" ht="27.95" customHeight="1" x14ac:dyDescent="0.3">
      <c r="B137" s="452"/>
      <c r="C137" s="166" t="s">
        <v>444</v>
      </c>
      <c r="D137" s="167" t="s">
        <v>445</v>
      </c>
      <c r="E137" s="166" t="s">
        <v>444</v>
      </c>
      <c r="F137" s="167" t="s">
        <v>445</v>
      </c>
      <c r="G137" s="166" t="s">
        <v>444</v>
      </c>
      <c r="H137" s="167" t="s">
        <v>445</v>
      </c>
      <c r="I137" s="166" t="s">
        <v>444</v>
      </c>
      <c r="J137" s="167" t="s">
        <v>445</v>
      </c>
      <c r="K137" s="166" t="s">
        <v>444</v>
      </c>
      <c r="L137" s="167" t="s">
        <v>445</v>
      </c>
      <c r="M137" s="166" t="s">
        <v>444</v>
      </c>
      <c r="N137" s="167" t="s">
        <v>445</v>
      </c>
      <c r="O137" s="166" t="s">
        <v>444</v>
      </c>
      <c r="P137" s="167" t="s">
        <v>445</v>
      </c>
      <c r="Q137" s="166" t="s">
        <v>444</v>
      </c>
      <c r="R137" s="167" t="s">
        <v>445</v>
      </c>
      <c r="S137" s="166" t="s">
        <v>446</v>
      </c>
      <c r="T137" s="168" t="s">
        <v>447</v>
      </c>
    </row>
    <row r="138" spans="1:21" ht="36" customHeight="1" x14ac:dyDescent="0.3">
      <c r="B138" s="169" t="s">
        <v>448</v>
      </c>
      <c r="C138" s="170">
        <v>54</v>
      </c>
      <c r="D138" s="171">
        <v>655808</v>
      </c>
      <c r="E138" s="170">
        <v>61</v>
      </c>
      <c r="F138" s="171">
        <v>935442</v>
      </c>
      <c r="G138" s="170">
        <v>61</v>
      </c>
      <c r="H138" s="171">
        <v>1088146</v>
      </c>
      <c r="I138" s="170">
        <v>86</v>
      </c>
      <c r="J138" s="171">
        <v>1592119</v>
      </c>
      <c r="K138" s="170">
        <v>63</v>
      </c>
      <c r="L138" s="171">
        <v>1576196</v>
      </c>
      <c r="M138" s="170">
        <v>1</v>
      </c>
      <c r="N138" s="171">
        <v>109077</v>
      </c>
      <c r="O138" s="170">
        <v>30</v>
      </c>
      <c r="P138" s="171">
        <v>413718</v>
      </c>
      <c r="Q138" s="170"/>
      <c r="R138" s="171"/>
      <c r="S138" s="170"/>
      <c r="T138" s="172"/>
    </row>
    <row r="139" spans="1:21" ht="36" customHeight="1" x14ac:dyDescent="0.3">
      <c r="B139" s="173" t="s">
        <v>449</v>
      </c>
      <c r="C139" s="174">
        <v>50</v>
      </c>
      <c r="D139" s="175">
        <v>655862</v>
      </c>
      <c r="E139" s="174">
        <v>50</v>
      </c>
      <c r="F139" s="175">
        <v>935503</v>
      </c>
      <c r="G139" s="174">
        <v>62</v>
      </c>
      <c r="H139" s="175">
        <v>1088207</v>
      </c>
      <c r="I139" s="174">
        <v>76</v>
      </c>
      <c r="J139" s="175">
        <v>1592205</v>
      </c>
      <c r="K139" s="174">
        <v>52</v>
      </c>
      <c r="L139" s="175">
        <v>1576259</v>
      </c>
      <c r="M139" s="174">
        <v>11</v>
      </c>
      <c r="N139" s="175">
        <v>109078</v>
      </c>
      <c r="O139" s="174">
        <v>30</v>
      </c>
      <c r="P139" s="175">
        <v>413748</v>
      </c>
      <c r="Q139" s="174"/>
      <c r="R139" s="175"/>
      <c r="S139" s="174"/>
      <c r="T139" s="176"/>
    </row>
    <row r="140" spans="1:21" ht="36" customHeight="1" x14ac:dyDescent="0.3">
      <c r="B140" s="173" t="s">
        <v>450</v>
      </c>
      <c r="C140" s="174">
        <v>48</v>
      </c>
      <c r="D140" s="175">
        <v>655912</v>
      </c>
      <c r="E140" s="174">
        <v>42</v>
      </c>
      <c r="F140" s="175">
        <v>935553</v>
      </c>
      <c r="G140" s="174">
        <v>59</v>
      </c>
      <c r="H140" s="175">
        <v>1088269</v>
      </c>
      <c r="I140" s="174">
        <v>67</v>
      </c>
      <c r="J140" s="175">
        <v>1592281</v>
      </c>
      <c r="K140" s="174">
        <v>43</v>
      </c>
      <c r="L140" s="175">
        <v>1576311</v>
      </c>
      <c r="M140" s="174">
        <v>0</v>
      </c>
      <c r="N140" s="175">
        <v>109089</v>
      </c>
      <c r="O140" s="174">
        <v>30</v>
      </c>
      <c r="P140" s="175">
        <v>413778</v>
      </c>
      <c r="Q140" s="174"/>
      <c r="R140" s="175"/>
      <c r="S140" s="174"/>
      <c r="T140" s="176"/>
    </row>
    <row r="141" spans="1:21" ht="36" customHeight="1" x14ac:dyDescent="0.3">
      <c r="B141" s="173" t="s">
        <v>451</v>
      </c>
      <c r="C141" s="174">
        <v>43</v>
      </c>
      <c r="D141" s="175">
        <v>655960</v>
      </c>
      <c r="E141" s="174">
        <v>39</v>
      </c>
      <c r="F141" s="175">
        <v>935595</v>
      </c>
      <c r="G141" s="174">
        <v>57</v>
      </c>
      <c r="H141" s="175">
        <v>1088328</v>
      </c>
      <c r="I141" s="174">
        <v>63</v>
      </c>
      <c r="J141" s="175">
        <v>1592348</v>
      </c>
      <c r="K141" s="174">
        <v>39</v>
      </c>
      <c r="L141" s="175">
        <v>1576354</v>
      </c>
      <c r="M141" s="174">
        <v>0</v>
      </c>
      <c r="N141" s="175">
        <v>109089</v>
      </c>
      <c r="O141" s="174">
        <v>29</v>
      </c>
      <c r="P141" s="175">
        <v>413808</v>
      </c>
      <c r="Q141" s="174"/>
      <c r="R141" s="175"/>
      <c r="S141" s="174"/>
      <c r="T141" s="176"/>
    </row>
    <row r="142" spans="1:21" ht="36" customHeight="1" x14ac:dyDescent="0.3">
      <c r="B142" s="173" t="s">
        <v>452</v>
      </c>
      <c r="C142" s="174">
        <v>37</v>
      </c>
      <c r="D142" s="175">
        <v>656003</v>
      </c>
      <c r="E142" s="174">
        <v>39</v>
      </c>
      <c r="F142" s="175">
        <v>935634</v>
      </c>
      <c r="G142" s="174">
        <v>57</v>
      </c>
      <c r="H142" s="175">
        <v>1088385</v>
      </c>
      <c r="I142" s="174">
        <v>63</v>
      </c>
      <c r="J142" s="175">
        <v>1592411</v>
      </c>
      <c r="K142" s="174">
        <v>38</v>
      </c>
      <c r="L142" s="175">
        <v>1576393</v>
      </c>
      <c r="M142" s="174">
        <v>4</v>
      </c>
      <c r="N142" s="175">
        <v>109089</v>
      </c>
      <c r="O142" s="174">
        <v>30</v>
      </c>
      <c r="P142" s="175">
        <v>413837</v>
      </c>
      <c r="Q142" s="174"/>
      <c r="R142" s="175"/>
      <c r="S142" s="174"/>
      <c r="T142" s="176"/>
    </row>
    <row r="143" spans="1:21" ht="36" customHeight="1" x14ac:dyDescent="0.3">
      <c r="B143" s="173" t="s">
        <v>453</v>
      </c>
      <c r="C143" s="174">
        <v>39</v>
      </c>
      <c r="D143" s="175">
        <v>656040</v>
      </c>
      <c r="E143" s="174">
        <v>40</v>
      </c>
      <c r="F143" s="175">
        <v>935673</v>
      </c>
      <c r="G143" s="174">
        <v>58</v>
      </c>
      <c r="H143" s="175">
        <v>1088442</v>
      </c>
      <c r="I143" s="174">
        <v>63</v>
      </c>
      <c r="J143" s="175">
        <v>1592474</v>
      </c>
      <c r="K143" s="174">
        <v>37</v>
      </c>
      <c r="L143" s="175">
        <v>1576431</v>
      </c>
      <c r="M143" s="174">
        <v>9</v>
      </c>
      <c r="N143" s="175">
        <v>109093</v>
      </c>
      <c r="O143" s="174">
        <v>30</v>
      </c>
      <c r="P143" s="175">
        <v>413867</v>
      </c>
      <c r="Q143" s="174"/>
      <c r="R143" s="175"/>
      <c r="S143" s="174"/>
      <c r="T143" s="176"/>
    </row>
    <row r="144" spans="1:21" ht="36" customHeight="1" x14ac:dyDescent="0.3">
      <c r="B144" s="173" t="s">
        <v>454</v>
      </c>
      <c r="C144" s="174">
        <v>40</v>
      </c>
      <c r="D144" s="175">
        <v>656079</v>
      </c>
      <c r="E144" s="174">
        <v>42</v>
      </c>
      <c r="F144" s="175">
        <v>935713</v>
      </c>
      <c r="G144" s="174">
        <v>60</v>
      </c>
      <c r="H144" s="175">
        <v>1088500</v>
      </c>
      <c r="I144" s="174">
        <v>68</v>
      </c>
      <c r="J144" s="175">
        <v>1592537</v>
      </c>
      <c r="K144" s="174">
        <v>51</v>
      </c>
      <c r="L144" s="175">
        <v>1576468</v>
      </c>
      <c r="M144" s="174">
        <v>0</v>
      </c>
      <c r="N144" s="175">
        <v>109102</v>
      </c>
      <c r="O144" s="174">
        <v>30</v>
      </c>
      <c r="P144" s="175">
        <v>413897</v>
      </c>
      <c r="Q144" s="174"/>
      <c r="R144" s="175"/>
      <c r="S144" s="174"/>
      <c r="T144" s="176"/>
    </row>
    <row r="145" spans="2:20" ht="36" customHeight="1" x14ac:dyDescent="0.3">
      <c r="B145" s="173" t="s">
        <v>455</v>
      </c>
      <c r="C145" s="174">
        <v>45</v>
      </c>
      <c r="D145" s="175">
        <v>656119</v>
      </c>
      <c r="E145" s="174">
        <v>56</v>
      </c>
      <c r="F145" s="175">
        <v>935755</v>
      </c>
      <c r="G145" s="174">
        <v>62</v>
      </c>
      <c r="H145" s="175">
        <v>1088560</v>
      </c>
      <c r="I145" s="174">
        <v>73</v>
      </c>
      <c r="J145" s="175">
        <v>1592605</v>
      </c>
      <c r="K145" s="174">
        <v>61</v>
      </c>
      <c r="L145" s="175">
        <v>1576519</v>
      </c>
      <c r="M145" s="174">
        <v>0</v>
      </c>
      <c r="N145" s="175">
        <v>109102</v>
      </c>
      <c r="O145" s="174">
        <v>32</v>
      </c>
      <c r="P145" s="175">
        <v>413927</v>
      </c>
      <c r="Q145" s="174"/>
      <c r="R145" s="175"/>
      <c r="S145" s="174"/>
      <c r="T145" s="176"/>
    </row>
    <row r="146" spans="2:20" ht="36" customHeight="1" x14ac:dyDescent="0.3">
      <c r="B146" s="173" t="s">
        <v>456</v>
      </c>
      <c r="C146" s="174">
        <v>56</v>
      </c>
      <c r="D146" s="175">
        <v>656164</v>
      </c>
      <c r="E146" s="174">
        <v>62</v>
      </c>
      <c r="F146" s="175">
        <v>935811</v>
      </c>
      <c r="G146" s="174">
        <v>69</v>
      </c>
      <c r="H146" s="175">
        <v>1088622</v>
      </c>
      <c r="I146" s="174">
        <v>86</v>
      </c>
      <c r="J146" s="175">
        <v>1592678</v>
      </c>
      <c r="K146" s="174">
        <v>83</v>
      </c>
      <c r="L146" s="175">
        <v>1576580</v>
      </c>
      <c r="M146" s="174">
        <v>0</v>
      </c>
      <c r="N146" s="175">
        <v>109102</v>
      </c>
      <c r="O146" s="174">
        <v>33</v>
      </c>
      <c r="P146" s="175">
        <v>413959</v>
      </c>
      <c r="Q146" s="174"/>
      <c r="R146" s="175"/>
      <c r="S146" s="174"/>
      <c r="T146" s="176"/>
    </row>
    <row r="147" spans="2:20" ht="36" customHeight="1" x14ac:dyDescent="0.3">
      <c r="B147" s="173" t="s">
        <v>457</v>
      </c>
      <c r="C147" s="174">
        <v>58</v>
      </c>
      <c r="D147" s="175">
        <v>656220</v>
      </c>
      <c r="E147" s="174">
        <v>66</v>
      </c>
      <c r="F147" s="175">
        <v>935873</v>
      </c>
      <c r="G147" s="174">
        <v>73</v>
      </c>
      <c r="H147" s="175">
        <v>1088691</v>
      </c>
      <c r="I147" s="174">
        <v>107</v>
      </c>
      <c r="J147" s="175">
        <v>1592764</v>
      </c>
      <c r="K147" s="174">
        <v>116</v>
      </c>
      <c r="L147" s="175">
        <v>1576663</v>
      </c>
      <c r="M147" s="174">
        <v>13</v>
      </c>
      <c r="N147" s="175">
        <v>109102</v>
      </c>
      <c r="O147" s="174">
        <v>34</v>
      </c>
      <c r="P147" s="175">
        <v>413992</v>
      </c>
      <c r="Q147" s="174"/>
      <c r="R147" s="175"/>
      <c r="S147" s="174"/>
      <c r="T147" s="176"/>
    </row>
    <row r="148" spans="2:20" ht="36" customHeight="1" x14ac:dyDescent="0.3">
      <c r="B148" s="173" t="s">
        <v>458</v>
      </c>
      <c r="C148" s="174">
        <v>58</v>
      </c>
      <c r="D148" s="175">
        <v>656278</v>
      </c>
      <c r="E148" s="174">
        <v>71</v>
      </c>
      <c r="F148" s="175">
        <v>935939</v>
      </c>
      <c r="G148" s="174">
        <v>77</v>
      </c>
      <c r="H148" s="175">
        <v>1088764</v>
      </c>
      <c r="I148" s="174">
        <v>121</v>
      </c>
      <c r="J148" s="175">
        <v>1592871</v>
      </c>
      <c r="K148" s="174">
        <v>107</v>
      </c>
      <c r="L148" s="175">
        <v>1576779</v>
      </c>
      <c r="M148" s="174">
        <v>0</v>
      </c>
      <c r="N148" s="175">
        <v>109115</v>
      </c>
      <c r="O148" s="174">
        <v>34</v>
      </c>
      <c r="P148" s="175">
        <v>414026</v>
      </c>
      <c r="Q148" s="174"/>
      <c r="R148" s="175"/>
      <c r="S148" s="174"/>
      <c r="T148" s="176"/>
    </row>
    <row r="149" spans="2:20" ht="36" customHeight="1" x14ac:dyDescent="0.3">
      <c r="B149" s="173" t="s">
        <v>459</v>
      </c>
      <c r="C149" s="174">
        <v>61</v>
      </c>
      <c r="D149" s="175">
        <v>656336</v>
      </c>
      <c r="E149" s="174">
        <v>72</v>
      </c>
      <c r="F149" s="175">
        <v>936010</v>
      </c>
      <c r="G149" s="174">
        <v>79</v>
      </c>
      <c r="H149" s="175">
        <v>1088841</v>
      </c>
      <c r="I149" s="174">
        <v>128</v>
      </c>
      <c r="J149" s="175">
        <v>1592992</v>
      </c>
      <c r="K149" s="174">
        <v>100</v>
      </c>
      <c r="L149" s="175">
        <v>1576886</v>
      </c>
      <c r="M149" s="174">
        <v>0</v>
      </c>
      <c r="N149" s="175">
        <v>109115</v>
      </c>
      <c r="O149" s="174">
        <v>33</v>
      </c>
      <c r="P149" s="175">
        <v>414060</v>
      </c>
      <c r="Q149" s="174"/>
      <c r="R149" s="175"/>
      <c r="S149" s="174"/>
      <c r="T149" s="176"/>
    </row>
    <row r="150" spans="2:20" ht="36" customHeight="1" x14ac:dyDescent="0.3">
      <c r="B150" s="173" t="s">
        <v>460</v>
      </c>
      <c r="C150" s="174">
        <v>61</v>
      </c>
      <c r="D150" s="175">
        <v>656397</v>
      </c>
      <c r="E150" s="174">
        <v>72</v>
      </c>
      <c r="F150" s="175">
        <v>936082</v>
      </c>
      <c r="G150" s="174">
        <v>78</v>
      </c>
      <c r="H150" s="175">
        <v>1088920</v>
      </c>
      <c r="I150" s="174">
        <v>121</v>
      </c>
      <c r="J150" s="175">
        <v>1593120</v>
      </c>
      <c r="K150" s="174">
        <v>100</v>
      </c>
      <c r="L150" s="175">
        <v>1576986</v>
      </c>
      <c r="M150" s="174">
        <v>13</v>
      </c>
      <c r="N150" s="175">
        <v>109115</v>
      </c>
      <c r="O150" s="174">
        <v>33</v>
      </c>
      <c r="P150" s="175">
        <v>414093</v>
      </c>
      <c r="Q150" s="174"/>
      <c r="R150" s="175"/>
      <c r="S150" s="174"/>
      <c r="T150" s="176"/>
    </row>
    <row r="151" spans="2:20" ht="36" customHeight="1" x14ac:dyDescent="0.3">
      <c r="B151" s="173" t="s">
        <v>461</v>
      </c>
      <c r="C151" s="174">
        <v>60</v>
      </c>
      <c r="D151" s="175">
        <v>656458</v>
      </c>
      <c r="E151" s="174">
        <v>73</v>
      </c>
      <c r="F151" s="175">
        <v>936154</v>
      </c>
      <c r="G151" s="174">
        <v>78</v>
      </c>
      <c r="H151" s="175">
        <v>1088998</v>
      </c>
      <c r="I151" s="174">
        <v>118</v>
      </c>
      <c r="J151" s="175">
        <v>1593241</v>
      </c>
      <c r="K151" s="174">
        <v>99</v>
      </c>
      <c r="L151" s="175">
        <v>1577086</v>
      </c>
      <c r="M151" s="174">
        <v>17</v>
      </c>
      <c r="N151" s="175">
        <v>109128</v>
      </c>
      <c r="O151" s="174">
        <v>32</v>
      </c>
      <c r="P151" s="175">
        <v>414126</v>
      </c>
      <c r="Q151" s="174"/>
      <c r="R151" s="175"/>
      <c r="S151" s="174"/>
      <c r="T151" s="176"/>
    </row>
    <row r="152" spans="2:20" ht="36" customHeight="1" x14ac:dyDescent="0.3">
      <c r="B152" s="173" t="s">
        <v>462</v>
      </c>
      <c r="C152" s="174">
        <v>57</v>
      </c>
      <c r="D152" s="175">
        <v>656518</v>
      </c>
      <c r="E152" s="174">
        <v>73</v>
      </c>
      <c r="F152" s="175">
        <v>936227</v>
      </c>
      <c r="G152" s="174">
        <v>76</v>
      </c>
      <c r="H152" s="175">
        <v>1089076</v>
      </c>
      <c r="I152" s="174">
        <v>117</v>
      </c>
      <c r="J152" s="175">
        <v>1593359</v>
      </c>
      <c r="K152" s="174">
        <v>122</v>
      </c>
      <c r="L152" s="175">
        <v>1577185</v>
      </c>
      <c r="M152" s="174">
        <v>5</v>
      </c>
      <c r="N152" s="175">
        <v>109145</v>
      </c>
      <c r="O152" s="174">
        <v>33</v>
      </c>
      <c r="P152" s="175">
        <v>414158</v>
      </c>
      <c r="Q152" s="174"/>
      <c r="R152" s="175"/>
      <c r="S152" s="174"/>
      <c r="T152" s="176"/>
    </row>
    <row r="153" spans="2:20" ht="36" customHeight="1" x14ac:dyDescent="0.3">
      <c r="B153" s="173" t="s">
        <v>463</v>
      </c>
      <c r="C153" s="174">
        <v>56</v>
      </c>
      <c r="D153" s="175">
        <v>656575</v>
      </c>
      <c r="E153" s="174">
        <v>71</v>
      </c>
      <c r="F153" s="175">
        <v>936300</v>
      </c>
      <c r="G153" s="174">
        <v>73</v>
      </c>
      <c r="H153" s="175">
        <v>1089152</v>
      </c>
      <c r="I153" s="174">
        <v>113</v>
      </c>
      <c r="J153" s="175">
        <v>1593476</v>
      </c>
      <c r="K153" s="174">
        <v>102</v>
      </c>
      <c r="L153" s="175">
        <v>1577307</v>
      </c>
      <c r="M153" s="174">
        <v>9</v>
      </c>
      <c r="N153" s="175">
        <v>109150</v>
      </c>
      <c r="O153" s="174">
        <v>32</v>
      </c>
      <c r="P153" s="175">
        <v>414191</v>
      </c>
      <c r="Q153" s="174"/>
      <c r="R153" s="175"/>
      <c r="S153" s="174"/>
      <c r="T153" s="176"/>
    </row>
    <row r="154" spans="2:20" ht="36" customHeight="1" x14ac:dyDescent="0.3">
      <c r="B154" s="173" t="s">
        <v>464</v>
      </c>
      <c r="C154" s="174">
        <v>57</v>
      </c>
      <c r="D154" s="175">
        <v>656631</v>
      </c>
      <c r="E154" s="174">
        <v>68</v>
      </c>
      <c r="F154" s="175">
        <v>936371</v>
      </c>
      <c r="G154" s="174">
        <v>74</v>
      </c>
      <c r="H154" s="175">
        <v>1089225</v>
      </c>
      <c r="I154" s="174">
        <v>110</v>
      </c>
      <c r="J154" s="175">
        <v>1593589</v>
      </c>
      <c r="K154" s="174">
        <v>92</v>
      </c>
      <c r="L154" s="175">
        <v>1577409</v>
      </c>
      <c r="M154" s="174">
        <v>0</v>
      </c>
      <c r="N154" s="175">
        <v>109159</v>
      </c>
      <c r="O154" s="174">
        <v>32</v>
      </c>
      <c r="P154" s="175">
        <v>414223</v>
      </c>
      <c r="Q154" s="174"/>
      <c r="R154" s="175"/>
      <c r="S154" s="174"/>
      <c r="T154" s="176"/>
    </row>
    <row r="155" spans="2:20" ht="36" customHeight="1" x14ac:dyDescent="0.3">
      <c r="B155" s="173" t="s">
        <v>465</v>
      </c>
      <c r="C155" s="174">
        <v>59</v>
      </c>
      <c r="D155" s="175">
        <v>656688</v>
      </c>
      <c r="E155" s="174">
        <v>71</v>
      </c>
      <c r="F155" s="175">
        <v>936439</v>
      </c>
      <c r="G155" s="174">
        <v>76</v>
      </c>
      <c r="H155" s="175">
        <v>1089299</v>
      </c>
      <c r="I155" s="174">
        <v>112</v>
      </c>
      <c r="J155" s="175">
        <v>1593699</v>
      </c>
      <c r="K155" s="174">
        <v>96</v>
      </c>
      <c r="L155" s="175">
        <v>1577501</v>
      </c>
      <c r="M155" s="174">
        <v>14</v>
      </c>
      <c r="N155" s="175">
        <v>109159</v>
      </c>
      <c r="O155" s="174">
        <v>32</v>
      </c>
      <c r="P155" s="175">
        <v>414255</v>
      </c>
      <c r="Q155" s="174"/>
      <c r="R155" s="175"/>
      <c r="S155" s="174"/>
      <c r="T155" s="176"/>
    </row>
    <row r="156" spans="2:20" ht="36" customHeight="1" x14ac:dyDescent="0.3">
      <c r="B156" s="173" t="s">
        <v>466</v>
      </c>
      <c r="C156" s="174">
        <v>61</v>
      </c>
      <c r="D156" s="175">
        <v>656747</v>
      </c>
      <c r="E156" s="174">
        <v>75</v>
      </c>
      <c r="F156" s="175">
        <v>936510</v>
      </c>
      <c r="G156" s="174">
        <v>77</v>
      </c>
      <c r="H156" s="175">
        <v>1089375</v>
      </c>
      <c r="I156" s="174">
        <v>116</v>
      </c>
      <c r="J156" s="175">
        <v>1593811</v>
      </c>
      <c r="K156" s="174">
        <v>104</v>
      </c>
      <c r="L156" s="175">
        <v>1577597</v>
      </c>
      <c r="M156" s="174">
        <v>0</v>
      </c>
      <c r="N156" s="175">
        <v>109173</v>
      </c>
      <c r="O156" s="174">
        <v>32</v>
      </c>
      <c r="P156" s="175">
        <v>414287</v>
      </c>
      <c r="Q156" s="174"/>
      <c r="R156" s="175"/>
      <c r="S156" s="174"/>
      <c r="T156" s="176"/>
    </row>
    <row r="157" spans="2:20" ht="36" customHeight="1" x14ac:dyDescent="0.3">
      <c r="B157" s="173" t="s">
        <v>467</v>
      </c>
      <c r="C157" s="174">
        <v>62</v>
      </c>
      <c r="D157" s="175">
        <v>656808</v>
      </c>
      <c r="E157" s="174">
        <v>78</v>
      </c>
      <c r="F157" s="175">
        <v>936585</v>
      </c>
      <c r="G157" s="174">
        <v>78</v>
      </c>
      <c r="H157" s="175">
        <v>1089452</v>
      </c>
      <c r="I157" s="174">
        <v>120</v>
      </c>
      <c r="J157" s="175">
        <v>1593927</v>
      </c>
      <c r="K157" s="174">
        <v>125</v>
      </c>
      <c r="L157" s="175">
        <v>1577701</v>
      </c>
      <c r="M157" s="174">
        <v>2</v>
      </c>
      <c r="N157" s="175">
        <v>109173</v>
      </c>
      <c r="O157" s="174">
        <v>32</v>
      </c>
      <c r="P157" s="175">
        <v>414319</v>
      </c>
      <c r="Q157" s="174"/>
      <c r="R157" s="175"/>
      <c r="S157" s="174"/>
      <c r="T157" s="176"/>
    </row>
    <row r="158" spans="2:20" ht="36" customHeight="1" x14ac:dyDescent="0.3">
      <c r="B158" s="173" t="s">
        <v>468</v>
      </c>
      <c r="C158" s="174">
        <v>62</v>
      </c>
      <c r="D158" s="175">
        <v>656870</v>
      </c>
      <c r="E158" s="174">
        <v>83</v>
      </c>
      <c r="F158" s="175">
        <v>936663</v>
      </c>
      <c r="G158" s="174">
        <v>81</v>
      </c>
      <c r="H158" s="175">
        <v>1089530</v>
      </c>
      <c r="I158" s="174">
        <v>122</v>
      </c>
      <c r="J158" s="175">
        <v>1594047</v>
      </c>
      <c r="K158" s="174">
        <v>137</v>
      </c>
      <c r="L158" s="175">
        <v>1577826</v>
      </c>
      <c r="M158" s="174">
        <v>11</v>
      </c>
      <c r="N158" s="175">
        <v>109175</v>
      </c>
      <c r="O158" s="174">
        <v>31</v>
      </c>
      <c r="P158" s="175">
        <v>414351</v>
      </c>
      <c r="Q158" s="174"/>
      <c r="R158" s="175"/>
      <c r="S158" s="174"/>
      <c r="T158" s="176"/>
    </row>
    <row r="159" spans="2:20" ht="36" customHeight="1" x14ac:dyDescent="0.3">
      <c r="B159" s="173" t="s">
        <v>469</v>
      </c>
      <c r="C159" s="174">
        <v>63</v>
      </c>
      <c r="D159" s="175">
        <v>656932</v>
      </c>
      <c r="E159" s="174">
        <v>79</v>
      </c>
      <c r="F159" s="175">
        <v>936746</v>
      </c>
      <c r="G159" s="174">
        <v>72</v>
      </c>
      <c r="H159" s="175">
        <v>1089611</v>
      </c>
      <c r="I159" s="174">
        <v>123</v>
      </c>
      <c r="J159" s="175">
        <v>1594169</v>
      </c>
      <c r="K159" s="174">
        <v>105</v>
      </c>
      <c r="L159" s="175">
        <v>1577963</v>
      </c>
      <c r="M159" s="174">
        <v>0</v>
      </c>
      <c r="N159" s="175">
        <v>109186</v>
      </c>
      <c r="O159" s="174">
        <v>31</v>
      </c>
      <c r="P159" s="175">
        <v>414382</v>
      </c>
      <c r="Q159" s="174"/>
      <c r="R159" s="175"/>
      <c r="S159" s="174"/>
      <c r="T159" s="176"/>
    </row>
    <row r="160" spans="2:20" ht="36" customHeight="1" x14ac:dyDescent="0.3">
      <c r="B160" s="173" t="s">
        <v>470</v>
      </c>
      <c r="C160" s="174">
        <v>62</v>
      </c>
      <c r="D160" s="175">
        <v>656995</v>
      </c>
      <c r="E160" s="174">
        <v>74</v>
      </c>
      <c r="F160" s="175">
        <v>936825</v>
      </c>
      <c r="G160" s="174">
        <v>73</v>
      </c>
      <c r="H160" s="175">
        <v>1089683</v>
      </c>
      <c r="I160" s="174">
        <v>117</v>
      </c>
      <c r="J160" s="175">
        <v>1594292</v>
      </c>
      <c r="K160" s="174">
        <v>84</v>
      </c>
      <c r="L160" s="175">
        <v>1578068</v>
      </c>
      <c r="M160" s="174">
        <v>8</v>
      </c>
      <c r="N160" s="175">
        <v>109186</v>
      </c>
      <c r="O160" s="174">
        <v>31</v>
      </c>
      <c r="P160" s="175">
        <v>414413</v>
      </c>
      <c r="Q160" s="174"/>
      <c r="R160" s="175"/>
      <c r="S160" s="174"/>
      <c r="T160" s="176"/>
    </row>
    <row r="161" spans="1:21" ht="36" customHeight="1" thickBot="1" x14ac:dyDescent="0.35">
      <c r="B161" s="177" t="s">
        <v>471</v>
      </c>
      <c r="C161" s="178">
        <v>58</v>
      </c>
      <c r="D161" s="179">
        <v>657057</v>
      </c>
      <c r="E161" s="178">
        <v>69</v>
      </c>
      <c r="F161" s="179">
        <v>936899</v>
      </c>
      <c r="G161" s="178">
        <v>66</v>
      </c>
      <c r="H161" s="179">
        <v>1089756</v>
      </c>
      <c r="I161" s="178">
        <v>103</v>
      </c>
      <c r="J161" s="179">
        <v>1594409</v>
      </c>
      <c r="K161" s="178">
        <v>74</v>
      </c>
      <c r="L161" s="179">
        <v>1578152</v>
      </c>
      <c r="M161" s="178">
        <v>5</v>
      </c>
      <c r="N161" s="179">
        <v>109194</v>
      </c>
      <c r="O161" s="178">
        <v>30</v>
      </c>
      <c r="P161" s="179">
        <v>414444</v>
      </c>
      <c r="Q161" s="178"/>
      <c r="R161" s="179"/>
      <c r="S161" s="178"/>
      <c r="T161" s="180"/>
    </row>
    <row r="162" spans="1:21" ht="36" customHeight="1" thickTop="1" x14ac:dyDescent="0.3">
      <c r="B162" s="181" t="s">
        <v>472</v>
      </c>
      <c r="C162" s="182">
        <f t="shared" ref="C162:T162" si="8">MIN(C138:C161)</f>
        <v>37</v>
      </c>
      <c r="D162" s="182">
        <f t="shared" si="8"/>
        <v>655808</v>
      </c>
      <c r="E162" s="182">
        <f t="shared" si="8"/>
        <v>39</v>
      </c>
      <c r="F162" s="182">
        <f t="shared" si="8"/>
        <v>935442</v>
      </c>
      <c r="G162" s="182">
        <f t="shared" si="8"/>
        <v>57</v>
      </c>
      <c r="H162" s="182">
        <f t="shared" si="8"/>
        <v>1088146</v>
      </c>
      <c r="I162" s="182">
        <f t="shared" si="8"/>
        <v>63</v>
      </c>
      <c r="J162" s="182">
        <f t="shared" si="8"/>
        <v>1592119</v>
      </c>
      <c r="K162" s="182">
        <f t="shared" si="8"/>
        <v>37</v>
      </c>
      <c r="L162" s="182">
        <f t="shared" si="8"/>
        <v>1576196</v>
      </c>
      <c r="M162" s="182">
        <f t="shared" si="8"/>
        <v>0</v>
      </c>
      <c r="N162" s="182">
        <f t="shared" si="8"/>
        <v>109077</v>
      </c>
      <c r="O162" s="182">
        <f t="shared" si="8"/>
        <v>29</v>
      </c>
      <c r="P162" s="182">
        <f t="shared" si="8"/>
        <v>413718</v>
      </c>
      <c r="Q162" s="182">
        <f t="shared" si="8"/>
        <v>0</v>
      </c>
      <c r="R162" s="182">
        <f t="shared" si="8"/>
        <v>0</v>
      </c>
      <c r="S162" s="182">
        <f t="shared" si="8"/>
        <v>0</v>
      </c>
      <c r="T162" s="183">
        <f t="shared" si="8"/>
        <v>0</v>
      </c>
    </row>
    <row r="163" spans="1:21" ht="36" customHeight="1" x14ac:dyDescent="0.3">
      <c r="B163" s="173" t="s">
        <v>473</v>
      </c>
      <c r="C163" s="182">
        <f t="shared" ref="C163:T163" si="9">MAX(C138:C161)</f>
        <v>63</v>
      </c>
      <c r="D163" s="182">
        <f t="shared" si="9"/>
        <v>657057</v>
      </c>
      <c r="E163" s="182">
        <f t="shared" si="9"/>
        <v>83</v>
      </c>
      <c r="F163" s="182">
        <f t="shared" si="9"/>
        <v>936899</v>
      </c>
      <c r="G163" s="182">
        <f t="shared" si="9"/>
        <v>81</v>
      </c>
      <c r="H163" s="182">
        <f t="shared" si="9"/>
        <v>1089756</v>
      </c>
      <c r="I163" s="182">
        <f t="shared" si="9"/>
        <v>128</v>
      </c>
      <c r="J163" s="182">
        <f t="shared" si="9"/>
        <v>1594409</v>
      </c>
      <c r="K163" s="182">
        <f t="shared" si="9"/>
        <v>137</v>
      </c>
      <c r="L163" s="182">
        <f t="shared" si="9"/>
        <v>1578152</v>
      </c>
      <c r="M163" s="182">
        <f t="shared" si="9"/>
        <v>17</v>
      </c>
      <c r="N163" s="182">
        <f t="shared" si="9"/>
        <v>109194</v>
      </c>
      <c r="O163" s="182">
        <f t="shared" si="9"/>
        <v>34</v>
      </c>
      <c r="P163" s="182">
        <f t="shared" si="9"/>
        <v>414444</v>
      </c>
      <c r="Q163" s="182">
        <f t="shared" si="9"/>
        <v>0</v>
      </c>
      <c r="R163" s="182">
        <f t="shared" si="9"/>
        <v>0</v>
      </c>
      <c r="S163" s="182">
        <f t="shared" si="9"/>
        <v>0</v>
      </c>
      <c r="T163" s="183">
        <f t="shared" si="9"/>
        <v>0</v>
      </c>
    </row>
    <row r="164" spans="1:21" ht="36" customHeight="1" x14ac:dyDescent="0.3">
      <c r="B164" s="173" t="s">
        <v>474</v>
      </c>
      <c r="C164" s="182">
        <f>AVERAGE(C138:C161)</f>
        <v>54.458333333333336</v>
      </c>
      <c r="D164" s="184"/>
      <c r="E164" s="182">
        <f>AVERAGE(E138:E161)</f>
        <v>63.583333333333336</v>
      </c>
      <c r="F164" s="184"/>
      <c r="G164" s="182">
        <f>AVERAGE(G138:G161)</f>
        <v>69.833333333333329</v>
      </c>
      <c r="H164" s="184"/>
      <c r="I164" s="182">
        <f>AVERAGE(I138:I161)</f>
        <v>99.708333333333329</v>
      </c>
      <c r="J164" s="184"/>
      <c r="K164" s="182">
        <f>AVERAGE(K138:K161)</f>
        <v>84.583333333333329</v>
      </c>
      <c r="L164" s="184"/>
      <c r="M164" s="182">
        <f>AVERAGE(M138:M161)</f>
        <v>5.083333333333333</v>
      </c>
      <c r="N164" s="184"/>
      <c r="O164" s="182">
        <f>AVERAGE(O138:O161)</f>
        <v>31.5</v>
      </c>
      <c r="P164" s="184"/>
      <c r="Q164" s="182" t="e">
        <f>AVERAGE(Q138:Q161)</f>
        <v>#DIV/0!</v>
      </c>
      <c r="R164" s="184"/>
      <c r="S164" s="182" t="e">
        <f>AVERAGE(S138:S161)</f>
        <v>#DIV/0!</v>
      </c>
      <c r="T164" s="185"/>
    </row>
    <row r="165" spans="1:21" ht="36" customHeight="1" thickBot="1" x14ac:dyDescent="0.35">
      <c r="B165" s="186" t="s">
        <v>475</v>
      </c>
      <c r="C165" s="187">
        <f>SUM(C138:C161)</f>
        <v>1307</v>
      </c>
      <c r="D165" s="188"/>
      <c r="E165" s="187">
        <f>SUM(E138:E161)</f>
        <v>1526</v>
      </c>
      <c r="F165" s="188"/>
      <c r="G165" s="187">
        <f>SUM(G138:G161)</f>
        <v>1676</v>
      </c>
      <c r="H165" s="188"/>
      <c r="I165" s="187">
        <f>SUM(I138:I161)</f>
        <v>2393</v>
      </c>
      <c r="J165" s="188"/>
      <c r="K165" s="187">
        <f>SUM(K138:K161)</f>
        <v>2030</v>
      </c>
      <c r="L165" s="188"/>
      <c r="M165" s="187">
        <f>SUM(M138:M161)</f>
        <v>122</v>
      </c>
      <c r="N165" s="188"/>
      <c r="O165" s="187">
        <f>SUM(O138:O161)</f>
        <v>756</v>
      </c>
      <c r="P165" s="188"/>
      <c r="Q165" s="187">
        <f>SUM(Q138:Q161)</f>
        <v>0</v>
      </c>
      <c r="R165" s="188"/>
      <c r="S165" s="187">
        <f>SUM(S138:S161)</f>
        <v>0</v>
      </c>
      <c r="T165" s="189"/>
    </row>
    <row r="166" spans="1:21" ht="9.9499999999999993" customHeight="1" thickBot="1" x14ac:dyDescent="0.35"/>
    <row r="167" spans="1:21" ht="51.95" customHeight="1" thickBot="1" x14ac:dyDescent="0.35">
      <c r="A167" s="162"/>
      <c r="B167" s="457" t="s">
        <v>584</v>
      </c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9"/>
      <c r="U167" s="162"/>
    </row>
    <row r="168" spans="1:21" ht="36" customHeight="1" thickTop="1" x14ac:dyDescent="0.3">
      <c r="A168" s="164"/>
      <c r="B168" s="191" t="s">
        <v>433</v>
      </c>
      <c r="C168" s="453" t="str">
        <f>C69</f>
        <v>2025년12월28일  일요일</v>
      </c>
      <c r="D168" s="453"/>
      <c r="E168" s="453"/>
      <c r="F168" s="453"/>
      <c r="G168" s="453"/>
      <c r="H168" s="453"/>
      <c r="I168" s="453"/>
      <c r="J168" s="453"/>
      <c r="K168" s="453"/>
      <c r="L168" s="453"/>
      <c r="M168" s="453"/>
      <c r="N168" s="453"/>
      <c r="O168" s="453"/>
      <c r="P168" s="453"/>
      <c r="Q168" s="453"/>
      <c r="R168" s="453"/>
      <c r="S168" s="453"/>
      <c r="T168" s="454"/>
      <c r="U168" s="164"/>
    </row>
    <row r="169" spans="1:21" ht="27.95" customHeight="1" x14ac:dyDescent="0.3">
      <c r="A169" s="165"/>
      <c r="B169" s="451" t="s">
        <v>434</v>
      </c>
      <c r="C169" s="448" t="s">
        <v>619</v>
      </c>
      <c r="D169" s="449"/>
      <c r="E169" s="448" t="s">
        <v>620</v>
      </c>
      <c r="F169" s="449"/>
      <c r="G169" s="448" t="s">
        <v>639</v>
      </c>
      <c r="H169" s="449"/>
      <c r="I169" s="448" t="s">
        <v>621</v>
      </c>
      <c r="J169" s="449"/>
      <c r="K169" s="448" t="s">
        <v>622</v>
      </c>
      <c r="L169" s="449"/>
      <c r="M169" s="448" t="s">
        <v>623</v>
      </c>
      <c r="N169" s="449"/>
      <c r="O169" s="448" t="s">
        <v>686</v>
      </c>
      <c r="P169" s="449"/>
      <c r="Q169" s="448" t="s">
        <v>687</v>
      </c>
      <c r="R169" s="449"/>
      <c r="S169" s="448" t="s">
        <v>671</v>
      </c>
      <c r="T169" s="450"/>
      <c r="U169" s="165"/>
    </row>
    <row r="170" spans="1:21" ht="27.95" customHeight="1" x14ac:dyDescent="0.3">
      <c r="B170" s="452"/>
      <c r="C170" s="166" t="s">
        <v>444</v>
      </c>
      <c r="D170" s="167" t="s">
        <v>445</v>
      </c>
      <c r="E170" s="166" t="s">
        <v>444</v>
      </c>
      <c r="F170" s="167" t="s">
        <v>445</v>
      </c>
      <c r="G170" s="166" t="s">
        <v>444</v>
      </c>
      <c r="H170" s="167" t="s">
        <v>445</v>
      </c>
      <c r="I170" s="166" t="s">
        <v>444</v>
      </c>
      <c r="J170" s="167" t="s">
        <v>445</v>
      </c>
      <c r="K170" s="166" t="s">
        <v>444</v>
      </c>
      <c r="L170" s="167" t="s">
        <v>445</v>
      </c>
      <c r="M170" s="166" t="s">
        <v>444</v>
      </c>
      <c r="N170" s="167" t="s">
        <v>445</v>
      </c>
      <c r="O170" s="166" t="s">
        <v>444</v>
      </c>
      <c r="P170" s="167" t="s">
        <v>445</v>
      </c>
      <c r="Q170" s="166" t="s">
        <v>444</v>
      </c>
      <c r="R170" s="167" t="s">
        <v>445</v>
      </c>
      <c r="S170" s="166" t="s">
        <v>446</v>
      </c>
      <c r="T170" s="168" t="s">
        <v>447</v>
      </c>
    </row>
    <row r="171" spans="1:21" ht="36" customHeight="1" x14ac:dyDescent="0.3">
      <c r="B171" s="169" t="s">
        <v>448</v>
      </c>
      <c r="C171" s="170">
        <v>208</v>
      </c>
      <c r="D171" s="171">
        <v>3022348</v>
      </c>
      <c r="E171" s="170">
        <v>8</v>
      </c>
      <c r="F171" s="171">
        <v>126344</v>
      </c>
      <c r="G171" s="170">
        <v>13</v>
      </c>
      <c r="H171" s="171">
        <v>195289</v>
      </c>
      <c r="I171" s="170">
        <v>14</v>
      </c>
      <c r="J171" s="171">
        <v>158424</v>
      </c>
      <c r="K171" s="170">
        <v>14</v>
      </c>
      <c r="L171" s="171">
        <v>303350</v>
      </c>
      <c r="M171" s="170">
        <v>71</v>
      </c>
      <c r="N171" s="171">
        <v>2230547</v>
      </c>
      <c r="O171" s="170">
        <v>76</v>
      </c>
      <c r="P171" s="171">
        <v>1121095</v>
      </c>
      <c r="Q171" s="170">
        <v>44</v>
      </c>
      <c r="R171" s="171">
        <v>422608</v>
      </c>
      <c r="S171" s="170">
        <v>0</v>
      </c>
      <c r="T171" s="172">
        <v>76371</v>
      </c>
    </row>
    <row r="172" spans="1:21" ht="36" customHeight="1" x14ac:dyDescent="0.3">
      <c r="B172" s="173" t="s">
        <v>449</v>
      </c>
      <c r="C172" s="174">
        <v>305</v>
      </c>
      <c r="D172" s="175">
        <v>3022556</v>
      </c>
      <c r="E172" s="174">
        <v>8</v>
      </c>
      <c r="F172" s="175">
        <v>126352</v>
      </c>
      <c r="G172" s="174">
        <v>13</v>
      </c>
      <c r="H172" s="175">
        <v>195302</v>
      </c>
      <c r="I172" s="174">
        <v>14</v>
      </c>
      <c r="J172" s="175">
        <v>158438</v>
      </c>
      <c r="K172" s="174">
        <v>10</v>
      </c>
      <c r="L172" s="175">
        <v>303364</v>
      </c>
      <c r="M172" s="174">
        <v>71</v>
      </c>
      <c r="N172" s="175">
        <v>2230618</v>
      </c>
      <c r="O172" s="174">
        <v>75</v>
      </c>
      <c r="P172" s="175">
        <v>1121171</v>
      </c>
      <c r="Q172" s="174">
        <v>45</v>
      </c>
      <c r="R172" s="175">
        <v>422652</v>
      </c>
      <c r="S172" s="174">
        <v>0</v>
      </c>
      <c r="T172" s="176">
        <v>76371</v>
      </c>
    </row>
    <row r="173" spans="1:21" ht="36" customHeight="1" x14ac:dyDescent="0.3">
      <c r="B173" s="173" t="s">
        <v>450</v>
      </c>
      <c r="C173" s="174">
        <v>307</v>
      </c>
      <c r="D173" s="175">
        <v>3022861</v>
      </c>
      <c r="E173" s="174">
        <v>9</v>
      </c>
      <c r="F173" s="175">
        <v>126360</v>
      </c>
      <c r="G173" s="174">
        <v>12</v>
      </c>
      <c r="H173" s="175">
        <v>195315</v>
      </c>
      <c r="I173" s="174">
        <v>14</v>
      </c>
      <c r="J173" s="175">
        <v>158452</v>
      </c>
      <c r="K173" s="174">
        <v>7</v>
      </c>
      <c r="L173" s="175">
        <v>303374</v>
      </c>
      <c r="M173" s="174">
        <v>70</v>
      </c>
      <c r="N173" s="175">
        <v>2230689</v>
      </c>
      <c r="O173" s="174">
        <v>74</v>
      </c>
      <c r="P173" s="175">
        <v>1121246</v>
      </c>
      <c r="Q173" s="174">
        <v>45</v>
      </c>
      <c r="R173" s="175">
        <v>422697</v>
      </c>
      <c r="S173" s="174">
        <v>0</v>
      </c>
      <c r="T173" s="176">
        <v>76371</v>
      </c>
    </row>
    <row r="174" spans="1:21" ht="36" customHeight="1" x14ac:dyDescent="0.3">
      <c r="B174" s="173" t="s">
        <v>451</v>
      </c>
      <c r="C174" s="174">
        <v>207</v>
      </c>
      <c r="D174" s="175">
        <v>3023168</v>
      </c>
      <c r="E174" s="174">
        <v>7</v>
      </c>
      <c r="F174" s="175">
        <v>126369</v>
      </c>
      <c r="G174" s="174">
        <v>12</v>
      </c>
      <c r="H174" s="175">
        <v>195327</v>
      </c>
      <c r="I174" s="174">
        <v>13</v>
      </c>
      <c r="J174" s="175">
        <v>158466</v>
      </c>
      <c r="K174" s="174">
        <v>6</v>
      </c>
      <c r="L174" s="175">
        <v>303381</v>
      </c>
      <c r="M174" s="174">
        <v>70</v>
      </c>
      <c r="N174" s="175">
        <v>2230759</v>
      </c>
      <c r="O174" s="174">
        <v>73</v>
      </c>
      <c r="P174" s="175">
        <v>1121320</v>
      </c>
      <c r="Q174" s="174">
        <v>45</v>
      </c>
      <c r="R174" s="175">
        <v>422741</v>
      </c>
      <c r="S174" s="174">
        <v>0</v>
      </c>
      <c r="T174" s="176">
        <v>76371</v>
      </c>
    </row>
    <row r="175" spans="1:21" ht="36" customHeight="1" x14ac:dyDescent="0.3">
      <c r="B175" s="173" t="s">
        <v>452</v>
      </c>
      <c r="C175" s="174">
        <v>183</v>
      </c>
      <c r="D175" s="175">
        <v>3023375</v>
      </c>
      <c r="E175" s="174">
        <v>8</v>
      </c>
      <c r="F175" s="175">
        <v>126376</v>
      </c>
      <c r="G175" s="174">
        <v>11</v>
      </c>
      <c r="H175" s="175">
        <v>195339</v>
      </c>
      <c r="I175" s="174">
        <v>14</v>
      </c>
      <c r="J175" s="175">
        <v>158479</v>
      </c>
      <c r="K175" s="174">
        <v>6</v>
      </c>
      <c r="L175" s="175">
        <v>303387</v>
      </c>
      <c r="M175" s="174">
        <v>70</v>
      </c>
      <c r="N175" s="175">
        <v>2230829</v>
      </c>
      <c r="O175" s="174">
        <v>74</v>
      </c>
      <c r="P175" s="175">
        <v>1121393</v>
      </c>
      <c r="Q175" s="174">
        <v>45</v>
      </c>
      <c r="R175" s="175">
        <v>422786</v>
      </c>
      <c r="S175" s="174">
        <v>0</v>
      </c>
      <c r="T175" s="176">
        <v>76371</v>
      </c>
    </row>
    <row r="176" spans="1:21" ht="36" customHeight="1" x14ac:dyDescent="0.3">
      <c r="B176" s="173" t="s">
        <v>453</v>
      </c>
      <c r="C176" s="174">
        <v>184</v>
      </c>
      <c r="D176" s="175">
        <v>3023558</v>
      </c>
      <c r="E176" s="174">
        <v>9</v>
      </c>
      <c r="F176" s="175">
        <v>126384</v>
      </c>
      <c r="G176" s="174">
        <v>12</v>
      </c>
      <c r="H176" s="175">
        <v>195350</v>
      </c>
      <c r="I176" s="174">
        <v>14</v>
      </c>
      <c r="J176" s="175">
        <v>158493</v>
      </c>
      <c r="K176" s="174">
        <v>6</v>
      </c>
      <c r="L176" s="175">
        <v>303393</v>
      </c>
      <c r="M176" s="174">
        <v>70</v>
      </c>
      <c r="N176" s="175">
        <v>2230899</v>
      </c>
      <c r="O176" s="174">
        <v>73</v>
      </c>
      <c r="P176" s="175">
        <v>1121467</v>
      </c>
      <c r="Q176" s="174">
        <v>44</v>
      </c>
      <c r="R176" s="175">
        <v>422831</v>
      </c>
      <c r="S176" s="174">
        <v>0</v>
      </c>
      <c r="T176" s="176">
        <v>76371</v>
      </c>
    </row>
    <row r="177" spans="2:20" ht="36" customHeight="1" x14ac:dyDescent="0.3">
      <c r="B177" s="173" t="s">
        <v>454</v>
      </c>
      <c r="C177" s="174">
        <v>187</v>
      </c>
      <c r="D177" s="175">
        <v>3023742</v>
      </c>
      <c r="E177" s="174">
        <v>9</v>
      </c>
      <c r="F177" s="175">
        <v>126393</v>
      </c>
      <c r="G177" s="174">
        <v>12</v>
      </c>
      <c r="H177" s="175">
        <v>195362</v>
      </c>
      <c r="I177" s="174">
        <v>14</v>
      </c>
      <c r="J177" s="175">
        <v>158507</v>
      </c>
      <c r="K177" s="174">
        <v>6</v>
      </c>
      <c r="L177" s="175">
        <v>303399</v>
      </c>
      <c r="M177" s="174">
        <v>70</v>
      </c>
      <c r="N177" s="175">
        <v>2230969</v>
      </c>
      <c r="O177" s="174">
        <v>73</v>
      </c>
      <c r="P177" s="175">
        <v>1121540</v>
      </c>
      <c r="Q177" s="174"/>
      <c r="R177" s="175">
        <v>422875</v>
      </c>
      <c r="S177" s="174">
        <v>0</v>
      </c>
      <c r="T177" s="176">
        <v>76371</v>
      </c>
    </row>
    <row r="178" spans="2:20" ht="36" customHeight="1" x14ac:dyDescent="0.3">
      <c r="B178" s="173" t="s">
        <v>455</v>
      </c>
      <c r="C178" s="174">
        <v>195</v>
      </c>
      <c r="D178" s="175">
        <v>3023929</v>
      </c>
      <c r="E178" s="174">
        <v>11</v>
      </c>
      <c r="F178" s="175">
        <v>126402</v>
      </c>
      <c r="G178" s="174">
        <v>13</v>
      </c>
      <c r="H178" s="175">
        <v>195374</v>
      </c>
      <c r="I178" s="174">
        <v>15</v>
      </c>
      <c r="J178" s="175">
        <v>158521</v>
      </c>
      <c r="K178" s="174">
        <v>7</v>
      </c>
      <c r="L178" s="175">
        <v>303405</v>
      </c>
      <c r="M178" s="174">
        <v>71</v>
      </c>
      <c r="N178" s="175">
        <v>2231039</v>
      </c>
      <c r="O178" s="174">
        <v>74</v>
      </c>
      <c r="P178" s="175">
        <v>1121613</v>
      </c>
      <c r="Q178" s="174"/>
      <c r="R178" s="175">
        <v>422920</v>
      </c>
      <c r="S178" s="174">
        <v>0</v>
      </c>
      <c r="T178" s="176">
        <v>76371</v>
      </c>
    </row>
    <row r="179" spans="2:20" ht="36" customHeight="1" x14ac:dyDescent="0.3">
      <c r="B179" s="173" t="s">
        <v>456</v>
      </c>
      <c r="C179" s="174">
        <v>212</v>
      </c>
      <c r="D179" s="175">
        <v>3024124</v>
      </c>
      <c r="E179" s="174">
        <v>10</v>
      </c>
      <c r="F179" s="175">
        <v>126413</v>
      </c>
      <c r="G179" s="174">
        <v>12</v>
      </c>
      <c r="H179" s="175">
        <v>195387</v>
      </c>
      <c r="I179" s="174">
        <v>15</v>
      </c>
      <c r="J179" s="175">
        <v>158536</v>
      </c>
      <c r="K179" s="174">
        <v>9</v>
      </c>
      <c r="L179" s="175">
        <v>303412</v>
      </c>
      <c r="M179" s="174">
        <v>72</v>
      </c>
      <c r="N179" s="175">
        <v>2231110</v>
      </c>
      <c r="O179" s="174">
        <v>46</v>
      </c>
      <c r="P179" s="175">
        <v>1121687</v>
      </c>
      <c r="Q179" s="174"/>
      <c r="R179" s="175">
        <v>422964</v>
      </c>
      <c r="S179" s="174">
        <v>0</v>
      </c>
      <c r="T179" s="176">
        <v>76371</v>
      </c>
    </row>
    <row r="180" spans="2:20" ht="36" customHeight="1" x14ac:dyDescent="0.3">
      <c r="B180" s="173" t="s">
        <v>457</v>
      </c>
      <c r="C180" s="174">
        <v>231</v>
      </c>
      <c r="D180" s="175">
        <v>3024336</v>
      </c>
      <c r="E180" s="174">
        <v>10</v>
      </c>
      <c r="F180" s="175">
        <v>126423</v>
      </c>
      <c r="G180" s="174">
        <v>13</v>
      </c>
      <c r="H180" s="175">
        <v>195399</v>
      </c>
      <c r="I180" s="174">
        <v>16</v>
      </c>
      <c r="J180" s="175">
        <v>158551</v>
      </c>
      <c r="K180" s="174">
        <v>11</v>
      </c>
      <c r="L180" s="175">
        <v>303421</v>
      </c>
      <c r="M180" s="174">
        <v>72</v>
      </c>
      <c r="N180" s="175">
        <v>2231182</v>
      </c>
      <c r="O180" s="174">
        <v>105</v>
      </c>
      <c r="P180" s="175">
        <v>1121733</v>
      </c>
      <c r="Q180" s="174"/>
      <c r="R180" s="175">
        <v>423009</v>
      </c>
      <c r="S180" s="174">
        <v>0</v>
      </c>
      <c r="T180" s="176">
        <v>76371</v>
      </c>
    </row>
    <row r="181" spans="2:20" ht="36" customHeight="1" x14ac:dyDescent="0.3">
      <c r="B181" s="173" t="s">
        <v>458</v>
      </c>
      <c r="C181" s="174">
        <v>242</v>
      </c>
      <c r="D181" s="175">
        <v>3024567</v>
      </c>
      <c r="E181" s="174">
        <v>12</v>
      </c>
      <c r="F181" s="175">
        <v>126433</v>
      </c>
      <c r="G181" s="174">
        <v>15</v>
      </c>
      <c r="H181" s="175">
        <v>195412</v>
      </c>
      <c r="I181" s="174">
        <v>15</v>
      </c>
      <c r="J181" s="175">
        <v>158567</v>
      </c>
      <c r="K181" s="174">
        <v>11</v>
      </c>
      <c r="L181" s="175">
        <v>303432</v>
      </c>
      <c r="M181" s="174">
        <v>73</v>
      </c>
      <c r="N181" s="175">
        <v>2231254</v>
      </c>
      <c r="O181" s="174">
        <v>79</v>
      </c>
      <c r="P181" s="175">
        <v>1121838</v>
      </c>
      <c r="Q181" s="174"/>
      <c r="R181" s="175">
        <v>423054</v>
      </c>
      <c r="S181" s="174">
        <v>0</v>
      </c>
      <c r="T181" s="176">
        <v>76371</v>
      </c>
    </row>
    <row r="182" spans="2:20" ht="36" customHeight="1" x14ac:dyDescent="0.3">
      <c r="B182" s="173" t="s">
        <v>459</v>
      </c>
      <c r="C182" s="174">
        <v>242</v>
      </c>
      <c r="D182" s="175">
        <v>3024809</v>
      </c>
      <c r="E182" s="174">
        <v>11</v>
      </c>
      <c r="F182" s="175">
        <v>126445</v>
      </c>
      <c r="G182" s="174">
        <v>16</v>
      </c>
      <c r="H182" s="175">
        <v>195427</v>
      </c>
      <c r="I182" s="174">
        <v>15</v>
      </c>
      <c r="J182" s="175">
        <v>158582</v>
      </c>
      <c r="K182" s="174">
        <v>11</v>
      </c>
      <c r="L182" s="175">
        <v>303443</v>
      </c>
      <c r="M182" s="174">
        <v>72</v>
      </c>
      <c r="N182" s="175">
        <v>2231327</v>
      </c>
      <c r="O182" s="174">
        <v>78</v>
      </c>
      <c r="P182" s="175">
        <v>1121917</v>
      </c>
      <c r="Q182" s="174"/>
      <c r="R182" s="175">
        <v>423098</v>
      </c>
      <c r="S182" s="174">
        <v>0</v>
      </c>
      <c r="T182" s="176">
        <v>76371</v>
      </c>
    </row>
    <row r="183" spans="2:20" ht="36" customHeight="1" x14ac:dyDescent="0.3">
      <c r="B183" s="173" t="s">
        <v>460</v>
      </c>
      <c r="C183" s="174">
        <v>245</v>
      </c>
      <c r="D183" s="175">
        <v>3025051</v>
      </c>
      <c r="E183" s="174">
        <v>12</v>
      </c>
      <c r="F183" s="175">
        <v>126456</v>
      </c>
      <c r="G183" s="174">
        <v>14</v>
      </c>
      <c r="H183" s="175">
        <v>195443</v>
      </c>
      <c r="I183" s="174">
        <v>15</v>
      </c>
      <c r="J183" s="175">
        <v>158597</v>
      </c>
      <c r="K183" s="174">
        <v>12</v>
      </c>
      <c r="L183" s="175">
        <v>303454</v>
      </c>
      <c r="M183" s="174">
        <v>72</v>
      </c>
      <c r="N183" s="175">
        <v>2231399</v>
      </c>
      <c r="O183" s="174">
        <v>79</v>
      </c>
      <c r="P183" s="175">
        <v>1121995</v>
      </c>
      <c r="Q183" s="174"/>
      <c r="R183" s="175">
        <v>423143</v>
      </c>
      <c r="S183" s="174">
        <v>0</v>
      </c>
      <c r="T183" s="176">
        <v>76371</v>
      </c>
    </row>
    <row r="184" spans="2:20" ht="36" customHeight="1" x14ac:dyDescent="0.3">
      <c r="B184" s="173" t="s">
        <v>461</v>
      </c>
      <c r="C184" s="174">
        <v>243</v>
      </c>
      <c r="D184" s="175">
        <v>3025296</v>
      </c>
      <c r="E184" s="174">
        <v>15</v>
      </c>
      <c r="F184" s="175">
        <v>126468</v>
      </c>
      <c r="G184" s="174">
        <v>14</v>
      </c>
      <c r="H184" s="175">
        <v>195457</v>
      </c>
      <c r="I184" s="174">
        <v>15</v>
      </c>
      <c r="J184" s="175">
        <v>158612</v>
      </c>
      <c r="K184" s="174">
        <v>10</v>
      </c>
      <c r="L184" s="175">
        <v>303466</v>
      </c>
      <c r="M184" s="174">
        <v>73</v>
      </c>
      <c r="N184" s="175">
        <v>2231471</v>
      </c>
      <c r="O184" s="174">
        <v>79</v>
      </c>
      <c r="P184" s="175">
        <v>1122074</v>
      </c>
      <c r="Q184" s="174"/>
      <c r="R184" s="175">
        <v>423188</v>
      </c>
      <c r="S184" s="174">
        <v>0</v>
      </c>
      <c r="T184" s="176">
        <v>76371</v>
      </c>
    </row>
    <row r="185" spans="2:20" ht="36" customHeight="1" x14ac:dyDescent="0.3">
      <c r="B185" s="173" t="s">
        <v>462</v>
      </c>
      <c r="C185" s="174">
        <v>243</v>
      </c>
      <c r="D185" s="175">
        <v>3025539</v>
      </c>
      <c r="E185" s="174">
        <v>18</v>
      </c>
      <c r="F185" s="175">
        <v>126483</v>
      </c>
      <c r="G185" s="174">
        <v>14</v>
      </c>
      <c r="H185" s="175">
        <v>195471</v>
      </c>
      <c r="I185" s="174">
        <v>15</v>
      </c>
      <c r="J185" s="175">
        <v>158627</v>
      </c>
      <c r="K185" s="174">
        <v>11</v>
      </c>
      <c r="L185" s="175">
        <v>303476</v>
      </c>
      <c r="M185" s="174">
        <v>72</v>
      </c>
      <c r="N185" s="175">
        <v>2231544</v>
      </c>
      <c r="O185" s="174">
        <v>79</v>
      </c>
      <c r="P185" s="175">
        <v>1122153</v>
      </c>
      <c r="Q185" s="174"/>
      <c r="R185" s="175">
        <v>423232</v>
      </c>
      <c r="S185" s="174">
        <v>0</v>
      </c>
      <c r="T185" s="176">
        <v>76371</v>
      </c>
    </row>
    <row r="186" spans="2:20" ht="36" customHeight="1" x14ac:dyDescent="0.3">
      <c r="B186" s="173" t="s">
        <v>463</v>
      </c>
      <c r="C186" s="174">
        <v>236</v>
      </c>
      <c r="D186" s="175">
        <v>3025782</v>
      </c>
      <c r="E186" s="174">
        <v>17</v>
      </c>
      <c r="F186" s="175">
        <v>126501</v>
      </c>
      <c r="G186" s="174">
        <v>13</v>
      </c>
      <c r="H186" s="175">
        <v>195485</v>
      </c>
      <c r="I186" s="174">
        <v>15</v>
      </c>
      <c r="J186" s="175">
        <v>158642</v>
      </c>
      <c r="K186" s="174">
        <v>12</v>
      </c>
      <c r="L186" s="175">
        <v>303487</v>
      </c>
      <c r="M186" s="174">
        <v>72</v>
      </c>
      <c r="N186" s="175">
        <v>2231616</v>
      </c>
      <c r="O186" s="174">
        <v>78</v>
      </c>
      <c r="P186" s="175">
        <v>1122232</v>
      </c>
      <c r="Q186" s="174"/>
      <c r="R186" s="175">
        <v>423277</v>
      </c>
      <c r="S186" s="174">
        <v>0</v>
      </c>
      <c r="T186" s="176">
        <v>76371</v>
      </c>
    </row>
    <row r="187" spans="2:20" ht="36" customHeight="1" x14ac:dyDescent="0.3">
      <c r="B187" s="173" t="s">
        <v>464</v>
      </c>
      <c r="C187" s="174">
        <v>235</v>
      </c>
      <c r="D187" s="175">
        <v>3026018</v>
      </c>
      <c r="E187" s="174">
        <v>15</v>
      </c>
      <c r="F187" s="175">
        <v>126518</v>
      </c>
      <c r="G187" s="174">
        <v>12</v>
      </c>
      <c r="H187" s="175">
        <v>195498</v>
      </c>
      <c r="I187" s="174">
        <v>15</v>
      </c>
      <c r="J187" s="175">
        <v>158657</v>
      </c>
      <c r="K187" s="174">
        <v>10</v>
      </c>
      <c r="L187" s="175">
        <v>303499</v>
      </c>
      <c r="M187" s="174">
        <v>72</v>
      </c>
      <c r="N187" s="175">
        <v>2231688</v>
      </c>
      <c r="O187" s="174">
        <v>79</v>
      </c>
      <c r="P187" s="175">
        <v>1122310</v>
      </c>
      <c r="Q187" s="174"/>
      <c r="R187" s="175">
        <v>423321</v>
      </c>
      <c r="S187" s="174">
        <v>0</v>
      </c>
      <c r="T187" s="176">
        <v>76371</v>
      </c>
    </row>
    <row r="188" spans="2:20" ht="36" customHeight="1" x14ac:dyDescent="0.3">
      <c r="B188" s="173" t="s">
        <v>465</v>
      </c>
      <c r="C188" s="174">
        <v>236</v>
      </c>
      <c r="D188" s="175">
        <v>3026253</v>
      </c>
      <c r="E188" s="174">
        <v>13</v>
      </c>
      <c r="F188" s="175">
        <v>126533</v>
      </c>
      <c r="G188" s="174">
        <v>14</v>
      </c>
      <c r="H188" s="175">
        <v>195510</v>
      </c>
      <c r="I188" s="174">
        <v>16</v>
      </c>
      <c r="J188" s="175">
        <v>158672</v>
      </c>
      <c r="K188" s="174">
        <v>13</v>
      </c>
      <c r="L188" s="175">
        <v>303509</v>
      </c>
      <c r="M188" s="174">
        <v>72</v>
      </c>
      <c r="N188" s="175">
        <v>2231760</v>
      </c>
      <c r="O188" s="174">
        <v>78</v>
      </c>
      <c r="P188" s="175">
        <v>1122389</v>
      </c>
      <c r="Q188" s="174"/>
      <c r="R188" s="175">
        <v>423366</v>
      </c>
      <c r="S188" s="174">
        <v>0</v>
      </c>
      <c r="T188" s="176">
        <v>76371</v>
      </c>
    </row>
    <row r="189" spans="2:20" ht="36" customHeight="1" x14ac:dyDescent="0.3">
      <c r="B189" s="173" t="s">
        <v>466</v>
      </c>
      <c r="C189" s="174">
        <v>244</v>
      </c>
      <c r="D189" s="175">
        <v>3026489</v>
      </c>
      <c r="E189" s="174">
        <v>12</v>
      </c>
      <c r="F189" s="175">
        <v>126546</v>
      </c>
      <c r="G189" s="174">
        <v>13</v>
      </c>
      <c r="H189" s="175">
        <v>195524</v>
      </c>
      <c r="I189" s="174">
        <v>16</v>
      </c>
      <c r="J189" s="175">
        <v>158688</v>
      </c>
      <c r="K189" s="174">
        <v>18</v>
      </c>
      <c r="L189" s="175">
        <v>303522</v>
      </c>
      <c r="M189" s="174">
        <v>72</v>
      </c>
      <c r="N189" s="175">
        <v>2231832</v>
      </c>
      <c r="O189" s="174">
        <v>79</v>
      </c>
      <c r="P189" s="175">
        <v>1122467</v>
      </c>
      <c r="Q189" s="174"/>
      <c r="R189" s="175">
        <v>423411</v>
      </c>
      <c r="S189" s="174">
        <v>0</v>
      </c>
      <c r="T189" s="176">
        <v>76371</v>
      </c>
    </row>
    <row r="190" spans="2:20" ht="36" customHeight="1" x14ac:dyDescent="0.3">
      <c r="B190" s="173" t="s">
        <v>467</v>
      </c>
      <c r="C190" s="174">
        <v>248</v>
      </c>
      <c r="D190" s="175">
        <v>3026733</v>
      </c>
      <c r="E190" s="174">
        <v>12</v>
      </c>
      <c r="F190" s="175">
        <v>126558</v>
      </c>
      <c r="G190" s="174">
        <v>13</v>
      </c>
      <c r="H190" s="175">
        <v>195537</v>
      </c>
      <c r="I190" s="174">
        <v>15</v>
      </c>
      <c r="J190" s="175">
        <v>158704</v>
      </c>
      <c r="K190" s="174">
        <v>16</v>
      </c>
      <c r="L190" s="175">
        <v>303540</v>
      </c>
      <c r="M190" s="174">
        <v>73</v>
      </c>
      <c r="N190" s="175">
        <v>2231904</v>
      </c>
      <c r="O190" s="174">
        <v>79</v>
      </c>
      <c r="P190" s="175">
        <v>1122546</v>
      </c>
      <c r="Q190" s="174"/>
      <c r="R190" s="175">
        <v>423455</v>
      </c>
      <c r="S190" s="174">
        <v>0</v>
      </c>
      <c r="T190" s="176">
        <v>76371</v>
      </c>
    </row>
    <row r="191" spans="2:20" ht="36" customHeight="1" x14ac:dyDescent="0.3">
      <c r="B191" s="173" t="s">
        <v>468</v>
      </c>
      <c r="C191" s="174">
        <v>249</v>
      </c>
      <c r="D191" s="175">
        <v>3026981</v>
      </c>
      <c r="E191" s="174">
        <v>12</v>
      </c>
      <c r="F191" s="175">
        <v>126570</v>
      </c>
      <c r="G191" s="174">
        <v>13</v>
      </c>
      <c r="H191" s="175">
        <v>195550</v>
      </c>
      <c r="I191" s="174">
        <v>15</v>
      </c>
      <c r="J191" s="175">
        <v>158719</v>
      </c>
      <c r="K191" s="174">
        <v>15</v>
      </c>
      <c r="L191" s="175">
        <v>303556</v>
      </c>
      <c r="M191" s="174">
        <v>72</v>
      </c>
      <c r="N191" s="175">
        <v>2231977</v>
      </c>
      <c r="O191" s="174">
        <v>80</v>
      </c>
      <c r="P191" s="175">
        <v>1122625</v>
      </c>
      <c r="Q191" s="174"/>
      <c r="R191" s="175">
        <v>423500</v>
      </c>
      <c r="S191" s="174">
        <v>0</v>
      </c>
      <c r="T191" s="176">
        <v>76371</v>
      </c>
    </row>
    <row r="192" spans="2:20" ht="36" customHeight="1" x14ac:dyDescent="0.3">
      <c r="B192" s="173" t="s">
        <v>469</v>
      </c>
      <c r="C192" s="174">
        <v>248</v>
      </c>
      <c r="D192" s="175">
        <v>3027230</v>
      </c>
      <c r="E192" s="174">
        <v>11</v>
      </c>
      <c r="F192" s="175">
        <v>126582</v>
      </c>
      <c r="G192" s="174">
        <v>13</v>
      </c>
      <c r="H192" s="175">
        <v>195563</v>
      </c>
      <c r="I192" s="174">
        <v>15</v>
      </c>
      <c r="J192" s="175">
        <v>158734</v>
      </c>
      <c r="K192" s="174">
        <v>10</v>
      </c>
      <c r="L192" s="175">
        <v>303571</v>
      </c>
      <c r="M192" s="174">
        <v>71</v>
      </c>
      <c r="N192" s="175">
        <v>2232049</v>
      </c>
      <c r="O192" s="174">
        <v>79</v>
      </c>
      <c r="P192" s="175">
        <v>1122705</v>
      </c>
      <c r="Q192" s="174"/>
      <c r="R192" s="175">
        <v>423544</v>
      </c>
      <c r="S192" s="174">
        <v>0</v>
      </c>
      <c r="T192" s="176">
        <v>76371</v>
      </c>
    </row>
    <row r="193" spans="2:20" ht="36" customHeight="1" x14ac:dyDescent="0.3">
      <c r="B193" s="173" t="s">
        <v>470</v>
      </c>
      <c r="C193" s="174">
        <v>240</v>
      </c>
      <c r="D193" s="175">
        <v>3027478</v>
      </c>
      <c r="E193" s="174">
        <v>9</v>
      </c>
      <c r="F193" s="175">
        <v>126593</v>
      </c>
      <c r="G193" s="174">
        <v>14</v>
      </c>
      <c r="H193" s="175">
        <v>195576</v>
      </c>
      <c r="I193" s="174">
        <v>14</v>
      </c>
      <c r="J193" s="175">
        <v>158749</v>
      </c>
      <c r="K193" s="174">
        <v>9</v>
      </c>
      <c r="L193" s="175">
        <v>303581</v>
      </c>
      <c r="M193" s="174">
        <v>71</v>
      </c>
      <c r="N193" s="175">
        <v>2232120</v>
      </c>
      <c r="O193" s="174">
        <v>79</v>
      </c>
      <c r="P193" s="175">
        <v>1122784</v>
      </c>
      <c r="Q193" s="174"/>
      <c r="R193" s="175">
        <v>423589</v>
      </c>
      <c r="S193" s="174">
        <v>0</v>
      </c>
      <c r="T193" s="176">
        <v>76371</v>
      </c>
    </row>
    <row r="194" spans="2:20" ht="36" customHeight="1" thickBot="1" x14ac:dyDescent="0.35">
      <c r="B194" s="177" t="s">
        <v>471</v>
      </c>
      <c r="C194" s="178">
        <v>224</v>
      </c>
      <c r="D194" s="179">
        <v>3027718</v>
      </c>
      <c r="E194" s="178">
        <v>8</v>
      </c>
      <c r="F194" s="179">
        <v>126602</v>
      </c>
      <c r="G194" s="178">
        <v>13</v>
      </c>
      <c r="H194" s="179">
        <v>195590</v>
      </c>
      <c r="I194" s="178">
        <v>14</v>
      </c>
      <c r="J194" s="179">
        <v>158763</v>
      </c>
      <c r="K194" s="178">
        <v>9</v>
      </c>
      <c r="L194" s="179">
        <v>303590</v>
      </c>
      <c r="M194" s="178">
        <v>71</v>
      </c>
      <c r="N194" s="179">
        <v>2232191</v>
      </c>
      <c r="O194" s="178">
        <v>78</v>
      </c>
      <c r="P194" s="179">
        <v>1122863</v>
      </c>
      <c r="Q194" s="178"/>
      <c r="R194" s="179">
        <v>423612</v>
      </c>
      <c r="S194" s="178">
        <v>0</v>
      </c>
      <c r="T194" s="180">
        <v>76371</v>
      </c>
    </row>
    <row r="195" spans="2:20" ht="36" customHeight="1" thickTop="1" x14ac:dyDescent="0.3">
      <c r="B195" s="181" t="s">
        <v>472</v>
      </c>
      <c r="C195" s="182">
        <f t="shared" ref="C195:T195" si="10">MIN(C171:C194)</f>
        <v>183</v>
      </c>
      <c r="D195" s="182">
        <f t="shared" si="10"/>
        <v>3022348</v>
      </c>
      <c r="E195" s="182">
        <f t="shared" si="10"/>
        <v>7</v>
      </c>
      <c r="F195" s="182">
        <f t="shared" si="10"/>
        <v>126344</v>
      </c>
      <c r="G195" s="182">
        <f t="shared" si="10"/>
        <v>11</v>
      </c>
      <c r="H195" s="182">
        <f t="shared" si="10"/>
        <v>195289</v>
      </c>
      <c r="I195" s="182">
        <f t="shared" si="10"/>
        <v>13</v>
      </c>
      <c r="J195" s="182">
        <f t="shared" si="10"/>
        <v>158424</v>
      </c>
      <c r="K195" s="182">
        <f t="shared" si="10"/>
        <v>6</v>
      </c>
      <c r="L195" s="182">
        <f t="shared" si="10"/>
        <v>303350</v>
      </c>
      <c r="M195" s="182">
        <f t="shared" si="10"/>
        <v>70</v>
      </c>
      <c r="N195" s="182">
        <f t="shared" si="10"/>
        <v>2230547</v>
      </c>
      <c r="O195" s="182">
        <f t="shared" si="10"/>
        <v>46</v>
      </c>
      <c r="P195" s="182">
        <f t="shared" si="10"/>
        <v>1121095</v>
      </c>
      <c r="Q195" s="182">
        <f t="shared" si="10"/>
        <v>44</v>
      </c>
      <c r="R195" s="182">
        <f t="shared" si="10"/>
        <v>422608</v>
      </c>
      <c r="S195" s="182">
        <f t="shared" si="10"/>
        <v>0</v>
      </c>
      <c r="T195" s="183">
        <f t="shared" si="10"/>
        <v>76371</v>
      </c>
    </row>
    <row r="196" spans="2:20" ht="36" customHeight="1" x14ac:dyDescent="0.3">
      <c r="B196" s="173" t="s">
        <v>473</v>
      </c>
      <c r="C196" s="182">
        <f t="shared" ref="C196:T196" si="11">MAX(C171:C194)</f>
        <v>307</v>
      </c>
      <c r="D196" s="182">
        <f t="shared" si="11"/>
        <v>3027718</v>
      </c>
      <c r="E196" s="182">
        <f t="shared" si="11"/>
        <v>18</v>
      </c>
      <c r="F196" s="182">
        <f t="shared" si="11"/>
        <v>126602</v>
      </c>
      <c r="G196" s="182">
        <f t="shared" si="11"/>
        <v>16</v>
      </c>
      <c r="H196" s="182">
        <f t="shared" si="11"/>
        <v>195590</v>
      </c>
      <c r="I196" s="182">
        <f t="shared" si="11"/>
        <v>16</v>
      </c>
      <c r="J196" s="182">
        <f t="shared" si="11"/>
        <v>158763</v>
      </c>
      <c r="K196" s="182">
        <f t="shared" si="11"/>
        <v>18</v>
      </c>
      <c r="L196" s="182">
        <f t="shared" si="11"/>
        <v>303590</v>
      </c>
      <c r="M196" s="182">
        <f t="shared" si="11"/>
        <v>73</v>
      </c>
      <c r="N196" s="182">
        <f t="shared" si="11"/>
        <v>2232191</v>
      </c>
      <c r="O196" s="182">
        <f t="shared" si="11"/>
        <v>105</v>
      </c>
      <c r="P196" s="182">
        <f t="shared" si="11"/>
        <v>1122863</v>
      </c>
      <c r="Q196" s="182">
        <f t="shared" si="11"/>
        <v>45</v>
      </c>
      <c r="R196" s="182">
        <f t="shared" si="11"/>
        <v>423612</v>
      </c>
      <c r="S196" s="182">
        <f t="shared" si="11"/>
        <v>0</v>
      </c>
      <c r="T196" s="183">
        <f t="shared" si="11"/>
        <v>76371</v>
      </c>
    </row>
    <row r="197" spans="2:20" ht="36" customHeight="1" x14ac:dyDescent="0.3">
      <c r="B197" s="173" t="s">
        <v>474</v>
      </c>
      <c r="C197" s="182">
        <f>AVERAGE(C171:C194)</f>
        <v>233.08333333333334</v>
      </c>
      <c r="D197" s="184"/>
      <c r="E197" s="182">
        <f>AVERAGE(E171:E194)</f>
        <v>11.083333333333334</v>
      </c>
      <c r="F197" s="184"/>
      <c r="G197" s="182">
        <f>AVERAGE(G171:G194)</f>
        <v>13.083333333333334</v>
      </c>
      <c r="H197" s="184"/>
      <c r="I197" s="182">
        <f>AVERAGE(I171:I194)</f>
        <v>14.708333333333334</v>
      </c>
      <c r="J197" s="184"/>
      <c r="K197" s="182">
        <f>AVERAGE(K171:K194)</f>
        <v>10.375</v>
      </c>
      <c r="L197" s="184"/>
      <c r="M197" s="182">
        <f>AVERAGE(M171:M194)</f>
        <v>71.458333333333329</v>
      </c>
      <c r="N197" s="184"/>
      <c r="O197" s="182">
        <f>AVERAGE(O171:O194)</f>
        <v>76.916666666666671</v>
      </c>
      <c r="P197" s="184"/>
      <c r="Q197" s="182">
        <f>AVERAGE(Q171:Q194)</f>
        <v>44.666666666666664</v>
      </c>
      <c r="R197" s="184"/>
      <c r="S197" s="182">
        <f>AVERAGE(S171:S194)</f>
        <v>0</v>
      </c>
      <c r="T197" s="185"/>
    </row>
    <row r="198" spans="2:20" ht="36" customHeight="1" thickBot="1" x14ac:dyDescent="0.35">
      <c r="B198" s="186" t="s">
        <v>475</v>
      </c>
      <c r="C198" s="187">
        <f>SUM(C171:C194)</f>
        <v>5594</v>
      </c>
      <c r="D198" s="188"/>
      <c r="E198" s="187">
        <f>SUM(E171:E194)</f>
        <v>266</v>
      </c>
      <c r="F198" s="188"/>
      <c r="G198" s="187">
        <f>SUM(G171:G194)</f>
        <v>314</v>
      </c>
      <c r="H198" s="188"/>
      <c r="I198" s="187">
        <f>SUM(I171:I194)</f>
        <v>353</v>
      </c>
      <c r="J198" s="188"/>
      <c r="K198" s="187">
        <f>SUM(K171:K194)</f>
        <v>249</v>
      </c>
      <c r="L198" s="188"/>
      <c r="M198" s="187">
        <f>SUM(M171:M194)</f>
        <v>1715</v>
      </c>
      <c r="N198" s="188"/>
      <c r="O198" s="187">
        <f>SUM(O171:O194)</f>
        <v>1846</v>
      </c>
      <c r="P198" s="188"/>
      <c r="Q198" s="187">
        <f>SUM(Q171:Q194)</f>
        <v>268</v>
      </c>
      <c r="R198" s="188"/>
      <c r="S198" s="187">
        <f>SUM(S171:S194)</f>
        <v>0</v>
      </c>
      <c r="T198" s="189"/>
    </row>
    <row r="199" spans="2:20" ht="9.9499999999999993" customHeight="1" x14ac:dyDescent="0.3"/>
    <row r="271" spans="17:17" x14ac:dyDescent="0.3">
      <c r="Q271" s="161">
        <v>45</v>
      </c>
    </row>
    <row r="272" spans="17:17" x14ac:dyDescent="0.3">
      <c r="Q272" s="161">
        <v>44</v>
      </c>
    </row>
    <row r="273" spans="17:17" x14ac:dyDescent="0.3">
      <c r="Q273" s="161">
        <v>45</v>
      </c>
    </row>
    <row r="274" spans="17:17" x14ac:dyDescent="0.3">
      <c r="Q274" s="161">
        <v>44</v>
      </c>
    </row>
    <row r="275" spans="17:17" x14ac:dyDescent="0.3">
      <c r="Q275" s="161">
        <v>45</v>
      </c>
    </row>
    <row r="276" spans="17:17" x14ac:dyDescent="0.3">
      <c r="Q276" s="161">
        <v>45</v>
      </c>
    </row>
    <row r="371" spans="17:17" x14ac:dyDescent="0.3">
      <c r="Q371" s="161">
        <v>44</v>
      </c>
    </row>
    <row r="372" spans="17:17" x14ac:dyDescent="0.3">
      <c r="Q372" s="161">
        <v>45</v>
      </c>
    </row>
    <row r="373" spans="17:17" x14ac:dyDescent="0.3">
      <c r="Q373" s="161">
        <v>44</v>
      </c>
    </row>
    <row r="374" spans="17:17" x14ac:dyDescent="0.3">
      <c r="Q374" s="161">
        <v>45</v>
      </c>
    </row>
    <row r="375" spans="17:17" x14ac:dyDescent="0.3">
      <c r="Q375" s="161">
        <v>44</v>
      </c>
    </row>
    <row r="376" spans="17:17" x14ac:dyDescent="0.3">
      <c r="Q376" s="161">
        <v>23</v>
      </c>
    </row>
    <row r="471" spans="17:17" x14ac:dyDescent="0.3">
      <c r="Q471" s="161">
        <v>45</v>
      </c>
    </row>
    <row r="472" spans="17:17" x14ac:dyDescent="0.3">
      <c r="Q472" s="161">
        <v>44</v>
      </c>
    </row>
    <row r="473" spans="17:17" x14ac:dyDescent="0.3">
      <c r="Q473" s="161">
        <v>45</v>
      </c>
    </row>
    <row r="474" spans="17:17" x14ac:dyDescent="0.3">
      <c r="Q474" s="161">
        <v>44</v>
      </c>
    </row>
    <row r="475" spans="17:17" x14ac:dyDescent="0.3">
      <c r="Q475" s="161">
        <v>45</v>
      </c>
    </row>
    <row r="476" spans="17:17" x14ac:dyDescent="0.3">
      <c r="Q476" s="161">
        <v>28</v>
      </c>
    </row>
  </sheetData>
  <mergeCells count="72">
    <mergeCell ref="B2:T2"/>
    <mergeCell ref="C3:T3"/>
    <mergeCell ref="B4:B5"/>
    <mergeCell ref="C4:D4"/>
    <mergeCell ref="E4:F4"/>
    <mergeCell ref="G4:H4"/>
    <mergeCell ref="I4:J4"/>
    <mergeCell ref="K4:L4"/>
    <mergeCell ref="M4:N4"/>
    <mergeCell ref="O4:P4"/>
    <mergeCell ref="C69:T69"/>
    <mergeCell ref="Q4:R4"/>
    <mergeCell ref="S4:T4"/>
    <mergeCell ref="B35:T35"/>
    <mergeCell ref="C36:T36"/>
    <mergeCell ref="B37:B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B68:T68"/>
    <mergeCell ref="C102:T102"/>
    <mergeCell ref="B70:B71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B101:T101"/>
    <mergeCell ref="C135:T135"/>
    <mergeCell ref="B103:B104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B134:T134"/>
    <mergeCell ref="C168:T168"/>
    <mergeCell ref="B136:B137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B167:T167"/>
    <mergeCell ref="M169:N169"/>
    <mergeCell ref="O169:P169"/>
    <mergeCell ref="Q169:R169"/>
    <mergeCell ref="S169:T169"/>
    <mergeCell ref="B169:B170"/>
    <mergeCell ref="C169:D169"/>
    <mergeCell ref="E169:F169"/>
    <mergeCell ref="G169:H169"/>
    <mergeCell ref="I169:J169"/>
    <mergeCell ref="K169:L169"/>
  </mergeCells>
  <phoneticPr fontId="1" type="noConversion"/>
  <printOptions horizontalCentered="1" verticalCentered="1"/>
  <pageMargins left="0.25" right="0.25" top="0.75" bottom="0.75" header="0.3" footer="0.3"/>
  <pageSetup paperSize="9" scale="20" fitToHeight="2" orientation="landscape" r:id="rId1"/>
  <rowBreaks count="5" manualBreakCount="5">
    <brk id="34" max="20" man="1"/>
    <brk id="67" max="20" man="1"/>
    <brk id="100" max="20" man="1"/>
    <brk id="133" max="20" man="1"/>
    <brk id="166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1A1A-5597-40AC-80ED-1F5CC4D9325B}">
  <sheetPr>
    <tabColor rgb="FFFFFF00"/>
  </sheetPr>
  <dimension ref="B1:T265"/>
  <sheetViews>
    <sheetView view="pageBreakPreview" zoomScale="55" zoomScaleSheetLayoutView="55" workbookViewId="0">
      <selection activeCell="V11" sqref="V11"/>
    </sheetView>
  </sheetViews>
  <sheetFormatPr defaultRowHeight="16.5" x14ac:dyDescent="0.3"/>
  <cols>
    <col min="1" max="1" width="1.625" style="161" customWidth="1"/>
    <col min="2" max="2" width="9.625" style="161" customWidth="1"/>
    <col min="3" max="4" width="15.75" style="199" customWidth="1"/>
    <col min="5" max="5" width="15.75" style="161" customWidth="1"/>
    <col min="6" max="7" width="15.75" style="199" customWidth="1"/>
    <col min="8" max="8" width="15.75" style="161" customWidth="1"/>
    <col min="9" max="10" width="15.75" style="199" customWidth="1"/>
    <col min="11" max="11" width="15.75" style="161" customWidth="1"/>
    <col min="12" max="13" width="15.75" style="199" customWidth="1"/>
    <col min="14" max="14" width="15.75" style="161" customWidth="1"/>
    <col min="15" max="16" width="15.75" style="199" customWidth="1"/>
    <col min="17" max="17" width="15.75" style="161" customWidth="1"/>
    <col min="18" max="19" width="15.75" style="199" customWidth="1"/>
    <col min="20" max="20" width="15.75" style="161" customWidth="1"/>
    <col min="21" max="21" width="1.625" style="161" customWidth="1"/>
    <col min="22" max="256" width="9" style="161"/>
    <col min="257" max="257" width="1.625" style="161" customWidth="1"/>
    <col min="258" max="258" width="9.625" style="161" customWidth="1"/>
    <col min="259" max="276" width="15.75" style="161" customWidth="1"/>
    <col min="277" max="277" width="1.625" style="161" customWidth="1"/>
    <col min="278" max="512" width="9" style="161"/>
    <col min="513" max="513" width="1.625" style="161" customWidth="1"/>
    <col min="514" max="514" width="9.625" style="161" customWidth="1"/>
    <col min="515" max="532" width="15.75" style="161" customWidth="1"/>
    <col min="533" max="533" width="1.625" style="161" customWidth="1"/>
    <col min="534" max="768" width="9" style="161"/>
    <col min="769" max="769" width="1.625" style="161" customWidth="1"/>
    <col min="770" max="770" width="9.625" style="161" customWidth="1"/>
    <col min="771" max="788" width="15.75" style="161" customWidth="1"/>
    <col min="789" max="789" width="1.625" style="161" customWidth="1"/>
    <col min="790" max="1024" width="9" style="161"/>
    <col min="1025" max="1025" width="1.625" style="161" customWidth="1"/>
    <col min="1026" max="1026" width="9.625" style="161" customWidth="1"/>
    <col min="1027" max="1044" width="15.75" style="161" customWidth="1"/>
    <col min="1045" max="1045" width="1.625" style="161" customWidth="1"/>
    <col min="1046" max="1280" width="9" style="161"/>
    <col min="1281" max="1281" width="1.625" style="161" customWidth="1"/>
    <col min="1282" max="1282" width="9.625" style="161" customWidth="1"/>
    <col min="1283" max="1300" width="15.75" style="161" customWidth="1"/>
    <col min="1301" max="1301" width="1.625" style="161" customWidth="1"/>
    <col min="1302" max="1536" width="9" style="161"/>
    <col min="1537" max="1537" width="1.625" style="161" customWidth="1"/>
    <col min="1538" max="1538" width="9.625" style="161" customWidth="1"/>
    <col min="1539" max="1556" width="15.75" style="161" customWidth="1"/>
    <col min="1557" max="1557" width="1.625" style="161" customWidth="1"/>
    <col min="1558" max="1792" width="9" style="161"/>
    <col min="1793" max="1793" width="1.625" style="161" customWidth="1"/>
    <col min="1794" max="1794" width="9.625" style="161" customWidth="1"/>
    <col min="1795" max="1812" width="15.75" style="161" customWidth="1"/>
    <col min="1813" max="1813" width="1.625" style="161" customWidth="1"/>
    <col min="1814" max="2048" width="9" style="161"/>
    <col min="2049" max="2049" width="1.625" style="161" customWidth="1"/>
    <col min="2050" max="2050" width="9.625" style="161" customWidth="1"/>
    <col min="2051" max="2068" width="15.75" style="161" customWidth="1"/>
    <col min="2069" max="2069" width="1.625" style="161" customWidth="1"/>
    <col min="2070" max="2304" width="9" style="161"/>
    <col min="2305" max="2305" width="1.625" style="161" customWidth="1"/>
    <col min="2306" max="2306" width="9.625" style="161" customWidth="1"/>
    <col min="2307" max="2324" width="15.75" style="161" customWidth="1"/>
    <col min="2325" max="2325" width="1.625" style="161" customWidth="1"/>
    <col min="2326" max="2560" width="9" style="161"/>
    <col min="2561" max="2561" width="1.625" style="161" customWidth="1"/>
    <col min="2562" max="2562" width="9.625" style="161" customWidth="1"/>
    <col min="2563" max="2580" width="15.75" style="161" customWidth="1"/>
    <col min="2581" max="2581" width="1.625" style="161" customWidth="1"/>
    <col min="2582" max="2816" width="9" style="161"/>
    <col min="2817" max="2817" width="1.625" style="161" customWidth="1"/>
    <col min="2818" max="2818" width="9.625" style="161" customWidth="1"/>
    <col min="2819" max="2836" width="15.75" style="161" customWidth="1"/>
    <col min="2837" max="2837" width="1.625" style="161" customWidth="1"/>
    <col min="2838" max="3072" width="9" style="161"/>
    <col min="3073" max="3073" width="1.625" style="161" customWidth="1"/>
    <col min="3074" max="3074" width="9.625" style="161" customWidth="1"/>
    <col min="3075" max="3092" width="15.75" style="161" customWidth="1"/>
    <col min="3093" max="3093" width="1.625" style="161" customWidth="1"/>
    <col min="3094" max="3328" width="9" style="161"/>
    <col min="3329" max="3329" width="1.625" style="161" customWidth="1"/>
    <col min="3330" max="3330" width="9.625" style="161" customWidth="1"/>
    <col min="3331" max="3348" width="15.75" style="161" customWidth="1"/>
    <col min="3349" max="3349" width="1.625" style="161" customWidth="1"/>
    <col min="3350" max="3584" width="9" style="161"/>
    <col min="3585" max="3585" width="1.625" style="161" customWidth="1"/>
    <col min="3586" max="3586" width="9.625" style="161" customWidth="1"/>
    <col min="3587" max="3604" width="15.75" style="161" customWidth="1"/>
    <col min="3605" max="3605" width="1.625" style="161" customWidth="1"/>
    <col min="3606" max="3840" width="9" style="161"/>
    <col min="3841" max="3841" width="1.625" style="161" customWidth="1"/>
    <col min="3842" max="3842" width="9.625" style="161" customWidth="1"/>
    <col min="3843" max="3860" width="15.75" style="161" customWidth="1"/>
    <col min="3861" max="3861" width="1.625" style="161" customWidth="1"/>
    <col min="3862" max="4096" width="9" style="161"/>
    <col min="4097" max="4097" width="1.625" style="161" customWidth="1"/>
    <col min="4098" max="4098" width="9.625" style="161" customWidth="1"/>
    <col min="4099" max="4116" width="15.75" style="161" customWidth="1"/>
    <col min="4117" max="4117" width="1.625" style="161" customWidth="1"/>
    <col min="4118" max="4352" width="9" style="161"/>
    <col min="4353" max="4353" width="1.625" style="161" customWidth="1"/>
    <col min="4354" max="4354" width="9.625" style="161" customWidth="1"/>
    <col min="4355" max="4372" width="15.75" style="161" customWidth="1"/>
    <col min="4373" max="4373" width="1.625" style="161" customWidth="1"/>
    <col min="4374" max="4608" width="9" style="161"/>
    <col min="4609" max="4609" width="1.625" style="161" customWidth="1"/>
    <col min="4610" max="4610" width="9.625" style="161" customWidth="1"/>
    <col min="4611" max="4628" width="15.75" style="161" customWidth="1"/>
    <col min="4629" max="4629" width="1.625" style="161" customWidth="1"/>
    <col min="4630" max="4864" width="9" style="161"/>
    <col min="4865" max="4865" width="1.625" style="161" customWidth="1"/>
    <col min="4866" max="4866" width="9.625" style="161" customWidth="1"/>
    <col min="4867" max="4884" width="15.75" style="161" customWidth="1"/>
    <col min="4885" max="4885" width="1.625" style="161" customWidth="1"/>
    <col min="4886" max="5120" width="9" style="161"/>
    <col min="5121" max="5121" width="1.625" style="161" customWidth="1"/>
    <col min="5122" max="5122" width="9.625" style="161" customWidth="1"/>
    <col min="5123" max="5140" width="15.75" style="161" customWidth="1"/>
    <col min="5141" max="5141" width="1.625" style="161" customWidth="1"/>
    <col min="5142" max="5376" width="9" style="161"/>
    <col min="5377" max="5377" width="1.625" style="161" customWidth="1"/>
    <col min="5378" max="5378" width="9.625" style="161" customWidth="1"/>
    <col min="5379" max="5396" width="15.75" style="161" customWidth="1"/>
    <col min="5397" max="5397" width="1.625" style="161" customWidth="1"/>
    <col min="5398" max="5632" width="9" style="161"/>
    <col min="5633" max="5633" width="1.625" style="161" customWidth="1"/>
    <col min="5634" max="5634" width="9.625" style="161" customWidth="1"/>
    <col min="5635" max="5652" width="15.75" style="161" customWidth="1"/>
    <col min="5653" max="5653" width="1.625" style="161" customWidth="1"/>
    <col min="5654" max="5888" width="9" style="161"/>
    <col min="5889" max="5889" width="1.625" style="161" customWidth="1"/>
    <col min="5890" max="5890" width="9.625" style="161" customWidth="1"/>
    <col min="5891" max="5908" width="15.75" style="161" customWidth="1"/>
    <col min="5909" max="5909" width="1.625" style="161" customWidth="1"/>
    <col min="5910" max="6144" width="9" style="161"/>
    <col min="6145" max="6145" width="1.625" style="161" customWidth="1"/>
    <col min="6146" max="6146" width="9.625" style="161" customWidth="1"/>
    <col min="6147" max="6164" width="15.75" style="161" customWidth="1"/>
    <col min="6165" max="6165" width="1.625" style="161" customWidth="1"/>
    <col min="6166" max="6400" width="9" style="161"/>
    <col min="6401" max="6401" width="1.625" style="161" customWidth="1"/>
    <col min="6402" max="6402" width="9.625" style="161" customWidth="1"/>
    <col min="6403" max="6420" width="15.75" style="161" customWidth="1"/>
    <col min="6421" max="6421" width="1.625" style="161" customWidth="1"/>
    <col min="6422" max="6656" width="9" style="161"/>
    <col min="6657" max="6657" width="1.625" style="161" customWidth="1"/>
    <col min="6658" max="6658" width="9.625" style="161" customWidth="1"/>
    <col min="6659" max="6676" width="15.75" style="161" customWidth="1"/>
    <col min="6677" max="6677" width="1.625" style="161" customWidth="1"/>
    <col min="6678" max="6912" width="9" style="161"/>
    <col min="6913" max="6913" width="1.625" style="161" customWidth="1"/>
    <col min="6914" max="6914" width="9.625" style="161" customWidth="1"/>
    <col min="6915" max="6932" width="15.75" style="161" customWidth="1"/>
    <col min="6933" max="6933" width="1.625" style="161" customWidth="1"/>
    <col min="6934" max="7168" width="9" style="161"/>
    <col min="7169" max="7169" width="1.625" style="161" customWidth="1"/>
    <col min="7170" max="7170" width="9.625" style="161" customWidth="1"/>
    <col min="7171" max="7188" width="15.75" style="161" customWidth="1"/>
    <col min="7189" max="7189" width="1.625" style="161" customWidth="1"/>
    <col min="7190" max="7424" width="9" style="161"/>
    <col min="7425" max="7425" width="1.625" style="161" customWidth="1"/>
    <col min="7426" max="7426" width="9.625" style="161" customWidth="1"/>
    <col min="7427" max="7444" width="15.75" style="161" customWidth="1"/>
    <col min="7445" max="7445" width="1.625" style="161" customWidth="1"/>
    <col min="7446" max="7680" width="9" style="161"/>
    <col min="7681" max="7681" width="1.625" style="161" customWidth="1"/>
    <col min="7682" max="7682" width="9.625" style="161" customWidth="1"/>
    <col min="7683" max="7700" width="15.75" style="161" customWidth="1"/>
    <col min="7701" max="7701" width="1.625" style="161" customWidth="1"/>
    <col min="7702" max="7936" width="9" style="161"/>
    <col min="7937" max="7937" width="1.625" style="161" customWidth="1"/>
    <col min="7938" max="7938" width="9.625" style="161" customWidth="1"/>
    <col min="7939" max="7956" width="15.75" style="161" customWidth="1"/>
    <col min="7957" max="7957" width="1.625" style="161" customWidth="1"/>
    <col min="7958" max="8192" width="9" style="161"/>
    <col min="8193" max="8193" width="1.625" style="161" customWidth="1"/>
    <col min="8194" max="8194" width="9.625" style="161" customWidth="1"/>
    <col min="8195" max="8212" width="15.75" style="161" customWidth="1"/>
    <col min="8213" max="8213" width="1.625" style="161" customWidth="1"/>
    <col min="8214" max="8448" width="9" style="161"/>
    <col min="8449" max="8449" width="1.625" style="161" customWidth="1"/>
    <col min="8450" max="8450" width="9.625" style="161" customWidth="1"/>
    <col min="8451" max="8468" width="15.75" style="161" customWidth="1"/>
    <col min="8469" max="8469" width="1.625" style="161" customWidth="1"/>
    <col min="8470" max="8704" width="9" style="161"/>
    <col min="8705" max="8705" width="1.625" style="161" customWidth="1"/>
    <col min="8706" max="8706" width="9.625" style="161" customWidth="1"/>
    <col min="8707" max="8724" width="15.75" style="161" customWidth="1"/>
    <col min="8725" max="8725" width="1.625" style="161" customWidth="1"/>
    <col min="8726" max="8960" width="9" style="161"/>
    <col min="8961" max="8961" width="1.625" style="161" customWidth="1"/>
    <col min="8962" max="8962" width="9.625" style="161" customWidth="1"/>
    <col min="8963" max="8980" width="15.75" style="161" customWidth="1"/>
    <col min="8981" max="8981" width="1.625" style="161" customWidth="1"/>
    <col min="8982" max="9216" width="9" style="161"/>
    <col min="9217" max="9217" width="1.625" style="161" customWidth="1"/>
    <col min="9218" max="9218" width="9.625" style="161" customWidth="1"/>
    <col min="9219" max="9236" width="15.75" style="161" customWidth="1"/>
    <col min="9237" max="9237" width="1.625" style="161" customWidth="1"/>
    <col min="9238" max="9472" width="9" style="161"/>
    <col min="9473" max="9473" width="1.625" style="161" customWidth="1"/>
    <col min="9474" max="9474" width="9.625" style="161" customWidth="1"/>
    <col min="9475" max="9492" width="15.75" style="161" customWidth="1"/>
    <col min="9493" max="9493" width="1.625" style="161" customWidth="1"/>
    <col min="9494" max="9728" width="9" style="161"/>
    <col min="9729" max="9729" width="1.625" style="161" customWidth="1"/>
    <col min="9730" max="9730" width="9.625" style="161" customWidth="1"/>
    <col min="9731" max="9748" width="15.75" style="161" customWidth="1"/>
    <col min="9749" max="9749" width="1.625" style="161" customWidth="1"/>
    <col min="9750" max="9984" width="9" style="161"/>
    <col min="9985" max="9985" width="1.625" style="161" customWidth="1"/>
    <col min="9986" max="9986" width="9.625" style="161" customWidth="1"/>
    <col min="9987" max="10004" width="15.75" style="161" customWidth="1"/>
    <col min="10005" max="10005" width="1.625" style="161" customWidth="1"/>
    <col min="10006" max="10240" width="9" style="161"/>
    <col min="10241" max="10241" width="1.625" style="161" customWidth="1"/>
    <col min="10242" max="10242" width="9.625" style="161" customWidth="1"/>
    <col min="10243" max="10260" width="15.75" style="161" customWidth="1"/>
    <col min="10261" max="10261" width="1.625" style="161" customWidth="1"/>
    <col min="10262" max="10496" width="9" style="161"/>
    <col min="10497" max="10497" width="1.625" style="161" customWidth="1"/>
    <col min="10498" max="10498" width="9.625" style="161" customWidth="1"/>
    <col min="10499" max="10516" width="15.75" style="161" customWidth="1"/>
    <col min="10517" max="10517" width="1.625" style="161" customWidth="1"/>
    <col min="10518" max="10752" width="9" style="161"/>
    <col min="10753" max="10753" width="1.625" style="161" customWidth="1"/>
    <col min="10754" max="10754" width="9.625" style="161" customWidth="1"/>
    <col min="10755" max="10772" width="15.75" style="161" customWidth="1"/>
    <col min="10773" max="10773" width="1.625" style="161" customWidth="1"/>
    <col min="10774" max="11008" width="9" style="161"/>
    <col min="11009" max="11009" width="1.625" style="161" customWidth="1"/>
    <col min="11010" max="11010" width="9.625" style="161" customWidth="1"/>
    <col min="11011" max="11028" width="15.75" style="161" customWidth="1"/>
    <col min="11029" max="11029" width="1.625" style="161" customWidth="1"/>
    <col min="11030" max="11264" width="9" style="161"/>
    <col min="11265" max="11265" width="1.625" style="161" customWidth="1"/>
    <col min="11266" max="11266" width="9.625" style="161" customWidth="1"/>
    <col min="11267" max="11284" width="15.75" style="161" customWidth="1"/>
    <col min="11285" max="11285" width="1.625" style="161" customWidth="1"/>
    <col min="11286" max="11520" width="9" style="161"/>
    <col min="11521" max="11521" width="1.625" style="161" customWidth="1"/>
    <col min="11522" max="11522" width="9.625" style="161" customWidth="1"/>
    <col min="11523" max="11540" width="15.75" style="161" customWidth="1"/>
    <col min="11541" max="11541" width="1.625" style="161" customWidth="1"/>
    <col min="11542" max="11776" width="9" style="161"/>
    <col min="11777" max="11777" width="1.625" style="161" customWidth="1"/>
    <col min="11778" max="11778" width="9.625" style="161" customWidth="1"/>
    <col min="11779" max="11796" width="15.75" style="161" customWidth="1"/>
    <col min="11797" max="11797" width="1.625" style="161" customWidth="1"/>
    <col min="11798" max="12032" width="9" style="161"/>
    <col min="12033" max="12033" width="1.625" style="161" customWidth="1"/>
    <col min="12034" max="12034" width="9.625" style="161" customWidth="1"/>
    <col min="12035" max="12052" width="15.75" style="161" customWidth="1"/>
    <col min="12053" max="12053" width="1.625" style="161" customWidth="1"/>
    <col min="12054" max="12288" width="9" style="161"/>
    <col min="12289" max="12289" width="1.625" style="161" customWidth="1"/>
    <col min="12290" max="12290" width="9.625" style="161" customWidth="1"/>
    <col min="12291" max="12308" width="15.75" style="161" customWidth="1"/>
    <col min="12309" max="12309" width="1.625" style="161" customWidth="1"/>
    <col min="12310" max="12544" width="9" style="161"/>
    <col min="12545" max="12545" width="1.625" style="161" customWidth="1"/>
    <col min="12546" max="12546" width="9.625" style="161" customWidth="1"/>
    <col min="12547" max="12564" width="15.75" style="161" customWidth="1"/>
    <col min="12565" max="12565" width="1.625" style="161" customWidth="1"/>
    <col min="12566" max="12800" width="9" style="161"/>
    <col min="12801" max="12801" width="1.625" style="161" customWidth="1"/>
    <col min="12802" max="12802" width="9.625" style="161" customWidth="1"/>
    <col min="12803" max="12820" width="15.75" style="161" customWidth="1"/>
    <col min="12821" max="12821" width="1.625" style="161" customWidth="1"/>
    <col min="12822" max="13056" width="9" style="161"/>
    <col min="13057" max="13057" width="1.625" style="161" customWidth="1"/>
    <col min="13058" max="13058" width="9.625" style="161" customWidth="1"/>
    <col min="13059" max="13076" width="15.75" style="161" customWidth="1"/>
    <col min="13077" max="13077" width="1.625" style="161" customWidth="1"/>
    <col min="13078" max="13312" width="9" style="161"/>
    <col min="13313" max="13313" width="1.625" style="161" customWidth="1"/>
    <col min="13314" max="13314" width="9.625" style="161" customWidth="1"/>
    <col min="13315" max="13332" width="15.75" style="161" customWidth="1"/>
    <col min="13333" max="13333" width="1.625" style="161" customWidth="1"/>
    <col min="13334" max="13568" width="9" style="161"/>
    <col min="13569" max="13569" width="1.625" style="161" customWidth="1"/>
    <col min="13570" max="13570" width="9.625" style="161" customWidth="1"/>
    <col min="13571" max="13588" width="15.75" style="161" customWidth="1"/>
    <col min="13589" max="13589" width="1.625" style="161" customWidth="1"/>
    <col min="13590" max="13824" width="9" style="161"/>
    <col min="13825" max="13825" width="1.625" style="161" customWidth="1"/>
    <col min="13826" max="13826" width="9.625" style="161" customWidth="1"/>
    <col min="13827" max="13844" width="15.75" style="161" customWidth="1"/>
    <col min="13845" max="13845" width="1.625" style="161" customWidth="1"/>
    <col min="13846" max="14080" width="9" style="161"/>
    <col min="14081" max="14081" width="1.625" style="161" customWidth="1"/>
    <col min="14082" max="14082" width="9.625" style="161" customWidth="1"/>
    <col min="14083" max="14100" width="15.75" style="161" customWidth="1"/>
    <col min="14101" max="14101" width="1.625" style="161" customWidth="1"/>
    <col min="14102" max="14336" width="9" style="161"/>
    <col min="14337" max="14337" width="1.625" style="161" customWidth="1"/>
    <col min="14338" max="14338" width="9.625" style="161" customWidth="1"/>
    <col min="14339" max="14356" width="15.75" style="161" customWidth="1"/>
    <col min="14357" max="14357" width="1.625" style="161" customWidth="1"/>
    <col min="14358" max="14592" width="9" style="161"/>
    <col min="14593" max="14593" width="1.625" style="161" customWidth="1"/>
    <col min="14594" max="14594" width="9.625" style="161" customWidth="1"/>
    <col min="14595" max="14612" width="15.75" style="161" customWidth="1"/>
    <col min="14613" max="14613" width="1.625" style="161" customWidth="1"/>
    <col min="14614" max="14848" width="9" style="161"/>
    <col min="14849" max="14849" width="1.625" style="161" customWidth="1"/>
    <col min="14850" max="14850" width="9.625" style="161" customWidth="1"/>
    <col min="14851" max="14868" width="15.75" style="161" customWidth="1"/>
    <col min="14869" max="14869" width="1.625" style="161" customWidth="1"/>
    <col min="14870" max="15104" width="9" style="161"/>
    <col min="15105" max="15105" width="1.625" style="161" customWidth="1"/>
    <col min="15106" max="15106" width="9.625" style="161" customWidth="1"/>
    <col min="15107" max="15124" width="15.75" style="161" customWidth="1"/>
    <col min="15125" max="15125" width="1.625" style="161" customWidth="1"/>
    <col min="15126" max="15360" width="9" style="161"/>
    <col min="15361" max="15361" width="1.625" style="161" customWidth="1"/>
    <col min="15362" max="15362" width="9.625" style="161" customWidth="1"/>
    <col min="15363" max="15380" width="15.75" style="161" customWidth="1"/>
    <col min="15381" max="15381" width="1.625" style="161" customWidth="1"/>
    <col min="15382" max="15616" width="9" style="161"/>
    <col min="15617" max="15617" width="1.625" style="161" customWidth="1"/>
    <col min="15618" max="15618" width="9.625" style="161" customWidth="1"/>
    <col min="15619" max="15636" width="15.75" style="161" customWidth="1"/>
    <col min="15637" max="15637" width="1.625" style="161" customWidth="1"/>
    <col min="15638" max="15872" width="9" style="161"/>
    <col min="15873" max="15873" width="1.625" style="161" customWidth="1"/>
    <col min="15874" max="15874" width="9.625" style="161" customWidth="1"/>
    <col min="15875" max="15892" width="15.75" style="161" customWidth="1"/>
    <col min="15893" max="15893" width="1.625" style="161" customWidth="1"/>
    <col min="15894" max="16128" width="9" style="161"/>
    <col min="16129" max="16129" width="1.625" style="161" customWidth="1"/>
    <col min="16130" max="16130" width="9.625" style="161" customWidth="1"/>
    <col min="16131" max="16148" width="15.75" style="161" customWidth="1"/>
    <col min="16149" max="16149" width="1.625" style="161" customWidth="1"/>
    <col min="16150" max="16384" width="9" style="161"/>
  </cols>
  <sheetData>
    <row r="1" spans="2:20" ht="9.9499999999999993" customHeight="1" thickBot="1" x14ac:dyDescent="0.35"/>
    <row r="2" spans="2:20" s="162" customFormat="1" ht="51.95" customHeight="1" thickBot="1" x14ac:dyDescent="0.35">
      <c r="B2" s="460" t="s">
        <v>573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2"/>
    </row>
    <row r="3" spans="2:20" s="164" customFormat="1" ht="36" customHeight="1" thickTop="1" x14ac:dyDescent="0.3">
      <c r="B3" s="163" t="s">
        <v>433</v>
      </c>
      <c r="C3" s="463" t="s">
        <v>726</v>
      </c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4"/>
    </row>
    <row r="4" spans="2:20" s="165" customFormat="1" ht="27.95" customHeight="1" x14ac:dyDescent="0.3">
      <c r="B4" s="455" t="s">
        <v>434</v>
      </c>
      <c r="C4" s="467" t="s">
        <v>574</v>
      </c>
      <c r="D4" s="467"/>
      <c r="E4" s="467"/>
      <c r="F4" s="467" t="s">
        <v>575</v>
      </c>
      <c r="G4" s="467"/>
      <c r="H4" s="467"/>
      <c r="I4" s="467" t="s">
        <v>576</v>
      </c>
      <c r="J4" s="467"/>
      <c r="K4" s="467"/>
      <c r="L4" s="467" t="s">
        <v>577</v>
      </c>
      <c r="M4" s="467"/>
      <c r="N4" s="467"/>
      <c r="O4" s="468" t="s">
        <v>578</v>
      </c>
      <c r="P4" s="468"/>
      <c r="Q4" s="468"/>
      <c r="R4" s="468" t="s">
        <v>579</v>
      </c>
      <c r="S4" s="468"/>
      <c r="T4" s="469"/>
    </row>
    <row r="5" spans="2:20" ht="27.95" customHeight="1" x14ac:dyDescent="0.3">
      <c r="B5" s="456"/>
      <c r="C5" s="200" t="s">
        <v>624</v>
      </c>
      <c r="D5" s="201" t="s">
        <v>625</v>
      </c>
      <c r="E5" s="202" t="s">
        <v>445</v>
      </c>
      <c r="F5" s="203" t="s">
        <v>624</v>
      </c>
      <c r="G5" s="201" t="s">
        <v>625</v>
      </c>
      <c r="H5" s="202" t="s">
        <v>445</v>
      </c>
      <c r="I5" s="203" t="s">
        <v>624</v>
      </c>
      <c r="J5" s="201" t="s">
        <v>625</v>
      </c>
      <c r="K5" s="202" t="s">
        <v>445</v>
      </c>
      <c r="L5" s="203" t="s">
        <v>624</v>
      </c>
      <c r="M5" s="201" t="s">
        <v>625</v>
      </c>
      <c r="N5" s="202" t="s">
        <v>445</v>
      </c>
      <c r="O5" s="203" t="s">
        <v>624</v>
      </c>
      <c r="P5" s="201" t="s">
        <v>625</v>
      </c>
      <c r="Q5" s="202" t="s">
        <v>445</v>
      </c>
      <c r="R5" s="203" t="s">
        <v>624</v>
      </c>
      <c r="S5" s="201" t="s">
        <v>625</v>
      </c>
      <c r="T5" s="204" t="s">
        <v>445</v>
      </c>
    </row>
    <row r="6" spans="2:20" ht="36" customHeight="1" x14ac:dyDescent="0.3">
      <c r="B6" s="169" t="s">
        <v>448</v>
      </c>
      <c r="C6" s="205">
        <v>2.9099998474121094</v>
      </c>
      <c r="D6" s="206">
        <v>64.351997375488281</v>
      </c>
      <c r="E6" s="171">
        <v>1248541</v>
      </c>
      <c r="F6" s="205">
        <v>2.2218749523162842</v>
      </c>
      <c r="G6" s="206">
        <v>117.16799926757813</v>
      </c>
      <c r="H6" s="171">
        <v>1830424</v>
      </c>
      <c r="I6" s="205">
        <v>2.4356248378753662</v>
      </c>
      <c r="J6" s="206">
        <v>27.820999145507813</v>
      </c>
      <c r="K6" s="171">
        <v>994003</v>
      </c>
      <c r="L6" s="205">
        <v>2.1168749332427979</v>
      </c>
      <c r="M6" s="206">
        <v>30.50140380859375</v>
      </c>
      <c r="N6" s="171">
        <v>1088661</v>
      </c>
      <c r="O6" s="205">
        <v>2.0981249809265137</v>
      </c>
      <c r="P6" s="206">
        <v>26.576999664306641</v>
      </c>
      <c r="Q6" s="171">
        <v>637256</v>
      </c>
      <c r="R6" s="205">
        <v>0</v>
      </c>
      <c r="S6" s="206">
        <v>0</v>
      </c>
      <c r="T6" s="172">
        <v>0</v>
      </c>
    </row>
    <row r="7" spans="2:20" ht="36" customHeight="1" x14ac:dyDescent="0.3">
      <c r="B7" s="173" t="s">
        <v>449</v>
      </c>
      <c r="C7" s="207">
        <v>3.0318748950958252</v>
      </c>
      <c r="D7" s="208">
        <v>60.506999969482422</v>
      </c>
      <c r="E7" s="175">
        <v>1248601</v>
      </c>
      <c r="F7" s="207">
        <v>2.3324999809265137</v>
      </c>
      <c r="G7" s="208">
        <v>100.76899719238281</v>
      </c>
      <c r="H7" s="175">
        <v>1830531</v>
      </c>
      <c r="I7" s="207">
        <v>2.5256249904632568</v>
      </c>
      <c r="J7" s="208">
        <v>23.75</v>
      </c>
      <c r="K7" s="175">
        <v>994028</v>
      </c>
      <c r="L7" s="207">
        <v>2.182499885559082</v>
      </c>
      <c r="M7" s="208">
        <v>24.098276138305664</v>
      </c>
      <c r="N7" s="175">
        <v>1088682</v>
      </c>
      <c r="O7" s="207">
        <v>2.1206250190734863</v>
      </c>
      <c r="P7" s="208">
        <v>24.201999664306641</v>
      </c>
      <c r="Q7" s="175">
        <v>637281</v>
      </c>
      <c r="R7" s="207">
        <v>0</v>
      </c>
      <c r="S7" s="208">
        <v>0</v>
      </c>
      <c r="T7" s="176">
        <v>0</v>
      </c>
    </row>
    <row r="8" spans="2:20" ht="36" customHeight="1" x14ac:dyDescent="0.3">
      <c r="B8" s="173" t="s">
        <v>450</v>
      </c>
      <c r="C8" s="207">
        <v>3.0750000476837158</v>
      </c>
      <c r="D8" s="208">
        <v>53.833999633789063</v>
      </c>
      <c r="E8" s="175">
        <v>1248660</v>
      </c>
      <c r="F8" s="207">
        <v>2.3550000190734863</v>
      </c>
      <c r="G8" s="208">
        <v>101.22200012207031</v>
      </c>
      <c r="H8" s="175">
        <v>1830632</v>
      </c>
      <c r="I8" s="207">
        <v>2.5462498664855957</v>
      </c>
      <c r="J8" s="208">
        <v>16.85099983215332</v>
      </c>
      <c r="K8" s="175">
        <v>994052</v>
      </c>
      <c r="L8" s="207">
        <v>2.2049999237060547</v>
      </c>
      <c r="M8" s="208">
        <v>13.678354263305664</v>
      </c>
      <c r="N8" s="175">
        <v>1088695</v>
      </c>
      <c r="O8" s="207">
        <v>2.1318750381469727</v>
      </c>
      <c r="P8" s="208">
        <v>24.201999664306641</v>
      </c>
      <c r="Q8" s="175">
        <v>637304</v>
      </c>
      <c r="R8" s="207">
        <v>0</v>
      </c>
      <c r="S8" s="208">
        <v>0</v>
      </c>
      <c r="T8" s="176">
        <v>0</v>
      </c>
    </row>
    <row r="9" spans="2:20" ht="36" customHeight="1" x14ac:dyDescent="0.3">
      <c r="B9" s="173" t="s">
        <v>451</v>
      </c>
      <c r="C9" s="207">
        <v>3.086249828338623</v>
      </c>
      <c r="D9" s="208">
        <v>50.215000152587891</v>
      </c>
      <c r="E9" s="175">
        <v>1248713</v>
      </c>
      <c r="F9" s="207">
        <v>2.377500057220459</v>
      </c>
      <c r="G9" s="208">
        <v>96.810997009277344</v>
      </c>
      <c r="H9" s="175">
        <v>1830731</v>
      </c>
      <c r="I9" s="207">
        <v>2.557499885559082</v>
      </c>
      <c r="J9" s="208">
        <v>32.006000518798828</v>
      </c>
      <c r="K9" s="175">
        <v>994075</v>
      </c>
      <c r="L9" s="207">
        <v>2.216249942779541</v>
      </c>
      <c r="M9" s="208">
        <v>0</v>
      </c>
      <c r="N9" s="175">
        <v>1088702</v>
      </c>
      <c r="O9" s="207">
        <v>2.1318750381469727</v>
      </c>
      <c r="P9" s="208">
        <v>19.677999496459961</v>
      </c>
      <c r="Q9" s="175">
        <v>637324</v>
      </c>
      <c r="R9" s="207">
        <v>0</v>
      </c>
      <c r="S9" s="208">
        <v>0</v>
      </c>
      <c r="T9" s="176">
        <v>0</v>
      </c>
    </row>
    <row r="10" spans="2:20" ht="36" customHeight="1" x14ac:dyDescent="0.3">
      <c r="B10" s="173" t="s">
        <v>452</v>
      </c>
      <c r="C10" s="207">
        <v>3.086249828338623</v>
      </c>
      <c r="D10" s="208">
        <v>52.137001037597656</v>
      </c>
      <c r="E10" s="175">
        <v>1248767</v>
      </c>
      <c r="F10" s="207">
        <v>2.3999998569488525</v>
      </c>
      <c r="G10" s="208">
        <v>96.018997192382813</v>
      </c>
      <c r="H10" s="175">
        <v>1830827</v>
      </c>
      <c r="I10" s="207">
        <v>2.5799999237060547</v>
      </c>
      <c r="J10" s="208">
        <v>39.131000518798828</v>
      </c>
      <c r="K10" s="175">
        <v>994100</v>
      </c>
      <c r="L10" s="207">
        <v>2.2387499809265137</v>
      </c>
      <c r="M10" s="208">
        <v>0</v>
      </c>
      <c r="N10" s="175">
        <v>1088707</v>
      </c>
      <c r="O10" s="207">
        <v>2.1318750381469727</v>
      </c>
      <c r="P10" s="208">
        <v>18.208000183105469</v>
      </c>
      <c r="Q10" s="175">
        <v>637344</v>
      </c>
      <c r="R10" s="207">
        <v>0</v>
      </c>
      <c r="S10" s="208">
        <v>0</v>
      </c>
      <c r="T10" s="176">
        <v>0</v>
      </c>
    </row>
    <row r="11" spans="2:20" ht="36" customHeight="1" x14ac:dyDescent="0.3">
      <c r="B11" s="173" t="s">
        <v>453</v>
      </c>
      <c r="C11" s="207">
        <v>3.1631250381469727</v>
      </c>
      <c r="D11" s="208">
        <v>57.452999114990234</v>
      </c>
      <c r="E11" s="175">
        <v>1248821</v>
      </c>
      <c r="F11" s="207">
        <v>2.4543750286102295</v>
      </c>
      <c r="G11" s="208">
        <v>98.167999267578125</v>
      </c>
      <c r="H11" s="175">
        <v>1830925</v>
      </c>
      <c r="I11" s="207">
        <v>2.6137499809265137</v>
      </c>
      <c r="J11" s="208">
        <v>21.488000869750977</v>
      </c>
      <c r="K11" s="175">
        <v>994132</v>
      </c>
      <c r="L11" s="207">
        <v>2.2818748950958252</v>
      </c>
      <c r="M11" s="208">
        <v>13.553681373596191</v>
      </c>
      <c r="N11" s="175">
        <v>1088710</v>
      </c>
      <c r="O11" s="207">
        <v>2.143125057220459</v>
      </c>
      <c r="P11" s="208">
        <v>20.469999313354492</v>
      </c>
      <c r="Q11" s="175">
        <v>637362</v>
      </c>
      <c r="R11" s="207">
        <v>0</v>
      </c>
      <c r="S11" s="208">
        <v>0</v>
      </c>
      <c r="T11" s="176">
        <v>0</v>
      </c>
    </row>
    <row r="12" spans="2:20" ht="36" customHeight="1" x14ac:dyDescent="0.3">
      <c r="B12" s="173" t="s">
        <v>454</v>
      </c>
      <c r="C12" s="207">
        <v>3.0318748950958252</v>
      </c>
      <c r="D12" s="208">
        <v>58.696998596191406</v>
      </c>
      <c r="E12" s="175">
        <v>1248878</v>
      </c>
      <c r="F12" s="207">
        <v>2.34375</v>
      </c>
      <c r="G12" s="208">
        <v>98.280998229980469</v>
      </c>
      <c r="H12" s="175">
        <v>1831023</v>
      </c>
      <c r="I12" s="207">
        <v>2.557499885559082</v>
      </c>
      <c r="J12" s="208">
        <v>27.934999465942383</v>
      </c>
      <c r="K12" s="175">
        <v>994164</v>
      </c>
      <c r="L12" s="207">
        <v>2.2049999237060547</v>
      </c>
      <c r="M12" s="208">
        <v>11.908266067504883</v>
      </c>
      <c r="N12" s="175">
        <v>1088716</v>
      </c>
      <c r="O12" s="207">
        <v>2.1206250190734863</v>
      </c>
      <c r="P12" s="208">
        <v>20.809000015258789</v>
      </c>
      <c r="Q12" s="175">
        <v>637382</v>
      </c>
      <c r="R12" s="207">
        <v>0</v>
      </c>
      <c r="S12" s="208">
        <v>0</v>
      </c>
      <c r="T12" s="176">
        <v>0</v>
      </c>
    </row>
    <row r="13" spans="2:20" ht="36" customHeight="1" x14ac:dyDescent="0.3">
      <c r="B13" s="173" t="s">
        <v>455</v>
      </c>
      <c r="C13" s="207">
        <v>3.0974998474121094</v>
      </c>
      <c r="D13" s="208">
        <v>57.679000854492188</v>
      </c>
      <c r="E13" s="175">
        <v>1248937</v>
      </c>
      <c r="F13" s="207">
        <v>2.3887498378753662</v>
      </c>
      <c r="G13" s="208">
        <v>105.74600219726563</v>
      </c>
      <c r="H13" s="175">
        <v>1831124</v>
      </c>
      <c r="I13" s="207">
        <v>2.5799999237060547</v>
      </c>
      <c r="J13" s="208">
        <v>38.339000701904297</v>
      </c>
      <c r="K13" s="175">
        <v>994192</v>
      </c>
      <c r="L13" s="207">
        <v>2.216249942779541</v>
      </c>
      <c r="M13" s="208">
        <v>13.919211387634277</v>
      </c>
      <c r="N13" s="175">
        <v>1088728</v>
      </c>
      <c r="O13" s="207">
        <v>2.1318750381469727</v>
      </c>
      <c r="P13" s="208">
        <v>22.618999481201172</v>
      </c>
      <c r="Q13" s="175">
        <v>637404</v>
      </c>
      <c r="R13" s="207">
        <v>0</v>
      </c>
      <c r="S13" s="208">
        <v>0</v>
      </c>
      <c r="T13" s="176">
        <v>0</v>
      </c>
    </row>
    <row r="14" spans="2:20" ht="36" customHeight="1" x14ac:dyDescent="0.3">
      <c r="B14" s="173" t="s">
        <v>456</v>
      </c>
      <c r="C14" s="207">
        <v>2.953125</v>
      </c>
      <c r="D14" s="208">
        <v>71.13800048828125</v>
      </c>
      <c r="E14" s="175">
        <v>1249003</v>
      </c>
      <c r="F14" s="207">
        <v>2.2556250095367432</v>
      </c>
      <c r="G14" s="208">
        <v>109.81700134277344</v>
      </c>
      <c r="H14" s="175">
        <v>1831229</v>
      </c>
      <c r="I14" s="207">
        <v>2.4806249141693115</v>
      </c>
      <c r="J14" s="208">
        <v>37.660999298095703</v>
      </c>
      <c r="K14" s="175">
        <v>994226</v>
      </c>
      <c r="L14" s="207">
        <v>2.1393749713897705</v>
      </c>
      <c r="M14" s="208">
        <v>35.999652862548828</v>
      </c>
      <c r="N14" s="175">
        <v>1088753</v>
      </c>
      <c r="O14" s="207">
        <v>2.0981249809265137</v>
      </c>
      <c r="P14" s="208">
        <v>29.065999984741211</v>
      </c>
      <c r="Q14" s="175">
        <v>637429</v>
      </c>
      <c r="R14" s="207">
        <v>0</v>
      </c>
      <c r="S14" s="208">
        <v>0</v>
      </c>
      <c r="T14" s="176">
        <v>0</v>
      </c>
    </row>
    <row r="15" spans="2:20" ht="36" customHeight="1" x14ac:dyDescent="0.3">
      <c r="B15" s="173" t="s">
        <v>457</v>
      </c>
      <c r="C15" s="207">
        <v>2.898749828338623</v>
      </c>
      <c r="D15" s="208">
        <v>86.405998229980469</v>
      </c>
      <c r="E15" s="175">
        <v>1249082</v>
      </c>
      <c r="F15" s="207">
        <v>2.2106249332427979</v>
      </c>
      <c r="G15" s="208">
        <v>115.47200012207031</v>
      </c>
      <c r="H15" s="175">
        <v>1831343</v>
      </c>
      <c r="I15" s="207">
        <v>2.4262499809265137</v>
      </c>
      <c r="J15" s="208">
        <v>45.577999114990234</v>
      </c>
      <c r="K15" s="175">
        <v>994266</v>
      </c>
      <c r="L15" s="207">
        <v>2.0831248760223389</v>
      </c>
      <c r="M15" s="208">
        <v>55.44842529296875</v>
      </c>
      <c r="N15" s="175">
        <v>1088797</v>
      </c>
      <c r="O15" s="207">
        <v>2.0981249809265137</v>
      </c>
      <c r="P15" s="208">
        <v>34.720001220703125</v>
      </c>
      <c r="Q15" s="175">
        <v>637460</v>
      </c>
      <c r="R15" s="207">
        <v>0</v>
      </c>
      <c r="S15" s="208">
        <v>0</v>
      </c>
      <c r="T15" s="176">
        <v>0</v>
      </c>
    </row>
    <row r="16" spans="2:20" ht="36" customHeight="1" x14ac:dyDescent="0.3">
      <c r="B16" s="173" t="s">
        <v>458</v>
      </c>
      <c r="C16" s="207">
        <v>2.744999885559082</v>
      </c>
      <c r="D16" s="208">
        <v>89.233001708984375</v>
      </c>
      <c r="E16" s="175">
        <v>1249169</v>
      </c>
      <c r="F16" s="207">
        <v>2.0568749904632568</v>
      </c>
      <c r="G16" s="208">
        <v>125.31099700927734</v>
      </c>
      <c r="H16" s="175">
        <v>1831465</v>
      </c>
      <c r="I16" s="207">
        <v>2.2931249141693115</v>
      </c>
      <c r="J16" s="208">
        <v>40.487998962402344</v>
      </c>
      <c r="K16" s="175">
        <v>994308</v>
      </c>
      <c r="L16" s="207">
        <v>1.9406249523162842</v>
      </c>
      <c r="M16" s="208">
        <v>79.659164428710938</v>
      </c>
      <c r="N16" s="175">
        <v>1088855</v>
      </c>
      <c r="O16" s="207">
        <v>2.075624942779541</v>
      </c>
      <c r="P16" s="208">
        <v>49.988998413085938</v>
      </c>
      <c r="Q16" s="175">
        <v>637501</v>
      </c>
      <c r="R16" s="207">
        <v>0</v>
      </c>
      <c r="S16" s="208">
        <v>0</v>
      </c>
      <c r="T16" s="176">
        <v>0</v>
      </c>
    </row>
    <row r="17" spans="2:20" ht="36" customHeight="1" x14ac:dyDescent="0.3">
      <c r="B17" s="173" t="s">
        <v>459</v>
      </c>
      <c r="C17" s="207">
        <v>2.7993748188018799</v>
      </c>
      <c r="D17" s="208">
        <v>83.805000305175781</v>
      </c>
      <c r="E17" s="175">
        <v>1249253</v>
      </c>
      <c r="F17" s="207">
        <v>2.1112499237060547</v>
      </c>
      <c r="G17" s="208">
        <v>123.16300201416016</v>
      </c>
      <c r="H17" s="175">
        <v>1831593</v>
      </c>
      <c r="I17" s="207">
        <v>2.3474998474121094</v>
      </c>
      <c r="J17" s="208">
        <v>42.976001739501953</v>
      </c>
      <c r="K17" s="175">
        <v>994352</v>
      </c>
      <c r="L17" s="207">
        <v>2.0174999237060547</v>
      </c>
      <c r="M17" s="208">
        <v>53.066715240478516</v>
      </c>
      <c r="N17" s="175">
        <v>1088931</v>
      </c>
      <c r="O17" s="207">
        <v>2.1206250190734863</v>
      </c>
      <c r="P17" s="208">
        <v>45.916999816894531</v>
      </c>
      <c r="Q17" s="175">
        <v>637550</v>
      </c>
      <c r="R17" s="207">
        <v>0</v>
      </c>
      <c r="S17" s="208">
        <v>0</v>
      </c>
      <c r="T17" s="176">
        <v>0</v>
      </c>
    </row>
    <row r="18" spans="2:20" ht="36" customHeight="1" x14ac:dyDescent="0.3">
      <c r="B18" s="173" t="s">
        <v>460</v>
      </c>
      <c r="C18" s="207">
        <v>2.8218748569488525</v>
      </c>
      <c r="D18" s="208">
        <v>80.863998413085938</v>
      </c>
      <c r="E18" s="175">
        <v>1249335</v>
      </c>
      <c r="F18" s="207">
        <v>2.1449999809265137</v>
      </c>
      <c r="G18" s="208">
        <v>127.68599700927734</v>
      </c>
      <c r="H18" s="175">
        <v>1831719</v>
      </c>
      <c r="I18" s="207">
        <v>2.3587498664855957</v>
      </c>
      <c r="J18" s="208">
        <v>43.768001556396484</v>
      </c>
      <c r="K18" s="175">
        <v>994400</v>
      </c>
      <c r="L18" s="207">
        <v>2.028749942779541</v>
      </c>
      <c r="M18" s="208">
        <v>45.944660186767578</v>
      </c>
      <c r="N18" s="175">
        <v>1088982</v>
      </c>
      <c r="O18" s="207">
        <v>2.1862499713897705</v>
      </c>
      <c r="P18" s="208">
        <v>40.715000152587891</v>
      </c>
      <c r="Q18" s="175">
        <v>637594</v>
      </c>
      <c r="R18" s="207">
        <v>0</v>
      </c>
      <c r="S18" s="208">
        <v>0</v>
      </c>
      <c r="T18" s="176">
        <v>0</v>
      </c>
    </row>
    <row r="19" spans="2:20" ht="36" customHeight="1" x14ac:dyDescent="0.3">
      <c r="B19" s="173" t="s">
        <v>461</v>
      </c>
      <c r="C19" s="207">
        <v>2.7881250381469727</v>
      </c>
      <c r="D19" s="208">
        <v>74.417999267578125</v>
      </c>
      <c r="E19" s="175">
        <v>1249417</v>
      </c>
      <c r="F19" s="207">
        <v>2.122499942779541</v>
      </c>
      <c r="G19" s="208">
        <v>121.57900238037109</v>
      </c>
      <c r="H19" s="175">
        <v>1831844</v>
      </c>
      <c r="I19" s="207">
        <v>2.3474998474121094</v>
      </c>
      <c r="J19" s="208">
        <v>52.816001892089844</v>
      </c>
      <c r="K19" s="175">
        <v>994450</v>
      </c>
      <c r="L19" s="207">
        <v>2.0174999237060547</v>
      </c>
      <c r="M19" s="208">
        <v>53.847164154052734</v>
      </c>
      <c r="N19" s="175">
        <v>1089031</v>
      </c>
      <c r="O19" s="207">
        <v>2.2856249809265137</v>
      </c>
      <c r="P19" s="208">
        <v>35.173000335693359</v>
      </c>
      <c r="Q19" s="175">
        <v>637634</v>
      </c>
      <c r="R19" s="207">
        <v>0</v>
      </c>
      <c r="S19" s="208">
        <v>0</v>
      </c>
      <c r="T19" s="176">
        <v>0</v>
      </c>
    </row>
    <row r="20" spans="2:20" ht="36" customHeight="1" x14ac:dyDescent="0.3">
      <c r="B20" s="173" t="s">
        <v>462</v>
      </c>
      <c r="C20" s="207">
        <v>2.8443748950958252</v>
      </c>
      <c r="D20" s="208">
        <v>78.8280029296875</v>
      </c>
      <c r="E20" s="175">
        <v>1249497</v>
      </c>
      <c r="F20" s="207">
        <v>2.15625</v>
      </c>
      <c r="G20" s="208">
        <v>122.14499664306641</v>
      </c>
      <c r="H20" s="175">
        <v>1831967</v>
      </c>
      <c r="I20" s="207">
        <v>2.403749942779541</v>
      </c>
      <c r="J20" s="208">
        <v>43.654998779296875</v>
      </c>
      <c r="K20" s="175">
        <v>994497</v>
      </c>
      <c r="L20" s="207">
        <v>2.0512499809265137</v>
      </c>
      <c r="M20" s="208">
        <v>48.48016357421875</v>
      </c>
      <c r="N20" s="175">
        <v>1089081</v>
      </c>
      <c r="O20" s="207">
        <v>2.429999828338623</v>
      </c>
      <c r="P20" s="208">
        <v>36.304000854492188</v>
      </c>
      <c r="Q20" s="175">
        <v>637669</v>
      </c>
      <c r="R20" s="207">
        <v>0</v>
      </c>
      <c r="S20" s="208">
        <v>0</v>
      </c>
      <c r="T20" s="176">
        <v>0</v>
      </c>
    </row>
    <row r="21" spans="2:20" ht="36" customHeight="1" x14ac:dyDescent="0.3">
      <c r="B21" s="173" t="s">
        <v>463</v>
      </c>
      <c r="C21" s="207">
        <v>2.8537499904632568</v>
      </c>
      <c r="D21" s="208">
        <v>80.525001525878906</v>
      </c>
      <c r="E21" s="175">
        <v>1249579</v>
      </c>
      <c r="F21" s="207">
        <v>2.1787500381469727</v>
      </c>
      <c r="G21" s="208">
        <v>120.33499908447266</v>
      </c>
      <c r="H21" s="175">
        <v>1832090</v>
      </c>
      <c r="I21" s="207">
        <v>2.4149999618530273</v>
      </c>
      <c r="J21" s="208">
        <v>45.577999114990234</v>
      </c>
      <c r="K21" s="175">
        <v>994540</v>
      </c>
      <c r="L21" s="207">
        <v>2.0718748569488525</v>
      </c>
      <c r="M21" s="208">
        <v>44.759662628173828</v>
      </c>
      <c r="N21" s="175">
        <v>1089126</v>
      </c>
      <c r="O21" s="207">
        <v>2.4524998664855957</v>
      </c>
      <c r="P21" s="208">
        <v>33.816001892089844</v>
      </c>
      <c r="Q21" s="175">
        <v>637703</v>
      </c>
      <c r="R21" s="207">
        <v>0</v>
      </c>
      <c r="S21" s="208">
        <v>0</v>
      </c>
      <c r="T21" s="176">
        <v>0</v>
      </c>
    </row>
    <row r="22" spans="2:20" ht="36" customHeight="1" x14ac:dyDescent="0.3">
      <c r="B22" s="173" t="s">
        <v>464</v>
      </c>
      <c r="C22" s="207">
        <v>2.8762500286102295</v>
      </c>
      <c r="D22" s="208">
        <v>76.679000854492188</v>
      </c>
      <c r="E22" s="175">
        <v>1249657</v>
      </c>
      <c r="F22" s="207">
        <v>2.1787500381469727</v>
      </c>
      <c r="G22" s="208">
        <v>121.12699890136719</v>
      </c>
      <c r="H22" s="175">
        <v>1832212</v>
      </c>
      <c r="I22" s="207">
        <v>2.4149999618530273</v>
      </c>
      <c r="J22" s="208">
        <v>38.226001739501953</v>
      </c>
      <c r="K22" s="175">
        <v>994582</v>
      </c>
      <c r="L22" s="207">
        <v>2.0831248760223389</v>
      </c>
      <c r="M22" s="208">
        <v>43.362861633300781</v>
      </c>
      <c r="N22" s="175">
        <v>1089172</v>
      </c>
      <c r="O22" s="207">
        <v>2.463749885559082</v>
      </c>
      <c r="P22" s="208">
        <v>35.512001037597656</v>
      </c>
      <c r="Q22" s="175">
        <v>637737</v>
      </c>
      <c r="R22" s="207">
        <v>0</v>
      </c>
      <c r="S22" s="208">
        <v>0</v>
      </c>
      <c r="T22" s="176">
        <v>0</v>
      </c>
    </row>
    <row r="23" spans="2:20" ht="36" customHeight="1" x14ac:dyDescent="0.3">
      <c r="B23" s="173" t="s">
        <v>465</v>
      </c>
      <c r="C23" s="207">
        <v>2.8650000095367432</v>
      </c>
      <c r="D23" s="208">
        <v>80.071998596191406</v>
      </c>
      <c r="E23" s="175">
        <v>1249734</v>
      </c>
      <c r="F23" s="207">
        <v>2.1787500381469727</v>
      </c>
      <c r="G23" s="208">
        <v>123.38899993896484</v>
      </c>
      <c r="H23" s="175">
        <v>1832337</v>
      </c>
      <c r="I23" s="207">
        <v>2.403749942779541</v>
      </c>
      <c r="J23" s="208">
        <v>47.5</v>
      </c>
      <c r="K23" s="175">
        <v>994621</v>
      </c>
      <c r="L23" s="207">
        <v>2.0512499809265137</v>
      </c>
      <c r="M23" s="208">
        <v>54.958396911621094</v>
      </c>
      <c r="N23" s="175">
        <v>1089220</v>
      </c>
      <c r="O23" s="207">
        <v>2.3756248950958252</v>
      </c>
      <c r="P23" s="208">
        <v>32.006000518798828</v>
      </c>
      <c r="Q23" s="175">
        <v>637771</v>
      </c>
      <c r="R23" s="207">
        <v>0</v>
      </c>
      <c r="S23" s="208">
        <v>0</v>
      </c>
      <c r="T23" s="176">
        <v>0</v>
      </c>
    </row>
    <row r="24" spans="2:20" ht="36" customHeight="1" x14ac:dyDescent="0.3">
      <c r="B24" s="173" t="s">
        <v>466</v>
      </c>
      <c r="C24" s="207">
        <v>2.7337498664855957</v>
      </c>
      <c r="D24" s="208">
        <v>80.071998596191406</v>
      </c>
      <c r="E24" s="175">
        <v>1249811</v>
      </c>
      <c r="F24" s="207">
        <v>2.0568749904632568</v>
      </c>
      <c r="G24" s="208">
        <v>129.04400634765625</v>
      </c>
      <c r="H24" s="175">
        <v>1832465</v>
      </c>
      <c r="I24" s="207">
        <v>2.2818748950958252</v>
      </c>
      <c r="J24" s="208">
        <v>42.75</v>
      </c>
      <c r="K24" s="175">
        <v>994665</v>
      </c>
      <c r="L24" s="207">
        <v>1.9293749332427979</v>
      </c>
      <c r="M24" s="208">
        <v>85.7958984375</v>
      </c>
      <c r="N24" s="175">
        <v>1089280</v>
      </c>
      <c r="O24" s="207">
        <v>2.2743749618530273</v>
      </c>
      <c r="P24" s="208">
        <v>35.737998962402344</v>
      </c>
      <c r="Q24" s="175">
        <v>637803</v>
      </c>
      <c r="R24" s="207">
        <v>0</v>
      </c>
      <c r="S24" s="208">
        <v>0</v>
      </c>
      <c r="T24" s="176">
        <v>0</v>
      </c>
    </row>
    <row r="25" spans="2:20" ht="36" customHeight="1" x14ac:dyDescent="0.3">
      <c r="B25" s="173" t="s">
        <v>467</v>
      </c>
      <c r="C25" s="207">
        <v>2.7562499046325684</v>
      </c>
      <c r="D25" s="208">
        <v>83.5780029296875</v>
      </c>
      <c r="E25" s="175">
        <v>1249896</v>
      </c>
      <c r="F25" s="207">
        <v>2.0793750286102295</v>
      </c>
      <c r="G25" s="208">
        <v>122.59700012207031</v>
      </c>
      <c r="H25" s="175">
        <v>1832594</v>
      </c>
      <c r="I25" s="207">
        <v>2.3156249523162842</v>
      </c>
      <c r="J25" s="208">
        <v>48.858001708984375</v>
      </c>
      <c r="K25" s="175">
        <v>994712</v>
      </c>
      <c r="L25" s="207">
        <v>1.9724999666213989</v>
      </c>
      <c r="M25" s="208">
        <v>60.254543304443359</v>
      </c>
      <c r="N25" s="175">
        <v>1089364</v>
      </c>
      <c r="O25" s="207">
        <v>2.1974999904632568</v>
      </c>
      <c r="P25" s="208">
        <v>44.673000335693359</v>
      </c>
      <c r="Q25" s="175">
        <v>637843</v>
      </c>
      <c r="R25" s="207">
        <v>0</v>
      </c>
      <c r="S25" s="208">
        <v>0</v>
      </c>
      <c r="T25" s="176">
        <v>0</v>
      </c>
    </row>
    <row r="26" spans="2:20" ht="36" customHeight="1" x14ac:dyDescent="0.3">
      <c r="B26" s="173" t="s">
        <v>468</v>
      </c>
      <c r="C26" s="207">
        <v>2.765625</v>
      </c>
      <c r="D26" s="208">
        <v>84.708999633789063</v>
      </c>
      <c r="E26" s="175">
        <v>1249979</v>
      </c>
      <c r="F26" s="207">
        <v>2.0793750286102295</v>
      </c>
      <c r="G26" s="208">
        <v>125.31099700927734</v>
      </c>
      <c r="H26" s="175">
        <v>1832722</v>
      </c>
      <c r="I26" s="207">
        <v>2.3043749332427979</v>
      </c>
      <c r="J26" s="208">
        <v>45.804000854492188</v>
      </c>
      <c r="K26" s="175">
        <v>994756</v>
      </c>
      <c r="L26" s="207">
        <v>1.9724999666213989</v>
      </c>
      <c r="M26" s="208">
        <v>49.142875671386719</v>
      </c>
      <c r="N26" s="175">
        <v>1089422</v>
      </c>
      <c r="O26" s="207">
        <v>2.1318750381469727</v>
      </c>
      <c r="P26" s="208">
        <v>48.179000854492188</v>
      </c>
      <c r="Q26" s="175">
        <v>637889</v>
      </c>
      <c r="R26" s="207">
        <v>0</v>
      </c>
      <c r="S26" s="208">
        <v>0</v>
      </c>
      <c r="T26" s="176">
        <v>0</v>
      </c>
    </row>
    <row r="27" spans="2:20" ht="36" customHeight="1" x14ac:dyDescent="0.3">
      <c r="B27" s="173" t="s">
        <v>469</v>
      </c>
      <c r="C27" s="207">
        <v>2.8331248760223389</v>
      </c>
      <c r="D27" s="208">
        <v>75.662002563476563</v>
      </c>
      <c r="E27" s="175">
        <v>1250059</v>
      </c>
      <c r="F27" s="207">
        <v>2.1449999809265137</v>
      </c>
      <c r="G27" s="208">
        <v>120.22200012207031</v>
      </c>
      <c r="H27" s="175">
        <v>1832847</v>
      </c>
      <c r="I27" s="207">
        <v>2.3587498664855957</v>
      </c>
      <c r="J27" s="208">
        <v>37.887001037597656</v>
      </c>
      <c r="K27" s="175">
        <v>994798</v>
      </c>
      <c r="L27" s="207">
        <v>2.0174999237060547</v>
      </c>
      <c r="M27" s="208">
        <v>55.076328277587891</v>
      </c>
      <c r="N27" s="175">
        <v>1089475</v>
      </c>
      <c r="O27" s="207">
        <v>2.1656248569488525</v>
      </c>
      <c r="P27" s="208">
        <v>32.798000335693359</v>
      </c>
      <c r="Q27" s="175">
        <v>637930</v>
      </c>
      <c r="R27" s="207">
        <v>0</v>
      </c>
      <c r="S27" s="208">
        <v>0</v>
      </c>
      <c r="T27" s="176">
        <v>0</v>
      </c>
    </row>
    <row r="28" spans="2:20" ht="36" customHeight="1" x14ac:dyDescent="0.3">
      <c r="B28" s="173" t="s">
        <v>470</v>
      </c>
      <c r="C28" s="207">
        <v>2.8537499904632568</v>
      </c>
      <c r="D28" s="208">
        <v>71.13800048828125</v>
      </c>
      <c r="E28" s="175">
        <v>1250136</v>
      </c>
      <c r="F28" s="207">
        <v>2.1787500381469727</v>
      </c>
      <c r="G28" s="208">
        <v>118.5260009765625</v>
      </c>
      <c r="H28" s="175">
        <v>1832967</v>
      </c>
      <c r="I28" s="207">
        <v>2.3924999237060547</v>
      </c>
      <c r="J28" s="208">
        <v>35.737998962402344</v>
      </c>
      <c r="K28" s="175">
        <v>994837</v>
      </c>
      <c r="L28" s="207">
        <v>2.0606248378753662</v>
      </c>
      <c r="M28" s="208">
        <v>40.165359497070313</v>
      </c>
      <c r="N28" s="175">
        <v>1089521</v>
      </c>
      <c r="O28" s="207">
        <v>2.1656248569488525</v>
      </c>
      <c r="P28" s="208">
        <v>31.214000701904297</v>
      </c>
      <c r="Q28" s="175">
        <v>637963</v>
      </c>
      <c r="R28" s="207">
        <v>0</v>
      </c>
      <c r="S28" s="208">
        <v>0</v>
      </c>
      <c r="T28" s="176">
        <v>0</v>
      </c>
    </row>
    <row r="29" spans="2:20" ht="36" customHeight="1" thickBot="1" x14ac:dyDescent="0.35">
      <c r="B29" s="177" t="s">
        <v>471</v>
      </c>
      <c r="C29" s="209">
        <v>2.9212498664855957</v>
      </c>
      <c r="D29" s="210">
        <v>72.946998596191406</v>
      </c>
      <c r="E29" s="179">
        <v>1250208</v>
      </c>
      <c r="F29" s="209">
        <v>2.2218749523162842</v>
      </c>
      <c r="G29" s="210">
        <v>115.697998046875</v>
      </c>
      <c r="H29" s="179">
        <v>1833085</v>
      </c>
      <c r="I29" s="209">
        <v>2.4356248378753662</v>
      </c>
      <c r="J29" s="210">
        <v>28.72599983215332</v>
      </c>
      <c r="K29" s="179">
        <v>994872</v>
      </c>
      <c r="L29" s="209">
        <v>2.0943748950958252</v>
      </c>
      <c r="M29" s="210">
        <v>39.482135772705078</v>
      </c>
      <c r="N29" s="179">
        <v>1089556</v>
      </c>
      <c r="O29" s="209">
        <v>2.1656248569488525</v>
      </c>
      <c r="P29" s="210">
        <v>29.631000518798828</v>
      </c>
      <c r="Q29" s="179">
        <v>637994</v>
      </c>
      <c r="R29" s="209">
        <v>0</v>
      </c>
      <c r="S29" s="210">
        <v>0</v>
      </c>
      <c r="T29" s="180">
        <v>0</v>
      </c>
    </row>
    <row r="30" spans="2:20" ht="36" customHeight="1" thickTop="1" x14ac:dyDescent="0.3">
      <c r="B30" s="181" t="s">
        <v>472</v>
      </c>
      <c r="C30" s="211">
        <f t="shared" ref="C30" si="0">MIN(C6:C29)</f>
        <v>2.7337498664855957</v>
      </c>
      <c r="D30" s="212">
        <f>MIN(D6:D29)</f>
        <v>50.215000152587891</v>
      </c>
      <c r="E30" s="213">
        <f t="shared" ref="E30:F30" si="1">MIN(E6:E29)</f>
        <v>1248541</v>
      </c>
      <c r="F30" s="211">
        <f t="shared" si="1"/>
        <v>2.0568749904632568</v>
      </c>
      <c r="G30" s="212">
        <f>MIN(G6:G29)</f>
        <v>96.018997192382813</v>
      </c>
      <c r="H30" s="213">
        <f t="shared" ref="H30:I30" si="2">MIN(H6:H29)</f>
        <v>1830424</v>
      </c>
      <c r="I30" s="211">
        <f t="shared" si="2"/>
        <v>2.2818748950958252</v>
      </c>
      <c r="J30" s="212">
        <f>MIN(J6:J29)</f>
        <v>16.85099983215332</v>
      </c>
      <c r="K30" s="213">
        <f t="shared" ref="K30:L30" si="3">MIN(K6:K29)</f>
        <v>994003</v>
      </c>
      <c r="L30" s="211">
        <f t="shared" si="3"/>
        <v>1.9293749332427979</v>
      </c>
      <c r="M30" s="212">
        <f>MIN(M6:M29)</f>
        <v>0</v>
      </c>
      <c r="N30" s="213">
        <f t="shared" ref="N30:O30" si="4">MIN(N6:N29)</f>
        <v>1088661</v>
      </c>
      <c r="O30" s="211">
        <f t="shared" si="4"/>
        <v>2.075624942779541</v>
      </c>
      <c r="P30" s="212">
        <f>MIN(P6:P29)</f>
        <v>18.208000183105469</v>
      </c>
      <c r="Q30" s="213">
        <f t="shared" ref="Q30:R30" si="5">MIN(Q6:Q29)</f>
        <v>637256</v>
      </c>
      <c r="R30" s="211">
        <f t="shared" si="5"/>
        <v>0</v>
      </c>
      <c r="S30" s="212">
        <f>MIN(S6:S29)</f>
        <v>0</v>
      </c>
      <c r="T30" s="214">
        <f t="shared" ref="T30" si="6">MIN(T6:T29)</f>
        <v>0</v>
      </c>
    </row>
    <row r="31" spans="2:20" ht="36" customHeight="1" x14ac:dyDescent="0.3">
      <c r="B31" s="173" t="s">
        <v>473</v>
      </c>
      <c r="C31" s="211">
        <f t="shared" ref="C31:T31" si="7">MAX(C6:C29)</f>
        <v>3.1631250381469727</v>
      </c>
      <c r="D31" s="215">
        <f t="shared" si="7"/>
        <v>89.233001708984375</v>
      </c>
      <c r="E31" s="216">
        <f t="shared" si="7"/>
        <v>1250208</v>
      </c>
      <c r="F31" s="211">
        <f t="shared" si="7"/>
        <v>2.4543750286102295</v>
      </c>
      <c r="G31" s="215">
        <f t="shared" si="7"/>
        <v>129.04400634765625</v>
      </c>
      <c r="H31" s="216">
        <f t="shared" si="7"/>
        <v>1833085</v>
      </c>
      <c r="I31" s="211">
        <f t="shared" si="7"/>
        <v>2.6137499809265137</v>
      </c>
      <c r="J31" s="215">
        <f t="shared" si="7"/>
        <v>52.816001892089844</v>
      </c>
      <c r="K31" s="216">
        <f t="shared" si="7"/>
        <v>994872</v>
      </c>
      <c r="L31" s="211">
        <f t="shared" si="7"/>
        <v>2.2818748950958252</v>
      </c>
      <c r="M31" s="215">
        <f t="shared" si="7"/>
        <v>85.7958984375</v>
      </c>
      <c r="N31" s="216">
        <f t="shared" si="7"/>
        <v>1089556</v>
      </c>
      <c r="O31" s="211">
        <f t="shared" si="7"/>
        <v>2.463749885559082</v>
      </c>
      <c r="P31" s="215">
        <f t="shared" si="7"/>
        <v>49.988998413085938</v>
      </c>
      <c r="Q31" s="216">
        <f t="shared" si="7"/>
        <v>637994</v>
      </c>
      <c r="R31" s="211">
        <f t="shared" si="7"/>
        <v>0</v>
      </c>
      <c r="S31" s="215">
        <f t="shared" si="7"/>
        <v>0</v>
      </c>
      <c r="T31" s="217">
        <f t="shared" si="7"/>
        <v>0</v>
      </c>
    </row>
    <row r="32" spans="2:20" ht="36" customHeight="1" x14ac:dyDescent="0.3">
      <c r="B32" s="173" t="s">
        <v>474</v>
      </c>
      <c r="C32" s="211">
        <f>AVERAGE(C6:C29)</f>
        <v>2.907968670129776</v>
      </c>
      <c r="D32" s="215">
        <f>AVERAGE(D6:D29)</f>
        <v>71.872833410898849</v>
      </c>
      <c r="E32" s="218"/>
      <c r="F32" s="211">
        <f>AVERAGE(F6:F29)</f>
        <v>2.2178906102975211</v>
      </c>
      <c r="G32" s="215">
        <f>AVERAGE(G6:G29)</f>
        <v>114.81691614786784</v>
      </c>
      <c r="H32" s="218"/>
      <c r="I32" s="211">
        <f>AVERAGE(I6:I29)</f>
        <v>2.4323436617851257</v>
      </c>
      <c r="J32" s="215">
        <f>AVERAGE(J6:J29)</f>
        <v>37.722083568572998</v>
      </c>
      <c r="K32" s="218"/>
      <c r="L32" s="211">
        <f>AVERAGE(L6:L29)</f>
        <v>2.0914061764876046</v>
      </c>
      <c r="M32" s="215">
        <f>AVERAGE(M6:M29)</f>
        <v>39.712633371353149</v>
      </c>
      <c r="N32" s="218"/>
      <c r="O32" s="211">
        <f>AVERAGE(O6:O29)</f>
        <v>2.1957030892372131</v>
      </c>
      <c r="P32" s="215">
        <f>AVERAGE(P6:P29)</f>
        <v>32.175666809082031</v>
      </c>
      <c r="Q32" s="218"/>
      <c r="R32" s="211">
        <f>AVERAGE(R6:R29)</f>
        <v>0</v>
      </c>
      <c r="S32" s="215">
        <f>AVERAGE(S6:S29)</f>
        <v>0</v>
      </c>
      <c r="T32" s="219"/>
    </row>
    <row r="33" spans="2:20" ht="36" customHeight="1" thickBot="1" x14ac:dyDescent="0.35">
      <c r="B33" s="186" t="s">
        <v>475</v>
      </c>
      <c r="C33" s="220"/>
      <c r="D33" s="221"/>
      <c r="E33" s="222"/>
      <c r="F33" s="220"/>
      <c r="G33" s="221"/>
      <c r="H33" s="222"/>
      <c r="I33" s="220"/>
      <c r="J33" s="221"/>
      <c r="K33" s="222"/>
      <c r="L33" s="220"/>
      <c r="M33" s="221"/>
      <c r="N33" s="222"/>
      <c r="O33" s="220"/>
      <c r="P33" s="221"/>
      <c r="Q33" s="222"/>
      <c r="R33" s="220"/>
      <c r="S33" s="221"/>
      <c r="T33" s="223"/>
    </row>
    <row r="34" spans="2:20" ht="9.9499999999999993" customHeight="1" thickBot="1" x14ac:dyDescent="0.35">
      <c r="B34" s="190"/>
      <c r="E34" s="190"/>
      <c r="H34" s="190"/>
      <c r="K34" s="190"/>
      <c r="N34" s="190"/>
      <c r="Q34" s="190"/>
      <c r="T34" s="190"/>
    </row>
    <row r="35" spans="2:20" s="162" customFormat="1" ht="51.95" customHeight="1" thickBot="1" x14ac:dyDescent="0.35">
      <c r="B35" s="460" t="s">
        <v>573</v>
      </c>
      <c r="C35" s="461"/>
      <c r="D35" s="461"/>
      <c r="E35" s="461"/>
      <c r="F35" s="461"/>
      <c r="G35" s="461"/>
      <c r="H35" s="461"/>
      <c r="I35" s="461"/>
      <c r="J35" s="461"/>
      <c r="K35" s="461"/>
      <c r="L35" s="461"/>
      <c r="M35" s="461"/>
      <c r="N35" s="461"/>
      <c r="O35" s="461"/>
      <c r="P35" s="461"/>
      <c r="Q35" s="461"/>
      <c r="R35" s="461"/>
      <c r="S35" s="461"/>
      <c r="T35" s="462"/>
    </row>
    <row r="36" spans="2:20" s="164" customFormat="1" ht="36" customHeight="1" thickTop="1" x14ac:dyDescent="0.3">
      <c r="B36" s="163" t="s">
        <v>433</v>
      </c>
      <c r="C36" s="463"/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3"/>
      <c r="S36" s="463"/>
      <c r="T36" s="464"/>
    </row>
    <row r="37" spans="2:20" s="165" customFormat="1" ht="27.95" customHeight="1" x14ac:dyDescent="0.3">
      <c r="B37" s="455" t="s">
        <v>434</v>
      </c>
      <c r="C37" s="467" t="s">
        <v>626</v>
      </c>
      <c r="D37" s="467"/>
      <c r="E37" s="467"/>
      <c r="F37" s="467" t="s">
        <v>581</v>
      </c>
      <c r="G37" s="467"/>
      <c r="H37" s="467"/>
      <c r="I37" s="467" t="s">
        <v>582</v>
      </c>
      <c r="J37" s="467"/>
      <c r="K37" s="467"/>
      <c r="L37" s="467" t="s">
        <v>627</v>
      </c>
      <c r="M37" s="467"/>
      <c r="N37" s="467"/>
      <c r="O37" s="468" t="s">
        <v>586</v>
      </c>
      <c r="P37" s="468"/>
      <c r="Q37" s="468"/>
      <c r="R37" s="468" t="s">
        <v>587</v>
      </c>
      <c r="S37" s="468"/>
      <c r="T37" s="469"/>
    </row>
    <row r="38" spans="2:20" ht="27.95" customHeight="1" x14ac:dyDescent="0.3">
      <c r="B38" s="456"/>
      <c r="C38" s="200" t="s">
        <v>624</v>
      </c>
      <c r="D38" s="201" t="s">
        <v>625</v>
      </c>
      <c r="E38" s="202" t="s">
        <v>445</v>
      </c>
      <c r="F38" s="203" t="s">
        <v>624</v>
      </c>
      <c r="G38" s="201" t="s">
        <v>625</v>
      </c>
      <c r="H38" s="202" t="s">
        <v>445</v>
      </c>
      <c r="I38" s="203" t="s">
        <v>624</v>
      </c>
      <c r="J38" s="201" t="s">
        <v>625</v>
      </c>
      <c r="K38" s="202" t="s">
        <v>445</v>
      </c>
      <c r="L38" s="203" t="s">
        <v>624</v>
      </c>
      <c r="M38" s="201" t="s">
        <v>625</v>
      </c>
      <c r="N38" s="202" t="s">
        <v>445</v>
      </c>
      <c r="O38" s="203" t="s">
        <v>624</v>
      </c>
      <c r="P38" s="201" t="s">
        <v>625</v>
      </c>
      <c r="Q38" s="202" t="s">
        <v>445</v>
      </c>
      <c r="R38" s="203" t="s">
        <v>624</v>
      </c>
      <c r="S38" s="201" t="s">
        <v>625</v>
      </c>
      <c r="T38" s="204" t="s">
        <v>445</v>
      </c>
    </row>
    <row r="39" spans="2:20" ht="36" customHeight="1" x14ac:dyDescent="0.3">
      <c r="B39" s="169" t="s">
        <v>448</v>
      </c>
      <c r="C39" s="205">
        <v>3.1031248569488525</v>
      </c>
      <c r="D39" s="206">
        <v>80.299003601074219</v>
      </c>
      <c r="E39" s="171">
        <v>1394616</v>
      </c>
      <c r="F39" s="205">
        <v>3.4443750381469727</v>
      </c>
      <c r="G39" s="206">
        <v>74.055290222167969</v>
      </c>
      <c r="H39" s="171">
        <v>1202534</v>
      </c>
      <c r="I39" s="205">
        <v>2.7131249904632568</v>
      </c>
      <c r="J39" s="206">
        <v>53.721000671386719</v>
      </c>
      <c r="K39" s="171">
        <v>1212953</v>
      </c>
      <c r="L39" s="205">
        <v>3.4856250286102295</v>
      </c>
      <c r="M39" s="206">
        <v>18.660999298095703</v>
      </c>
      <c r="N39" s="171">
        <v>328694</v>
      </c>
      <c r="O39" s="205">
        <v>3.0543749332427979</v>
      </c>
      <c r="P39" s="206">
        <v>17.684999465942383</v>
      </c>
      <c r="Q39" s="171">
        <v>446079</v>
      </c>
      <c r="R39" s="205">
        <v>4.3</v>
      </c>
      <c r="S39" s="206">
        <v>21.676210403442383</v>
      </c>
      <c r="T39" s="172">
        <v>393333</v>
      </c>
    </row>
    <row r="40" spans="2:20" ht="36" customHeight="1" x14ac:dyDescent="0.3">
      <c r="B40" s="173" t="s">
        <v>449</v>
      </c>
      <c r="C40" s="207">
        <v>3.1237499713897705</v>
      </c>
      <c r="D40" s="208">
        <v>75.662002563476563</v>
      </c>
      <c r="E40" s="175">
        <v>1394697</v>
      </c>
      <c r="F40" s="207">
        <v>3.4556248188018799</v>
      </c>
      <c r="G40" s="208">
        <v>69.000892639160156</v>
      </c>
      <c r="H40" s="175">
        <v>1202605</v>
      </c>
      <c r="I40" s="207">
        <v>2.8237500190734863</v>
      </c>
      <c r="J40" s="208">
        <v>54.074001312255859</v>
      </c>
      <c r="K40" s="175">
        <v>1213004</v>
      </c>
      <c r="L40" s="207">
        <v>3.4856250286102295</v>
      </c>
      <c r="M40" s="208">
        <v>14.02400016784668</v>
      </c>
      <c r="N40" s="175">
        <v>328711</v>
      </c>
      <c r="O40" s="207">
        <v>3.0881249904632568</v>
      </c>
      <c r="P40" s="208">
        <v>17.684999465942383</v>
      </c>
      <c r="Q40" s="175">
        <v>446097</v>
      </c>
      <c r="R40" s="207">
        <v>4.1000000000000005</v>
      </c>
      <c r="S40" s="208">
        <v>19.238664627075195</v>
      </c>
      <c r="T40" s="176">
        <v>393355</v>
      </c>
    </row>
    <row r="41" spans="2:20" ht="36" customHeight="1" x14ac:dyDescent="0.3">
      <c r="B41" s="173" t="s">
        <v>450</v>
      </c>
      <c r="C41" s="207">
        <v>3.2231249809265137</v>
      </c>
      <c r="D41" s="208">
        <v>68.30999755859375</v>
      </c>
      <c r="E41" s="175">
        <v>1394769</v>
      </c>
      <c r="F41" s="207">
        <v>3.554999828338623</v>
      </c>
      <c r="G41" s="208">
        <v>64.671226501464844</v>
      </c>
      <c r="H41" s="175">
        <v>1202670</v>
      </c>
      <c r="I41" s="207">
        <v>2.9006249904632568</v>
      </c>
      <c r="J41" s="208">
        <v>50.540000915527344</v>
      </c>
      <c r="K41" s="175">
        <v>1213054</v>
      </c>
      <c r="L41" s="207">
        <v>3.4968748092651367</v>
      </c>
      <c r="M41" s="208">
        <v>13.684000015258789</v>
      </c>
      <c r="N41" s="175">
        <v>328726</v>
      </c>
      <c r="O41" s="207">
        <v>3.1856248378753662</v>
      </c>
      <c r="P41" s="208">
        <v>19.020999908447266</v>
      </c>
      <c r="Q41" s="175">
        <v>446115</v>
      </c>
      <c r="R41" s="207">
        <v>4</v>
      </c>
      <c r="S41" s="208">
        <v>17.987289428710938</v>
      </c>
      <c r="T41" s="176">
        <v>393375</v>
      </c>
    </row>
    <row r="42" spans="2:20" ht="36" customHeight="1" x14ac:dyDescent="0.3">
      <c r="B42" s="173" t="s">
        <v>451</v>
      </c>
      <c r="C42" s="207">
        <v>3.2681248188018799</v>
      </c>
      <c r="D42" s="208">
        <v>63.221000671386719</v>
      </c>
      <c r="E42" s="175">
        <v>1394833</v>
      </c>
      <c r="F42" s="207">
        <v>3.609375</v>
      </c>
      <c r="G42" s="208">
        <v>63.372077941894531</v>
      </c>
      <c r="H42" s="175">
        <v>1202733</v>
      </c>
      <c r="I42" s="207">
        <v>2.945624828338623</v>
      </c>
      <c r="J42" s="208">
        <v>42.763999938964844</v>
      </c>
      <c r="K42" s="175">
        <v>1213101</v>
      </c>
      <c r="L42" s="207">
        <v>3.5062499046325684</v>
      </c>
      <c r="M42" s="208">
        <v>13.571000099182129</v>
      </c>
      <c r="N42" s="175">
        <v>328740</v>
      </c>
      <c r="O42" s="207">
        <v>3.2306249141693115</v>
      </c>
      <c r="P42" s="208">
        <v>16.47599983215332</v>
      </c>
      <c r="Q42" s="175">
        <v>446133</v>
      </c>
      <c r="R42" s="207">
        <v>4.2</v>
      </c>
      <c r="S42" s="208">
        <v>20.859149932861328</v>
      </c>
      <c r="T42" s="176">
        <v>393394</v>
      </c>
    </row>
    <row r="43" spans="2:20" ht="36" customHeight="1" x14ac:dyDescent="0.3">
      <c r="B43" s="173" t="s">
        <v>452</v>
      </c>
      <c r="C43" s="207">
        <v>3.2231249809265137</v>
      </c>
      <c r="D43" s="208">
        <v>60.393001556396484</v>
      </c>
      <c r="E43" s="175">
        <v>1394896</v>
      </c>
      <c r="F43" s="207">
        <v>3.554999828338623</v>
      </c>
      <c r="G43" s="208">
        <v>60.984439849853516</v>
      </c>
      <c r="H43" s="175">
        <v>1202795</v>
      </c>
      <c r="I43" s="207">
        <v>2.9343750476837158</v>
      </c>
      <c r="J43" s="208">
        <v>49.303001403808594</v>
      </c>
      <c r="K43" s="175">
        <v>1213145</v>
      </c>
      <c r="L43" s="207">
        <v>3.5174999237060547</v>
      </c>
      <c r="M43" s="208">
        <v>13.796999931335449</v>
      </c>
      <c r="N43" s="175">
        <v>328753</v>
      </c>
      <c r="O43" s="207">
        <v>3.1649999618530273</v>
      </c>
      <c r="P43" s="208">
        <v>19.211999893188477</v>
      </c>
      <c r="Q43" s="175">
        <v>446151</v>
      </c>
      <c r="R43" s="207">
        <v>4</v>
      </c>
      <c r="S43" s="208">
        <v>16.194171905517578</v>
      </c>
      <c r="T43" s="176">
        <v>393414</v>
      </c>
    </row>
    <row r="44" spans="2:20" ht="36" customHeight="1" x14ac:dyDescent="0.3">
      <c r="B44" s="173" t="s">
        <v>453</v>
      </c>
      <c r="C44" s="207">
        <v>3.2231249809265137</v>
      </c>
      <c r="D44" s="208">
        <v>63.108001708984375</v>
      </c>
      <c r="E44" s="175">
        <v>1394957</v>
      </c>
      <c r="F44" s="207">
        <v>3.554999828338623</v>
      </c>
      <c r="G44" s="208">
        <v>62.544261932373047</v>
      </c>
      <c r="H44" s="175">
        <v>1202857</v>
      </c>
      <c r="I44" s="207">
        <v>2.9231250286102295</v>
      </c>
      <c r="J44" s="208">
        <v>44.532001495361328</v>
      </c>
      <c r="K44" s="175">
        <v>1213193</v>
      </c>
      <c r="L44" s="207">
        <v>3.528749942779541</v>
      </c>
      <c r="M44" s="208">
        <v>14.36299991607666</v>
      </c>
      <c r="N44" s="175">
        <v>328767</v>
      </c>
      <c r="O44" s="207">
        <v>3.1856248378753662</v>
      </c>
      <c r="P44" s="208">
        <v>18.194000244140625</v>
      </c>
      <c r="Q44" s="175">
        <v>446170</v>
      </c>
      <c r="R44" s="207">
        <v>4.2</v>
      </c>
      <c r="S44" s="208">
        <v>17.68470573425293</v>
      </c>
      <c r="T44" s="176">
        <v>393432</v>
      </c>
    </row>
    <row r="45" spans="2:20" ht="36" customHeight="1" x14ac:dyDescent="0.3">
      <c r="B45" s="173" t="s">
        <v>454</v>
      </c>
      <c r="C45" s="207">
        <v>3.234375</v>
      </c>
      <c r="D45" s="208">
        <v>63.785999298095703</v>
      </c>
      <c r="E45" s="175">
        <v>1395019</v>
      </c>
      <c r="F45" s="207">
        <v>3.588749885559082</v>
      </c>
      <c r="G45" s="208">
        <v>62.687633514404297</v>
      </c>
      <c r="H45" s="175">
        <v>1202919</v>
      </c>
      <c r="I45" s="207">
        <v>2.9231250286102295</v>
      </c>
      <c r="J45" s="208">
        <v>49.655998229980469</v>
      </c>
      <c r="K45" s="175">
        <v>1213240</v>
      </c>
      <c r="L45" s="207">
        <v>3.5174999237060547</v>
      </c>
      <c r="M45" s="208">
        <v>13.345000267028809</v>
      </c>
      <c r="N45" s="175">
        <v>328780</v>
      </c>
      <c r="O45" s="207">
        <v>3.1856248378753662</v>
      </c>
      <c r="P45" s="208">
        <v>18.194000244140625</v>
      </c>
      <c r="Q45" s="175">
        <v>446188</v>
      </c>
      <c r="R45" s="207">
        <v>4.1000000000000005</v>
      </c>
      <c r="S45" s="208">
        <v>18.122089385986328</v>
      </c>
      <c r="T45" s="176">
        <v>393452</v>
      </c>
    </row>
    <row r="46" spans="2:20" ht="36" customHeight="1" x14ac:dyDescent="0.3">
      <c r="B46" s="173" t="s">
        <v>455</v>
      </c>
      <c r="C46" s="207">
        <v>3.234375</v>
      </c>
      <c r="D46" s="208">
        <v>68.536003112792969</v>
      </c>
      <c r="E46" s="175">
        <v>1395083</v>
      </c>
      <c r="F46" s="207">
        <v>3.5774998664855957</v>
      </c>
      <c r="G46" s="208">
        <v>65.960212707519531</v>
      </c>
      <c r="H46" s="175">
        <v>1202983</v>
      </c>
      <c r="I46" s="207">
        <v>2.8462498188018799</v>
      </c>
      <c r="J46" s="208">
        <v>53.896999359130859</v>
      </c>
      <c r="K46" s="175">
        <v>1213291</v>
      </c>
      <c r="L46" s="207">
        <v>3.528749942779541</v>
      </c>
      <c r="M46" s="208">
        <v>19.339000701904297</v>
      </c>
      <c r="N46" s="175">
        <v>328798</v>
      </c>
      <c r="O46" s="207">
        <v>3.1856248378753662</v>
      </c>
      <c r="P46" s="208">
        <v>19.148000717163086</v>
      </c>
      <c r="Q46" s="175">
        <v>446207</v>
      </c>
      <c r="R46" s="207">
        <v>3.9000000000000004</v>
      </c>
      <c r="S46" s="208">
        <v>24.325883865356445</v>
      </c>
      <c r="T46" s="176">
        <v>393474</v>
      </c>
    </row>
    <row r="47" spans="2:20" ht="36" customHeight="1" x14ac:dyDescent="0.3">
      <c r="B47" s="173" t="s">
        <v>456</v>
      </c>
      <c r="C47" s="207">
        <v>3.1575000286102295</v>
      </c>
      <c r="D47" s="208">
        <v>69.780998229980469</v>
      </c>
      <c r="E47" s="175">
        <v>1395152</v>
      </c>
      <c r="F47" s="207">
        <v>3.5006248950958252</v>
      </c>
      <c r="G47" s="208">
        <v>71.067230224609375</v>
      </c>
      <c r="H47" s="175">
        <v>1203049</v>
      </c>
      <c r="I47" s="207">
        <v>2.6681249141693115</v>
      </c>
      <c r="J47" s="208">
        <v>61.495998382568359</v>
      </c>
      <c r="K47" s="175">
        <v>1213347</v>
      </c>
      <c r="L47" s="207">
        <v>3.528749942779541</v>
      </c>
      <c r="M47" s="208">
        <v>18.320999145507813</v>
      </c>
      <c r="N47" s="175">
        <v>328817</v>
      </c>
      <c r="O47" s="207">
        <v>3.1087498664855957</v>
      </c>
      <c r="P47" s="208">
        <v>19.020999908447266</v>
      </c>
      <c r="Q47" s="175">
        <v>446224</v>
      </c>
      <c r="R47" s="207">
        <v>4.1000000000000005</v>
      </c>
      <c r="S47" s="208">
        <v>34.478073120117188</v>
      </c>
      <c r="T47" s="176">
        <v>393501</v>
      </c>
    </row>
    <row r="48" spans="2:20" ht="36" customHeight="1" x14ac:dyDescent="0.3">
      <c r="B48" s="173" t="s">
        <v>457</v>
      </c>
      <c r="C48" s="207">
        <v>3.0693750381469727</v>
      </c>
      <c r="D48" s="208">
        <v>89.685997009277344</v>
      </c>
      <c r="E48" s="175">
        <v>1395234</v>
      </c>
      <c r="F48" s="207">
        <v>3.4124999046325684</v>
      </c>
      <c r="G48" s="208">
        <v>71.231086730957031</v>
      </c>
      <c r="H48" s="175">
        <v>1203120</v>
      </c>
      <c r="I48" s="207">
        <v>2.625</v>
      </c>
      <c r="J48" s="208">
        <v>83.40899658203125</v>
      </c>
      <c r="K48" s="175">
        <v>1213419</v>
      </c>
      <c r="L48" s="207">
        <v>3.5174999237060547</v>
      </c>
      <c r="M48" s="208">
        <v>19.113000869750977</v>
      </c>
      <c r="N48" s="175">
        <v>328836</v>
      </c>
      <c r="O48" s="207">
        <v>3.0881249904632568</v>
      </c>
      <c r="P48" s="208">
        <v>17.113000869750977</v>
      </c>
      <c r="Q48" s="175">
        <v>446241</v>
      </c>
      <c r="R48" s="207">
        <v>4.1000000000000005</v>
      </c>
      <c r="S48" s="208">
        <v>34.35272216796875</v>
      </c>
      <c r="T48" s="176">
        <v>393535</v>
      </c>
    </row>
    <row r="49" spans="2:20" ht="36" customHeight="1" x14ac:dyDescent="0.3">
      <c r="B49" s="173" t="s">
        <v>458</v>
      </c>
      <c r="C49" s="207">
        <v>3.0693750381469727</v>
      </c>
      <c r="D49" s="208">
        <v>100.20400238037109</v>
      </c>
      <c r="E49" s="175">
        <v>1395325</v>
      </c>
      <c r="F49" s="207">
        <v>3.4124999046325684</v>
      </c>
      <c r="G49" s="208">
        <v>72.491142272949219</v>
      </c>
      <c r="H49" s="175">
        <v>1203195</v>
      </c>
      <c r="I49" s="207">
        <v>2.2931249141693115</v>
      </c>
      <c r="J49" s="208">
        <v>124.23000335693359</v>
      </c>
      <c r="K49" s="175">
        <v>1213510</v>
      </c>
      <c r="L49" s="207">
        <v>3.5174999237060547</v>
      </c>
      <c r="M49" s="208">
        <v>19.113000869750977</v>
      </c>
      <c r="N49" s="175">
        <v>328857</v>
      </c>
      <c r="O49" s="207">
        <v>3.0337498188018799</v>
      </c>
      <c r="P49" s="208">
        <v>16.666999816894531</v>
      </c>
      <c r="Q49" s="175">
        <v>446257</v>
      </c>
      <c r="R49" s="207">
        <v>4</v>
      </c>
      <c r="S49" s="208">
        <v>42.442169189453125</v>
      </c>
      <c r="T49" s="176">
        <v>393572</v>
      </c>
    </row>
    <row r="50" spans="2:20" ht="36" customHeight="1" x14ac:dyDescent="0.3">
      <c r="B50" s="173" t="s">
        <v>459</v>
      </c>
      <c r="C50" s="207">
        <v>3.0356249809265137</v>
      </c>
      <c r="D50" s="208">
        <v>94.775001525878906</v>
      </c>
      <c r="E50" s="175">
        <v>1395424</v>
      </c>
      <c r="F50" s="207">
        <v>3.367499828338623</v>
      </c>
      <c r="G50" s="208">
        <v>78.899116516113281</v>
      </c>
      <c r="H50" s="175">
        <v>1203273</v>
      </c>
      <c r="I50" s="207">
        <v>2.2931249141693115</v>
      </c>
      <c r="J50" s="208">
        <v>129.35499572753906</v>
      </c>
      <c r="K50" s="175">
        <v>1213642</v>
      </c>
      <c r="L50" s="207">
        <v>3.5062499046325684</v>
      </c>
      <c r="M50" s="208">
        <v>18.547000885009766</v>
      </c>
      <c r="N50" s="175">
        <v>328877</v>
      </c>
      <c r="O50" s="207">
        <v>3</v>
      </c>
      <c r="P50" s="208">
        <v>16.666999816894531</v>
      </c>
      <c r="Q50" s="175">
        <v>446274</v>
      </c>
      <c r="R50" s="207">
        <v>3.9000000000000004</v>
      </c>
      <c r="S50" s="208">
        <v>37.995552062988281</v>
      </c>
      <c r="T50" s="176">
        <v>393613</v>
      </c>
    </row>
    <row r="51" spans="2:20" ht="36" customHeight="1" x14ac:dyDescent="0.3">
      <c r="B51" s="173" t="s">
        <v>460</v>
      </c>
      <c r="C51" s="207">
        <v>3.1349999904632568</v>
      </c>
      <c r="D51" s="208">
        <v>96.358001708984375</v>
      </c>
      <c r="E51" s="175">
        <v>1395522</v>
      </c>
      <c r="F51" s="207">
        <v>3.4443750381469727</v>
      </c>
      <c r="G51" s="208">
        <v>83.035240173339844</v>
      </c>
      <c r="H51" s="175">
        <v>1203353</v>
      </c>
      <c r="I51" s="207">
        <v>2.4600000381469727</v>
      </c>
      <c r="J51" s="208">
        <v>76.339996337890625</v>
      </c>
      <c r="K51" s="175">
        <v>1213734</v>
      </c>
      <c r="L51" s="207">
        <v>3.5062499046325684</v>
      </c>
      <c r="M51" s="208">
        <v>18.208000183105469</v>
      </c>
      <c r="N51" s="175">
        <v>328897</v>
      </c>
      <c r="O51" s="207">
        <v>3.0993750095367432</v>
      </c>
      <c r="P51" s="208">
        <v>18.829999923706055</v>
      </c>
      <c r="Q51" s="175">
        <v>446293</v>
      </c>
      <c r="R51" s="207">
        <v>3.9000000000000004</v>
      </c>
      <c r="S51" s="208">
        <v>37.295005798339844</v>
      </c>
      <c r="T51" s="176">
        <v>393651</v>
      </c>
    </row>
    <row r="52" spans="2:20" ht="36" customHeight="1" x14ac:dyDescent="0.3">
      <c r="B52" s="173" t="s">
        <v>461</v>
      </c>
      <c r="C52" s="207">
        <v>3.1031248569488525</v>
      </c>
      <c r="D52" s="208">
        <v>95.680000305175781</v>
      </c>
      <c r="E52" s="175">
        <v>1395620</v>
      </c>
      <c r="F52" s="207">
        <v>3.401249885559082</v>
      </c>
      <c r="G52" s="208">
        <v>89.390113830566406</v>
      </c>
      <c r="H52" s="175">
        <v>1203436</v>
      </c>
      <c r="I52" s="207">
        <v>2.4918749332427979</v>
      </c>
      <c r="J52" s="208">
        <v>70.332000732421875</v>
      </c>
      <c r="K52" s="175">
        <v>1213807</v>
      </c>
      <c r="L52" s="207">
        <v>3.5062499046325684</v>
      </c>
      <c r="M52" s="208">
        <v>18.547000885009766</v>
      </c>
      <c r="N52" s="175">
        <v>328916</v>
      </c>
      <c r="O52" s="207">
        <v>3.0656249523162842</v>
      </c>
      <c r="P52" s="208">
        <v>19.211999893188477</v>
      </c>
      <c r="Q52" s="175">
        <v>446312</v>
      </c>
      <c r="R52" s="207">
        <v>4</v>
      </c>
      <c r="S52" s="208">
        <v>40.526275634765625</v>
      </c>
      <c r="T52" s="176">
        <v>393690</v>
      </c>
    </row>
    <row r="53" spans="2:20" ht="36" customHeight="1" x14ac:dyDescent="0.3">
      <c r="B53" s="173" t="s">
        <v>462</v>
      </c>
      <c r="C53" s="207">
        <v>3.0037498474121094</v>
      </c>
      <c r="D53" s="208">
        <v>100.76899719238281</v>
      </c>
      <c r="E53" s="175">
        <v>1395717</v>
      </c>
      <c r="F53" s="207">
        <v>3.3356249332427979</v>
      </c>
      <c r="G53" s="208">
        <v>81.693763732910156</v>
      </c>
      <c r="H53" s="175">
        <v>1203523</v>
      </c>
      <c r="I53" s="207">
        <v>2.4600000381469727</v>
      </c>
      <c r="J53" s="208">
        <v>68.035003662109375</v>
      </c>
      <c r="K53" s="175">
        <v>1213880</v>
      </c>
      <c r="L53" s="207">
        <v>3.5062499046325684</v>
      </c>
      <c r="M53" s="208">
        <v>24.201999664306641</v>
      </c>
      <c r="N53" s="175">
        <v>328938</v>
      </c>
      <c r="O53" s="207">
        <v>2.9887499809265137</v>
      </c>
      <c r="P53" s="208">
        <v>17.749000549316406</v>
      </c>
      <c r="Q53" s="175">
        <v>446329</v>
      </c>
      <c r="R53" s="207">
        <v>4</v>
      </c>
      <c r="S53" s="208">
        <v>38.928886413574219</v>
      </c>
      <c r="T53" s="176">
        <v>393727</v>
      </c>
    </row>
    <row r="54" spans="2:20" ht="36" customHeight="1" x14ac:dyDescent="0.3">
      <c r="B54" s="173" t="s">
        <v>463</v>
      </c>
      <c r="C54" s="207">
        <v>3.0918748378753662</v>
      </c>
      <c r="D54" s="208">
        <v>90.363998413085938</v>
      </c>
      <c r="E54" s="175">
        <v>1395814</v>
      </c>
      <c r="F54" s="207">
        <v>3.401249885559082</v>
      </c>
      <c r="G54" s="208">
        <v>89.870681762695313</v>
      </c>
      <c r="H54" s="175">
        <v>1203611</v>
      </c>
      <c r="I54" s="207">
        <v>2.5593750476837158</v>
      </c>
      <c r="J54" s="208">
        <v>73.689002990722656</v>
      </c>
      <c r="K54" s="175">
        <v>1213952</v>
      </c>
      <c r="L54" s="207">
        <v>3.4968748092651367</v>
      </c>
      <c r="M54" s="208">
        <v>21.035999298095703</v>
      </c>
      <c r="N54" s="175">
        <v>328961</v>
      </c>
      <c r="O54" s="207">
        <v>3.0543749332427979</v>
      </c>
      <c r="P54" s="208">
        <v>19.784000396728516</v>
      </c>
      <c r="Q54" s="175">
        <v>446346</v>
      </c>
      <c r="R54" s="207">
        <v>3.9000000000000004</v>
      </c>
      <c r="S54" s="208">
        <v>40.227222442626953</v>
      </c>
      <c r="T54" s="176">
        <v>393763</v>
      </c>
    </row>
    <row r="55" spans="2:20" ht="36" customHeight="1" x14ac:dyDescent="0.3">
      <c r="B55" s="173" t="s">
        <v>464</v>
      </c>
      <c r="C55" s="207">
        <v>3.0693750381469727</v>
      </c>
      <c r="D55" s="208">
        <v>94.322998046875</v>
      </c>
      <c r="E55" s="175">
        <v>1395908</v>
      </c>
      <c r="F55" s="207">
        <v>3.3899998664855957</v>
      </c>
      <c r="G55" s="208">
        <v>84.761314392089844</v>
      </c>
      <c r="H55" s="175">
        <v>1203695</v>
      </c>
      <c r="I55" s="207">
        <v>2.4375</v>
      </c>
      <c r="J55" s="208">
        <v>75.457000732421875</v>
      </c>
      <c r="K55" s="175">
        <v>1214023</v>
      </c>
      <c r="L55" s="207">
        <v>3.4968748092651367</v>
      </c>
      <c r="M55" s="208">
        <v>17.868999481201172</v>
      </c>
      <c r="N55" s="175">
        <v>328980</v>
      </c>
      <c r="O55" s="207">
        <v>3.0337498188018799</v>
      </c>
      <c r="P55" s="208">
        <v>19.975000381469727</v>
      </c>
      <c r="Q55" s="175">
        <v>446363</v>
      </c>
      <c r="R55" s="207">
        <v>4</v>
      </c>
      <c r="S55" s="208">
        <v>42.751514434814453</v>
      </c>
      <c r="T55" s="176">
        <v>393804</v>
      </c>
    </row>
    <row r="56" spans="2:20" ht="36" customHeight="1" x14ac:dyDescent="0.3">
      <c r="B56" s="173" t="s">
        <v>465</v>
      </c>
      <c r="C56" s="207">
        <v>3.1687500476837158</v>
      </c>
      <c r="D56" s="208">
        <v>93.757003784179688</v>
      </c>
      <c r="E56" s="175">
        <v>1396001</v>
      </c>
      <c r="F56" s="207">
        <v>3.4893748760223389</v>
      </c>
      <c r="G56" s="208">
        <v>77.626091003417969</v>
      </c>
      <c r="H56" s="175">
        <v>1203773</v>
      </c>
      <c r="I56" s="207">
        <v>2.6137499809265137</v>
      </c>
      <c r="J56" s="208">
        <v>74.396003723144531</v>
      </c>
      <c r="K56" s="175">
        <v>1214097</v>
      </c>
      <c r="L56" s="207">
        <v>3.5062499046325684</v>
      </c>
      <c r="M56" s="208">
        <v>18.434000015258789</v>
      </c>
      <c r="N56" s="175">
        <v>328999</v>
      </c>
      <c r="O56" s="207">
        <v>3.119999885559082</v>
      </c>
      <c r="P56" s="208">
        <v>19.084999084472656</v>
      </c>
      <c r="Q56" s="175">
        <v>446383</v>
      </c>
      <c r="R56" s="207">
        <v>4.1000000000000005</v>
      </c>
      <c r="S56" s="208">
        <v>46.440311431884766</v>
      </c>
      <c r="T56" s="176">
        <v>393846</v>
      </c>
    </row>
    <row r="57" spans="2:20" ht="36" customHeight="1" x14ac:dyDescent="0.3">
      <c r="B57" s="173" t="s">
        <v>466</v>
      </c>
      <c r="C57" s="207">
        <v>3.0356249809265137</v>
      </c>
      <c r="D57" s="208">
        <v>94.662002563476563</v>
      </c>
      <c r="E57" s="175">
        <v>1396097</v>
      </c>
      <c r="F57" s="207">
        <v>3.367499828338623</v>
      </c>
      <c r="G57" s="208">
        <v>76.554710388183594</v>
      </c>
      <c r="H57" s="175">
        <v>1203851</v>
      </c>
      <c r="I57" s="207">
        <v>2.3381249904632568</v>
      </c>
      <c r="J57" s="208">
        <v>136.07000732421875</v>
      </c>
      <c r="K57" s="175">
        <v>1214211</v>
      </c>
      <c r="L57" s="207">
        <v>3.5062499046325684</v>
      </c>
      <c r="M57" s="208">
        <v>18.77400016784668</v>
      </c>
      <c r="N57" s="175">
        <v>329017</v>
      </c>
      <c r="O57" s="207">
        <v>3</v>
      </c>
      <c r="P57" s="208">
        <v>20.674999237060547</v>
      </c>
      <c r="Q57" s="175">
        <v>446402</v>
      </c>
      <c r="R57" s="207">
        <v>3.8000000000000003</v>
      </c>
      <c r="S57" s="208">
        <v>37.579578399658203</v>
      </c>
      <c r="T57" s="176">
        <v>393887</v>
      </c>
    </row>
    <row r="58" spans="2:20" ht="36" customHeight="1" x14ac:dyDescent="0.3">
      <c r="B58" s="173" t="s">
        <v>467</v>
      </c>
      <c r="C58" s="207">
        <v>3.0918748378753662</v>
      </c>
      <c r="D58" s="208">
        <v>96.584999084472656</v>
      </c>
      <c r="E58" s="175">
        <v>1396192</v>
      </c>
      <c r="F58" s="207">
        <v>3.4331250190734863</v>
      </c>
      <c r="G58" s="208">
        <v>80.458053588867188</v>
      </c>
      <c r="H58" s="175">
        <v>1203934</v>
      </c>
      <c r="I58" s="207">
        <v>2.5481250286102295</v>
      </c>
      <c r="J58" s="208">
        <v>80.404998779296875</v>
      </c>
      <c r="K58" s="175">
        <v>1214338</v>
      </c>
      <c r="L58" s="207">
        <v>3.5062499046325684</v>
      </c>
      <c r="M58" s="208">
        <v>20.131000518798828</v>
      </c>
      <c r="N58" s="175">
        <v>329036</v>
      </c>
      <c r="O58" s="207">
        <v>3.0656249523162842</v>
      </c>
      <c r="P58" s="208">
        <v>18.702999114990234</v>
      </c>
      <c r="Q58" s="175">
        <v>446421</v>
      </c>
      <c r="R58" s="207">
        <v>3.7</v>
      </c>
      <c r="S58" s="208">
        <v>43.969863891601563</v>
      </c>
      <c r="T58" s="176">
        <v>393930</v>
      </c>
    </row>
    <row r="59" spans="2:20" ht="36" customHeight="1" x14ac:dyDescent="0.3">
      <c r="B59" s="173" t="s">
        <v>468</v>
      </c>
      <c r="C59" s="207">
        <v>3.1031248569488525</v>
      </c>
      <c r="D59" s="208">
        <v>95.000999450683594</v>
      </c>
      <c r="E59" s="175">
        <v>1396289</v>
      </c>
      <c r="F59" s="207">
        <v>3.4331250190734863</v>
      </c>
      <c r="G59" s="208">
        <v>86.936363220214844</v>
      </c>
      <c r="H59" s="175">
        <v>1204019</v>
      </c>
      <c r="I59" s="207">
        <v>2.5256249904632568</v>
      </c>
      <c r="J59" s="208">
        <v>79.344001770019531</v>
      </c>
      <c r="K59" s="175">
        <v>1214416</v>
      </c>
      <c r="L59" s="207">
        <v>3.4968748092651367</v>
      </c>
      <c r="M59" s="208">
        <v>21.940000534057617</v>
      </c>
      <c r="N59" s="175">
        <v>329056</v>
      </c>
      <c r="O59" s="207">
        <v>3.0656249523162842</v>
      </c>
      <c r="P59" s="208">
        <v>18.576000213623047</v>
      </c>
      <c r="Q59" s="175">
        <v>446439</v>
      </c>
      <c r="R59" s="207">
        <v>4</v>
      </c>
      <c r="S59" s="208">
        <v>37.444000244140625</v>
      </c>
      <c r="T59" s="176">
        <v>393971</v>
      </c>
    </row>
    <row r="60" spans="2:20" ht="36" customHeight="1" x14ac:dyDescent="0.3">
      <c r="B60" s="173" t="s">
        <v>469</v>
      </c>
      <c r="C60" s="207">
        <v>3.0693750381469727</v>
      </c>
      <c r="D60" s="208">
        <v>105.18000030517578</v>
      </c>
      <c r="E60" s="175">
        <v>1396388</v>
      </c>
      <c r="F60" s="207">
        <v>3.3899998664855957</v>
      </c>
      <c r="G60" s="208">
        <v>82.288276672363281</v>
      </c>
      <c r="H60" s="175">
        <v>1204106</v>
      </c>
      <c r="I60" s="207">
        <v>2.4375</v>
      </c>
      <c r="J60" s="208">
        <v>72.452003479003906</v>
      </c>
      <c r="K60" s="175">
        <v>1214492</v>
      </c>
      <c r="L60" s="207">
        <v>3.4856250286102295</v>
      </c>
      <c r="M60" s="208">
        <v>21.035999298095703</v>
      </c>
      <c r="N60" s="175">
        <v>329077</v>
      </c>
      <c r="O60" s="207">
        <v>3.0431249141693115</v>
      </c>
      <c r="P60" s="208">
        <v>18.638999938964844</v>
      </c>
      <c r="Q60" s="175">
        <v>446457</v>
      </c>
      <c r="R60" s="207">
        <v>3.9000000000000004</v>
      </c>
      <c r="S60" s="208">
        <v>35.615207672119141</v>
      </c>
      <c r="T60" s="176">
        <v>394004</v>
      </c>
    </row>
    <row r="61" spans="2:20" ht="36" customHeight="1" x14ac:dyDescent="0.3">
      <c r="B61" s="173" t="s">
        <v>470</v>
      </c>
      <c r="C61" s="207">
        <v>3.1143748760223389</v>
      </c>
      <c r="D61" s="208">
        <v>95.113998413085938</v>
      </c>
      <c r="E61" s="175">
        <v>1396484</v>
      </c>
      <c r="F61" s="207">
        <v>3.4331250190734863</v>
      </c>
      <c r="G61" s="208">
        <v>79.105690002441406</v>
      </c>
      <c r="H61" s="175">
        <v>1204188</v>
      </c>
      <c r="I61" s="207">
        <v>2.591249942779541</v>
      </c>
      <c r="J61" s="208">
        <v>70.68499755859375</v>
      </c>
      <c r="K61" s="175">
        <v>1214564</v>
      </c>
      <c r="L61" s="207">
        <v>3.4968748092651367</v>
      </c>
      <c r="M61" s="208">
        <v>20.923000335693359</v>
      </c>
      <c r="N61" s="175">
        <v>329099</v>
      </c>
      <c r="O61" s="207">
        <v>3.0543749332427979</v>
      </c>
      <c r="P61" s="208">
        <v>17.684999465942383</v>
      </c>
      <c r="Q61" s="175">
        <v>446474</v>
      </c>
      <c r="R61" s="207">
        <v>4.2</v>
      </c>
      <c r="S61" s="208">
        <v>32.788272857666016</v>
      </c>
      <c r="T61" s="176">
        <v>394035</v>
      </c>
    </row>
    <row r="62" spans="2:20" ht="36" customHeight="1" thickBot="1" x14ac:dyDescent="0.35">
      <c r="B62" s="177" t="s">
        <v>471</v>
      </c>
      <c r="C62" s="209">
        <v>3.0918748378753662</v>
      </c>
      <c r="D62" s="210">
        <v>87.76300048828125</v>
      </c>
      <c r="E62" s="179">
        <v>1396575</v>
      </c>
      <c r="F62" s="209">
        <v>3.421875</v>
      </c>
      <c r="G62" s="210">
        <v>74.3707275390625</v>
      </c>
      <c r="H62" s="179">
        <v>1204263</v>
      </c>
      <c r="I62" s="209">
        <v>2.6024999618530273</v>
      </c>
      <c r="J62" s="210">
        <v>66.444000244140625</v>
      </c>
      <c r="K62" s="179">
        <v>1214629</v>
      </c>
      <c r="L62" s="209">
        <v>3.4968748092651367</v>
      </c>
      <c r="M62" s="210">
        <v>17.416000366210938</v>
      </c>
      <c r="N62" s="179">
        <v>329119</v>
      </c>
      <c r="O62" s="209">
        <v>3.0543749332427979</v>
      </c>
      <c r="P62" s="210">
        <v>17.176000595092773</v>
      </c>
      <c r="Q62" s="179">
        <v>446492</v>
      </c>
      <c r="R62" s="209">
        <v>4.3</v>
      </c>
      <c r="S62" s="210">
        <v>30.003519058227539</v>
      </c>
      <c r="T62" s="180">
        <v>394064</v>
      </c>
    </row>
    <row r="63" spans="2:20" ht="36" customHeight="1" thickTop="1" x14ac:dyDescent="0.3">
      <c r="B63" s="181" t="s">
        <v>472</v>
      </c>
      <c r="C63" s="211">
        <f t="shared" ref="C63" si="8">MIN(C39:C62)</f>
        <v>3.0037498474121094</v>
      </c>
      <c r="D63" s="212">
        <f>MIN(D39:D62)</f>
        <v>60.393001556396484</v>
      </c>
      <c r="E63" s="213">
        <f t="shared" ref="E63:F63" si="9">MIN(E39:E62)</f>
        <v>1394616</v>
      </c>
      <c r="F63" s="211">
        <f t="shared" si="9"/>
        <v>3.3356249332427979</v>
      </c>
      <c r="G63" s="212">
        <f>MIN(G39:G62)</f>
        <v>60.984439849853516</v>
      </c>
      <c r="H63" s="213">
        <f t="shared" ref="H63:I63" si="10">MIN(H39:H62)</f>
        <v>1202534</v>
      </c>
      <c r="I63" s="211">
        <f t="shared" si="10"/>
        <v>2.2931249141693115</v>
      </c>
      <c r="J63" s="212">
        <f>MIN(J39:J62)</f>
        <v>42.763999938964844</v>
      </c>
      <c r="K63" s="213">
        <f t="shared" ref="K63:L63" si="11">MIN(K39:K62)</f>
        <v>1212953</v>
      </c>
      <c r="L63" s="211">
        <f t="shared" si="11"/>
        <v>3.4856250286102295</v>
      </c>
      <c r="M63" s="212">
        <f>MIN(M39:M62)</f>
        <v>13.345000267028809</v>
      </c>
      <c r="N63" s="213">
        <f t="shared" ref="N63:O63" si="12">MIN(N39:N62)</f>
        <v>328694</v>
      </c>
      <c r="O63" s="211">
        <f t="shared" si="12"/>
        <v>2.9887499809265137</v>
      </c>
      <c r="P63" s="212">
        <f>MIN(P39:P62)</f>
        <v>16.47599983215332</v>
      </c>
      <c r="Q63" s="213">
        <f t="shared" ref="Q63:R63" si="13">MIN(Q39:Q62)</f>
        <v>446079</v>
      </c>
      <c r="R63" s="211">
        <f t="shared" si="13"/>
        <v>3.7</v>
      </c>
      <c r="S63" s="212">
        <f>MIN(S39:S62)</f>
        <v>16.194171905517578</v>
      </c>
      <c r="T63" s="214">
        <f t="shared" ref="T63" si="14">MIN(T39:T62)</f>
        <v>393333</v>
      </c>
    </row>
    <row r="64" spans="2:20" ht="36" customHeight="1" x14ac:dyDescent="0.3">
      <c r="B64" s="173" t="s">
        <v>473</v>
      </c>
      <c r="C64" s="211">
        <f t="shared" ref="C64:T64" si="15">MAX(C39:C62)</f>
        <v>3.2681248188018799</v>
      </c>
      <c r="D64" s="215">
        <f t="shared" si="15"/>
        <v>105.18000030517578</v>
      </c>
      <c r="E64" s="216">
        <f t="shared" si="15"/>
        <v>1396575</v>
      </c>
      <c r="F64" s="211">
        <f t="shared" si="15"/>
        <v>3.609375</v>
      </c>
      <c r="G64" s="215">
        <f t="shared" si="15"/>
        <v>89.870681762695313</v>
      </c>
      <c r="H64" s="216">
        <f t="shared" si="15"/>
        <v>1204263</v>
      </c>
      <c r="I64" s="211">
        <f t="shared" si="15"/>
        <v>2.945624828338623</v>
      </c>
      <c r="J64" s="215">
        <f t="shared" si="15"/>
        <v>136.07000732421875</v>
      </c>
      <c r="K64" s="216">
        <f t="shared" si="15"/>
        <v>1214629</v>
      </c>
      <c r="L64" s="211">
        <f t="shared" si="15"/>
        <v>3.528749942779541</v>
      </c>
      <c r="M64" s="215">
        <f t="shared" si="15"/>
        <v>24.201999664306641</v>
      </c>
      <c r="N64" s="216">
        <f t="shared" si="15"/>
        <v>329119</v>
      </c>
      <c r="O64" s="211">
        <f t="shared" si="15"/>
        <v>3.2306249141693115</v>
      </c>
      <c r="P64" s="215">
        <f t="shared" si="15"/>
        <v>20.674999237060547</v>
      </c>
      <c r="Q64" s="216">
        <f t="shared" si="15"/>
        <v>446492</v>
      </c>
      <c r="R64" s="211">
        <f t="shared" si="15"/>
        <v>4.3</v>
      </c>
      <c r="S64" s="215">
        <f t="shared" si="15"/>
        <v>46.440311431884766</v>
      </c>
      <c r="T64" s="217">
        <f t="shared" si="15"/>
        <v>394064</v>
      </c>
    </row>
    <row r="65" spans="2:20" ht="36" customHeight="1" x14ac:dyDescent="0.3">
      <c r="B65" s="173" t="s">
        <v>474</v>
      </c>
      <c r="C65" s="211">
        <f>AVERAGE(C39:C62)</f>
        <v>3.1267968217531839</v>
      </c>
      <c r="D65" s="215">
        <f>AVERAGE(D39:D62)</f>
        <v>85.138208707173661</v>
      </c>
      <c r="E65" s="218"/>
      <c r="F65" s="211">
        <f>AVERAGE(F39:F62)</f>
        <v>3.457265535990397</v>
      </c>
      <c r="G65" s="215">
        <f>AVERAGE(G39:G62)</f>
        <v>75.127318223317459</v>
      </c>
      <c r="H65" s="218"/>
      <c r="I65" s="211">
        <f>AVERAGE(I39:I62)</f>
        <v>2.6231249769528708</v>
      </c>
      <c r="J65" s="215">
        <f>AVERAGE(J39:J62)</f>
        <v>72.526083946228027</v>
      </c>
      <c r="K65" s="218"/>
      <c r="L65" s="211">
        <f>AVERAGE(L39:L62)</f>
        <v>3.5060155292352042</v>
      </c>
      <c r="M65" s="215">
        <f>AVERAGE(M39:M62)</f>
        <v>18.099750121434528</v>
      </c>
      <c r="N65" s="218"/>
      <c r="O65" s="211">
        <f>AVERAGE(O39:O62)</f>
        <v>3.0898436705271402</v>
      </c>
      <c r="P65" s="215">
        <f>AVERAGE(P39:P62)</f>
        <v>18.382166624069214</v>
      </c>
      <c r="Q65" s="218"/>
      <c r="R65" s="211">
        <f>AVERAGE(R39:R62)</f>
        <v>4.0291666666666668</v>
      </c>
      <c r="S65" s="215">
        <f>AVERAGE(S39:S62)</f>
        <v>32.03859750429789</v>
      </c>
      <c r="T65" s="219"/>
    </row>
    <row r="66" spans="2:20" ht="36" customHeight="1" thickBot="1" x14ac:dyDescent="0.35">
      <c r="B66" s="186" t="s">
        <v>475</v>
      </c>
      <c r="C66" s="220"/>
      <c r="D66" s="221"/>
      <c r="E66" s="222"/>
      <c r="F66" s="220"/>
      <c r="G66" s="221"/>
      <c r="H66" s="222"/>
      <c r="I66" s="220"/>
      <c r="J66" s="221"/>
      <c r="K66" s="222"/>
      <c r="L66" s="220"/>
      <c r="M66" s="221"/>
      <c r="N66" s="222"/>
      <c r="O66" s="220"/>
      <c r="P66" s="221"/>
      <c r="Q66" s="222"/>
      <c r="R66" s="220"/>
      <c r="S66" s="221"/>
      <c r="T66" s="223"/>
    </row>
    <row r="67" spans="2:20" ht="9.9499999999999993" customHeight="1" thickBot="1" x14ac:dyDescent="0.35">
      <c r="B67" s="190"/>
      <c r="E67" s="190"/>
      <c r="H67" s="190"/>
      <c r="K67" s="190"/>
      <c r="N67" s="190"/>
      <c r="Q67" s="190"/>
      <c r="T67" s="190"/>
    </row>
    <row r="68" spans="2:20" s="162" customFormat="1" ht="51.95" customHeight="1" thickBot="1" x14ac:dyDescent="0.35">
      <c r="B68" s="460" t="s">
        <v>573</v>
      </c>
      <c r="C68" s="461"/>
      <c r="D68" s="461"/>
      <c r="E68" s="461"/>
      <c r="F68" s="461"/>
      <c r="G68" s="461"/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2"/>
    </row>
    <row r="69" spans="2:20" s="164" customFormat="1" ht="36" customHeight="1" thickTop="1" x14ac:dyDescent="0.3">
      <c r="B69" s="163" t="s">
        <v>433</v>
      </c>
      <c r="C69" s="463"/>
      <c r="D69" s="463"/>
      <c r="E69" s="463"/>
      <c r="F69" s="463"/>
      <c r="G69" s="463"/>
      <c r="H69" s="463"/>
      <c r="I69" s="463"/>
      <c r="J69" s="463"/>
      <c r="K69" s="463"/>
      <c r="L69" s="463"/>
      <c r="M69" s="463"/>
      <c r="N69" s="463"/>
      <c r="O69" s="463"/>
      <c r="P69" s="463"/>
      <c r="Q69" s="463"/>
      <c r="R69" s="463"/>
      <c r="S69" s="463"/>
      <c r="T69" s="464"/>
    </row>
    <row r="70" spans="2:20" s="165" customFormat="1" ht="27.95" customHeight="1" x14ac:dyDescent="0.3">
      <c r="B70" s="455" t="s">
        <v>434</v>
      </c>
      <c r="C70" s="467" t="s">
        <v>628</v>
      </c>
      <c r="D70" s="467"/>
      <c r="E70" s="467"/>
      <c r="F70" s="467" t="s">
        <v>629</v>
      </c>
      <c r="G70" s="467"/>
      <c r="H70" s="467"/>
      <c r="I70" s="467" t="s">
        <v>597</v>
      </c>
      <c r="J70" s="467"/>
      <c r="K70" s="467"/>
      <c r="L70" s="467" t="s">
        <v>598</v>
      </c>
      <c r="M70" s="467"/>
      <c r="N70" s="467"/>
      <c r="O70" s="468" t="s">
        <v>599</v>
      </c>
      <c r="P70" s="468"/>
      <c r="Q70" s="468"/>
      <c r="R70" s="468" t="s">
        <v>600</v>
      </c>
      <c r="S70" s="468"/>
      <c r="T70" s="469"/>
    </row>
    <row r="71" spans="2:20" ht="27.95" customHeight="1" x14ac:dyDescent="0.3">
      <c r="B71" s="456"/>
      <c r="C71" s="200" t="s">
        <v>624</v>
      </c>
      <c r="D71" s="201" t="s">
        <v>625</v>
      </c>
      <c r="E71" s="202" t="s">
        <v>445</v>
      </c>
      <c r="F71" s="203" t="s">
        <v>624</v>
      </c>
      <c r="G71" s="201" t="s">
        <v>625</v>
      </c>
      <c r="H71" s="202" t="s">
        <v>445</v>
      </c>
      <c r="I71" s="203" t="s">
        <v>624</v>
      </c>
      <c r="J71" s="201" t="s">
        <v>625</v>
      </c>
      <c r="K71" s="202" t="s">
        <v>445</v>
      </c>
      <c r="L71" s="203" t="s">
        <v>624</v>
      </c>
      <c r="M71" s="201" t="s">
        <v>625</v>
      </c>
      <c r="N71" s="202" t="s">
        <v>445</v>
      </c>
      <c r="O71" s="203" t="s">
        <v>624</v>
      </c>
      <c r="P71" s="201" t="s">
        <v>625</v>
      </c>
      <c r="Q71" s="202" t="s">
        <v>445</v>
      </c>
      <c r="R71" s="203" t="s">
        <v>624</v>
      </c>
      <c r="S71" s="201" t="s">
        <v>625</v>
      </c>
      <c r="T71" s="204" t="s">
        <v>445</v>
      </c>
    </row>
    <row r="72" spans="2:20" ht="36" customHeight="1" x14ac:dyDescent="0.3">
      <c r="B72" s="169" t="s">
        <v>448</v>
      </c>
      <c r="C72" s="205">
        <v>3.3000000000000003</v>
      </c>
      <c r="D72" s="206">
        <v>30.147680282592773</v>
      </c>
      <c r="E72" s="171">
        <v>561936</v>
      </c>
      <c r="F72" s="205"/>
      <c r="G72" s="206">
        <v>9</v>
      </c>
      <c r="H72" s="171">
        <v>278775</v>
      </c>
      <c r="I72" s="205">
        <v>2.6756248474121094</v>
      </c>
      <c r="J72" s="206">
        <v>44.428371429443359</v>
      </c>
      <c r="K72" s="171">
        <v>591999</v>
      </c>
      <c r="L72" s="205">
        <v>1.653749942779541</v>
      </c>
      <c r="M72" s="206">
        <v>34.833000183105469</v>
      </c>
      <c r="N72" s="171">
        <v>602574</v>
      </c>
      <c r="O72" s="205">
        <v>3.9918749332427979</v>
      </c>
      <c r="P72" s="206">
        <v>12.595999717712402</v>
      </c>
      <c r="Q72" s="171">
        <v>246490</v>
      </c>
      <c r="R72" s="205">
        <v>0</v>
      </c>
      <c r="S72" s="206">
        <v>0</v>
      </c>
      <c r="T72" s="172">
        <v>12663</v>
      </c>
    </row>
    <row r="73" spans="2:20" ht="36" customHeight="1" x14ac:dyDescent="0.3">
      <c r="B73" s="173" t="s">
        <v>449</v>
      </c>
      <c r="C73" s="207">
        <v>3.4000000000000004</v>
      </c>
      <c r="D73" s="208">
        <v>21.386072158813477</v>
      </c>
      <c r="E73" s="175">
        <v>561962</v>
      </c>
      <c r="F73" s="207" t="s">
        <v>583</v>
      </c>
      <c r="G73" s="208">
        <v>9</v>
      </c>
      <c r="H73" s="175">
        <v>278780</v>
      </c>
      <c r="I73" s="207">
        <v>2.8631248474121094</v>
      </c>
      <c r="J73" s="208">
        <v>36.431339263916016</v>
      </c>
      <c r="K73" s="175">
        <v>592039</v>
      </c>
      <c r="L73" s="207">
        <v>1.7081249952316284</v>
      </c>
      <c r="M73" s="208">
        <v>34.041999816894531</v>
      </c>
      <c r="N73" s="175">
        <v>602609</v>
      </c>
      <c r="O73" s="207">
        <v>4.0256247520446777</v>
      </c>
      <c r="P73" s="208">
        <v>10.560000419616699</v>
      </c>
      <c r="Q73" s="175">
        <v>246502</v>
      </c>
      <c r="R73" s="207">
        <v>0</v>
      </c>
      <c r="S73" s="208">
        <v>0</v>
      </c>
      <c r="T73" s="176">
        <v>12663</v>
      </c>
    </row>
    <row r="74" spans="2:20" ht="36" customHeight="1" x14ac:dyDescent="0.3">
      <c r="B74" s="173" t="s">
        <v>450</v>
      </c>
      <c r="C74" s="207">
        <v>3.6</v>
      </c>
      <c r="D74" s="208">
        <v>13.51085090637207</v>
      </c>
      <c r="E74" s="175">
        <v>561981</v>
      </c>
      <c r="F74" s="207"/>
      <c r="G74" s="208">
        <v>9</v>
      </c>
      <c r="H74" s="175">
        <v>278785</v>
      </c>
      <c r="I74" s="207">
        <v>2.9399998188018799</v>
      </c>
      <c r="J74" s="208">
        <v>32.249397277832031</v>
      </c>
      <c r="K74" s="175">
        <v>592075</v>
      </c>
      <c r="L74" s="207">
        <v>1.7418749332427979</v>
      </c>
      <c r="M74" s="208">
        <v>29.065999984741211</v>
      </c>
      <c r="N74" s="175">
        <v>602641</v>
      </c>
      <c r="O74" s="207">
        <v>4.0481247901916504</v>
      </c>
      <c r="P74" s="208">
        <v>8.0150003433227539</v>
      </c>
      <c r="Q74" s="175">
        <v>246511</v>
      </c>
      <c r="R74" s="207">
        <v>0</v>
      </c>
      <c r="S74" s="208">
        <v>0</v>
      </c>
      <c r="T74" s="176">
        <v>12663</v>
      </c>
    </row>
    <row r="75" spans="2:20" ht="36" customHeight="1" x14ac:dyDescent="0.3">
      <c r="B75" s="173" t="s">
        <v>451</v>
      </c>
      <c r="C75" s="207">
        <v>3.7</v>
      </c>
      <c r="D75" s="208">
        <v>6.3804378509521484</v>
      </c>
      <c r="E75" s="175">
        <v>561992</v>
      </c>
      <c r="F75" s="207"/>
      <c r="G75" s="208">
        <v>9</v>
      </c>
      <c r="H75" s="175">
        <v>278790</v>
      </c>
      <c r="I75" s="207">
        <v>2.9399998188018799</v>
      </c>
      <c r="J75" s="208">
        <v>35.199287414550781</v>
      </c>
      <c r="K75" s="175">
        <v>592106</v>
      </c>
      <c r="L75" s="207">
        <v>1.7418749332427979</v>
      </c>
      <c r="M75" s="208">
        <v>26.238000869750977</v>
      </c>
      <c r="N75" s="175">
        <v>602669</v>
      </c>
      <c r="O75" s="207">
        <v>4.0799999237060547</v>
      </c>
      <c r="P75" s="208">
        <v>7.125</v>
      </c>
      <c r="Q75" s="175">
        <v>246519</v>
      </c>
      <c r="R75" s="207">
        <v>0</v>
      </c>
      <c r="S75" s="208">
        <v>0</v>
      </c>
      <c r="T75" s="176">
        <v>12663</v>
      </c>
    </row>
    <row r="76" spans="2:20" ht="36" customHeight="1" x14ac:dyDescent="0.3">
      <c r="B76" s="173" t="s">
        <v>452</v>
      </c>
      <c r="C76" s="207">
        <v>3.6</v>
      </c>
      <c r="D76" s="208">
        <v>12.377998352050781</v>
      </c>
      <c r="E76" s="175">
        <v>562003</v>
      </c>
      <c r="F76" s="207"/>
      <c r="G76" s="208">
        <v>9</v>
      </c>
      <c r="H76" s="175">
        <v>278795</v>
      </c>
      <c r="I76" s="207">
        <v>3.0168750286102295</v>
      </c>
      <c r="J76" s="208">
        <v>29.277708053588867</v>
      </c>
      <c r="K76" s="175">
        <v>592138</v>
      </c>
      <c r="L76" s="207">
        <v>1.7643749713897705</v>
      </c>
      <c r="M76" s="208">
        <v>23.636999130249023</v>
      </c>
      <c r="N76" s="175">
        <v>602695</v>
      </c>
      <c r="O76" s="207">
        <v>4.125</v>
      </c>
      <c r="P76" s="208">
        <v>7.8239998817443848</v>
      </c>
      <c r="Q76" s="175">
        <v>246526</v>
      </c>
      <c r="R76" s="207">
        <v>0</v>
      </c>
      <c r="S76" s="208">
        <v>0</v>
      </c>
      <c r="T76" s="176">
        <v>12663</v>
      </c>
    </row>
    <row r="77" spans="2:20" ht="36" customHeight="1" x14ac:dyDescent="0.3">
      <c r="B77" s="173" t="s">
        <v>453</v>
      </c>
      <c r="C77" s="207">
        <v>3.6</v>
      </c>
      <c r="D77" s="208">
        <v>10.686663627624512</v>
      </c>
      <c r="E77" s="175">
        <v>562013</v>
      </c>
      <c r="F77" s="207"/>
      <c r="G77" s="208">
        <v>0</v>
      </c>
      <c r="H77" s="175">
        <v>278801</v>
      </c>
      <c r="I77" s="207">
        <v>3.0281250476837158</v>
      </c>
      <c r="J77" s="208">
        <v>31.213848114013672</v>
      </c>
      <c r="K77" s="175">
        <v>592169</v>
      </c>
      <c r="L77" s="207">
        <v>1.8075000047683716</v>
      </c>
      <c r="M77" s="208">
        <v>24.315000534057617</v>
      </c>
      <c r="N77" s="175">
        <v>602720</v>
      </c>
      <c r="O77" s="207">
        <v>4.1024999618530273</v>
      </c>
      <c r="P77" s="208">
        <v>8.2060003280639648</v>
      </c>
      <c r="Q77" s="175">
        <v>246533</v>
      </c>
      <c r="R77" s="207">
        <v>0</v>
      </c>
      <c r="S77" s="208">
        <v>0</v>
      </c>
      <c r="T77" s="176">
        <v>12663</v>
      </c>
    </row>
    <row r="78" spans="2:20" ht="36" customHeight="1" x14ac:dyDescent="0.3">
      <c r="B78" s="173" t="s">
        <v>454</v>
      </c>
      <c r="C78" s="207">
        <v>3.5</v>
      </c>
      <c r="D78" s="208">
        <v>13.276328086853027</v>
      </c>
      <c r="E78" s="175">
        <v>562023</v>
      </c>
      <c r="F78" s="207"/>
      <c r="G78" s="208">
        <v>9</v>
      </c>
      <c r="H78" s="175">
        <v>278805</v>
      </c>
      <c r="I78" s="207">
        <v>2.9831249713897705</v>
      </c>
      <c r="J78" s="208">
        <v>33.890064239501953</v>
      </c>
      <c r="K78" s="175">
        <v>592202</v>
      </c>
      <c r="L78" s="207">
        <v>1.7756249904632568</v>
      </c>
      <c r="M78" s="208">
        <v>22.958000183105469</v>
      </c>
      <c r="N78" s="175">
        <v>602743</v>
      </c>
      <c r="O78" s="207">
        <v>4.091249942779541</v>
      </c>
      <c r="P78" s="208">
        <v>7.4429998397827148</v>
      </c>
      <c r="Q78" s="175">
        <v>246541</v>
      </c>
      <c r="R78" s="207">
        <v>0</v>
      </c>
      <c r="S78" s="208">
        <v>0</v>
      </c>
      <c r="T78" s="176">
        <v>12663</v>
      </c>
    </row>
    <row r="79" spans="2:20" ht="36" customHeight="1" x14ac:dyDescent="0.3">
      <c r="B79" s="173" t="s">
        <v>455</v>
      </c>
      <c r="C79" s="207">
        <v>3.5</v>
      </c>
      <c r="D79" s="208">
        <v>17.235755920410156</v>
      </c>
      <c r="E79" s="175">
        <v>562037</v>
      </c>
      <c r="F79" s="207"/>
      <c r="G79" s="208">
        <v>9</v>
      </c>
      <c r="H79" s="175">
        <v>278811</v>
      </c>
      <c r="I79" s="207">
        <v>2.90625</v>
      </c>
      <c r="J79" s="208">
        <v>40.272739410400391</v>
      </c>
      <c r="K79" s="175">
        <v>592236</v>
      </c>
      <c r="L79" s="207">
        <v>1.7849999666213989</v>
      </c>
      <c r="M79" s="208">
        <v>24.429000854492188</v>
      </c>
      <c r="N79" s="175">
        <v>602768</v>
      </c>
      <c r="O79" s="207">
        <v>4.0481247901916504</v>
      </c>
      <c r="P79" s="208">
        <v>8.9700002670288086</v>
      </c>
      <c r="Q79" s="175">
        <v>246549</v>
      </c>
      <c r="R79" s="207">
        <v>0</v>
      </c>
      <c r="S79" s="208">
        <v>0</v>
      </c>
      <c r="T79" s="176">
        <v>12663</v>
      </c>
    </row>
    <row r="80" spans="2:20" ht="36" customHeight="1" x14ac:dyDescent="0.3">
      <c r="B80" s="173" t="s">
        <v>456</v>
      </c>
      <c r="C80" s="207">
        <v>3.2</v>
      </c>
      <c r="D80" s="208">
        <v>40.962070465087891</v>
      </c>
      <c r="E80" s="175">
        <v>562064</v>
      </c>
      <c r="F80" s="207"/>
      <c r="G80" s="208">
        <v>9</v>
      </c>
      <c r="H80" s="175">
        <v>278816</v>
      </c>
      <c r="I80" s="207">
        <v>2.7300000190734863</v>
      </c>
      <c r="J80" s="208">
        <v>44.456192016601563</v>
      </c>
      <c r="K80" s="175">
        <v>592277</v>
      </c>
      <c r="L80" s="207">
        <v>1.7193750143051147</v>
      </c>
      <c r="M80" s="208">
        <v>29.743999481201172</v>
      </c>
      <c r="N80" s="175">
        <v>602794</v>
      </c>
      <c r="O80" s="207">
        <v>4.0143747329711914</v>
      </c>
      <c r="P80" s="208">
        <v>10.942000389099121</v>
      </c>
      <c r="Q80" s="175">
        <v>246559</v>
      </c>
      <c r="R80" s="207">
        <v>0</v>
      </c>
      <c r="S80" s="208">
        <v>0</v>
      </c>
      <c r="T80" s="176">
        <v>12663</v>
      </c>
    </row>
    <row r="81" spans="2:20" ht="36" customHeight="1" x14ac:dyDescent="0.3">
      <c r="B81" s="173" t="s">
        <v>457</v>
      </c>
      <c r="C81" s="207">
        <v>3</v>
      </c>
      <c r="D81" s="208">
        <v>54.124713897705078</v>
      </c>
      <c r="E81" s="175">
        <v>562111</v>
      </c>
      <c r="F81" s="207"/>
      <c r="G81" s="208">
        <v>9</v>
      </c>
      <c r="H81" s="175">
        <v>278822</v>
      </c>
      <c r="I81" s="207">
        <v>2.476874828338623</v>
      </c>
      <c r="J81" s="208">
        <v>41.225215911865234</v>
      </c>
      <c r="K81" s="175">
        <v>592323</v>
      </c>
      <c r="L81" s="207">
        <v>1.6856249570846558</v>
      </c>
      <c r="M81" s="208">
        <v>32.571998596191406</v>
      </c>
      <c r="N81" s="175">
        <v>602823</v>
      </c>
      <c r="O81" s="207">
        <v>3.9487500190734863</v>
      </c>
      <c r="P81" s="208">
        <v>15.64900016784668</v>
      </c>
      <c r="Q81" s="175">
        <v>246571</v>
      </c>
      <c r="R81" s="207">
        <v>0</v>
      </c>
      <c r="S81" s="208">
        <v>0</v>
      </c>
      <c r="T81" s="176">
        <v>12663</v>
      </c>
    </row>
    <row r="82" spans="2:20" ht="36" customHeight="1" x14ac:dyDescent="0.3">
      <c r="B82" s="173" t="s">
        <v>458</v>
      </c>
      <c r="C82" s="207">
        <v>3</v>
      </c>
      <c r="D82" s="208">
        <v>61.116855621337891</v>
      </c>
      <c r="E82" s="175">
        <v>562167</v>
      </c>
      <c r="F82" s="207"/>
      <c r="G82" s="208">
        <v>0</v>
      </c>
      <c r="H82" s="175">
        <v>278828</v>
      </c>
      <c r="I82" s="207">
        <v>2.3118748664855957</v>
      </c>
      <c r="J82" s="208">
        <v>50.489967346191406</v>
      </c>
      <c r="K82" s="175">
        <v>592373</v>
      </c>
      <c r="L82" s="207">
        <v>1.653749942779541</v>
      </c>
      <c r="M82" s="208">
        <v>34.493999481201172</v>
      </c>
      <c r="N82" s="175">
        <v>602860</v>
      </c>
      <c r="O82" s="207">
        <v>3.9918749332427979</v>
      </c>
      <c r="P82" s="208">
        <v>15.140000343322754</v>
      </c>
      <c r="Q82" s="175">
        <v>246586</v>
      </c>
      <c r="R82" s="207">
        <v>0</v>
      </c>
      <c r="S82" s="208">
        <v>0</v>
      </c>
      <c r="T82" s="176">
        <v>12663</v>
      </c>
    </row>
    <row r="83" spans="2:20" ht="36" customHeight="1" x14ac:dyDescent="0.3">
      <c r="B83" s="173" t="s">
        <v>459</v>
      </c>
      <c r="C83" s="207">
        <v>2.9000000000000004</v>
      </c>
      <c r="D83" s="208">
        <v>64.043678283691406</v>
      </c>
      <c r="E83" s="175">
        <v>562230</v>
      </c>
      <c r="F83" s="207"/>
      <c r="G83" s="208">
        <v>0</v>
      </c>
      <c r="H83" s="175">
        <v>278833</v>
      </c>
      <c r="I83" s="207">
        <v>2.2462499141693115</v>
      </c>
      <c r="J83" s="208">
        <v>54.964271545410156</v>
      </c>
      <c r="K83" s="175">
        <v>592429</v>
      </c>
      <c r="L83" s="207">
        <v>1.653749942779541</v>
      </c>
      <c r="M83" s="208">
        <v>44.898998260498047</v>
      </c>
      <c r="N83" s="175">
        <v>602899</v>
      </c>
      <c r="O83" s="207">
        <v>3.903749942779541</v>
      </c>
      <c r="P83" s="208">
        <v>16.666999816894531</v>
      </c>
      <c r="Q83" s="175">
        <v>246604</v>
      </c>
      <c r="R83" s="207">
        <v>0</v>
      </c>
      <c r="S83" s="208">
        <v>0</v>
      </c>
      <c r="T83" s="176">
        <v>12663</v>
      </c>
    </row>
    <row r="84" spans="2:20" ht="36" customHeight="1" x14ac:dyDescent="0.3">
      <c r="B84" s="173" t="s">
        <v>460</v>
      </c>
      <c r="C84" s="207">
        <v>2.8000000000000003</v>
      </c>
      <c r="D84" s="208">
        <v>65.466926574707031</v>
      </c>
      <c r="E84" s="175">
        <v>562295</v>
      </c>
      <c r="F84" s="207"/>
      <c r="G84" s="208">
        <v>9</v>
      </c>
      <c r="H84" s="175">
        <v>278839</v>
      </c>
      <c r="I84" s="207">
        <v>2.2124998569488525</v>
      </c>
      <c r="J84" s="208">
        <v>54.22698974609375</v>
      </c>
      <c r="K84" s="175">
        <v>592485</v>
      </c>
      <c r="L84" s="207">
        <v>1.6424999237060547</v>
      </c>
      <c r="M84" s="208">
        <v>42.637001037597656</v>
      </c>
      <c r="N84" s="175">
        <v>602940</v>
      </c>
      <c r="O84" s="207">
        <v>3.9599997997283936</v>
      </c>
      <c r="P84" s="208">
        <v>17.749000549316406</v>
      </c>
      <c r="Q84" s="175">
        <v>246621</v>
      </c>
      <c r="R84" s="207">
        <v>0</v>
      </c>
      <c r="S84" s="208">
        <v>0</v>
      </c>
      <c r="T84" s="176">
        <v>12663</v>
      </c>
    </row>
    <row r="85" spans="2:20" ht="36" customHeight="1" x14ac:dyDescent="0.3">
      <c r="B85" s="173" t="s">
        <v>461</v>
      </c>
      <c r="C85" s="207">
        <v>2.8000000000000003</v>
      </c>
      <c r="D85" s="208">
        <v>63.799335479736328</v>
      </c>
      <c r="E85" s="175">
        <v>562357</v>
      </c>
      <c r="F85" s="207"/>
      <c r="G85" s="208">
        <v>9</v>
      </c>
      <c r="H85" s="175">
        <v>278846</v>
      </c>
      <c r="I85" s="207">
        <v>2.2349998950958252</v>
      </c>
      <c r="J85" s="208">
        <v>57.762214660644531</v>
      </c>
      <c r="K85" s="175">
        <v>592544</v>
      </c>
      <c r="L85" s="207">
        <v>1.653749942779541</v>
      </c>
      <c r="M85" s="208">
        <v>42.185001373291016</v>
      </c>
      <c r="N85" s="175">
        <v>602984</v>
      </c>
      <c r="O85" s="207">
        <v>3.9599997997283936</v>
      </c>
      <c r="P85" s="208">
        <v>15.967000007629395</v>
      </c>
      <c r="Q85" s="175">
        <v>246638</v>
      </c>
      <c r="R85" s="207">
        <v>0</v>
      </c>
      <c r="S85" s="208">
        <v>0</v>
      </c>
      <c r="T85" s="176">
        <v>12663</v>
      </c>
    </row>
    <row r="86" spans="2:20" ht="36" customHeight="1" x14ac:dyDescent="0.3">
      <c r="B86" s="173" t="s">
        <v>462</v>
      </c>
      <c r="C86" s="207">
        <v>2.8000000000000003</v>
      </c>
      <c r="D86" s="208">
        <v>57.907924652099609</v>
      </c>
      <c r="E86" s="175">
        <v>562417</v>
      </c>
      <c r="F86" s="207"/>
      <c r="G86" s="208">
        <v>0</v>
      </c>
      <c r="H86" s="175">
        <v>278851</v>
      </c>
      <c r="I86" s="207">
        <v>2.3456249237060547</v>
      </c>
      <c r="J86" s="208">
        <v>53.588546752929688</v>
      </c>
      <c r="K86" s="175">
        <v>592599</v>
      </c>
      <c r="L86" s="207">
        <v>1.6649999618530273</v>
      </c>
      <c r="M86" s="208">
        <v>38.112998962402344</v>
      </c>
      <c r="N86" s="175">
        <v>603026</v>
      </c>
      <c r="O86" s="207">
        <v>3.9599997997283936</v>
      </c>
      <c r="P86" s="208">
        <v>16.604000091552734</v>
      </c>
      <c r="Q86" s="175">
        <v>246654</v>
      </c>
      <c r="R86" s="207">
        <v>0</v>
      </c>
      <c r="S86" s="208">
        <v>0</v>
      </c>
      <c r="T86" s="176">
        <v>12663</v>
      </c>
    </row>
    <row r="87" spans="2:20" ht="36" customHeight="1" x14ac:dyDescent="0.3">
      <c r="B87" s="173" t="s">
        <v>463</v>
      </c>
      <c r="C87" s="207">
        <v>2.8000000000000003</v>
      </c>
      <c r="D87" s="208">
        <v>58.624641418457031</v>
      </c>
      <c r="E87" s="175">
        <v>562476</v>
      </c>
      <c r="F87" s="207"/>
      <c r="G87" s="208">
        <v>9</v>
      </c>
      <c r="H87" s="175">
        <v>278857</v>
      </c>
      <c r="I87" s="207">
        <v>2.3550000190734863</v>
      </c>
      <c r="J87" s="208">
        <v>52.923545837402344</v>
      </c>
      <c r="K87" s="175">
        <v>592652</v>
      </c>
      <c r="L87" s="207">
        <v>1.6649999618530273</v>
      </c>
      <c r="M87" s="208">
        <v>40.262001037597656</v>
      </c>
      <c r="N87" s="175">
        <v>603068</v>
      </c>
      <c r="O87" s="207">
        <v>3.9806249141693115</v>
      </c>
      <c r="P87" s="208">
        <v>13.994999885559082</v>
      </c>
      <c r="Q87" s="175">
        <v>246670</v>
      </c>
      <c r="R87" s="207">
        <v>0</v>
      </c>
      <c r="S87" s="208">
        <v>0</v>
      </c>
      <c r="T87" s="176">
        <v>12663</v>
      </c>
    </row>
    <row r="88" spans="2:20" ht="36" customHeight="1" x14ac:dyDescent="0.3">
      <c r="B88" s="173" t="s">
        <v>464</v>
      </c>
      <c r="C88" s="207">
        <v>2.8000000000000003</v>
      </c>
      <c r="D88" s="208">
        <v>52.081878662109375</v>
      </c>
      <c r="E88" s="175">
        <v>562528</v>
      </c>
      <c r="F88" s="207"/>
      <c r="G88" s="208">
        <v>9</v>
      </c>
      <c r="H88" s="175">
        <v>278863</v>
      </c>
      <c r="I88" s="207">
        <v>2.3887498378753662</v>
      </c>
      <c r="J88" s="208">
        <v>52.379825592041016</v>
      </c>
      <c r="K88" s="175">
        <v>592704</v>
      </c>
      <c r="L88" s="207">
        <v>1.6856249570846558</v>
      </c>
      <c r="M88" s="208">
        <v>40.375</v>
      </c>
      <c r="N88" s="175">
        <v>603110</v>
      </c>
      <c r="O88" s="207">
        <v>3.9262499809265137</v>
      </c>
      <c r="P88" s="208">
        <v>16.731000900268555</v>
      </c>
      <c r="Q88" s="175">
        <v>246687</v>
      </c>
      <c r="R88" s="207">
        <v>0</v>
      </c>
      <c r="S88" s="208">
        <v>0</v>
      </c>
      <c r="T88" s="176">
        <v>12663</v>
      </c>
    </row>
    <row r="89" spans="2:20" ht="36" customHeight="1" x14ac:dyDescent="0.3">
      <c r="B89" s="173" t="s">
        <v>465</v>
      </c>
      <c r="C89" s="207">
        <v>2.8000000000000003</v>
      </c>
      <c r="D89" s="208">
        <v>57.491188049316406</v>
      </c>
      <c r="E89" s="175">
        <v>562581</v>
      </c>
      <c r="F89" s="207"/>
      <c r="G89" s="208">
        <v>0</v>
      </c>
      <c r="H89" s="175">
        <v>278868</v>
      </c>
      <c r="I89" s="207">
        <v>2.2574999332427979</v>
      </c>
      <c r="J89" s="208">
        <v>59.473228454589844</v>
      </c>
      <c r="K89" s="175">
        <v>592760</v>
      </c>
      <c r="L89" s="207">
        <v>1.6762499809265137</v>
      </c>
      <c r="M89" s="208">
        <v>45.237998962402344</v>
      </c>
      <c r="N89" s="175">
        <v>603153</v>
      </c>
      <c r="O89" s="207">
        <v>3.8812499046325684</v>
      </c>
      <c r="P89" s="208">
        <v>16.094999313354492</v>
      </c>
      <c r="Q89" s="175">
        <v>246704</v>
      </c>
      <c r="R89" s="207">
        <v>0</v>
      </c>
      <c r="S89" s="208">
        <v>0</v>
      </c>
      <c r="T89" s="176">
        <v>12663</v>
      </c>
    </row>
    <row r="90" spans="2:20" ht="36" customHeight="1" x14ac:dyDescent="0.3">
      <c r="B90" s="173" t="s">
        <v>466</v>
      </c>
      <c r="C90" s="207">
        <v>2.7</v>
      </c>
      <c r="D90" s="208">
        <v>61.821609497070313</v>
      </c>
      <c r="E90" s="175">
        <v>562643</v>
      </c>
      <c r="F90" s="207"/>
      <c r="G90" s="208">
        <v>9</v>
      </c>
      <c r="H90" s="175">
        <v>278874</v>
      </c>
      <c r="I90" s="207">
        <v>2.2781250476837158</v>
      </c>
      <c r="J90" s="208">
        <v>48.432266235351563</v>
      </c>
      <c r="K90" s="175">
        <v>592812</v>
      </c>
      <c r="L90" s="207">
        <v>1.6312499046325684</v>
      </c>
      <c r="M90" s="208">
        <v>49.988998413085938</v>
      </c>
      <c r="N90" s="175">
        <v>603198</v>
      </c>
      <c r="O90" s="207">
        <v>3.8156249523162842</v>
      </c>
      <c r="P90" s="208">
        <v>20.420999526977539</v>
      </c>
      <c r="Q90" s="175">
        <v>246722</v>
      </c>
      <c r="R90" s="207">
        <v>0</v>
      </c>
      <c r="S90" s="208">
        <v>0</v>
      </c>
      <c r="T90" s="176">
        <v>12663</v>
      </c>
    </row>
    <row r="91" spans="2:20" ht="36" customHeight="1" x14ac:dyDescent="0.3">
      <c r="B91" s="173" t="s">
        <v>467</v>
      </c>
      <c r="C91" s="207">
        <v>2.9000000000000004</v>
      </c>
      <c r="D91" s="208">
        <v>71.750747680664063</v>
      </c>
      <c r="E91" s="175">
        <v>562709</v>
      </c>
      <c r="F91" s="207"/>
      <c r="G91" s="208">
        <v>0</v>
      </c>
      <c r="H91" s="175">
        <v>278880</v>
      </c>
      <c r="I91" s="207">
        <v>2.169374942779541</v>
      </c>
      <c r="J91" s="208">
        <v>57.253177642822266</v>
      </c>
      <c r="K91" s="175">
        <v>592868</v>
      </c>
      <c r="L91" s="207">
        <v>1.6200000047683716</v>
      </c>
      <c r="M91" s="208">
        <v>40.827999114990234</v>
      </c>
      <c r="N91" s="175">
        <v>603242</v>
      </c>
      <c r="O91" s="207">
        <v>3.7706248760223389</v>
      </c>
      <c r="P91" s="208">
        <v>19.275999069213867</v>
      </c>
      <c r="Q91" s="175">
        <v>246743</v>
      </c>
      <c r="R91" s="207">
        <v>0</v>
      </c>
      <c r="S91" s="208">
        <v>0</v>
      </c>
      <c r="T91" s="176">
        <v>12663</v>
      </c>
    </row>
    <row r="92" spans="2:20" ht="36" customHeight="1" x14ac:dyDescent="0.3">
      <c r="B92" s="173" t="s">
        <v>468</v>
      </c>
      <c r="C92" s="207">
        <v>2.8000000000000003</v>
      </c>
      <c r="D92" s="208">
        <v>71.743400573730469</v>
      </c>
      <c r="E92" s="175">
        <v>562782</v>
      </c>
      <c r="F92" s="207"/>
      <c r="G92" s="208">
        <v>9</v>
      </c>
      <c r="H92" s="175">
        <v>278885</v>
      </c>
      <c r="I92" s="207">
        <v>2.1581249237060547</v>
      </c>
      <c r="J92" s="208">
        <v>57.799430847167969</v>
      </c>
      <c r="K92" s="175">
        <v>592928</v>
      </c>
      <c r="L92" s="207">
        <v>1.5881249904632568</v>
      </c>
      <c r="M92" s="208">
        <v>43.654998779296875</v>
      </c>
      <c r="N92" s="175">
        <v>603286</v>
      </c>
      <c r="O92" s="207">
        <v>3.716249942779541</v>
      </c>
      <c r="P92" s="208">
        <v>19.211999893188477</v>
      </c>
      <c r="Q92" s="175">
        <v>246763</v>
      </c>
      <c r="R92" s="207">
        <v>0</v>
      </c>
      <c r="S92" s="208">
        <v>0</v>
      </c>
      <c r="T92" s="176">
        <v>12663</v>
      </c>
    </row>
    <row r="93" spans="2:20" ht="36" customHeight="1" x14ac:dyDescent="0.3">
      <c r="B93" s="173" t="s">
        <v>469</v>
      </c>
      <c r="C93" s="207">
        <v>2.9000000000000004</v>
      </c>
      <c r="D93" s="208">
        <v>61.920738220214844</v>
      </c>
      <c r="E93" s="175">
        <v>562851</v>
      </c>
      <c r="F93" s="207"/>
      <c r="G93" s="208">
        <v>0</v>
      </c>
      <c r="H93" s="175">
        <v>278891</v>
      </c>
      <c r="I93" s="207">
        <v>2.2237498760223389</v>
      </c>
      <c r="J93" s="208">
        <v>57.738998413085938</v>
      </c>
      <c r="K93" s="175">
        <v>592984</v>
      </c>
      <c r="L93" s="207">
        <v>1.6200000047683716</v>
      </c>
      <c r="M93" s="208">
        <v>44.333999633789063</v>
      </c>
      <c r="N93" s="175">
        <v>603332</v>
      </c>
      <c r="O93" s="207">
        <v>3.9149999618530273</v>
      </c>
      <c r="P93" s="208">
        <v>19.656999588012695</v>
      </c>
      <c r="Q93" s="175">
        <v>246783</v>
      </c>
      <c r="R93" s="207">
        <v>0</v>
      </c>
      <c r="S93" s="208">
        <v>0</v>
      </c>
      <c r="T93" s="176">
        <v>12663</v>
      </c>
    </row>
    <row r="94" spans="2:20" ht="36" customHeight="1" x14ac:dyDescent="0.3">
      <c r="B94" s="173" t="s">
        <v>470</v>
      </c>
      <c r="C94" s="207">
        <v>2.9000000000000004</v>
      </c>
      <c r="D94" s="208">
        <v>61.239120483398438</v>
      </c>
      <c r="E94" s="175">
        <v>562914</v>
      </c>
      <c r="F94" s="207"/>
      <c r="G94" s="208">
        <v>9</v>
      </c>
      <c r="H94" s="175">
        <v>278895</v>
      </c>
      <c r="I94" s="207">
        <v>2.2893750667572021</v>
      </c>
      <c r="J94" s="208">
        <v>54.093906402587891</v>
      </c>
      <c r="K94" s="175">
        <v>593037</v>
      </c>
      <c r="L94" s="207">
        <v>1.6087499856948853</v>
      </c>
      <c r="M94" s="208">
        <v>45.804000854492188</v>
      </c>
      <c r="N94" s="175">
        <v>603378</v>
      </c>
      <c r="O94" s="207">
        <v>3.9599997997283936</v>
      </c>
      <c r="P94" s="208">
        <v>14.758999824523926</v>
      </c>
      <c r="Q94" s="175">
        <v>246801</v>
      </c>
      <c r="R94" s="207">
        <v>0</v>
      </c>
      <c r="S94" s="208">
        <v>0</v>
      </c>
      <c r="T94" s="176">
        <v>12663</v>
      </c>
    </row>
    <row r="95" spans="2:20" ht="36" customHeight="1" thickBot="1" x14ac:dyDescent="0.35">
      <c r="B95" s="177" t="s">
        <v>471</v>
      </c>
      <c r="C95" s="209">
        <v>3</v>
      </c>
      <c r="D95" s="210">
        <v>48.875923156738281</v>
      </c>
      <c r="E95" s="179">
        <v>562968</v>
      </c>
      <c r="F95" s="209"/>
      <c r="G95" s="210">
        <v>0</v>
      </c>
      <c r="H95" s="179">
        <v>278901</v>
      </c>
      <c r="I95" s="209">
        <v>2.4431250095367432</v>
      </c>
      <c r="J95" s="210">
        <v>45.8759765625</v>
      </c>
      <c r="K95" s="179">
        <v>593086</v>
      </c>
      <c r="L95" s="209">
        <v>1.6424999237060547</v>
      </c>
      <c r="M95" s="210">
        <v>44.106998443603516</v>
      </c>
      <c r="N95" s="179">
        <v>603422</v>
      </c>
      <c r="O95" s="209">
        <v>3.9806249141693115</v>
      </c>
      <c r="P95" s="210">
        <v>15.713000297546387</v>
      </c>
      <c r="Q95" s="179">
        <v>246817</v>
      </c>
      <c r="R95" s="209">
        <v>0</v>
      </c>
      <c r="S95" s="210">
        <v>0</v>
      </c>
      <c r="T95" s="180">
        <v>12663</v>
      </c>
    </row>
    <row r="96" spans="2:20" ht="36" customHeight="1" thickTop="1" x14ac:dyDescent="0.3">
      <c r="B96" s="181" t="s">
        <v>472</v>
      </c>
      <c r="C96" s="211">
        <f t="shared" ref="C96" si="16">MIN(C72:C95)</f>
        <v>2.7</v>
      </c>
      <c r="D96" s="212">
        <f>MIN(D72:D95)</f>
        <v>6.3804378509521484</v>
      </c>
      <c r="E96" s="213">
        <f t="shared" ref="E96:F96" si="17">MIN(E72:E95)</f>
        <v>561936</v>
      </c>
      <c r="F96" s="211">
        <f t="shared" si="17"/>
        <v>0</v>
      </c>
      <c r="G96" s="212">
        <f>MIN(G72:G95)</f>
        <v>0</v>
      </c>
      <c r="H96" s="213">
        <f t="shared" ref="H96:I96" si="18">MIN(H72:H95)</f>
        <v>278775</v>
      </c>
      <c r="I96" s="211">
        <f t="shared" si="18"/>
        <v>2.1581249237060547</v>
      </c>
      <c r="J96" s="212">
        <f>MIN(J72:J95)</f>
        <v>29.277708053588867</v>
      </c>
      <c r="K96" s="213">
        <f t="shared" ref="K96:L96" si="19">MIN(K72:K95)</f>
        <v>591999</v>
      </c>
      <c r="L96" s="211">
        <f t="shared" si="19"/>
        <v>1.5881249904632568</v>
      </c>
      <c r="M96" s="212">
        <f>MIN(M72:M95)</f>
        <v>22.958000183105469</v>
      </c>
      <c r="N96" s="213">
        <f t="shared" ref="N96:O96" si="20">MIN(N72:N95)</f>
        <v>602574</v>
      </c>
      <c r="O96" s="211">
        <f t="shared" si="20"/>
        <v>3.716249942779541</v>
      </c>
      <c r="P96" s="212">
        <f>MIN(P72:P95)</f>
        <v>7.125</v>
      </c>
      <c r="Q96" s="213">
        <f t="shared" ref="Q96:R96" si="21">MIN(Q72:Q95)</f>
        <v>246490</v>
      </c>
      <c r="R96" s="211">
        <f t="shared" si="21"/>
        <v>0</v>
      </c>
      <c r="S96" s="212">
        <f>MIN(S72:S95)</f>
        <v>0</v>
      </c>
      <c r="T96" s="214">
        <f t="shared" ref="T96" si="22">MIN(T72:T95)</f>
        <v>12663</v>
      </c>
    </row>
    <row r="97" spans="2:20" ht="36" customHeight="1" x14ac:dyDescent="0.3">
      <c r="B97" s="173" t="s">
        <v>473</v>
      </c>
      <c r="C97" s="211">
        <f t="shared" ref="C97:T97" si="23">MAX(C72:C95)</f>
        <v>3.7</v>
      </c>
      <c r="D97" s="215">
        <f t="shared" si="23"/>
        <v>71.750747680664063</v>
      </c>
      <c r="E97" s="216">
        <f t="shared" si="23"/>
        <v>562968</v>
      </c>
      <c r="F97" s="211">
        <f t="shared" si="23"/>
        <v>0</v>
      </c>
      <c r="G97" s="215">
        <f t="shared" si="23"/>
        <v>9</v>
      </c>
      <c r="H97" s="216">
        <f t="shared" si="23"/>
        <v>278901</v>
      </c>
      <c r="I97" s="211">
        <f t="shared" si="23"/>
        <v>3.0281250476837158</v>
      </c>
      <c r="J97" s="215">
        <f t="shared" si="23"/>
        <v>59.473228454589844</v>
      </c>
      <c r="K97" s="216">
        <f t="shared" si="23"/>
        <v>593086</v>
      </c>
      <c r="L97" s="211">
        <f t="shared" si="23"/>
        <v>1.8075000047683716</v>
      </c>
      <c r="M97" s="215">
        <f t="shared" si="23"/>
        <v>49.988998413085938</v>
      </c>
      <c r="N97" s="216">
        <f t="shared" si="23"/>
        <v>603422</v>
      </c>
      <c r="O97" s="211">
        <f t="shared" si="23"/>
        <v>4.125</v>
      </c>
      <c r="P97" s="215">
        <f t="shared" si="23"/>
        <v>20.420999526977539</v>
      </c>
      <c r="Q97" s="216">
        <f t="shared" si="23"/>
        <v>246817</v>
      </c>
      <c r="R97" s="211">
        <f t="shared" si="23"/>
        <v>0</v>
      </c>
      <c r="S97" s="215">
        <f t="shared" si="23"/>
        <v>0</v>
      </c>
      <c r="T97" s="217">
        <f t="shared" si="23"/>
        <v>12663</v>
      </c>
    </row>
    <row r="98" spans="2:20" ht="36" customHeight="1" x14ac:dyDescent="0.3">
      <c r="B98" s="173" t="s">
        <v>474</v>
      </c>
      <c r="C98" s="211">
        <f>AVERAGE(C72:C95)</f>
        <v>3.0958333333333332</v>
      </c>
      <c r="D98" s="215">
        <f>AVERAGE(D72:D95)</f>
        <v>44.915522495905556</v>
      </c>
      <c r="E98" s="218"/>
      <c r="F98" s="211" t="e">
        <f>AVERAGE(F72:F95)</f>
        <v>#DIV/0!</v>
      </c>
      <c r="G98" s="215">
        <f>AVERAGE(G72:G95)</f>
        <v>6</v>
      </c>
      <c r="H98" s="218"/>
      <c r="I98" s="211">
        <f>AVERAGE(I72:I95)</f>
        <v>2.5197655558586121</v>
      </c>
      <c r="J98" s="215">
        <f>AVERAGE(J72:J95)</f>
        <v>46.901937882105507</v>
      </c>
      <c r="K98" s="218"/>
      <c r="L98" s="211">
        <f>AVERAGE(L72:L95)</f>
        <v>1.6828905890385311</v>
      </c>
      <c r="M98" s="215">
        <f>AVERAGE(M72:M95)</f>
        <v>36.614749749501549</v>
      </c>
      <c r="N98" s="218"/>
      <c r="O98" s="211">
        <f>AVERAGE(O72:O95)</f>
        <v>3.9665623903274536</v>
      </c>
      <c r="P98" s="215">
        <f>AVERAGE(P72:P95)</f>
        <v>13.971500019232431</v>
      </c>
      <c r="Q98" s="218"/>
      <c r="R98" s="211">
        <f>AVERAGE(R72:R95)</f>
        <v>0</v>
      </c>
      <c r="S98" s="215">
        <f>AVERAGE(S72:S95)</f>
        <v>0</v>
      </c>
      <c r="T98" s="219"/>
    </row>
    <row r="99" spans="2:20" ht="36" customHeight="1" thickBot="1" x14ac:dyDescent="0.35">
      <c r="B99" s="186" t="s">
        <v>475</v>
      </c>
      <c r="C99" s="220"/>
      <c r="D99" s="221"/>
      <c r="E99" s="222"/>
      <c r="F99" s="220"/>
      <c r="G99" s="221"/>
      <c r="H99" s="222"/>
      <c r="I99" s="220"/>
      <c r="J99" s="221"/>
      <c r="K99" s="222"/>
      <c r="L99" s="220"/>
      <c r="M99" s="221"/>
      <c r="N99" s="222"/>
      <c r="O99" s="220"/>
      <c r="P99" s="221"/>
      <c r="Q99" s="222"/>
      <c r="R99" s="220"/>
      <c r="S99" s="221"/>
      <c r="T99" s="223"/>
    </row>
    <row r="100" spans="2:20" ht="9.9499999999999993" customHeight="1" thickBot="1" x14ac:dyDescent="0.35">
      <c r="B100" s="190"/>
      <c r="E100" s="190"/>
      <c r="H100" s="190"/>
      <c r="K100" s="190"/>
      <c r="N100" s="190"/>
      <c r="Q100" s="190"/>
      <c r="T100" s="190"/>
    </row>
    <row r="101" spans="2:20" s="162" customFormat="1" ht="51.95" customHeight="1" thickBot="1" x14ac:dyDescent="0.35">
      <c r="B101" s="460" t="s">
        <v>573</v>
      </c>
      <c r="C101" s="461"/>
      <c r="D101" s="461"/>
      <c r="E101" s="461"/>
      <c r="F101" s="461"/>
      <c r="G101" s="461"/>
      <c r="H101" s="461"/>
      <c r="I101" s="461"/>
      <c r="J101" s="461"/>
      <c r="K101" s="461"/>
      <c r="L101" s="461"/>
      <c r="M101" s="461"/>
      <c r="N101" s="461"/>
      <c r="O101" s="461"/>
      <c r="P101" s="461"/>
      <c r="Q101" s="461"/>
      <c r="R101" s="461"/>
      <c r="S101" s="461"/>
      <c r="T101" s="462"/>
    </row>
    <row r="102" spans="2:20" s="164" customFormat="1" ht="36" customHeight="1" thickTop="1" x14ac:dyDescent="0.3">
      <c r="B102" s="163" t="s">
        <v>433</v>
      </c>
      <c r="C102" s="463"/>
      <c r="D102" s="463"/>
      <c r="E102" s="463"/>
      <c r="F102" s="463"/>
      <c r="G102" s="463"/>
      <c r="H102" s="463"/>
      <c r="I102" s="463"/>
      <c r="J102" s="463"/>
      <c r="K102" s="463"/>
      <c r="L102" s="463"/>
      <c r="M102" s="463"/>
      <c r="N102" s="463"/>
      <c r="O102" s="463"/>
      <c r="P102" s="463"/>
      <c r="Q102" s="463"/>
      <c r="R102" s="463"/>
      <c r="S102" s="463"/>
      <c r="T102" s="464"/>
    </row>
    <row r="103" spans="2:20" s="165" customFormat="1" ht="27.95" customHeight="1" x14ac:dyDescent="0.3">
      <c r="B103" s="455" t="s">
        <v>434</v>
      </c>
      <c r="C103" s="467" t="s">
        <v>601</v>
      </c>
      <c r="D103" s="467"/>
      <c r="E103" s="467"/>
      <c r="F103" s="467" t="s">
        <v>630</v>
      </c>
      <c r="G103" s="467"/>
      <c r="H103" s="467"/>
      <c r="I103" s="467" t="s">
        <v>631</v>
      </c>
      <c r="J103" s="467"/>
      <c r="K103" s="467"/>
      <c r="L103" s="467" t="s">
        <v>604</v>
      </c>
      <c r="M103" s="467"/>
      <c r="N103" s="467"/>
      <c r="O103" s="468" t="s">
        <v>605</v>
      </c>
      <c r="P103" s="468"/>
      <c r="Q103" s="468"/>
      <c r="R103" s="468" t="s">
        <v>606</v>
      </c>
      <c r="S103" s="468"/>
      <c r="T103" s="469"/>
    </row>
    <row r="104" spans="2:20" ht="27.95" customHeight="1" x14ac:dyDescent="0.3">
      <c r="B104" s="456"/>
      <c r="C104" s="200" t="s">
        <v>624</v>
      </c>
      <c r="D104" s="201" t="s">
        <v>625</v>
      </c>
      <c r="E104" s="202" t="s">
        <v>445</v>
      </c>
      <c r="F104" s="203" t="s">
        <v>624</v>
      </c>
      <c r="G104" s="201" t="s">
        <v>625</v>
      </c>
      <c r="H104" s="202" t="s">
        <v>445</v>
      </c>
      <c r="I104" s="203" t="s">
        <v>624</v>
      </c>
      <c r="J104" s="201" t="s">
        <v>625</v>
      </c>
      <c r="K104" s="202" t="s">
        <v>445</v>
      </c>
      <c r="L104" s="203" t="s">
        <v>624</v>
      </c>
      <c r="M104" s="201" t="s">
        <v>625</v>
      </c>
      <c r="N104" s="202" t="s">
        <v>445</v>
      </c>
      <c r="O104" s="203" t="s">
        <v>624</v>
      </c>
      <c r="P104" s="201" t="s">
        <v>625</v>
      </c>
      <c r="Q104" s="202" t="s">
        <v>445</v>
      </c>
      <c r="R104" s="203" t="s">
        <v>624</v>
      </c>
      <c r="S104" s="201" t="s">
        <v>625</v>
      </c>
      <c r="T104" s="204" t="s">
        <v>445</v>
      </c>
    </row>
    <row r="105" spans="2:20" ht="36" customHeight="1" x14ac:dyDescent="0.3">
      <c r="B105" s="169" t="s">
        <v>448</v>
      </c>
      <c r="C105" s="205">
        <v>3.7181248664855957</v>
      </c>
      <c r="D105" s="206">
        <v>46.821998596191406</v>
      </c>
      <c r="E105" s="171">
        <v>495402</v>
      </c>
      <c r="F105" s="205">
        <v>3.341249942779541</v>
      </c>
      <c r="G105" s="206">
        <v>0</v>
      </c>
      <c r="H105" s="171">
        <v>277125</v>
      </c>
      <c r="I105" s="205">
        <v>3.9224998950958252</v>
      </c>
      <c r="J105" s="206">
        <v>74.238761901855469</v>
      </c>
      <c r="K105" s="171">
        <v>1059975</v>
      </c>
      <c r="L105" s="205">
        <v>3.0243749618530273</v>
      </c>
      <c r="M105" s="206">
        <v>6.3610000610351563</v>
      </c>
      <c r="N105" s="171">
        <v>104140</v>
      </c>
      <c r="O105" s="205">
        <v>3.5699999332427979</v>
      </c>
      <c r="P105" s="206">
        <v>3.0585472583770752</v>
      </c>
      <c r="Q105" s="171">
        <v>137500</v>
      </c>
      <c r="R105" s="205">
        <v>3.8343749046325684</v>
      </c>
      <c r="S105" s="206">
        <v>104.38275909423828</v>
      </c>
      <c r="T105" s="172">
        <v>2019223</v>
      </c>
    </row>
    <row r="106" spans="2:20" ht="36" customHeight="1" x14ac:dyDescent="0.3">
      <c r="B106" s="173" t="s">
        <v>449</v>
      </c>
      <c r="C106" s="207">
        <v>3.763124942779541</v>
      </c>
      <c r="D106" s="208">
        <v>41.731998443603516</v>
      </c>
      <c r="E106" s="175">
        <v>495447</v>
      </c>
      <c r="F106" s="207">
        <v>3.3731248378753662</v>
      </c>
      <c r="G106" s="208">
        <v>0</v>
      </c>
      <c r="H106" s="175">
        <v>277125</v>
      </c>
      <c r="I106" s="207">
        <v>4.1774997711181641</v>
      </c>
      <c r="J106" s="208">
        <v>66.509986877441406</v>
      </c>
      <c r="K106" s="175">
        <v>1060045</v>
      </c>
      <c r="L106" s="207">
        <v>3.0581250190734863</v>
      </c>
      <c r="M106" s="208">
        <v>6.869999885559082</v>
      </c>
      <c r="N106" s="175">
        <v>104147</v>
      </c>
      <c r="O106" s="207">
        <v>3.6243748664855957</v>
      </c>
      <c r="P106" s="208">
        <v>0</v>
      </c>
      <c r="Q106" s="175">
        <v>137501</v>
      </c>
      <c r="R106" s="207">
        <v>3.8999998569488525</v>
      </c>
      <c r="S106" s="208">
        <v>93.141899108886719</v>
      </c>
      <c r="T106" s="176">
        <v>2019319</v>
      </c>
    </row>
    <row r="107" spans="2:20" ht="36" customHeight="1" x14ac:dyDescent="0.3">
      <c r="B107" s="173" t="s">
        <v>450</v>
      </c>
      <c r="C107" s="207">
        <v>3.763124942779541</v>
      </c>
      <c r="D107" s="208">
        <v>45.125</v>
      </c>
      <c r="E107" s="175">
        <v>495490</v>
      </c>
      <c r="F107" s="207">
        <v>3.4068748950958252</v>
      </c>
      <c r="G107" s="208">
        <v>0</v>
      </c>
      <c r="H107" s="175">
        <v>277125</v>
      </c>
      <c r="I107" s="207">
        <v>4.3649997711181641</v>
      </c>
      <c r="J107" s="208">
        <v>59.251911163330078</v>
      </c>
      <c r="K107" s="175">
        <v>1060107</v>
      </c>
      <c r="L107" s="207">
        <v>3.0787498950958252</v>
      </c>
      <c r="M107" s="208">
        <v>7.125</v>
      </c>
      <c r="N107" s="175">
        <v>104154</v>
      </c>
      <c r="O107" s="207">
        <v>3.6468749046325684</v>
      </c>
      <c r="P107" s="208">
        <v>0</v>
      </c>
      <c r="Q107" s="175">
        <v>137501</v>
      </c>
      <c r="R107" s="207">
        <v>3.9431250095367432</v>
      </c>
      <c r="S107" s="208">
        <v>88.132530212402344</v>
      </c>
      <c r="T107" s="176">
        <v>2019410</v>
      </c>
    </row>
    <row r="108" spans="2:20" ht="36" customHeight="1" x14ac:dyDescent="0.3">
      <c r="B108" s="173" t="s">
        <v>451</v>
      </c>
      <c r="C108" s="207">
        <v>3.7856249809265137</v>
      </c>
      <c r="D108" s="208">
        <v>25.445999145507813</v>
      </c>
      <c r="E108" s="175">
        <v>495524</v>
      </c>
      <c r="F108" s="207">
        <v>3.4406249523162842</v>
      </c>
      <c r="G108" s="208">
        <v>0</v>
      </c>
      <c r="H108" s="175">
        <v>277125</v>
      </c>
      <c r="I108" s="207">
        <v>4.453125</v>
      </c>
      <c r="J108" s="208">
        <v>55.569866180419922</v>
      </c>
      <c r="K108" s="175">
        <v>1060165</v>
      </c>
      <c r="L108" s="207">
        <v>3.1124999523162842</v>
      </c>
      <c r="M108" s="208">
        <v>6.869999885559082</v>
      </c>
      <c r="N108" s="175">
        <v>104161</v>
      </c>
      <c r="O108" s="207">
        <v>3.6787497997283936</v>
      </c>
      <c r="P108" s="208">
        <v>0</v>
      </c>
      <c r="Q108" s="175">
        <v>137501</v>
      </c>
      <c r="R108" s="207">
        <v>3.997499942779541</v>
      </c>
      <c r="S108" s="208">
        <v>86.38671875</v>
      </c>
      <c r="T108" s="176">
        <v>2019494</v>
      </c>
    </row>
    <row r="109" spans="2:20" ht="36" customHeight="1" x14ac:dyDescent="0.3">
      <c r="B109" s="173" t="s">
        <v>452</v>
      </c>
      <c r="C109" s="207">
        <v>3.8512499332427979</v>
      </c>
      <c r="D109" s="208">
        <v>25.333000183105469</v>
      </c>
      <c r="E109" s="175">
        <v>495550</v>
      </c>
      <c r="F109" s="207">
        <v>3.4837498664855957</v>
      </c>
      <c r="G109" s="208">
        <v>0</v>
      </c>
      <c r="H109" s="175">
        <v>277125</v>
      </c>
      <c r="I109" s="207">
        <v>4.5974998474121094</v>
      </c>
      <c r="J109" s="208">
        <v>53.580432891845703</v>
      </c>
      <c r="K109" s="175">
        <v>1060220</v>
      </c>
      <c r="L109" s="207">
        <v>3.1556248664855957</v>
      </c>
      <c r="M109" s="208">
        <v>6.6160001754760742</v>
      </c>
      <c r="N109" s="175">
        <v>104167</v>
      </c>
      <c r="O109" s="207">
        <v>3.7237498760223389</v>
      </c>
      <c r="P109" s="208">
        <v>0</v>
      </c>
      <c r="Q109" s="175">
        <v>137501</v>
      </c>
      <c r="R109" s="207">
        <v>4.0631251335144043</v>
      </c>
      <c r="S109" s="208">
        <v>78.228187561035156</v>
      </c>
      <c r="T109" s="176">
        <v>2019577</v>
      </c>
    </row>
    <row r="110" spans="2:20" ht="36" customHeight="1" x14ac:dyDescent="0.3">
      <c r="B110" s="173" t="s">
        <v>453</v>
      </c>
      <c r="C110" s="207">
        <v>3.8062498569488525</v>
      </c>
      <c r="D110" s="208">
        <v>23.863000869750977</v>
      </c>
      <c r="E110" s="175">
        <v>495574</v>
      </c>
      <c r="F110" s="207">
        <v>3.4499998092651367</v>
      </c>
      <c r="G110" s="208">
        <v>0</v>
      </c>
      <c r="H110" s="175">
        <v>277125</v>
      </c>
      <c r="I110" s="207">
        <v>4.5412497520446777</v>
      </c>
      <c r="J110" s="208">
        <v>56.699851989746094</v>
      </c>
      <c r="K110" s="175">
        <v>1060274</v>
      </c>
      <c r="L110" s="207">
        <v>3.1462500095367432</v>
      </c>
      <c r="M110" s="208">
        <v>6.3610000610351563</v>
      </c>
      <c r="N110" s="175">
        <v>104174</v>
      </c>
      <c r="O110" s="207">
        <v>3.7124998569488525</v>
      </c>
      <c r="P110" s="208">
        <v>0</v>
      </c>
      <c r="Q110" s="175">
        <v>137501</v>
      </c>
      <c r="R110" s="207">
        <v>4.0537500381469727</v>
      </c>
      <c r="S110" s="208">
        <v>81.158973693847656</v>
      </c>
      <c r="T110" s="176">
        <v>2019660</v>
      </c>
    </row>
    <row r="111" spans="2:20" ht="36" customHeight="1" x14ac:dyDescent="0.3">
      <c r="B111" s="173" t="s">
        <v>454</v>
      </c>
      <c r="C111" s="207">
        <v>3.8174998760223389</v>
      </c>
      <c r="D111" s="208">
        <v>21.035999298095703</v>
      </c>
      <c r="E111" s="175">
        <v>495595</v>
      </c>
      <c r="F111" s="207">
        <v>3.4499998092651367</v>
      </c>
      <c r="G111" s="208">
        <v>0</v>
      </c>
      <c r="H111" s="175">
        <v>277125</v>
      </c>
      <c r="I111" s="207">
        <v>4.4099998474121094</v>
      </c>
      <c r="J111" s="208">
        <v>60.223682403564453</v>
      </c>
      <c r="K111" s="175">
        <v>1060331</v>
      </c>
      <c r="L111" s="207">
        <v>3.0899999141693115</v>
      </c>
      <c r="M111" s="208">
        <v>6.6160001754760742</v>
      </c>
      <c r="N111" s="175">
        <v>104181</v>
      </c>
      <c r="O111" s="207">
        <v>3.65625</v>
      </c>
      <c r="P111" s="208">
        <v>0</v>
      </c>
      <c r="Q111" s="175">
        <v>137501</v>
      </c>
      <c r="R111" s="207">
        <v>3.9881248474121094</v>
      </c>
      <c r="S111" s="208">
        <v>88.248100280761719</v>
      </c>
      <c r="T111" s="176">
        <v>2019744</v>
      </c>
    </row>
    <row r="112" spans="2:20" ht="36" customHeight="1" x14ac:dyDescent="0.3">
      <c r="B112" s="173" t="s">
        <v>455</v>
      </c>
      <c r="C112" s="207">
        <v>3.7949998378753662</v>
      </c>
      <c r="D112" s="208">
        <v>22.506000518798828</v>
      </c>
      <c r="E112" s="175">
        <v>495614</v>
      </c>
      <c r="F112" s="207">
        <v>3.4181249141693115</v>
      </c>
      <c r="G112" s="208">
        <v>0</v>
      </c>
      <c r="H112" s="175">
        <v>277125</v>
      </c>
      <c r="I112" s="207">
        <v>4.398749828338623</v>
      </c>
      <c r="J112" s="208">
        <v>59.661144256591797</v>
      </c>
      <c r="K112" s="175">
        <v>1060395</v>
      </c>
      <c r="L112" s="207">
        <v>3.0787498950958252</v>
      </c>
      <c r="M112" s="208">
        <v>6.1069998741149902</v>
      </c>
      <c r="N112" s="175">
        <v>104188</v>
      </c>
      <c r="O112" s="207">
        <v>3.6243748664855957</v>
      </c>
      <c r="P112" s="208">
        <v>0</v>
      </c>
      <c r="Q112" s="175">
        <v>137501</v>
      </c>
      <c r="R112" s="207">
        <v>3.9543750286102295</v>
      </c>
      <c r="S112" s="208">
        <v>88.946098327636719</v>
      </c>
      <c r="T112" s="176">
        <v>2019835</v>
      </c>
    </row>
    <row r="113" spans="2:20" ht="36" customHeight="1" x14ac:dyDescent="0.3">
      <c r="B113" s="173" t="s">
        <v>456</v>
      </c>
      <c r="C113" s="207">
        <v>3.763124942779541</v>
      </c>
      <c r="D113" s="208">
        <v>19</v>
      </c>
      <c r="E113" s="175">
        <v>495633</v>
      </c>
      <c r="F113" s="207">
        <v>3.3731248378753662</v>
      </c>
      <c r="G113" s="208">
        <v>0</v>
      </c>
      <c r="H113" s="175">
        <v>277125</v>
      </c>
      <c r="I113" s="207">
        <v>3.9337499141693115</v>
      </c>
      <c r="J113" s="208">
        <v>73.123542785644531</v>
      </c>
      <c r="K113" s="175">
        <v>1060460</v>
      </c>
      <c r="L113" s="207">
        <v>2.9362499713897705</v>
      </c>
      <c r="M113" s="208">
        <v>6.6160001754760742</v>
      </c>
      <c r="N113" s="175">
        <v>104194</v>
      </c>
      <c r="O113" s="207">
        <v>3.5024998188018799</v>
      </c>
      <c r="P113" s="208">
        <v>0</v>
      </c>
      <c r="Q113" s="175">
        <v>137501</v>
      </c>
      <c r="R113" s="207">
        <v>3.789374828338623</v>
      </c>
      <c r="S113" s="208">
        <v>100.4451904296875</v>
      </c>
      <c r="T113" s="176">
        <v>2019931</v>
      </c>
    </row>
    <row r="114" spans="2:20" ht="36" customHeight="1" x14ac:dyDescent="0.3">
      <c r="B114" s="173" t="s">
        <v>457</v>
      </c>
      <c r="C114" s="207">
        <v>3.6862499713897705</v>
      </c>
      <c r="D114" s="208">
        <v>23.52400016784668</v>
      </c>
      <c r="E114" s="175">
        <v>495653</v>
      </c>
      <c r="F114" s="207">
        <v>3.307499885559082</v>
      </c>
      <c r="G114" s="208">
        <v>0</v>
      </c>
      <c r="H114" s="175">
        <v>277125</v>
      </c>
      <c r="I114" s="207">
        <v>3.6243748664855957</v>
      </c>
      <c r="J114" s="208">
        <v>82.154396057128906</v>
      </c>
      <c r="K114" s="175">
        <v>1060537</v>
      </c>
      <c r="L114" s="207">
        <v>2.8818750381469727</v>
      </c>
      <c r="M114" s="208">
        <v>6.3610000610351563</v>
      </c>
      <c r="N114" s="175">
        <v>104200</v>
      </c>
      <c r="O114" s="207">
        <v>3.4256248474121094</v>
      </c>
      <c r="P114" s="208">
        <v>1.712145209312439</v>
      </c>
      <c r="Q114" s="175">
        <v>137501</v>
      </c>
      <c r="R114" s="207">
        <v>3.6918749809265137</v>
      </c>
      <c r="S114" s="208">
        <v>112.70246887207031</v>
      </c>
      <c r="T114" s="176">
        <v>2020040</v>
      </c>
    </row>
    <row r="115" spans="2:20" ht="36" customHeight="1" x14ac:dyDescent="0.3">
      <c r="B115" s="173" t="s">
        <v>458</v>
      </c>
      <c r="C115" s="207">
        <v>3.7181248664855957</v>
      </c>
      <c r="D115" s="208">
        <v>24.089000701904297</v>
      </c>
      <c r="E115" s="175">
        <v>495675</v>
      </c>
      <c r="F115" s="207">
        <v>3.341249942779541</v>
      </c>
      <c r="G115" s="208">
        <v>0</v>
      </c>
      <c r="H115" s="175">
        <v>277125</v>
      </c>
      <c r="I115" s="207">
        <v>3.3806250095367432</v>
      </c>
      <c r="J115" s="208">
        <v>86.838882446289063</v>
      </c>
      <c r="K115" s="175">
        <v>1060621</v>
      </c>
      <c r="L115" s="207">
        <v>2.9474999904632568</v>
      </c>
      <c r="M115" s="208">
        <v>6.6160001754760742</v>
      </c>
      <c r="N115" s="175">
        <v>104207</v>
      </c>
      <c r="O115" s="207">
        <v>3.481874942779541</v>
      </c>
      <c r="P115" s="208">
        <v>5.7659530639648438</v>
      </c>
      <c r="Q115" s="175">
        <v>137505</v>
      </c>
      <c r="R115" s="207">
        <v>3.703125</v>
      </c>
      <c r="S115" s="208">
        <v>123.54013061523438</v>
      </c>
      <c r="T115" s="176">
        <v>2020161</v>
      </c>
    </row>
    <row r="116" spans="2:20" ht="36" customHeight="1" x14ac:dyDescent="0.3">
      <c r="B116" s="173" t="s">
        <v>459</v>
      </c>
      <c r="C116" s="207">
        <v>3.6206250190734863</v>
      </c>
      <c r="D116" s="208">
        <v>26.35099983215332</v>
      </c>
      <c r="E116" s="175">
        <v>495700</v>
      </c>
      <c r="F116" s="207">
        <v>3.2531249523162842</v>
      </c>
      <c r="G116" s="208">
        <v>0</v>
      </c>
      <c r="H116" s="175">
        <v>277125</v>
      </c>
      <c r="I116" s="207">
        <v>3.2699999809265137</v>
      </c>
      <c r="J116" s="208">
        <v>92.61053466796875</v>
      </c>
      <c r="K116" s="175">
        <v>1060711</v>
      </c>
      <c r="L116" s="207">
        <v>2.9362499713897705</v>
      </c>
      <c r="M116" s="208">
        <v>7.379000186920166</v>
      </c>
      <c r="N116" s="175">
        <v>104214</v>
      </c>
      <c r="O116" s="207">
        <v>3.4593749046325684</v>
      </c>
      <c r="P116" s="208">
        <v>7.5620565414428711</v>
      </c>
      <c r="Q116" s="175">
        <v>137512</v>
      </c>
      <c r="R116" s="207">
        <v>3.669374942779541</v>
      </c>
      <c r="S116" s="208">
        <v>129.63363647460938</v>
      </c>
      <c r="T116" s="176">
        <v>2020288</v>
      </c>
    </row>
    <row r="117" spans="2:20" ht="36" customHeight="1" x14ac:dyDescent="0.3">
      <c r="B117" s="173" t="s">
        <v>460</v>
      </c>
      <c r="C117" s="207">
        <v>3.6749999523162842</v>
      </c>
      <c r="D117" s="208">
        <v>26.576999664306641</v>
      </c>
      <c r="E117" s="175">
        <v>495728</v>
      </c>
      <c r="F117" s="207">
        <v>3.307499885559082</v>
      </c>
      <c r="G117" s="208">
        <v>0</v>
      </c>
      <c r="H117" s="175">
        <v>277125</v>
      </c>
      <c r="I117" s="207">
        <v>3.260624885559082</v>
      </c>
      <c r="J117" s="208">
        <v>84.522872924804688</v>
      </c>
      <c r="K117" s="175">
        <v>1060799</v>
      </c>
      <c r="L117" s="207">
        <v>2.9474999904632568</v>
      </c>
      <c r="M117" s="208">
        <v>7.8880000114440918</v>
      </c>
      <c r="N117" s="175">
        <v>104221</v>
      </c>
      <c r="O117" s="207">
        <v>3.1518750190734863</v>
      </c>
      <c r="P117" s="208">
        <v>22.484048843383789</v>
      </c>
      <c r="Q117" s="175">
        <v>137521</v>
      </c>
      <c r="R117" s="207">
        <v>3.6806249618530273</v>
      </c>
      <c r="S117" s="208">
        <v>131.98101806640625</v>
      </c>
      <c r="T117" s="176">
        <v>2020419</v>
      </c>
    </row>
    <row r="118" spans="2:20" ht="36" customHeight="1" x14ac:dyDescent="0.3">
      <c r="B118" s="173" t="s">
        <v>461</v>
      </c>
      <c r="C118" s="207">
        <v>3.6749999523162842</v>
      </c>
      <c r="D118" s="208">
        <v>27.708000183105469</v>
      </c>
      <c r="E118" s="175">
        <v>495755</v>
      </c>
      <c r="F118" s="207">
        <v>3.3187499046325684</v>
      </c>
      <c r="G118" s="208">
        <v>0</v>
      </c>
      <c r="H118" s="175">
        <v>277125</v>
      </c>
      <c r="I118" s="207">
        <v>3.260624885559082</v>
      </c>
      <c r="J118" s="208">
        <v>84.062759399414063</v>
      </c>
      <c r="K118" s="175">
        <v>1060886</v>
      </c>
      <c r="L118" s="207">
        <v>2.9362499713897705</v>
      </c>
      <c r="M118" s="208">
        <v>7.379000186920166</v>
      </c>
      <c r="N118" s="175">
        <v>104228</v>
      </c>
      <c r="O118" s="207">
        <v>3.481874942779541</v>
      </c>
      <c r="P118" s="208">
        <v>6.2224488258361816</v>
      </c>
      <c r="Q118" s="175">
        <v>137531</v>
      </c>
      <c r="R118" s="207">
        <v>3.669374942779541</v>
      </c>
      <c r="S118" s="208">
        <v>134.00019836425781</v>
      </c>
      <c r="T118" s="176">
        <v>2020551</v>
      </c>
    </row>
    <row r="119" spans="2:20" ht="36" customHeight="1" x14ac:dyDescent="0.3">
      <c r="B119" s="173" t="s">
        <v>462</v>
      </c>
      <c r="C119" s="207">
        <v>3.6862499713897705</v>
      </c>
      <c r="D119" s="208">
        <v>26.464000701904297</v>
      </c>
      <c r="E119" s="175">
        <v>495783</v>
      </c>
      <c r="F119" s="207">
        <v>3.3299999237060547</v>
      </c>
      <c r="G119" s="208">
        <v>0</v>
      </c>
      <c r="H119" s="175">
        <v>277125</v>
      </c>
      <c r="I119" s="207">
        <v>3.3149998188018799</v>
      </c>
      <c r="J119" s="208">
        <v>85.961029052734375</v>
      </c>
      <c r="K119" s="175">
        <v>1060970</v>
      </c>
      <c r="L119" s="207">
        <v>2.9362499713897705</v>
      </c>
      <c r="M119" s="208">
        <v>7.8880000114440918</v>
      </c>
      <c r="N119" s="175">
        <v>104236</v>
      </c>
      <c r="O119" s="207">
        <v>3.4706249237060547</v>
      </c>
      <c r="P119" s="208">
        <v>5.5634117126464844</v>
      </c>
      <c r="Q119" s="175">
        <v>137538</v>
      </c>
      <c r="R119" s="207">
        <v>3.669374942779541</v>
      </c>
      <c r="S119" s="208">
        <v>130.37690734863281</v>
      </c>
      <c r="T119" s="176">
        <v>2020682</v>
      </c>
    </row>
    <row r="120" spans="2:20" ht="36" customHeight="1" x14ac:dyDescent="0.3">
      <c r="B120" s="173" t="s">
        <v>463</v>
      </c>
      <c r="C120" s="207">
        <v>3.6974999904632568</v>
      </c>
      <c r="D120" s="208">
        <v>26.125</v>
      </c>
      <c r="E120" s="175">
        <v>495810</v>
      </c>
      <c r="F120" s="207">
        <v>3.3524999618530273</v>
      </c>
      <c r="G120" s="208">
        <v>0</v>
      </c>
      <c r="H120" s="175">
        <v>277125</v>
      </c>
      <c r="I120" s="207">
        <v>3.2699999809265137</v>
      </c>
      <c r="J120" s="208">
        <v>84.269676208496094</v>
      </c>
      <c r="K120" s="175">
        <v>1061053</v>
      </c>
      <c r="L120" s="207">
        <v>2.9137499332427979</v>
      </c>
      <c r="M120" s="208">
        <v>6.869999885559082</v>
      </c>
      <c r="N120" s="175">
        <v>104243</v>
      </c>
      <c r="O120" s="207">
        <v>3.481874942779541</v>
      </c>
      <c r="P120" s="208">
        <v>3.6866109371185303</v>
      </c>
      <c r="Q120" s="175">
        <v>137544</v>
      </c>
      <c r="R120" s="207">
        <v>3.6806249618530273</v>
      </c>
      <c r="S120" s="208">
        <v>127.50238037109375</v>
      </c>
      <c r="T120" s="176">
        <v>2020807</v>
      </c>
    </row>
    <row r="121" spans="2:20" ht="36" customHeight="1" x14ac:dyDescent="0.3">
      <c r="B121" s="173" t="s">
        <v>464</v>
      </c>
      <c r="C121" s="207">
        <v>3.6637499332427979</v>
      </c>
      <c r="D121" s="208">
        <v>29.857000350952148</v>
      </c>
      <c r="E121" s="175">
        <v>495839</v>
      </c>
      <c r="F121" s="207">
        <v>3.2849998474121094</v>
      </c>
      <c r="G121" s="208">
        <v>0</v>
      </c>
      <c r="H121" s="175">
        <v>277125</v>
      </c>
      <c r="I121" s="207">
        <v>3.3599998950958252</v>
      </c>
      <c r="J121" s="208">
        <v>85.650955200195313</v>
      </c>
      <c r="K121" s="175">
        <v>1061135</v>
      </c>
      <c r="L121" s="207">
        <v>2.9812500476837158</v>
      </c>
      <c r="M121" s="208">
        <v>6.869999885559082</v>
      </c>
      <c r="N121" s="175">
        <v>104250</v>
      </c>
      <c r="O121" s="207">
        <v>3.5137498378753662</v>
      </c>
      <c r="P121" s="208">
        <v>5.6779813766479492</v>
      </c>
      <c r="Q121" s="175">
        <v>137550</v>
      </c>
      <c r="R121" s="207">
        <v>3.7124998569488525</v>
      </c>
      <c r="S121" s="208">
        <v>126.98844909667969</v>
      </c>
      <c r="T121" s="176">
        <v>2020933</v>
      </c>
    </row>
    <row r="122" spans="2:20" ht="36" customHeight="1" x14ac:dyDescent="0.3">
      <c r="B122" s="173" t="s">
        <v>465</v>
      </c>
      <c r="C122" s="207">
        <v>3.6524999141693115</v>
      </c>
      <c r="D122" s="208">
        <v>40.601001739501953</v>
      </c>
      <c r="E122" s="175">
        <v>495870</v>
      </c>
      <c r="F122" s="207">
        <v>3.2418749332427979</v>
      </c>
      <c r="G122" s="208">
        <v>0</v>
      </c>
      <c r="H122" s="175">
        <v>277125</v>
      </c>
      <c r="I122" s="207">
        <v>3.226874828338623</v>
      </c>
      <c r="J122" s="208">
        <v>95.035728454589844</v>
      </c>
      <c r="K122" s="175">
        <v>1061223</v>
      </c>
      <c r="L122" s="207">
        <v>2.9587500095367432</v>
      </c>
      <c r="M122" s="208">
        <v>7.6339998245239258</v>
      </c>
      <c r="N122" s="175">
        <v>104257</v>
      </c>
      <c r="O122" s="207">
        <v>3.4706249237060547</v>
      </c>
      <c r="P122" s="208">
        <v>8.2900657653808594</v>
      </c>
      <c r="Q122" s="175">
        <v>137557</v>
      </c>
      <c r="R122" s="207">
        <v>3.6806249618530273</v>
      </c>
      <c r="S122" s="208">
        <v>126.5625</v>
      </c>
      <c r="T122" s="176">
        <v>2021058</v>
      </c>
    </row>
    <row r="123" spans="2:20" ht="36" customHeight="1" x14ac:dyDescent="0.3">
      <c r="B123" s="173" t="s">
        <v>466</v>
      </c>
      <c r="C123" s="207">
        <v>3.5868749618530273</v>
      </c>
      <c r="D123" s="208">
        <v>35.851001739501953</v>
      </c>
      <c r="E123" s="175">
        <v>495905</v>
      </c>
      <c r="F123" s="207">
        <v>3.1875</v>
      </c>
      <c r="G123" s="208">
        <v>0</v>
      </c>
      <c r="H123" s="175">
        <v>277125</v>
      </c>
      <c r="I123" s="207">
        <v>3.3037500381469727</v>
      </c>
      <c r="J123" s="208">
        <v>89.886253356933594</v>
      </c>
      <c r="K123" s="175">
        <v>1061316</v>
      </c>
      <c r="L123" s="207">
        <v>2.8818750381469727</v>
      </c>
      <c r="M123" s="208">
        <v>7.379000186920166</v>
      </c>
      <c r="N123" s="175">
        <v>104265</v>
      </c>
      <c r="O123" s="207">
        <v>3.4256248474121094</v>
      </c>
      <c r="P123" s="208">
        <v>7.6987600326538086</v>
      </c>
      <c r="Q123" s="175">
        <v>137565</v>
      </c>
      <c r="R123" s="207">
        <v>3.5812499523162842</v>
      </c>
      <c r="S123" s="208">
        <v>126.67926788330078</v>
      </c>
      <c r="T123" s="176">
        <v>2021185</v>
      </c>
    </row>
    <row r="124" spans="2:20" ht="36" customHeight="1" x14ac:dyDescent="0.3">
      <c r="B124" s="173" t="s">
        <v>467</v>
      </c>
      <c r="C124" s="207">
        <v>3.5325000286102295</v>
      </c>
      <c r="D124" s="208">
        <v>43.768001556396484</v>
      </c>
      <c r="E124" s="175">
        <v>495945</v>
      </c>
      <c r="F124" s="207">
        <v>3.1424999237060547</v>
      </c>
      <c r="G124" s="208">
        <v>0</v>
      </c>
      <c r="H124" s="175">
        <v>277125</v>
      </c>
      <c r="I124" s="207">
        <v>3.2699999809265137</v>
      </c>
      <c r="J124" s="208">
        <v>90.855796813964844</v>
      </c>
      <c r="K124" s="175">
        <v>1061410</v>
      </c>
      <c r="L124" s="207">
        <v>2.9137499332427979</v>
      </c>
      <c r="M124" s="208">
        <v>7.8880000114440918</v>
      </c>
      <c r="N124" s="175">
        <v>104272</v>
      </c>
      <c r="O124" s="207">
        <v>3.4256248474121094</v>
      </c>
      <c r="P124" s="208">
        <v>9.1112594604492188</v>
      </c>
      <c r="Q124" s="175">
        <v>137573</v>
      </c>
      <c r="R124" s="207">
        <v>3.6037499904632568</v>
      </c>
      <c r="S124" s="208">
        <v>129.57798767089844</v>
      </c>
      <c r="T124" s="176">
        <v>2021311</v>
      </c>
    </row>
    <row r="125" spans="2:20" ht="36" customHeight="1" x14ac:dyDescent="0.3">
      <c r="B125" s="173" t="s">
        <v>468</v>
      </c>
      <c r="C125" s="207">
        <v>3.4331250190734863</v>
      </c>
      <c r="D125" s="208">
        <v>46.256000518798828</v>
      </c>
      <c r="E125" s="175">
        <v>495989</v>
      </c>
      <c r="F125" s="207">
        <v>3.0768749713897705</v>
      </c>
      <c r="G125" s="208">
        <v>0</v>
      </c>
      <c r="H125" s="175">
        <v>277125</v>
      </c>
      <c r="I125" s="207">
        <v>3.039374828338623</v>
      </c>
      <c r="J125" s="208">
        <v>92.531700134277344</v>
      </c>
      <c r="K125" s="175">
        <v>1061502</v>
      </c>
      <c r="L125" s="207">
        <v>2.8706250190734863</v>
      </c>
      <c r="M125" s="208">
        <v>7.125</v>
      </c>
      <c r="N125" s="175">
        <v>104280</v>
      </c>
      <c r="O125" s="207">
        <v>3.3824999332427979</v>
      </c>
      <c r="P125" s="208">
        <v>8.6547956466674805</v>
      </c>
      <c r="Q125" s="175">
        <v>137582</v>
      </c>
      <c r="R125" s="207">
        <v>3.5043749809265137</v>
      </c>
      <c r="S125" s="208">
        <v>129.92636108398438</v>
      </c>
      <c r="T125" s="176">
        <v>2021442</v>
      </c>
    </row>
    <row r="126" spans="2:20" ht="36" customHeight="1" x14ac:dyDescent="0.3">
      <c r="B126" s="173" t="s">
        <v>469</v>
      </c>
      <c r="C126" s="207">
        <v>3.575624942779541</v>
      </c>
      <c r="D126" s="208">
        <v>47.273998260498047</v>
      </c>
      <c r="E126" s="175">
        <v>496035</v>
      </c>
      <c r="F126" s="207">
        <v>3.2643749713897705</v>
      </c>
      <c r="G126" s="208">
        <v>0</v>
      </c>
      <c r="H126" s="175">
        <v>277125</v>
      </c>
      <c r="I126" s="207">
        <v>3.2043750286102295</v>
      </c>
      <c r="J126" s="208">
        <v>91.286956787109375</v>
      </c>
      <c r="K126" s="175">
        <v>1061595</v>
      </c>
      <c r="L126" s="207">
        <v>2.9249999523162842</v>
      </c>
      <c r="M126" s="208">
        <v>7.125</v>
      </c>
      <c r="N126" s="175">
        <v>104288</v>
      </c>
      <c r="O126" s="207">
        <v>3.4368748664855957</v>
      </c>
      <c r="P126" s="208">
        <v>9.1592884063720703</v>
      </c>
      <c r="Q126" s="175">
        <v>137591</v>
      </c>
      <c r="R126" s="207">
        <v>3.6374998092651367</v>
      </c>
      <c r="S126" s="208">
        <v>126.99397277832031</v>
      </c>
      <c r="T126" s="176">
        <v>2021570</v>
      </c>
    </row>
    <row r="127" spans="2:20" ht="36" customHeight="1" x14ac:dyDescent="0.3">
      <c r="B127" s="173" t="s">
        <v>470</v>
      </c>
      <c r="C127" s="207">
        <v>3.609375</v>
      </c>
      <c r="D127" s="208">
        <v>44.221000671386719</v>
      </c>
      <c r="E127" s="175">
        <v>496081</v>
      </c>
      <c r="F127" s="207">
        <v>3.307499885559082</v>
      </c>
      <c r="G127" s="208">
        <v>0</v>
      </c>
      <c r="H127" s="175">
        <v>277125</v>
      </c>
      <c r="I127" s="207">
        <v>3.448124885559082</v>
      </c>
      <c r="J127" s="208">
        <v>89.597412109375</v>
      </c>
      <c r="K127" s="175">
        <v>1061687</v>
      </c>
      <c r="L127" s="207">
        <v>2.9906249046325684</v>
      </c>
      <c r="M127" s="208">
        <v>6.6160001754760742</v>
      </c>
      <c r="N127" s="175">
        <v>104295</v>
      </c>
      <c r="O127" s="207">
        <v>3.5137498378753662</v>
      </c>
      <c r="P127" s="208">
        <v>6.8522491455078125</v>
      </c>
      <c r="Q127" s="175">
        <v>137600</v>
      </c>
      <c r="R127" s="207">
        <v>3.7574999332427979</v>
      </c>
      <c r="S127" s="208">
        <v>118.63043212890625</v>
      </c>
      <c r="T127" s="176">
        <v>2021695</v>
      </c>
    </row>
    <row r="128" spans="2:20" ht="36" customHeight="1" thickBot="1" x14ac:dyDescent="0.35">
      <c r="B128" s="177" t="s">
        <v>471</v>
      </c>
      <c r="C128" s="209">
        <v>3.6206250190734863</v>
      </c>
      <c r="D128" s="210">
        <v>44.673000335693359</v>
      </c>
      <c r="E128" s="179">
        <v>496125</v>
      </c>
      <c r="F128" s="209">
        <v>3.3299999237060547</v>
      </c>
      <c r="G128" s="210">
        <v>0</v>
      </c>
      <c r="H128" s="179">
        <v>277125</v>
      </c>
      <c r="I128" s="209">
        <v>3.5024998188018799</v>
      </c>
      <c r="J128" s="210">
        <v>88.299156188964844</v>
      </c>
      <c r="K128" s="179">
        <v>1061774</v>
      </c>
      <c r="L128" s="209">
        <v>2.9700000286102295</v>
      </c>
      <c r="M128" s="210">
        <v>6.869999885559082</v>
      </c>
      <c r="N128" s="179">
        <v>104301</v>
      </c>
      <c r="O128" s="209">
        <v>3.5249998569488525</v>
      </c>
      <c r="P128" s="210">
        <v>4.7348980903625488</v>
      </c>
      <c r="Q128" s="179">
        <v>137606</v>
      </c>
      <c r="R128" s="209">
        <v>3.7799999713897705</v>
      </c>
      <c r="S128" s="210">
        <v>116.30052947998047</v>
      </c>
      <c r="T128" s="180">
        <v>2021813</v>
      </c>
    </row>
    <row r="129" spans="2:20" ht="36" customHeight="1" thickTop="1" x14ac:dyDescent="0.3">
      <c r="B129" s="181" t="s">
        <v>472</v>
      </c>
      <c r="C129" s="211">
        <f t="shared" ref="C129" si="24">MIN(C105:C128)</f>
        <v>3.4331250190734863</v>
      </c>
      <c r="D129" s="212">
        <f>MIN(D105:D128)</f>
        <v>19</v>
      </c>
      <c r="E129" s="213">
        <f t="shared" ref="E129:F129" si="25">MIN(E105:E128)</f>
        <v>495402</v>
      </c>
      <c r="F129" s="211">
        <f t="shared" si="25"/>
        <v>3.0768749713897705</v>
      </c>
      <c r="G129" s="212">
        <f>MIN(G105:G128)</f>
        <v>0</v>
      </c>
      <c r="H129" s="213">
        <f t="shared" ref="H129:I129" si="26">MIN(H105:H128)</f>
        <v>277125</v>
      </c>
      <c r="I129" s="211">
        <f t="shared" si="26"/>
        <v>3.039374828338623</v>
      </c>
      <c r="J129" s="212">
        <f>MIN(J105:J128)</f>
        <v>53.580432891845703</v>
      </c>
      <c r="K129" s="213">
        <f t="shared" ref="K129:L129" si="27">MIN(K105:K128)</f>
        <v>1059975</v>
      </c>
      <c r="L129" s="211">
        <f t="shared" si="27"/>
        <v>2.8706250190734863</v>
      </c>
      <c r="M129" s="212">
        <f>MIN(M105:M128)</f>
        <v>6.1069998741149902</v>
      </c>
      <c r="N129" s="213">
        <f t="shared" ref="N129:O129" si="28">MIN(N105:N128)</f>
        <v>104140</v>
      </c>
      <c r="O129" s="211">
        <f t="shared" si="28"/>
        <v>3.1518750190734863</v>
      </c>
      <c r="P129" s="212">
        <f>MIN(P105:P128)</f>
        <v>0</v>
      </c>
      <c r="Q129" s="213">
        <f t="shared" ref="Q129:R129" si="29">MIN(Q105:Q128)</f>
        <v>137500</v>
      </c>
      <c r="R129" s="211">
        <f t="shared" si="29"/>
        <v>3.5043749809265137</v>
      </c>
      <c r="S129" s="212">
        <f>MIN(S105:S128)</f>
        <v>78.228187561035156</v>
      </c>
      <c r="T129" s="214">
        <f t="shared" ref="T129" si="30">MIN(T105:T128)</f>
        <v>2019223</v>
      </c>
    </row>
    <row r="130" spans="2:20" ht="36" customHeight="1" x14ac:dyDescent="0.3">
      <c r="B130" s="173" t="s">
        <v>473</v>
      </c>
      <c r="C130" s="211">
        <f t="shared" ref="C130:T130" si="31">MAX(C105:C128)</f>
        <v>3.8512499332427979</v>
      </c>
      <c r="D130" s="215">
        <f t="shared" si="31"/>
        <v>47.273998260498047</v>
      </c>
      <c r="E130" s="216">
        <f t="shared" si="31"/>
        <v>496125</v>
      </c>
      <c r="F130" s="211">
        <f t="shared" si="31"/>
        <v>3.4837498664855957</v>
      </c>
      <c r="G130" s="215">
        <f t="shared" si="31"/>
        <v>0</v>
      </c>
      <c r="H130" s="216">
        <f t="shared" si="31"/>
        <v>277125</v>
      </c>
      <c r="I130" s="211">
        <f t="shared" si="31"/>
        <v>4.5974998474121094</v>
      </c>
      <c r="J130" s="215">
        <f t="shared" si="31"/>
        <v>95.035728454589844</v>
      </c>
      <c r="K130" s="216">
        <f t="shared" si="31"/>
        <v>1061774</v>
      </c>
      <c r="L130" s="211">
        <f t="shared" si="31"/>
        <v>3.1556248664855957</v>
      </c>
      <c r="M130" s="215">
        <f t="shared" si="31"/>
        <v>7.8880000114440918</v>
      </c>
      <c r="N130" s="216">
        <f t="shared" si="31"/>
        <v>104301</v>
      </c>
      <c r="O130" s="211">
        <f t="shared" si="31"/>
        <v>3.7237498760223389</v>
      </c>
      <c r="P130" s="215">
        <f t="shared" si="31"/>
        <v>22.484048843383789</v>
      </c>
      <c r="Q130" s="216">
        <f t="shared" si="31"/>
        <v>137606</v>
      </c>
      <c r="R130" s="211">
        <f t="shared" si="31"/>
        <v>4.0631251335144043</v>
      </c>
      <c r="S130" s="215">
        <f t="shared" si="31"/>
        <v>134.00019836425781</v>
      </c>
      <c r="T130" s="217">
        <f t="shared" si="31"/>
        <v>2021813</v>
      </c>
    </row>
    <row r="131" spans="2:20" ht="36" customHeight="1" x14ac:dyDescent="0.3">
      <c r="B131" s="173" t="s">
        <v>474</v>
      </c>
      <c r="C131" s="211">
        <f>AVERAGE(C105:C128)</f>
        <v>3.6873436967531839</v>
      </c>
      <c r="D131" s="215">
        <f>AVERAGE(D105:D128)</f>
        <v>32.675083478291832</v>
      </c>
      <c r="E131" s="218"/>
      <c r="F131" s="211">
        <f>AVERAGE(F105:F128)</f>
        <v>3.3242967824141183</v>
      </c>
      <c r="G131" s="215">
        <f>AVERAGE(G105:G128)</f>
        <v>0</v>
      </c>
      <c r="H131" s="218"/>
      <c r="I131" s="211">
        <f>AVERAGE(I105:I128)</f>
        <v>3.6889842649300895</v>
      </c>
      <c r="J131" s="215">
        <f>AVERAGE(J105:J128)</f>
        <v>78.434303760528564</v>
      </c>
      <c r="K131" s="218"/>
      <c r="L131" s="211">
        <f>AVERAGE(L105:L128)</f>
        <v>2.9863280951976776</v>
      </c>
      <c r="M131" s="215">
        <f>AVERAGE(M105:M128)</f>
        <v>6.9762500325838728</v>
      </c>
      <c r="N131" s="218"/>
      <c r="O131" s="211">
        <f>AVERAGE(O105:O128)</f>
        <v>3.5160936415195465</v>
      </c>
      <c r="P131" s="215">
        <f>AVERAGE(P105:P128)</f>
        <v>4.8431050131718321</v>
      </c>
      <c r="Q131" s="218"/>
      <c r="R131" s="211">
        <f>AVERAGE(R105:R128)</f>
        <v>3.7727343241373696</v>
      </c>
      <c r="S131" s="215">
        <f>AVERAGE(S105:S128)</f>
        <v>112.51944573720296</v>
      </c>
      <c r="T131" s="219"/>
    </row>
    <row r="132" spans="2:20" ht="36" customHeight="1" thickBot="1" x14ac:dyDescent="0.35">
      <c r="B132" s="186" t="s">
        <v>475</v>
      </c>
      <c r="C132" s="220"/>
      <c r="D132" s="221"/>
      <c r="E132" s="222"/>
      <c r="F132" s="220"/>
      <c r="G132" s="221"/>
      <c r="H132" s="222"/>
      <c r="I132" s="220"/>
      <c r="J132" s="221"/>
      <c r="K132" s="222"/>
      <c r="L132" s="220"/>
      <c r="M132" s="221"/>
      <c r="N132" s="222"/>
      <c r="O132" s="220"/>
      <c r="P132" s="221"/>
      <c r="Q132" s="222"/>
      <c r="R132" s="220"/>
      <c r="S132" s="221"/>
      <c r="T132" s="223"/>
    </row>
    <row r="133" spans="2:20" ht="9.9499999999999993" customHeight="1" thickBot="1" x14ac:dyDescent="0.35">
      <c r="B133" s="190"/>
      <c r="E133" s="190"/>
      <c r="H133" s="190"/>
      <c r="K133" s="190"/>
      <c r="N133" s="190"/>
      <c r="Q133" s="190"/>
      <c r="T133" s="190"/>
    </row>
    <row r="134" spans="2:20" s="162" customFormat="1" ht="51.95" customHeight="1" thickBot="1" x14ac:dyDescent="0.35">
      <c r="B134" s="460" t="s">
        <v>573</v>
      </c>
      <c r="C134" s="461"/>
      <c r="D134" s="461"/>
      <c r="E134" s="461"/>
      <c r="F134" s="461"/>
      <c r="G134" s="461"/>
      <c r="H134" s="461"/>
      <c r="I134" s="461"/>
      <c r="J134" s="461"/>
      <c r="K134" s="461"/>
      <c r="L134" s="461"/>
      <c r="M134" s="461"/>
      <c r="N134" s="461"/>
      <c r="O134" s="461"/>
      <c r="P134" s="461"/>
      <c r="Q134" s="461"/>
      <c r="R134" s="461"/>
      <c r="S134" s="461"/>
      <c r="T134" s="462"/>
    </row>
    <row r="135" spans="2:20" s="164" customFormat="1" ht="36" customHeight="1" thickTop="1" x14ac:dyDescent="0.3">
      <c r="B135" s="163" t="s">
        <v>433</v>
      </c>
      <c r="C135" s="463"/>
      <c r="D135" s="463"/>
      <c r="E135" s="463"/>
      <c r="F135" s="463"/>
      <c r="G135" s="463"/>
      <c r="H135" s="463"/>
      <c r="I135" s="463"/>
      <c r="J135" s="463"/>
      <c r="K135" s="463"/>
      <c r="L135" s="463"/>
      <c r="M135" s="463"/>
      <c r="N135" s="463"/>
      <c r="O135" s="463"/>
      <c r="P135" s="463"/>
      <c r="Q135" s="463"/>
      <c r="R135" s="463"/>
      <c r="S135" s="463"/>
      <c r="T135" s="464"/>
    </row>
    <row r="136" spans="2:20" s="165" customFormat="1" ht="27.95" customHeight="1" x14ac:dyDescent="0.3">
      <c r="B136" s="455" t="s">
        <v>434</v>
      </c>
      <c r="C136" s="467" t="s">
        <v>607</v>
      </c>
      <c r="D136" s="467"/>
      <c r="E136" s="467"/>
      <c r="F136" s="467" t="s">
        <v>608</v>
      </c>
      <c r="G136" s="467"/>
      <c r="H136" s="467"/>
      <c r="I136" s="467" t="s">
        <v>609</v>
      </c>
      <c r="J136" s="467"/>
      <c r="K136" s="467"/>
      <c r="L136" s="467" t="s">
        <v>610</v>
      </c>
      <c r="M136" s="467"/>
      <c r="N136" s="467"/>
      <c r="O136" s="468" t="s">
        <v>632</v>
      </c>
      <c r="P136" s="468"/>
      <c r="Q136" s="468"/>
      <c r="R136" s="468" t="s">
        <v>633</v>
      </c>
      <c r="S136" s="468"/>
      <c r="T136" s="469"/>
    </row>
    <row r="137" spans="2:20" ht="27.95" customHeight="1" x14ac:dyDescent="0.3">
      <c r="B137" s="456"/>
      <c r="C137" s="200" t="s">
        <v>624</v>
      </c>
      <c r="D137" s="201" t="s">
        <v>625</v>
      </c>
      <c r="E137" s="202" t="s">
        <v>445</v>
      </c>
      <c r="F137" s="203" t="s">
        <v>624</v>
      </c>
      <c r="G137" s="201" t="s">
        <v>625</v>
      </c>
      <c r="H137" s="202" t="s">
        <v>445</v>
      </c>
      <c r="I137" s="203" t="s">
        <v>624</v>
      </c>
      <c r="J137" s="201" t="s">
        <v>625</v>
      </c>
      <c r="K137" s="202" t="s">
        <v>445</v>
      </c>
      <c r="L137" s="203" t="s">
        <v>624</v>
      </c>
      <c r="M137" s="201" t="s">
        <v>625</v>
      </c>
      <c r="N137" s="202" t="s">
        <v>445</v>
      </c>
      <c r="O137" s="203" t="s">
        <v>624</v>
      </c>
      <c r="P137" s="201" t="s">
        <v>625</v>
      </c>
      <c r="Q137" s="202" t="s">
        <v>445</v>
      </c>
      <c r="R137" s="203" t="s">
        <v>624</v>
      </c>
      <c r="S137" s="201" t="s">
        <v>625</v>
      </c>
      <c r="T137" s="204" t="s">
        <v>445</v>
      </c>
    </row>
    <row r="138" spans="2:20" ht="36" customHeight="1" x14ac:dyDescent="0.3">
      <c r="B138" s="169" t="s">
        <v>448</v>
      </c>
      <c r="C138" s="205">
        <v>3.883124828338623</v>
      </c>
      <c r="D138" s="206">
        <v>0</v>
      </c>
      <c r="E138" s="171">
        <v>1470115</v>
      </c>
      <c r="F138" s="205">
        <v>4.2712497711181641</v>
      </c>
      <c r="G138" s="206">
        <v>93.861152648925781</v>
      </c>
      <c r="H138" s="171">
        <v>1589751</v>
      </c>
      <c r="I138" s="205">
        <v>4.5506248474121094</v>
      </c>
      <c r="J138" s="206">
        <v>31.426000595092773</v>
      </c>
      <c r="K138" s="171">
        <v>463880</v>
      </c>
      <c r="L138" s="205">
        <v>3.9956250190734863</v>
      </c>
      <c r="M138" s="206">
        <v>49.886032104492188</v>
      </c>
      <c r="N138" s="171">
        <v>763593</v>
      </c>
      <c r="O138" s="205">
        <v>0.4</v>
      </c>
      <c r="P138" s="206">
        <v>43.264541625976563</v>
      </c>
      <c r="Q138" s="171">
        <v>608849</v>
      </c>
      <c r="R138" s="205">
        <v>3.3487498760223389</v>
      </c>
      <c r="S138" s="206">
        <v>55.960895538330078</v>
      </c>
      <c r="T138" s="172">
        <v>655808</v>
      </c>
    </row>
    <row r="139" spans="2:20" ht="36" customHeight="1" x14ac:dyDescent="0.3">
      <c r="B139" s="173" t="s">
        <v>449</v>
      </c>
      <c r="C139" s="207">
        <v>3.9281249046325684</v>
      </c>
      <c r="D139" s="208">
        <v>0</v>
      </c>
      <c r="E139" s="175">
        <v>1470115</v>
      </c>
      <c r="F139" s="207">
        <v>4.393125057220459</v>
      </c>
      <c r="G139" s="208">
        <v>84.042579650878906</v>
      </c>
      <c r="H139" s="175">
        <v>1589838</v>
      </c>
      <c r="I139" s="207">
        <v>4.661250114440918</v>
      </c>
      <c r="J139" s="208">
        <v>26.909999847412109</v>
      </c>
      <c r="K139" s="175">
        <v>463906</v>
      </c>
      <c r="L139" s="207">
        <v>4.1287498474121094</v>
      </c>
      <c r="M139" s="208">
        <v>32.850971221923828</v>
      </c>
      <c r="N139" s="175">
        <v>763635</v>
      </c>
      <c r="O139" s="207">
        <v>0.4</v>
      </c>
      <c r="P139" s="208">
        <v>38.1744384765625</v>
      </c>
      <c r="Q139" s="175">
        <v>608890</v>
      </c>
      <c r="R139" s="207">
        <v>3.3918750286102295</v>
      </c>
      <c r="S139" s="208">
        <v>49.567089080810547</v>
      </c>
      <c r="T139" s="176">
        <v>655862</v>
      </c>
    </row>
    <row r="140" spans="2:20" ht="36" customHeight="1" x14ac:dyDescent="0.3">
      <c r="B140" s="173" t="s">
        <v>450</v>
      </c>
      <c r="C140" s="207">
        <v>3.950624942779541</v>
      </c>
      <c r="D140" s="208">
        <v>0</v>
      </c>
      <c r="E140" s="175">
        <v>1470115</v>
      </c>
      <c r="F140" s="207">
        <v>4.5149998664855957</v>
      </c>
      <c r="G140" s="208">
        <v>70.439346313476563</v>
      </c>
      <c r="H140" s="175">
        <v>1589914</v>
      </c>
      <c r="I140" s="207">
        <v>4.7699999809265137</v>
      </c>
      <c r="J140" s="208">
        <v>24.683000564575195</v>
      </c>
      <c r="K140" s="175">
        <v>463928</v>
      </c>
      <c r="L140" s="207">
        <v>4.2149996757507324</v>
      </c>
      <c r="M140" s="208">
        <v>26.782384872436523</v>
      </c>
      <c r="N140" s="175">
        <v>763665</v>
      </c>
      <c r="O140" s="207">
        <v>0.4</v>
      </c>
      <c r="P140" s="208">
        <v>36.054981231689453</v>
      </c>
      <c r="Q140" s="175">
        <v>608928</v>
      </c>
      <c r="R140" s="207">
        <v>3.414374828338623</v>
      </c>
      <c r="S140" s="208">
        <v>50.037467956542969</v>
      </c>
      <c r="T140" s="176">
        <v>655912</v>
      </c>
    </row>
    <row r="141" spans="2:20" ht="36" customHeight="1" x14ac:dyDescent="0.3">
      <c r="B141" s="173" t="s">
        <v>451</v>
      </c>
      <c r="C141" s="207">
        <v>3.9824998378753662</v>
      </c>
      <c r="D141" s="208">
        <v>0</v>
      </c>
      <c r="E141" s="175">
        <v>1470115</v>
      </c>
      <c r="F141" s="207">
        <v>4.580625057220459</v>
      </c>
      <c r="G141" s="208">
        <v>70.919784545898438</v>
      </c>
      <c r="H141" s="175">
        <v>1589984</v>
      </c>
      <c r="I141" s="207">
        <v>4.8468747138977051</v>
      </c>
      <c r="J141" s="208">
        <v>14.25</v>
      </c>
      <c r="K141" s="175">
        <v>463945</v>
      </c>
      <c r="L141" s="207">
        <v>4.2824997901916504</v>
      </c>
      <c r="M141" s="208">
        <v>19.203256607055664</v>
      </c>
      <c r="N141" s="175">
        <v>763688</v>
      </c>
      <c r="O141" s="207">
        <v>0.5</v>
      </c>
      <c r="P141" s="208">
        <v>34.072765350341797</v>
      </c>
      <c r="Q141" s="175">
        <v>608963</v>
      </c>
      <c r="R141" s="207">
        <v>3.4368748664855957</v>
      </c>
      <c r="S141" s="208">
        <v>45.990230560302734</v>
      </c>
      <c r="T141" s="176">
        <v>655960</v>
      </c>
    </row>
    <row r="142" spans="2:20" ht="36" customHeight="1" x14ac:dyDescent="0.3">
      <c r="B142" s="173" t="s">
        <v>452</v>
      </c>
      <c r="C142" s="207">
        <v>4.0162501335144043</v>
      </c>
      <c r="D142" s="208">
        <v>0</v>
      </c>
      <c r="E142" s="175">
        <v>1470115</v>
      </c>
      <c r="F142" s="207">
        <v>4.6574997901916504</v>
      </c>
      <c r="G142" s="208">
        <v>62.993545532226563</v>
      </c>
      <c r="H142" s="175">
        <v>1590049</v>
      </c>
      <c r="I142" s="207">
        <v>4.901249885559082</v>
      </c>
      <c r="J142" s="208">
        <v>18.129999160766602</v>
      </c>
      <c r="K142" s="175">
        <v>463961</v>
      </c>
      <c r="L142" s="207">
        <v>4.359375</v>
      </c>
      <c r="M142" s="208">
        <v>18.100650787353516</v>
      </c>
      <c r="N142" s="175">
        <v>763706</v>
      </c>
      <c r="O142" s="207">
        <v>0.5</v>
      </c>
      <c r="P142" s="208">
        <v>33.443195343017578</v>
      </c>
      <c r="Q142" s="175">
        <v>608997</v>
      </c>
      <c r="R142" s="207">
        <v>3.5137498378753662</v>
      </c>
      <c r="S142" s="208">
        <v>36.996192932128906</v>
      </c>
      <c r="T142" s="176">
        <v>656003</v>
      </c>
    </row>
    <row r="143" spans="2:20" ht="36" customHeight="1" x14ac:dyDescent="0.3">
      <c r="B143" s="173" t="s">
        <v>453</v>
      </c>
      <c r="C143" s="207">
        <v>4.0162501335144043</v>
      </c>
      <c r="D143" s="208">
        <v>0</v>
      </c>
      <c r="E143" s="175">
        <v>1470115</v>
      </c>
      <c r="F143" s="207">
        <v>4.6349997520446777</v>
      </c>
      <c r="G143" s="208">
        <v>68.810737609863281</v>
      </c>
      <c r="H143" s="175">
        <v>1590113</v>
      </c>
      <c r="I143" s="207">
        <v>4.901249885559082</v>
      </c>
      <c r="J143" s="208">
        <v>12.850000381469727</v>
      </c>
      <c r="K143" s="175">
        <v>463975</v>
      </c>
      <c r="L143" s="207">
        <v>4.3687500953674316</v>
      </c>
      <c r="M143" s="208">
        <v>19.442434310913086</v>
      </c>
      <c r="N143" s="175">
        <v>763724</v>
      </c>
      <c r="O143" s="207">
        <v>0.5</v>
      </c>
      <c r="P143" s="208">
        <v>33.994316101074219</v>
      </c>
      <c r="Q143" s="175">
        <v>609031</v>
      </c>
      <c r="R143" s="207">
        <v>3.4800000190734863</v>
      </c>
      <c r="S143" s="208">
        <v>38.009052276611328</v>
      </c>
      <c r="T143" s="176">
        <v>656040</v>
      </c>
    </row>
    <row r="144" spans="2:20" ht="36" customHeight="1" x14ac:dyDescent="0.3">
      <c r="B144" s="173" t="s">
        <v>454</v>
      </c>
      <c r="C144" s="207">
        <v>3.9599997997283936</v>
      </c>
      <c r="D144" s="208">
        <v>0</v>
      </c>
      <c r="E144" s="175">
        <v>1470115</v>
      </c>
      <c r="F144" s="207">
        <v>4.6031250953674316</v>
      </c>
      <c r="G144" s="208">
        <v>69.291702270507813</v>
      </c>
      <c r="H144" s="175">
        <v>1590179</v>
      </c>
      <c r="I144" s="207">
        <v>4.8918747901916504</v>
      </c>
      <c r="J144" s="208">
        <v>16.794000625610352</v>
      </c>
      <c r="K144" s="175">
        <v>463991</v>
      </c>
      <c r="L144" s="207">
        <v>4.3481249809265137</v>
      </c>
      <c r="M144" s="208">
        <v>17.744070053100586</v>
      </c>
      <c r="N144" s="175">
        <v>763743</v>
      </c>
      <c r="O144" s="207">
        <v>0.4</v>
      </c>
      <c r="P144" s="208">
        <v>33.117038726806641</v>
      </c>
      <c r="Q144" s="175">
        <v>609064</v>
      </c>
      <c r="R144" s="207">
        <v>3.4912500381469727</v>
      </c>
      <c r="S144" s="208">
        <v>39.55047607421875</v>
      </c>
      <c r="T144" s="176">
        <v>656079</v>
      </c>
    </row>
    <row r="145" spans="2:20" ht="36" customHeight="1" x14ac:dyDescent="0.3">
      <c r="B145" s="173" t="s">
        <v>455</v>
      </c>
      <c r="C145" s="207">
        <v>3.9281249046325684</v>
      </c>
      <c r="D145" s="208">
        <v>0</v>
      </c>
      <c r="E145" s="175">
        <v>1470115</v>
      </c>
      <c r="F145" s="207">
        <v>4.6031250953674316</v>
      </c>
      <c r="G145" s="208">
        <v>72.455528259277344</v>
      </c>
      <c r="H145" s="175">
        <v>1590248</v>
      </c>
      <c r="I145" s="207">
        <v>4.8918747901916504</v>
      </c>
      <c r="J145" s="208">
        <v>19.402999877929688</v>
      </c>
      <c r="K145" s="175">
        <v>464009</v>
      </c>
      <c r="L145" s="207">
        <v>4.3368749618530273</v>
      </c>
      <c r="M145" s="208">
        <v>25.775020599365234</v>
      </c>
      <c r="N145" s="175">
        <v>763765</v>
      </c>
      <c r="O145" s="207">
        <v>0.5</v>
      </c>
      <c r="P145" s="208">
        <v>37.525787353515625</v>
      </c>
      <c r="Q145" s="175">
        <v>609099</v>
      </c>
      <c r="R145" s="207">
        <v>3.4256248474121094</v>
      </c>
      <c r="S145" s="208">
        <v>41.796566009521484</v>
      </c>
      <c r="T145" s="176">
        <v>656119</v>
      </c>
    </row>
    <row r="146" spans="2:20" ht="36" customHeight="1" x14ac:dyDescent="0.3">
      <c r="B146" s="173" t="s">
        <v>456</v>
      </c>
      <c r="C146" s="207">
        <v>3.8062498569488525</v>
      </c>
      <c r="D146" s="208">
        <v>0</v>
      </c>
      <c r="E146" s="175">
        <v>1470115</v>
      </c>
      <c r="F146" s="207">
        <v>4.4381251335144043</v>
      </c>
      <c r="G146" s="208">
        <v>83.263740539550781</v>
      </c>
      <c r="H146" s="175">
        <v>1590324</v>
      </c>
      <c r="I146" s="207">
        <v>4.726874828338623</v>
      </c>
      <c r="J146" s="208">
        <v>22.201999664306641</v>
      </c>
      <c r="K146" s="175">
        <v>464033</v>
      </c>
      <c r="L146" s="207">
        <v>4.171875</v>
      </c>
      <c r="M146" s="208">
        <v>30.176946640014648</v>
      </c>
      <c r="N146" s="175">
        <v>763792</v>
      </c>
      <c r="O146" s="207">
        <v>0.5</v>
      </c>
      <c r="P146" s="208">
        <v>44.051559448242188</v>
      </c>
      <c r="Q146" s="175">
        <v>609137</v>
      </c>
      <c r="R146" s="207">
        <v>3.3918750286102295</v>
      </c>
      <c r="S146" s="208">
        <v>50.378097534179688</v>
      </c>
      <c r="T146" s="176">
        <v>656164</v>
      </c>
    </row>
    <row r="147" spans="2:20" ht="36" customHeight="1" x14ac:dyDescent="0.3">
      <c r="B147" s="173" t="s">
        <v>457</v>
      </c>
      <c r="C147" s="207">
        <v>3.763124942779541</v>
      </c>
      <c r="D147" s="208">
        <v>36.133998870849609</v>
      </c>
      <c r="E147" s="175">
        <v>1470127</v>
      </c>
      <c r="F147" s="207">
        <v>4.239375114440918</v>
      </c>
      <c r="G147" s="208">
        <v>97.775344848632813</v>
      </c>
      <c r="H147" s="175">
        <v>1590418</v>
      </c>
      <c r="I147" s="207">
        <v>4.5074996948242188</v>
      </c>
      <c r="J147" s="208">
        <v>43.513999938964844</v>
      </c>
      <c r="K147" s="175">
        <v>464067</v>
      </c>
      <c r="L147" s="207">
        <v>3.9524998664855957</v>
      </c>
      <c r="M147" s="208">
        <v>40.690540313720703</v>
      </c>
      <c r="N147" s="175">
        <v>763831</v>
      </c>
      <c r="O147" s="207">
        <v>0.5</v>
      </c>
      <c r="P147" s="208">
        <v>48.497642517089844</v>
      </c>
      <c r="Q147" s="175">
        <v>609185</v>
      </c>
      <c r="R147" s="207">
        <v>3.3149998188018799</v>
      </c>
      <c r="S147" s="208">
        <v>56.045413970947266</v>
      </c>
      <c r="T147" s="176">
        <v>656220</v>
      </c>
    </row>
    <row r="148" spans="2:20" ht="36" customHeight="1" x14ac:dyDescent="0.3">
      <c r="B148" s="173" t="s">
        <v>458</v>
      </c>
      <c r="C148" s="207">
        <v>3.7949998378753662</v>
      </c>
      <c r="D148" s="208">
        <v>79.902999877929688</v>
      </c>
      <c r="E148" s="175">
        <v>1470181</v>
      </c>
      <c r="F148" s="207">
        <v>3.9093749523162842</v>
      </c>
      <c r="G148" s="208">
        <v>118.58567047119141</v>
      </c>
      <c r="H148" s="175">
        <v>1590530</v>
      </c>
      <c r="I148" s="207">
        <v>4.2224998474121094</v>
      </c>
      <c r="J148" s="208">
        <v>49.812000274658203</v>
      </c>
      <c r="K148" s="175">
        <v>464111</v>
      </c>
      <c r="L148" s="207">
        <v>3.6675000190734863</v>
      </c>
      <c r="M148" s="208">
        <v>58.609142303466797</v>
      </c>
      <c r="N148" s="175">
        <v>763882</v>
      </c>
      <c r="O148" s="207">
        <v>0.4</v>
      </c>
      <c r="P148" s="208">
        <v>56.679336547851563</v>
      </c>
      <c r="Q148" s="175">
        <v>609239</v>
      </c>
      <c r="R148" s="207">
        <v>3.3374998569488525</v>
      </c>
      <c r="S148" s="208">
        <v>57.152729034423828</v>
      </c>
      <c r="T148" s="176">
        <v>656278</v>
      </c>
    </row>
    <row r="149" spans="2:20" ht="36" customHeight="1" x14ac:dyDescent="0.3">
      <c r="B149" s="173" t="s">
        <v>459</v>
      </c>
      <c r="C149" s="207">
        <v>3.7518749237060547</v>
      </c>
      <c r="D149" s="208">
        <v>159.80599975585938</v>
      </c>
      <c r="E149" s="175">
        <v>1470308</v>
      </c>
      <c r="F149" s="207">
        <v>3.7106249332427979</v>
      </c>
      <c r="G149" s="208">
        <v>113.75008392333984</v>
      </c>
      <c r="H149" s="175">
        <v>1590647</v>
      </c>
      <c r="I149" s="207">
        <v>4.0031247138977051</v>
      </c>
      <c r="J149" s="208">
        <v>46.949001312255859</v>
      </c>
      <c r="K149" s="175">
        <v>464160</v>
      </c>
      <c r="L149" s="207">
        <v>3.4368748664855957</v>
      </c>
      <c r="M149" s="208">
        <v>60.383350372314453</v>
      </c>
      <c r="N149" s="175">
        <v>763941</v>
      </c>
      <c r="O149" s="207">
        <v>0.4</v>
      </c>
      <c r="P149" s="208">
        <v>56.760799407958984</v>
      </c>
      <c r="Q149" s="175">
        <v>609296</v>
      </c>
      <c r="R149" s="207">
        <v>3.2493748664855957</v>
      </c>
      <c r="S149" s="208">
        <v>59.822952270507813</v>
      </c>
      <c r="T149" s="176">
        <v>656336</v>
      </c>
    </row>
    <row r="150" spans="2:20" ht="36" customHeight="1" x14ac:dyDescent="0.3">
      <c r="B150" s="173" t="s">
        <v>460</v>
      </c>
      <c r="C150" s="207">
        <v>3.7949998378753662</v>
      </c>
      <c r="D150" s="208">
        <v>104.07700347900391</v>
      </c>
      <c r="E150" s="175">
        <v>1470439</v>
      </c>
      <c r="F150" s="207">
        <v>3.8868749141693115</v>
      </c>
      <c r="G150" s="208">
        <v>121.45459747314453</v>
      </c>
      <c r="H150" s="175">
        <v>1590762</v>
      </c>
      <c r="I150" s="207">
        <v>4.145625114440918</v>
      </c>
      <c r="J150" s="208">
        <v>49.620998382568359</v>
      </c>
      <c r="K150" s="175">
        <v>464210</v>
      </c>
      <c r="L150" s="207">
        <v>3.5681250095367432</v>
      </c>
      <c r="M150" s="208">
        <v>64.781333923339844</v>
      </c>
      <c r="N150" s="175">
        <v>764003</v>
      </c>
      <c r="O150" s="207">
        <v>0.4</v>
      </c>
      <c r="P150" s="208">
        <v>59.646427154541016</v>
      </c>
      <c r="Q150" s="175">
        <v>609354</v>
      </c>
      <c r="R150" s="207">
        <v>3.2925000190734863</v>
      </c>
      <c r="S150" s="208">
        <v>61.775001525878906</v>
      </c>
      <c r="T150" s="176">
        <v>656397</v>
      </c>
    </row>
    <row r="151" spans="2:20" ht="36" customHeight="1" x14ac:dyDescent="0.3">
      <c r="B151" s="173" t="s">
        <v>461</v>
      </c>
      <c r="C151" s="207">
        <v>3.7949998378753662</v>
      </c>
      <c r="D151" s="208">
        <v>101.78700256347656</v>
      </c>
      <c r="E151" s="175">
        <v>1470539</v>
      </c>
      <c r="F151" s="207">
        <v>3.8531248569488525</v>
      </c>
      <c r="G151" s="208">
        <v>116.74117279052734</v>
      </c>
      <c r="H151" s="175">
        <v>1590881</v>
      </c>
      <c r="I151" s="207">
        <v>4.1343750953674316</v>
      </c>
      <c r="J151" s="208">
        <v>41.860000610351563</v>
      </c>
      <c r="K151" s="175">
        <v>464256</v>
      </c>
      <c r="L151" s="207">
        <v>3.5456249713897705</v>
      </c>
      <c r="M151" s="208">
        <v>62.792572021484375</v>
      </c>
      <c r="N151" s="175">
        <v>764069</v>
      </c>
      <c r="O151" s="207">
        <v>0.4</v>
      </c>
      <c r="P151" s="208">
        <v>55.070846557617188</v>
      </c>
      <c r="Q151" s="175">
        <v>609411</v>
      </c>
      <c r="R151" s="207">
        <v>3.2925000190734863</v>
      </c>
      <c r="S151" s="208">
        <v>59.052978515625</v>
      </c>
      <c r="T151" s="176">
        <v>656458</v>
      </c>
    </row>
    <row r="152" spans="2:20" ht="36" customHeight="1" x14ac:dyDescent="0.3">
      <c r="B152" s="173" t="s">
        <v>462</v>
      </c>
      <c r="C152" s="207">
        <v>3.7856249809265137</v>
      </c>
      <c r="D152" s="208">
        <v>91.0989990234375</v>
      </c>
      <c r="E152" s="175">
        <v>1470639</v>
      </c>
      <c r="F152" s="207">
        <v>3.8531248569488525</v>
      </c>
      <c r="G152" s="208">
        <v>113.91078186035156</v>
      </c>
      <c r="H152" s="175">
        <v>1590997</v>
      </c>
      <c r="I152" s="207">
        <v>4.1568751335144043</v>
      </c>
      <c r="J152" s="208">
        <v>44.467998504638672</v>
      </c>
      <c r="K152" s="175">
        <v>464303</v>
      </c>
      <c r="L152" s="207">
        <v>3.5681250095367432</v>
      </c>
      <c r="M152" s="208">
        <v>52.153438568115234</v>
      </c>
      <c r="N152" s="175">
        <v>764128</v>
      </c>
      <c r="O152" s="207">
        <v>0.4</v>
      </c>
      <c r="P152" s="208">
        <v>54.675544738769531</v>
      </c>
      <c r="Q152" s="175">
        <v>609467</v>
      </c>
      <c r="R152" s="207">
        <v>3.3037500381469727</v>
      </c>
      <c r="S152" s="208">
        <v>58.785823822021484</v>
      </c>
      <c r="T152" s="176">
        <v>656518</v>
      </c>
    </row>
    <row r="153" spans="2:20" ht="36" customHeight="1" x14ac:dyDescent="0.3">
      <c r="B153" s="173" t="s">
        <v>463</v>
      </c>
      <c r="C153" s="207">
        <v>3.763124942779541</v>
      </c>
      <c r="D153" s="208">
        <v>144.53799438476563</v>
      </c>
      <c r="E153" s="175">
        <v>1470721</v>
      </c>
      <c r="F153" s="207">
        <v>3.8306248188018799</v>
      </c>
      <c r="G153" s="208">
        <v>100.18017578125</v>
      </c>
      <c r="H153" s="175">
        <v>1591109</v>
      </c>
      <c r="I153" s="207">
        <v>4.111875057220459</v>
      </c>
      <c r="J153" s="208">
        <v>45.740001678466797</v>
      </c>
      <c r="K153" s="175">
        <v>464347</v>
      </c>
      <c r="L153" s="207">
        <v>3.5568749904632568</v>
      </c>
      <c r="M153" s="208">
        <v>46.387332916259766</v>
      </c>
      <c r="N153" s="175">
        <v>764183</v>
      </c>
      <c r="O153" s="207">
        <v>0.4</v>
      </c>
      <c r="P153" s="208">
        <v>52.704273223876953</v>
      </c>
      <c r="Q153" s="175">
        <v>609521</v>
      </c>
      <c r="R153" s="207">
        <v>3.3262498378753662</v>
      </c>
      <c r="S153" s="208">
        <v>57.799720764160156</v>
      </c>
      <c r="T153" s="176">
        <v>656575</v>
      </c>
    </row>
    <row r="154" spans="2:20" ht="36" customHeight="1" x14ac:dyDescent="0.3">
      <c r="B154" s="173" t="s">
        <v>464</v>
      </c>
      <c r="C154" s="207">
        <v>3.8287498950958252</v>
      </c>
      <c r="D154" s="208">
        <v>82.193000793457031</v>
      </c>
      <c r="E154" s="175">
        <v>1470833</v>
      </c>
      <c r="F154" s="207">
        <v>3.963749885559082</v>
      </c>
      <c r="G154" s="208">
        <v>109.81237030029297</v>
      </c>
      <c r="H154" s="175">
        <v>1591216</v>
      </c>
      <c r="I154" s="207">
        <v>4.265625</v>
      </c>
      <c r="J154" s="208">
        <v>42.877998352050781</v>
      </c>
      <c r="K154" s="175">
        <v>464390</v>
      </c>
      <c r="L154" s="207">
        <v>3.6881248950958252</v>
      </c>
      <c r="M154" s="208">
        <v>54.661422729492188</v>
      </c>
      <c r="N154" s="175">
        <v>764236</v>
      </c>
      <c r="O154" s="207">
        <v>0.5</v>
      </c>
      <c r="P154" s="208">
        <v>54.557579040527344</v>
      </c>
      <c r="Q154" s="175">
        <v>609575</v>
      </c>
      <c r="R154" s="207">
        <v>3.260624885559082</v>
      </c>
      <c r="S154" s="208">
        <v>57.574180603027344</v>
      </c>
      <c r="T154" s="176">
        <v>656631</v>
      </c>
    </row>
    <row r="155" spans="2:20" ht="36" customHeight="1" x14ac:dyDescent="0.3">
      <c r="B155" s="173" t="s">
        <v>465</v>
      </c>
      <c r="C155" s="207">
        <v>3.8062498569488525</v>
      </c>
      <c r="D155" s="208">
        <v>82.702003479003906</v>
      </c>
      <c r="E155" s="175">
        <v>1470906</v>
      </c>
      <c r="F155" s="207">
        <v>3.8868749141693115</v>
      </c>
      <c r="G155" s="208">
        <v>110.3370361328125</v>
      </c>
      <c r="H155" s="175">
        <v>1591327</v>
      </c>
      <c r="I155" s="207">
        <v>4.1774997711181641</v>
      </c>
      <c r="J155" s="208">
        <v>56.110000610351563</v>
      </c>
      <c r="K155" s="175">
        <v>464434</v>
      </c>
      <c r="L155" s="207">
        <v>3.6449999809265137</v>
      </c>
      <c r="M155" s="208">
        <v>56.159015655517578</v>
      </c>
      <c r="N155" s="175">
        <v>764291</v>
      </c>
      <c r="O155" s="207">
        <v>0.4</v>
      </c>
      <c r="P155" s="208">
        <v>51.770534515380859</v>
      </c>
      <c r="Q155" s="175">
        <v>609631</v>
      </c>
      <c r="R155" s="207">
        <v>3.2381248474121094</v>
      </c>
      <c r="S155" s="208">
        <v>58.663223266601563</v>
      </c>
      <c r="T155" s="176">
        <v>656688</v>
      </c>
    </row>
    <row r="156" spans="2:20" ht="36" customHeight="1" x14ac:dyDescent="0.3">
      <c r="B156" s="173" t="s">
        <v>466</v>
      </c>
      <c r="C156" s="207">
        <v>3.763124942779541</v>
      </c>
      <c r="D156" s="208">
        <v>93.135002136230469</v>
      </c>
      <c r="E156" s="175">
        <v>1470993</v>
      </c>
      <c r="F156" s="207">
        <v>3.6993749141693115</v>
      </c>
      <c r="G156" s="208">
        <v>120.1937255859375</v>
      </c>
      <c r="H156" s="175">
        <v>1591440</v>
      </c>
      <c r="I156" s="207">
        <v>3.9806249141693115</v>
      </c>
      <c r="J156" s="208">
        <v>48.729999542236328</v>
      </c>
      <c r="K156" s="175">
        <v>464482</v>
      </c>
      <c r="L156" s="207">
        <v>3.4031248092651367</v>
      </c>
      <c r="M156" s="208">
        <v>62.577220916748047</v>
      </c>
      <c r="N156" s="175">
        <v>764352</v>
      </c>
      <c r="O156" s="207">
        <v>0.4</v>
      </c>
      <c r="P156" s="208">
        <v>55.781055450439453</v>
      </c>
      <c r="Q156" s="175">
        <v>609687</v>
      </c>
      <c r="R156" s="207">
        <v>3.1612498760223389</v>
      </c>
      <c r="S156" s="208">
        <v>62.309894561767578</v>
      </c>
      <c r="T156" s="176">
        <v>656747</v>
      </c>
    </row>
    <row r="157" spans="2:20" ht="36" customHeight="1" x14ac:dyDescent="0.3">
      <c r="B157" s="173" t="s">
        <v>467</v>
      </c>
      <c r="C157" s="207">
        <v>3.7856249809265137</v>
      </c>
      <c r="D157" s="208">
        <v>101.27799987792969</v>
      </c>
      <c r="E157" s="175">
        <v>1471096</v>
      </c>
      <c r="F157" s="207">
        <v>3.6112499237060547</v>
      </c>
      <c r="G157" s="208">
        <v>115.69436645507813</v>
      </c>
      <c r="H157" s="175">
        <v>1591556</v>
      </c>
      <c r="I157" s="207">
        <v>3.8812499046325684</v>
      </c>
      <c r="J157" s="208">
        <v>58.782001495361328</v>
      </c>
      <c r="K157" s="175">
        <v>464533</v>
      </c>
      <c r="L157" s="207">
        <v>3.3374998569488525</v>
      </c>
      <c r="M157" s="208">
        <v>69.215812683105469</v>
      </c>
      <c r="N157" s="175">
        <v>764418</v>
      </c>
      <c r="O157" s="207">
        <v>0.4</v>
      </c>
      <c r="P157" s="208">
        <v>52.408809661865234</v>
      </c>
      <c r="Q157" s="175">
        <v>609742</v>
      </c>
      <c r="R157" s="207">
        <v>3.106874942779541</v>
      </c>
      <c r="S157" s="208">
        <v>64.602012634277344</v>
      </c>
      <c r="T157" s="176">
        <v>656808</v>
      </c>
    </row>
    <row r="158" spans="2:20" ht="36" customHeight="1" x14ac:dyDescent="0.3">
      <c r="B158" s="173" t="s">
        <v>468</v>
      </c>
      <c r="C158" s="207">
        <v>3.6862499713897705</v>
      </c>
      <c r="D158" s="208">
        <v>181.43600463867188</v>
      </c>
      <c r="E158" s="175">
        <v>1471245</v>
      </c>
      <c r="F158" s="207">
        <v>3.5343749523162842</v>
      </c>
      <c r="G158" s="208">
        <v>118.71955108642578</v>
      </c>
      <c r="H158" s="175">
        <v>1591675</v>
      </c>
      <c r="I158" s="207">
        <v>3.8268749713897705</v>
      </c>
      <c r="J158" s="208">
        <v>62.153999328613281</v>
      </c>
      <c r="K158" s="175">
        <v>464588</v>
      </c>
      <c r="L158" s="207">
        <v>3.2718749046325684</v>
      </c>
      <c r="M158" s="208">
        <v>66.972335815429688</v>
      </c>
      <c r="N158" s="175">
        <v>764483</v>
      </c>
      <c r="O158" s="207">
        <v>0.4</v>
      </c>
      <c r="P158" s="208">
        <v>62.933879852294922</v>
      </c>
      <c r="Q158" s="175">
        <v>609798</v>
      </c>
      <c r="R158" s="207">
        <v>3.0525000095367432</v>
      </c>
      <c r="S158" s="208">
        <v>62.687263488769531</v>
      </c>
      <c r="T158" s="176">
        <v>656870</v>
      </c>
    </row>
    <row r="159" spans="2:20" ht="36" customHeight="1" x14ac:dyDescent="0.3">
      <c r="B159" s="173" t="s">
        <v>469</v>
      </c>
      <c r="C159" s="207">
        <v>3.7949998378753662</v>
      </c>
      <c r="D159" s="208">
        <v>90.33599853515625</v>
      </c>
      <c r="E159" s="175">
        <v>1471362</v>
      </c>
      <c r="F159" s="207">
        <v>3.7874999046325684</v>
      </c>
      <c r="G159" s="208">
        <v>128.30110168457031</v>
      </c>
      <c r="H159" s="175">
        <v>1591801</v>
      </c>
      <c r="I159" s="207">
        <v>4.0893750190734863</v>
      </c>
      <c r="J159" s="208">
        <v>54.838001251220703</v>
      </c>
      <c r="K159" s="175">
        <v>464643</v>
      </c>
      <c r="L159" s="207">
        <v>3.5568749904632568</v>
      </c>
      <c r="M159" s="208">
        <v>73.169479370117188</v>
      </c>
      <c r="N159" s="175">
        <v>764551</v>
      </c>
      <c r="O159" s="207">
        <v>0.5</v>
      </c>
      <c r="P159" s="208">
        <v>57.291904449462891</v>
      </c>
      <c r="Q159" s="175">
        <v>609856</v>
      </c>
      <c r="R159" s="207">
        <v>3.2493748664855957</v>
      </c>
      <c r="S159" s="208">
        <v>65.941429138183594</v>
      </c>
      <c r="T159" s="176">
        <v>656932</v>
      </c>
    </row>
    <row r="160" spans="2:20" ht="36" customHeight="1" x14ac:dyDescent="0.3">
      <c r="B160" s="173" t="s">
        <v>470</v>
      </c>
      <c r="C160" s="207">
        <v>3.8624999523162842</v>
      </c>
      <c r="D160" s="208">
        <v>55.983001708984375</v>
      </c>
      <c r="E160" s="175">
        <v>1471447</v>
      </c>
      <c r="F160" s="207">
        <v>3.9524998664855957</v>
      </c>
      <c r="G160" s="208">
        <v>117.43575286865234</v>
      </c>
      <c r="H160" s="175">
        <v>1591923</v>
      </c>
      <c r="I160" s="207">
        <v>4.2431249618530273</v>
      </c>
      <c r="J160" s="208">
        <v>48.3489990234375</v>
      </c>
      <c r="K160" s="175">
        <v>464695</v>
      </c>
      <c r="L160" s="207">
        <v>3.65625</v>
      </c>
      <c r="M160" s="208">
        <v>70.67242431640625</v>
      </c>
      <c r="N160" s="175">
        <v>764618</v>
      </c>
      <c r="O160" s="207">
        <v>0.4</v>
      </c>
      <c r="P160" s="208">
        <v>54.589447021484375</v>
      </c>
      <c r="Q160" s="175">
        <v>609913</v>
      </c>
      <c r="R160" s="207">
        <v>3.2718749046325684</v>
      </c>
      <c r="S160" s="208">
        <v>65.553619384765625</v>
      </c>
      <c r="T160" s="176">
        <v>656995</v>
      </c>
    </row>
    <row r="161" spans="2:20" ht="36" customHeight="1" thickBot="1" x14ac:dyDescent="0.35">
      <c r="B161" s="177" t="s">
        <v>471</v>
      </c>
      <c r="C161" s="209">
        <v>3.8512499332427979</v>
      </c>
      <c r="D161" s="210">
        <v>36.897998809814453</v>
      </c>
      <c r="E161" s="179">
        <v>1471495</v>
      </c>
      <c r="F161" s="209">
        <v>4.0949997901916504</v>
      </c>
      <c r="G161" s="210">
        <v>111.98433685302734</v>
      </c>
      <c r="H161" s="179">
        <v>1592038</v>
      </c>
      <c r="I161" s="209">
        <v>4.3762497901916504</v>
      </c>
      <c r="J161" s="210">
        <v>40.969001770019531</v>
      </c>
      <c r="K161" s="179">
        <v>464741</v>
      </c>
      <c r="L161" s="209">
        <v>3.8212499618530273</v>
      </c>
      <c r="M161" s="210">
        <v>62.960601806640625</v>
      </c>
      <c r="N161" s="179">
        <v>764680</v>
      </c>
      <c r="O161" s="209">
        <v>0.4</v>
      </c>
      <c r="P161" s="210">
        <v>50.341106414794922</v>
      </c>
      <c r="Q161" s="179">
        <v>609965</v>
      </c>
      <c r="R161" s="209">
        <v>3.3262498378753662</v>
      </c>
      <c r="S161" s="210">
        <v>61.487369537353516</v>
      </c>
      <c r="T161" s="180">
        <v>657057</v>
      </c>
    </row>
    <row r="162" spans="2:20" ht="36" customHeight="1" thickTop="1" x14ac:dyDescent="0.3">
      <c r="B162" s="181" t="s">
        <v>472</v>
      </c>
      <c r="C162" s="211">
        <f t="shared" ref="C162" si="32">MIN(C138:C161)</f>
        <v>3.6862499713897705</v>
      </c>
      <c r="D162" s="212">
        <f>MIN(D138:D161)</f>
        <v>0</v>
      </c>
      <c r="E162" s="213">
        <f t="shared" ref="E162:F162" si="33">MIN(E138:E161)</f>
        <v>1470115</v>
      </c>
      <c r="F162" s="211">
        <f t="shared" si="33"/>
        <v>3.5343749523162842</v>
      </c>
      <c r="G162" s="212">
        <f>MIN(G138:G161)</f>
        <v>62.993545532226563</v>
      </c>
      <c r="H162" s="213">
        <f t="shared" ref="H162:I162" si="34">MIN(H138:H161)</f>
        <v>1589751</v>
      </c>
      <c r="I162" s="211">
        <f t="shared" si="34"/>
        <v>3.8268749713897705</v>
      </c>
      <c r="J162" s="212">
        <f>MIN(J138:J161)</f>
        <v>12.850000381469727</v>
      </c>
      <c r="K162" s="213">
        <f t="shared" ref="K162:L162" si="35">MIN(K138:K161)</f>
        <v>463880</v>
      </c>
      <c r="L162" s="211">
        <f t="shared" si="35"/>
        <v>3.2718749046325684</v>
      </c>
      <c r="M162" s="212">
        <f>MIN(M138:M161)</f>
        <v>17.744070053100586</v>
      </c>
      <c r="N162" s="213">
        <f t="shared" ref="N162:O162" si="36">MIN(N138:N161)</f>
        <v>763593</v>
      </c>
      <c r="O162" s="211">
        <f t="shared" si="36"/>
        <v>0.4</v>
      </c>
      <c r="P162" s="212">
        <f>MIN(P138:P161)</f>
        <v>33.117038726806641</v>
      </c>
      <c r="Q162" s="213">
        <f t="shared" ref="Q162:R162" si="37">MIN(Q138:Q161)</f>
        <v>608849</v>
      </c>
      <c r="R162" s="211">
        <f t="shared" si="37"/>
        <v>3.0525000095367432</v>
      </c>
      <c r="S162" s="212">
        <f>MIN(S138:S161)</f>
        <v>36.996192932128906</v>
      </c>
      <c r="T162" s="214">
        <f t="shared" ref="T162" si="38">MIN(T138:T161)</f>
        <v>655808</v>
      </c>
    </row>
    <row r="163" spans="2:20" ht="36" customHeight="1" x14ac:dyDescent="0.3">
      <c r="B163" s="173" t="s">
        <v>473</v>
      </c>
      <c r="C163" s="211">
        <f t="shared" ref="C163:T163" si="39">MAX(C138:C161)</f>
        <v>4.0162501335144043</v>
      </c>
      <c r="D163" s="215">
        <f t="shared" si="39"/>
        <v>181.43600463867188</v>
      </c>
      <c r="E163" s="216">
        <f t="shared" si="39"/>
        <v>1471495</v>
      </c>
      <c r="F163" s="211">
        <f t="shared" si="39"/>
        <v>4.6574997901916504</v>
      </c>
      <c r="G163" s="215">
        <f t="shared" si="39"/>
        <v>128.30110168457031</v>
      </c>
      <c r="H163" s="216">
        <f t="shared" si="39"/>
        <v>1592038</v>
      </c>
      <c r="I163" s="211">
        <f t="shared" si="39"/>
        <v>4.901249885559082</v>
      </c>
      <c r="J163" s="215">
        <f t="shared" si="39"/>
        <v>62.153999328613281</v>
      </c>
      <c r="K163" s="216">
        <f t="shared" si="39"/>
        <v>464741</v>
      </c>
      <c r="L163" s="211">
        <f t="shared" si="39"/>
        <v>4.3687500953674316</v>
      </c>
      <c r="M163" s="215">
        <f t="shared" si="39"/>
        <v>73.169479370117188</v>
      </c>
      <c r="N163" s="216">
        <f t="shared" si="39"/>
        <v>764680</v>
      </c>
      <c r="O163" s="211">
        <f t="shared" si="39"/>
        <v>0.5</v>
      </c>
      <c r="P163" s="215">
        <f t="shared" si="39"/>
        <v>62.933879852294922</v>
      </c>
      <c r="Q163" s="216">
        <f t="shared" si="39"/>
        <v>609965</v>
      </c>
      <c r="R163" s="211">
        <f t="shared" si="39"/>
        <v>3.5137498378753662</v>
      </c>
      <c r="S163" s="215">
        <f t="shared" si="39"/>
        <v>65.941429138183594</v>
      </c>
      <c r="T163" s="217">
        <f t="shared" si="39"/>
        <v>657057</v>
      </c>
    </row>
    <row r="164" spans="2:20" ht="36" customHeight="1" x14ac:dyDescent="0.3">
      <c r="B164" s="173" t="s">
        <v>474</v>
      </c>
      <c r="C164" s="211">
        <f>AVERAGE(C138:C161)</f>
        <v>3.8457811673482261</v>
      </c>
      <c r="D164" s="215">
        <f>AVERAGE(D138:D161)</f>
        <v>60.054375330607094</v>
      </c>
      <c r="E164" s="218"/>
      <c r="F164" s="211">
        <f>AVERAGE(F138:F161)</f>
        <v>4.1046093006928759</v>
      </c>
      <c r="G164" s="215">
        <f>AVERAGE(G138:G161)</f>
        <v>99.623091061909989</v>
      </c>
      <c r="H164" s="218"/>
      <c r="I164" s="211">
        <f>AVERAGE(I138:I161)</f>
        <v>4.3860155344009399</v>
      </c>
      <c r="J164" s="215">
        <f>AVERAGE(J138:J161)</f>
        <v>38.392583449681602</v>
      </c>
      <c r="K164" s="218"/>
      <c r="L164" s="211">
        <f>AVERAGE(L138:L161)</f>
        <v>3.8284374376138053</v>
      </c>
      <c r="M164" s="215">
        <f>AVERAGE(M138:M161)</f>
        <v>47.589491287867226</v>
      </c>
      <c r="N164" s="218"/>
      <c r="O164" s="211">
        <f>AVERAGE(O138:O161)</f>
        <v>0.43333333333333351</v>
      </c>
      <c r="P164" s="215">
        <f>AVERAGE(P138:P161)</f>
        <v>48.225325425465904</v>
      </c>
      <c r="Q164" s="218"/>
      <c r="R164" s="211">
        <f>AVERAGE(R138:R161)</f>
        <v>3.3199217915534973</v>
      </c>
      <c r="S164" s="215">
        <f>AVERAGE(S138:S161)</f>
        <v>54.897486686706543</v>
      </c>
      <c r="T164" s="219"/>
    </row>
    <row r="165" spans="2:20" ht="36" customHeight="1" thickBot="1" x14ac:dyDescent="0.35">
      <c r="B165" s="186" t="s">
        <v>475</v>
      </c>
      <c r="C165" s="220"/>
      <c r="D165" s="221"/>
      <c r="E165" s="222"/>
      <c r="F165" s="220"/>
      <c r="G165" s="221"/>
      <c r="H165" s="222"/>
      <c r="I165" s="220"/>
      <c r="J165" s="221"/>
      <c r="K165" s="222"/>
      <c r="L165" s="220"/>
      <c r="M165" s="221"/>
      <c r="N165" s="222"/>
      <c r="O165" s="220"/>
      <c r="P165" s="221"/>
      <c r="Q165" s="222"/>
      <c r="R165" s="220"/>
      <c r="S165" s="221"/>
      <c r="T165" s="223"/>
    </row>
    <row r="166" spans="2:20" ht="9.9499999999999993" customHeight="1" thickBot="1" x14ac:dyDescent="0.35">
      <c r="B166" s="190"/>
      <c r="E166" s="190"/>
      <c r="H166" s="190"/>
      <c r="K166" s="190"/>
      <c r="N166" s="190"/>
      <c r="Q166" s="190"/>
      <c r="T166" s="190"/>
    </row>
    <row r="167" spans="2:20" s="162" customFormat="1" ht="51.95" customHeight="1" thickBot="1" x14ac:dyDescent="0.35">
      <c r="B167" s="460" t="s">
        <v>573</v>
      </c>
      <c r="C167" s="461"/>
      <c r="D167" s="461"/>
      <c r="E167" s="461"/>
      <c r="F167" s="461"/>
      <c r="G167" s="461"/>
      <c r="H167" s="461"/>
      <c r="I167" s="461"/>
      <c r="J167" s="461"/>
      <c r="K167" s="461"/>
      <c r="L167" s="461"/>
      <c r="M167" s="461"/>
      <c r="N167" s="461"/>
      <c r="O167" s="461"/>
      <c r="P167" s="461"/>
      <c r="Q167" s="461"/>
      <c r="R167" s="461"/>
      <c r="S167" s="461"/>
      <c r="T167" s="462"/>
    </row>
    <row r="168" spans="2:20" s="164" customFormat="1" ht="36" customHeight="1" thickTop="1" x14ac:dyDescent="0.3">
      <c r="B168" s="163" t="s">
        <v>433</v>
      </c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3"/>
      <c r="N168" s="463"/>
      <c r="O168" s="463"/>
      <c r="P168" s="463"/>
      <c r="Q168" s="463"/>
      <c r="R168" s="463"/>
      <c r="S168" s="463"/>
      <c r="T168" s="464"/>
    </row>
    <row r="169" spans="2:20" s="165" customFormat="1" ht="27.95" customHeight="1" x14ac:dyDescent="0.3">
      <c r="B169" s="455" t="s">
        <v>434</v>
      </c>
      <c r="C169" s="467" t="s">
        <v>634</v>
      </c>
      <c r="D169" s="467"/>
      <c r="E169" s="467"/>
      <c r="F169" s="467" t="s">
        <v>614</v>
      </c>
      <c r="G169" s="467"/>
      <c r="H169" s="467"/>
      <c r="I169" s="470" t="s">
        <v>635</v>
      </c>
      <c r="J169" s="471"/>
      <c r="K169" s="472"/>
      <c r="L169" s="470" t="s">
        <v>591</v>
      </c>
      <c r="M169" s="471"/>
      <c r="N169" s="472"/>
      <c r="O169" s="473" t="s">
        <v>592</v>
      </c>
      <c r="P169" s="474"/>
      <c r="Q169" s="475"/>
      <c r="R169" s="473" t="s">
        <v>636</v>
      </c>
      <c r="S169" s="474"/>
      <c r="T169" s="476"/>
    </row>
    <row r="170" spans="2:20" ht="27.95" customHeight="1" x14ac:dyDescent="0.3">
      <c r="B170" s="456"/>
      <c r="C170" s="200" t="s">
        <v>624</v>
      </c>
      <c r="D170" s="201" t="s">
        <v>625</v>
      </c>
      <c r="E170" s="202" t="s">
        <v>445</v>
      </c>
      <c r="F170" s="203" t="s">
        <v>624</v>
      </c>
      <c r="G170" s="201" t="s">
        <v>625</v>
      </c>
      <c r="H170" s="202" t="s">
        <v>445</v>
      </c>
      <c r="I170" s="203" t="s">
        <v>624</v>
      </c>
      <c r="J170" s="201" t="s">
        <v>625</v>
      </c>
      <c r="K170" s="202" t="s">
        <v>445</v>
      </c>
      <c r="L170" s="203" t="s">
        <v>624</v>
      </c>
      <c r="M170" s="201" t="s">
        <v>625</v>
      </c>
      <c r="N170" s="202" t="s">
        <v>445</v>
      </c>
      <c r="O170" s="203" t="s">
        <v>624</v>
      </c>
      <c r="P170" s="201" t="s">
        <v>625</v>
      </c>
      <c r="Q170" s="202" t="s">
        <v>445</v>
      </c>
      <c r="R170" s="203" t="s">
        <v>624</v>
      </c>
      <c r="S170" s="201" t="s">
        <v>625</v>
      </c>
      <c r="T170" s="204" t="s">
        <v>445</v>
      </c>
    </row>
    <row r="171" spans="2:20" ht="36" customHeight="1" x14ac:dyDescent="0.3">
      <c r="B171" s="169" t="s">
        <v>448</v>
      </c>
      <c r="C171" s="205">
        <v>3</v>
      </c>
      <c r="D171" s="206">
        <v>58.668998718261719</v>
      </c>
      <c r="E171" s="171">
        <v>935442</v>
      </c>
      <c r="F171" s="205">
        <v>3.3993749618530273</v>
      </c>
      <c r="G171" s="206">
        <v>60.818000793457031</v>
      </c>
      <c r="H171" s="171">
        <v>1088146</v>
      </c>
      <c r="I171" s="205">
        <v>3.7687499523162842</v>
      </c>
      <c r="J171" s="206">
        <v>119.54299926757813</v>
      </c>
      <c r="K171" s="171">
        <v>3637896</v>
      </c>
      <c r="L171" s="205">
        <v>5.1374998092651367</v>
      </c>
      <c r="M171" s="206">
        <v>135.12300109863281</v>
      </c>
      <c r="N171" s="171">
        <v>2816289</v>
      </c>
      <c r="O171" s="205">
        <v>5.182499885559082</v>
      </c>
      <c r="P171" s="206">
        <v>236.56399536132813</v>
      </c>
      <c r="Q171" s="171">
        <v>3564523</v>
      </c>
      <c r="R171" s="205">
        <v>3.2587499618530273</v>
      </c>
      <c r="S171" s="206">
        <v>50.448001861572266</v>
      </c>
      <c r="T171" s="172">
        <v>1220898</v>
      </c>
    </row>
    <row r="172" spans="2:20" ht="36" customHeight="1" x14ac:dyDescent="0.3">
      <c r="B172" s="173" t="s">
        <v>449</v>
      </c>
      <c r="C172" s="207">
        <v>3.0449998378753662</v>
      </c>
      <c r="D172" s="208">
        <v>60.965999603271484</v>
      </c>
      <c r="E172" s="175">
        <v>935503</v>
      </c>
      <c r="F172" s="207">
        <v>3.4443750381469727</v>
      </c>
      <c r="G172" s="208">
        <v>58.272998809814453</v>
      </c>
      <c r="H172" s="175">
        <v>1088207</v>
      </c>
      <c r="I172" s="207">
        <v>3.7912499904632568</v>
      </c>
      <c r="J172" s="208">
        <v>101.56099700927734</v>
      </c>
      <c r="K172" s="175">
        <v>3638008</v>
      </c>
      <c r="L172" s="207">
        <v>4.961249828338623</v>
      </c>
      <c r="M172" s="208">
        <v>312.48699951171875</v>
      </c>
      <c r="N172" s="175">
        <v>2816444</v>
      </c>
      <c r="O172" s="207">
        <v>5.0399999618530273</v>
      </c>
      <c r="P172" s="208">
        <v>48.83599853515625</v>
      </c>
      <c r="Q172" s="175">
        <v>3564606</v>
      </c>
      <c r="R172" s="207">
        <v>2.8949999809265137</v>
      </c>
      <c r="S172" s="208">
        <v>332.33599853515625</v>
      </c>
      <c r="T172" s="176">
        <v>1221107</v>
      </c>
    </row>
    <row r="173" spans="2:20" ht="36" customHeight="1" x14ac:dyDescent="0.3">
      <c r="B173" s="173" t="s">
        <v>450</v>
      </c>
      <c r="C173" s="207">
        <v>3.0656249523162842</v>
      </c>
      <c r="D173" s="208">
        <v>49.479999542236328</v>
      </c>
      <c r="E173" s="175">
        <v>935553</v>
      </c>
      <c r="F173" s="207">
        <v>3.5868749618530273</v>
      </c>
      <c r="G173" s="208">
        <v>58.782001495361328</v>
      </c>
      <c r="H173" s="175">
        <v>1088269</v>
      </c>
      <c r="I173" s="207">
        <v>3.823124885559082</v>
      </c>
      <c r="J173" s="208">
        <v>91.155998229980469</v>
      </c>
      <c r="K173" s="175">
        <v>3638105</v>
      </c>
      <c r="L173" s="207">
        <v>5.148749828338623</v>
      </c>
      <c r="M173" s="208">
        <v>310.96099853515625</v>
      </c>
      <c r="N173" s="175">
        <v>2816657</v>
      </c>
      <c r="O173" s="207">
        <v>5.236875057220459</v>
      </c>
      <c r="P173" s="208">
        <v>43.98699951171875</v>
      </c>
      <c r="Q173" s="175">
        <v>3564729</v>
      </c>
      <c r="R173" s="207">
        <v>3.3037500381469727</v>
      </c>
      <c r="S173" s="208">
        <v>46.249000549316406</v>
      </c>
      <c r="T173" s="176">
        <v>1221197</v>
      </c>
    </row>
    <row r="174" spans="2:20" ht="36" customHeight="1" x14ac:dyDescent="0.3">
      <c r="B174" s="173" t="s">
        <v>451</v>
      </c>
      <c r="C174" s="207">
        <v>3.0881249904632568</v>
      </c>
      <c r="D174" s="208">
        <v>38.700000762939453</v>
      </c>
      <c r="E174" s="175">
        <v>935595</v>
      </c>
      <c r="F174" s="207">
        <v>3.6862499713897705</v>
      </c>
      <c r="G174" s="208">
        <v>57.955001831054688</v>
      </c>
      <c r="H174" s="175">
        <v>1088328</v>
      </c>
      <c r="I174" s="207">
        <v>3.823124885559082</v>
      </c>
      <c r="J174" s="208">
        <v>69.666999816894531</v>
      </c>
      <c r="K174" s="175">
        <v>3638187</v>
      </c>
      <c r="L174" s="207">
        <v>5.5668749809265137</v>
      </c>
      <c r="M174" s="208">
        <v>28.753999710083008</v>
      </c>
      <c r="N174" s="175">
        <v>2816754</v>
      </c>
      <c r="O174" s="207">
        <v>5.5893750190734863</v>
      </c>
      <c r="P174" s="208">
        <v>42.948001861572266</v>
      </c>
      <c r="Q174" s="175">
        <v>3564774</v>
      </c>
      <c r="R174" s="207">
        <v>3.4574999809265137</v>
      </c>
      <c r="S174" s="208">
        <v>40.206001281738281</v>
      </c>
      <c r="T174" s="176">
        <v>1221238</v>
      </c>
    </row>
    <row r="175" spans="2:20" ht="36" customHeight="1" x14ac:dyDescent="0.3">
      <c r="B175" s="173" t="s">
        <v>452</v>
      </c>
      <c r="C175" s="207">
        <v>3.133124828338623</v>
      </c>
      <c r="D175" s="208">
        <v>36.932998657226563</v>
      </c>
      <c r="E175" s="175">
        <v>935634</v>
      </c>
      <c r="F175" s="207">
        <v>3.742499828338623</v>
      </c>
      <c r="G175" s="208">
        <v>57.955001831054688</v>
      </c>
      <c r="H175" s="175">
        <v>1088385</v>
      </c>
      <c r="I175" s="207">
        <v>3.8006248474121094</v>
      </c>
      <c r="J175" s="208">
        <v>64.351997375488281</v>
      </c>
      <c r="K175" s="175">
        <v>3638262</v>
      </c>
      <c r="L175" s="207">
        <v>5.544374942779541</v>
      </c>
      <c r="M175" s="208">
        <v>27.73699951171875</v>
      </c>
      <c r="N175" s="175">
        <v>2816781</v>
      </c>
      <c r="O175" s="207">
        <v>5.5893750190734863</v>
      </c>
      <c r="P175" s="208">
        <v>41.215999603271484</v>
      </c>
      <c r="Q175" s="175">
        <v>3564817</v>
      </c>
      <c r="R175" s="207">
        <v>3.4574999809265137</v>
      </c>
      <c r="S175" s="208">
        <v>38.233001708984375</v>
      </c>
      <c r="T175" s="176">
        <v>1221276</v>
      </c>
    </row>
    <row r="176" spans="2:20" ht="36" customHeight="1" x14ac:dyDescent="0.3">
      <c r="B176" s="173" t="s">
        <v>453</v>
      </c>
      <c r="C176" s="207">
        <v>3.133124828338623</v>
      </c>
      <c r="D176" s="208">
        <v>38.522998809814453</v>
      </c>
      <c r="E176" s="175">
        <v>935673</v>
      </c>
      <c r="F176" s="207">
        <v>3.7537498474121094</v>
      </c>
      <c r="G176" s="208">
        <v>59.16400146484375</v>
      </c>
      <c r="H176" s="175">
        <v>1088442</v>
      </c>
      <c r="I176" s="207">
        <v>3.7799999713897705</v>
      </c>
      <c r="J176" s="208">
        <v>78.375999450683594</v>
      </c>
      <c r="K176" s="175">
        <v>3638336</v>
      </c>
      <c r="L176" s="207">
        <v>5.5556249618530273</v>
      </c>
      <c r="M176" s="208">
        <v>28.246000289916992</v>
      </c>
      <c r="N176" s="175">
        <v>2816809</v>
      </c>
      <c r="O176" s="207">
        <v>5.5893750190734863</v>
      </c>
      <c r="P176" s="208">
        <v>41.562999725341797</v>
      </c>
      <c r="Q176" s="175">
        <v>3564861</v>
      </c>
      <c r="R176" s="207">
        <v>3.46875</v>
      </c>
      <c r="S176" s="208">
        <v>35.943000793457031</v>
      </c>
      <c r="T176" s="176">
        <v>1221314</v>
      </c>
    </row>
    <row r="177" spans="2:20" ht="36" customHeight="1" x14ac:dyDescent="0.3">
      <c r="B177" s="173" t="s">
        <v>454</v>
      </c>
      <c r="C177" s="207">
        <v>3.0656249523162842</v>
      </c>
      <c r="D177" s="208">
        <v>45.415000915527344</v>
      </c>
      <c r="E177" s="175">
        <v>935713</v>
      </c>
      <c r="F177" s="207">
        <v>3.7087500095367432</v>
      </c>
      <c r="G177" s="208">
        <v>58.972999572753906</v>
      </c>
      <c r="H177" s="175">
        <v>1088500</v>
      </c>
      <c r="I177" s="207">
        <v>3.823124885559082</v>
      </c>
      <c r="J177" s="208">
        <v>85.162002563476563</v>
      </c>
      <c r="K177" s="175">
        <v>3638416</v>
      </c>
      <c r="L177" s="207">
        <v>5.1374998092651367</v>
      </c>
      <c r="M177" s="208">
        <v>23.665000915527344</v>
      </c>
      <c r="N177" s="175">
        <v>2816836</v>
      </c>
      <c r="O177" s="207">
        <v>5.1393747329711914</v>
      </c>
      <c r="P177" s="208">
        <v>412.86099243164063</v>
      </c>
      <c r="Q177" s="175">
        <v>3564956</v>
      </c>
      <c r="R177" s="207">
        <v>3.2925000190734863</v>
      </c>
      <c r="S177" s="208">
        <v>37.405998229980469</v>
      </c>
      <c r="T177" s="176">
        <v>1221351</v>
      </c>
    </row>
    <row r="178" spans="2:20" ht="36" customHeight="1" x14ac:dyDescent="0.3">
      <c r="B178" s="173" t="s">
        <v>455</v>
      </c>
      <c r="C178" s="207">
        <v>3.0449998378753662</v>
      </c>
      <c r="D178" s="208">
        <v>40.997001647949219</v>
      </c>
      <c r="E178" s="175">
        <v>935755</v>
      </c>
      <c r="F178" s="207">
        <v>3.7312498092651367</v>
      </c>
      <c r="G178" s="208">
        <v>56.492000579833984</v>
      </c>
      <c r="H178" s="175">
        <v>1088560</v>
      </c>
      <c r="I178" s="207">
        <v>3.8006248474121094</v>
      </c>
      <c r="J178" s="208">
        <v>97.829002380371094</v>
      </c>
      <c r="K178" s="175">
        <v>3638510</v>
      </c>
      <c r="L178" s="207">
        <v>5.544374942779541</v>
      </c>
      <c r="M178" s="208">
        <v>32.317001342773438</v>
      </c>
      <c r="N178" s="175">
        <v>2816864</v>
      </c>
      <c r="O178" s="207">
        <v>5.5668749809265137</v>
      </c>
      <c r="P178" s="208">
        <v>43.98699951171875</v>
      </c>
      <c r="Q178" s="175">
        <v>3565180</v>
      </c>
      <c r="R178" s="207">
        <v>3.4574999809265137</v>
      </c>
      <c r="S178" s="208">
        <v>35.498001098632813</v>
      </c>
      <c r="T178" s="176">
        <v>1221387</v>
      </c>
    </row>
    <row r="179" spans="2:20" ht="36" customHeight="1" x14ac:dyDescent="0.3">
      <c r="B179" s="173" t="s">
        <v>456</v>
      </c>
      <c r="C179" s="207">
        <v>2.9118750095367432</v>
      </c>
      <c r="D179" s="208">
        <v>56.724998474121094</v>
      </c>
      <c r="E179" s="175">
        <v>935811</v>
      </c>
      <c r="F179" s="207">
        <v>3.554999828338623</v>
      </c>
      <c r="G179" s="208">
        <v>65.652999877929688</v>
      </c>
      <c r="H179" s="175">
        <v>1088622</v>
      </c>
      <c r="I179" s="207">
        <v>3.6918749809265137</v>
      </c>
      <c r="J179" s="208">
        <v>148.38299560546875</v>
      </c>
      <c r="K179" s="175">
        <v>3638634</v>
      </c>
      <c r="L179" s="207">
        <v>5.0268750190734863</v>
      </c>
      <c r="M179" s="208">
        <v>240.47300720214844</v>
      </c>
      <c r="N179" s="175">
        <v>2817027</v>
      </c>
      <c r="O179" s="207">
        <v>5.0943746566772461</v>
      </c>
      <c r="P179" s="208">
        <v>180.80000305175781</v>
      </c>
      <c r="Q179" s="175">
        <v>3565276</v>
      </c>
      <c r="R179" s="207">
        <v>3.247499942779541</v>
      </c>
      <c r="S179" s="208">
        <v>46.949001312255859</v>
      </c>
      <c r="T179" s="176">
        <v>1221432</v>
      </c>
    </row>
    <row r="180" spans="2:20" ht="36" customHeight="1" x14ac:dyDescent="0.3">
      <c r="B180" s="173" t="s">
        <v>457</v>
      </c>
      <c r="C180" s="207">
        <v>2.8668749332427979</v>
      </c>
      <c r="D180" s="208">
        <v>65.560997009277344</v>
      </c>
      <c r="E180" s="175">
        <v>935873</v>
      </c>
      <c r="F180" s="207">
        <v>3.2999999523162842</v>
      </c>
      <c r="G180" s="208">
        <v>70.551002502441406</v>
      </c>
      <c r="H180" s="175">
        <v>1088691</v>
      </c>
      <c r="I180" s="207">
        <v>3.635624885559082</v>
      </c>
      <c r="J180" s="208">
        <v>169.30599975585938</v>
      </c>
      <c r="K180" s="175">
        <v>3638794</v>
      </c>
      <c r="L180" s="207">
        <v>5.356874942779541</v>
      </c>
      <c r="M180" s="208">
        <v>29.26300048828125</v>
      </c>
      <c r="N180" s="175">
        <v>2817218</v>
      </c>
      <c r="O180" s="207">
        <v>5.390625</v>
      </c>
      <c r="P180" s="208">
        <v>183.91700744628906</v>
      </c>
      <c r="Q180" s="175">
        <v>3565410</v>
      </c>
      <c r="R180" s="207">
        <v>3.3693749904632568</v>
      </c>
      <c r="S180" s="208">
        <v>59.291000366210938</v>
      </c>
      <c r="T180" s="176">
        <v>1221484</v>
      </c>
    </row>
    <row r="181" spans="2:20" ht="36" customHeight="1" x14ac:dyDescent="0.3">
      <c r="B181" s="173" t="s">
        <v>458</v>
      </c>
      <c r="C181" s="207">
        <v>2.9231250286102295</v>
      </c>
      <c r="D181" s="208">
        <v>63.617000579833984</v>
      </c>
      <c r="E181" s="175">
        <v>935939</v>
      </c>
      <c r="F181" s="207">
        <v>2.9700000286102295</v>
      </c>
      <c r="G181" s="208">
        <v>73.15899658203125</v>
      </c>
      <c r="H181" s="175">
        <v>1088764</v>
      </c>
      <c r="I181" s="207">
        <v>3.5249998569488525</v>
      </c>
      <c r="J181" s="208">
        <v>203.57499694824219</v>
      </c>
      <c r="K181" s="175">
        <v>3638986</v>
      </c>
      <c r="L181" s="207">
        <v>4.9387497901916504</v>
      </c>
      <c r="M181" s="208">
        <v>42.241001129150391</v>
      </c>
      <c r="N181" s="175">
        <v>2817261</v>
      </c>
      <c r="O181" s="207">
        <v>4.9293746948242188</v>
      </c>
      <c r="P181" s="208">
        <v>395.54299926757813</v>
      </c>
      <c r="Q181" s="175">
        <v>3565665</v>
      </c>
      <c r="R181" s="207">
        <v>3.1818749904632568</v>
      </c>
      <c r="S181" s="208">
        <v>58.145999908447266</v>
      </c>
      <c r="T181" s="176">
        <v>1221545</v>
      </c>
    </row>
    <row r="182" spans="2:20" ht="36" customHeight="1" x14ac:dyDescent="0.3">
      <c r="B182" s="173" t="s">
        <v>459</v>
      </c>
      <c r="C182" s="207">
        <v>2.9118750095367432</v>
      </c>
      <c r="D182" s="208">
        <v>68.917999267578125</v>
      </c>
      <c r="E182" s="175">
        <v>936010</v>
      </c>
      <c r="F182" s="207">
        <v>2.791874885559082</v>
      </c>
      <c r="G182" s="208">
        <v>82.956001281738281</v>
      </c>
      <c r="H182" s="175">
        <v>1088841</v>
      </c>
      <c r="I182" s="207">
        <v>3.5249998569488525</v>
      </c>
      <c r="J182" s="208">
        <v>209.6820068359375</v>
      </c>
      <c r="K182" s="175">
        <v>3639198</v>
      </c>
      <c r="L182" s="207">
        <v>5.2799997329711914</v>
      </c>
      <c r="M182" s="208">
        <v>143.77400207519531</v>
      </c>
      <c r="N182" s="175">
        <v>2817389</v>
      </c>
      <c r="O182" s="207">
        <v>5.3474998474121094</v>
      </c>
      <c r="P182" s="208">
        <v>71.349998474121094</v>
      </c>
      <c r="Q182" s="175">
        <v>3565845</v>
      </c>
      <c r="R182" s="207">
        <v>3.3468749523162842</v>
      </c>
      <c r="S182" s="208">
        <v>64.379997253417969</v>
      </c>
      <c r="T182" s="176">
        <v>1221610</v>
      </c>
    </row>
    <row r="183" spans="2:20" ht="36" customHeight="1" x14ac:dyDescent="0.3">
      <c r="B183" s="173" t="s">
        <v>460</v>
      </c>
      <c r="C183" s="207">
        <v>2.9231250286102295</v>
      </c>
      <c r="D183" s="208">
        <v>75.279998779296875</v>
      </c>
      <c r="E183" s="175">
        <v>936082</v>
      </c>
      <c r="F183" s="207">
        <v>2.9137499332427979</v>
      </c>
      <c r="G183" s="208">
        <v>73.222999572753906</v>
      </c>
      <c r="H183" s="175">
        <v>1088920</v>
      </c>
      <c r="I183" s="207">
        <v>3.5812499523162842</v>
      </c>
      <c r="J183" s="208">
        <v>194.41400146484375</v>
      </c>
      <c r="K183" s="175">
        <v>3639398</v>
      </c>
      <c r="L183" s="207">
        <v>5.4787497520446777</v>
      </c>
      <c r="M183" s="208">
        <v>32.062999725341797</v>
      </c>
      <c r="N183" s="175">
        <v>2817520</v>
      </c>
      <c r="O183" s="207">
        <v>5.5349998474121094</v>
      </c>
      <c r="P183" s="208">
        <v>73.428001403808594</v>
      </c>
      <c r="Q183" s="175">
        <v>3565918</v>
      </c>
      <c r="R183" s="207">
        <v>3.434999942779541</v>
      </c>
      <c r="S183" s="208">
        <v>66.351997375488281</v>
      </c>
      <c r="T183" s="176">
        <v>1221677</v>
      </c>
    </row>
    <row r="184" spans="2:20" ht="36" customHeight="1" x14ac:dyDescent="0.3">
      <c r="B184" s="173" t="s">
        <v>461</v>
      </c>
      <c r="C184" s="207">
        <v>2.9006249904632568</v>
      </c>
      <c r="D184" s="208">
        <v>71.214996337890625</v>
      </c>
      <c r="E184" s="175">
        <v>936154</v>
      </c>
      <c r="F184" s="207">
        <v>2.9362499713897705</v>
      </c>
      <c r="G184" s="208">
        <v>70.106002807617188</v>
      </c>
      <c r="H184" s="175">
        <v>1088998</v>
      </c>
      <c r="I184" s="207">
        <v>3.5137498378753662</v>
      </c>
      <c r="J184" s="208">
        <v>201.99099731445313</v>
      </c>
      <c r="K184" s="175">
        <v>3639594</v>
      </c>
      <c r="L184" s="207">
        <v>4.9706249237060547</v>
      </c>
      <c r="M184" s="208">
        <v>35.116001129150391</v>
      </c>
      <c r="N184" s="175">
        <v>2817557</v>
      </c>
      <c r="O184" s="207">
        <v>4.994999885559082</v>
      </c>
      <c r="P184" s="208">
        <v>367.14199829101563</v>
      </c>
      <c r="Q184" s="175">
        <v>3566119</v>
      </c>
      <c r="R184" s="207">
        <v>3.2043750286102295</v>
      </c>
      <c r="S184" s="208">
        <v>70.360000610351563</v>
      </c>
      <c r="T184" s="176">
        <v>1221744</v>
      </c>
    </row>
    <row r="185" spans="2:20" ht="36" customHeight="1" x14ac:dyDescent="0.3">
      <c r="B185" s="173" t="s">
        <v>462</v>
      </c>
      <c r="C185" s="207">
        <v>2.8893749713897705</v>
      </c>
      <c r="D185" s="208">
        <v>73.33599853515625</v>
      </c>
      <c r="E185" s="175">
        <v>936227</v>
      </c>
      <c r="F185" s="207">
        <v>2.9362499713897705</v>
      </c>
      <c r="G185" s="208">
        <v>81.302001953125</v>
      </c>
      <c r="H185" s="175">
        <v>1089076</v>
      </c>
      <c r="I185" s="207">
        <v>3.5474998950958252</v>
      </c>
      <c r="J185" s="208">
        <v>195.65800476074219</v>
      </c>
      <c r="K185" s="175">
        <v>3639787</v>
      </c>
      <c r="L185" s="207">
        <v>5.0812497138977051</v>
      </c>
      <c r="M185" s="208">
        <v>34.606998443603516</v>
      </c>
      <c r="N185" s="175">
        <v>2817595</v>
      </c>
      <c r="O185" s="207">
        <v>5.1168746948242188</v>
      </c>
      <c r="P185" s="208">
        <v>307.5679931640625</v>
      </c>
      <c r="Q185" s="175">
        <v>3566351</v>
      </c>
      <c r="R185" s="207">
        <v>3.2587499618530273</v>
      </c>
      <c r="S185" s="208">
        <v>65.461997985839844</v>
      </c>
      <c r="T185" s="176">
        <v>1221813</v>
      </c>
    </row>
    <row r="186" spans="2:20" ht="36" customHeight="1" x14ac:dyDescent="0.3">
      <c r="B186" s="173" t="s">
        <v>463</v>
      </c>
      <c r="C186" s="207">
        <v>2.8781249523162842</v>
      </c>
      <c r="D186" s="208">
        <v>80.404998779296875</v>
      </c>
      <c r="E186" s="175">
        <v>936300</v>
      </c>
      <c r="F186" s="207">
        <v>2.9249999523162842</v>
      </c>
      <c r="G186" s="208">
        <v>71.186996459960938</v>
      </c>
      <c r="H186" s="175">
        <v>1089152</v>
      </c>
      <c r="I186" s="207">
        <v>3.635624885559082</v>
      </c>
      <c r="J186" s="208">
        <v>190.56900024414063</v>
      </c>
      <c r="K186" s="175">
        <v>3639977</v>
      </c>
      <c r="L186" s="207">
        <v>4.4643750190734863</v>
      </c>
      <c r="M186" s="208">
        <v>306.88900756835938</v>
      </c>
      <c r="N186" s="175">
        <v>2817703</v>
      </c>
      <c r="O186" s="207">
        <v>4.5450000762939453</v>
      </c>
      <c r="P186" s="208">
        <v>325.23199462890625</v>
      </c>
      <c r="Q186" s="175">
        <v>3566622</v>
      </c>
      <c r="R186" s="207">
        <v>3.0056250095367432</v>
      </c>
      <c r="S186" s="208">
        <v>60.818000793457031</v>
      </c>
      <c r="T186" s="176">
        <v>1221878</v>
      </c>
    </row>
    <row r="187" spans="2:20" ht="36" customHeight="1" x14ac:dyDescent="0.3">
      <c r="B187" s="173" t="s">
        <v>464</v>
      </c>
      <c r="C187" s="207">
        <v>2.9437499046325684</v>
      </c>
      <c r="D187" s="208">
        <v>67.680999755859375</v>
      </c>
      <c r="E187" s="175">
        <v>936371</v>
      </c>
      <c r="F187" s="207">
        <v>2.979374885559082</v>
      </c>
      <c r="G187" s="208">
        <v>77.4219970703125</v>
      </c>
      <c r="H187" s="175">
        <v>1089225</v>
      </c>
      <c r="I187" s="207">
        <v>3.601874828338623</v>
      </c>
      <c r="J187" s="208">
        <v>186.04499816894531</v>
      </c>
      <c r="K187" s="175">
        <v>3640161</v>
      </c>
      <c r="L187" s="207">
        <v>4.9274997711181641</v>
      </c>
      <c r="M187" s="208">
        <v>282.45999145507813</v>
      </c>
      <c r="N187" s="175">
        <v>2817878</v>
      </c>
      <c r="O187" s="207">
        <v>5.028749942779541</v>
      </c>
      <c r="P187" s="208">
        <v>70.656997680664063</v>
      </c>
      <c r="Q187" s="175">
        <v>3566810</v>
      </c>
      <c r="R187" s="207">
        <v>3.2043750286102295</v>
      </c>
      <c r="S187" s="208">
        <v>68.96099853515625</v>
      </c>
      <c r="T187" s="176">
        <v>1221943</v>
      </c>
    </row>
    <row r="188" spans="2:20" ht="36" customHeight="1" x14ac:dyDescent="0.3">
      <c r="B188" s="173" t="s">
        <v>465</v>
      </c>
      <c r="C188" s="207">
        <v>2.9343750476837158</v>
      </c>
      <c r="D188" s="208">
        <v>68.21099853515625</v>
      </c>
      <c r="E188" s="175">
        <v>936439</v>
      </c>
      <c r="F188" s="207">
        <v>2.9587500095367432</v>
      </c>
      <c r="G188" s="208">
        <v>74.240997314453125</v>
      </c>
      <c r="H188" s="175">
        <v>1089299</v>
      </c>
      <c r="I188" s="207">
        <v>3.5812499523162842</v>
      </c>
      <c r="J188" s="208">
        <v>186.61000061035156</v>
      </c>
      <c r="K188" s="175">
        <v>3640339</v>
      </c>
      <c r="L188" s="207">
        <v>5.4674997329711914</v>
      </c>
      <c r="M188" s="208">
        <v>36.388999938964844</v>
      </c>
      <c r="N188" s="175">
        <v>2818101</v>
      </c>
      <c r="O188" s="207">
        <v>5.523749828338623</v>
      </c>
      <c r="P188" s="208">
        <v>79.662002563476563</v>
      </c>
      <c r="Q188" s="175">
        <v>3566883</v>
      </c>
      <c r="R188" s="207">
        <v>3.401249885559082</v>
      </c>
      <c r="S188" s="208">
        <v>70.233001708984375</v>
      </c>
      <c r="T188" s="176">
        <v>1222009</v>
      </c>
    </row>
    <row r="189" spans="2:20" ht="36" customHeight="1" x14ac:dyDescent="0.3">
      <c r="B189" s="173" t="s">
        <v>466</v>
      </c>
      <c r="C189" s="207">
        <v>2.8556249141693115</v>
      </c>
      <c r="D189" s="208">
        <v>71.214996337890625</v>
      </c>
      <c r="E189" s="175">
        <v>936510</v>
      </c>
      <c r="F189" s="207">
        <v>2.7149999141693115</v>
      </c>
      <c r="G189" s="208">
        <v>76.8489990234375</v>
      </c>
      <c r="H189" s="175">
        <v>1089375</v>
      </c>
      <c r="I189" s="207">
        <v>3.5362498760223389</v>
      </c>
      <c r="J189" s="208">
        <v>197.91999816894531</v>
      </c>
      <c r="K189" s="175">
        <v>3640533</v>
      </c>
      <c r="L189" s="207">
        <v>4.586249828338623</v>
      </c>
      <c r="M189" s="208">
        <v>343.27801513671875</v>
      </c>
      <c r="N189" s="175">
        <v>2818285</v>
      </c>
      <c r="O189" s="207">
        <v>4.6875</v>
      </c>
      <c r="P189" s="208">
        <v>201.58099365234375</v>
      </c>
      <c r="Q189" s="175">
        <v>3567003</v>
      </c>
      <c r="R189" s="207">
        <v>3.0487499237060547</v>
      </c>
      <c r="S189" s="208">
        <v>64.762001037597656</v>
      </c>
      <c r="T189" s="176">
        <v>1222078</v>
      </c>
    </row>
    <row r="190" spans="2:20" ht="36" customHeight="1" x14ac:dyDescent="0.3">
      <c r="B190" s="173" t="s">
        <v>467</v>
      </c>
      <c r="C190" s="207">
        <v>2.8893749713897705</v>
      </c>
      <c r="D190" s="208">
        <v>79.167999267578125</v>
      </c>
      <c r="E190" s="175">
        <v>936585</v>
      </c>
      <c r="F190" s="207">
        <v>2.638124942779541</v>
      </c>
      <c r="G190" s="208">
        <v>74.876998901367188</v>
      </c>
      <c r="H190" s="175">
        <v>1089452</v>
      </c>
      <c r="I190" s="207">
        <v>3.5362498760223389</v>
      </c>
      <c r="J190" s="208">
        <v>198.48500061035156</v>
      </c>
      <c r="K190" s="175">
        <v>3640741</v>
      </c>
      <c r="L190" s="207">
        <v>4.794374942779541</v>
      </c>
      <c r="M190" s="208">
        <v>131.05099487304688</v>
      </c>
      <c r="N190" s="175">
        <v>2818719</v>
      </c>
      <c r="O190" s="207">
        <v>4.8187499046325684</v>
      </c>
      <c r="P190" s="208">
        <v>318.99798583984375</v>
      </c>
      <c r="Q190" s="175">
        <v>3567180</v>
      </c>
      <c r="R190" s="207">
        <v>3.1050000190734863</v>
      </c>
      <c r="S190" s="208">
        <v>67.560997009277344</v>
      </c>
      <c r="T190" s="176">
        <v>1222148</v>
      </c>
    </row>
    <row r="191" spans="2:20" ht="36" customHeight="1" x14ac:dyDescent="0.3">
      <c r="B191" s="173" t="s">
        <v>468</v>
      </c>
      <c r="C191" s="207">
        <v>2.8237500190734863</v>
      </c>
      <c r="D191" s="208">
        <v>83.40899658203125</v>
      </c>
      <c r="E191" s="175">
        <v>936663</v>
      </c>
      <c r="F191" s="207">
        <v>2.5818748474121094</v>
      </c>
      <c r="G191" s="208">
        <v>76.339996337890625</v>
      </c>
      <c r="H191" s="175">
        <v>1089530</v>
      </c>
      <c r="I191" s="207">
        <v>3.5474998950958252</v>
      </c>
      <c r="J191" s="208">
        <v>213.63999938964844</v>
      </c>
      <c r="K191" s="175">
        <v>3640941</v>
      </c>
      <c r="L191" s="207">
        <v>3.9787499904632568</v>
      </c>
      <c r="M191" s="208">
        <v>353.96600341796875</v>
      </c>
      <c r="N191" s="175">
        <v>2818925</v>
      </c>
      <c r="O191" s="207">
        <v>4.0593748092651367</v>
      </c>
      <c r="P191" s="208">
        <v>407.66598510742188</v>
      </c>
      <c r="Q191" s="175">
        <v>3567364</v>
      </c>
      <c r="R191" s="207">
        <v>2.7749998569488525</v>
      </c>
      <c r="S191" s="208">
        <v>71.569000244140625</v>
      </c>
      <c r="T191" s="176">
        <v>1222219</v>
      </c>
    </row>
    <row r="192" spans="2:20" ht="36" customHeight="1" x14ac:dyDescent="0.3">
      <c r="B192" s="173" t="s">
        <v>469</v>
      </c>
      <c r="C192" s="207">
        <v>2.9006249904632568</v>
      </c>
      <c r="D192" s="208">
        <v>86.05999755859375</v>
      </c>
      <c r="E192" s="175">
        <v>936746</v>
      </c>
      <c r="F192" s="207">
        <v>2.8143749237060547</v>
      </c>
      <c r="G192" s="208">
        <v>68.642997741699219</v>
      </c>
      <c r="H192" s="175">
        <v>1089611</v>
      </c>
      <c r="I192" s="207">
        <v>3.5906248092651367</v>
      </c>
      <c r="J192" s="208">
        <v>189.21099853515625</v>
      </c>
      <c r="K192" s="175">
        <v>3641141</v>
      </c>
      <c r="L192" s="207">
        <v>4.2768750190734863</v>
      </c>
      <c r="M192" s="208">
        <v>122.39900207519531</v>
      </c>
      <c r="N192" s="175">
        <v>2819142</v>
      </c>
      <c r="O192" s="207">
        <v>4.2806248664855957</v>
      </c>
      <c r="P192" s="208">
        <v>572.8800048828125</v>
      </c>
      <c r="Q192" s="175">
        <v>3567756</v>
      </c>
      <c r="R192" s="207">
        <v>2.8837499618530273</v>
      </c>
      <c r="S192" s="208">
        <v>65.906997680664063</v>
      </c>
      <c r="T192" s="176">
        <v>1222288</v>
      </c>
    </row>
    <row r="193" spans="2:20" ht="36" customHeight="1" x14ac:dyDescent="0.3">
      <c r="B193" s="173" t="s">
        <v>470</v>
      </c>
      <c r="C193" s="207">
        <v>2.9437499046325684</v>
      </c>
      <c r="D193" s="208">
        <v>79.167999267578125</v>
      </c>
      <c r="E193" s="175">
        <v>936825</v>
      </c>
      <c r="F193" s="207">
        <v>3.0356249809265137</v>
      </c>
      <c r="G193" s="208">
        <v>70.614997863769531</v>
      </c>
      <c r="H193" s="175">
        <v>1089683</v>
      </c>
      <c r="I193" s="207">
        <v>3.6468749046325684</v>
      </c>
      <c r="J193" s="208">
        <v>169.30599975585938</v>
      </c>
      <c r="K193" s="175">
        <v>3641330</v>
      </c>
      <c r="L193" s="207">
        <v>5.169374942779541</v>
      </c>
      <c r="M193" s="208">
        <v>38.932998657226563</v>
      </c>
      <c r="N193" s="175">
        <v>2819221</v>
      </c>
      <c r="O193" s="207">
        <v>5.1937499046325684</v>
      </c>
      <c r="P193" s="208">
        <v>204.35200500488281</v>
      </c>
      <c r="Q193" s="175">
        <v>3568130</v>
      </c>
      <c r="R193" s="207">
        <v>3.2362499237060547</v>
      </c>
      <c r="S193" s="208">
        <v>70.041999816894531</v>
      </c>
      <c r="T193" s="176">
        <v>1222355</v>
      </c>
    </row>
    <row r="194" spans="2:20" ht="36" customHeight="1" thickBot="1" x14ac:dyDescent="0.35">
      <c r="B194" s="177" t="s">
        <v>471</v>
      </c>
      <c r="C194" s="209">
        <v>2.9437499046325684</v>
      </c>
      <c r="D194" s="210">
        <v>69.095001220703125</v>
      </c>
      <c r="E194" s="179">
        <v>936899</v>
      </c>
      <c r="F194" s="209">
        <v>3.2118749618530273</v>
      </c>
      <c r="G194" s="210">
        <v>67.242996215820313</v>
      </c>
      <c r="H194" s="179">
        <v>1089756</v>
      </c>
      <c r="I194" s="209">
        <v>3.6806249618530273</v>
      </c>
      <c r="J194" s="210">
        <v>149.96699523925781</v>
      </c>
      <c r="K194" s="179">
        <v>3641489</v>
      </c>
      <c r="L194" s="209">
        <v>5.203125</v>
      </c>
      <c r="M194" s="210">
        <v>141.22999572753906</v>
      </c>
      <c r="N194" s="179">
        <v>2819311</v>
      </c>
      <c r="O194" s="209">
        <v>5.2481250762939453</v>
      </c>
      <c r="P194" s="210">
        <v>69.617996215820313</v>
      </c>
      <c r="Q194" s="179">
        <v>3568347</v>
      </c>
      <c r="R194" s="209">
        <v>3.247499942779541</v>
      </c>
      <c r="S194" s="210">
        <v>61.071998596191406</v>
      </c>
      <c r="T194" s="180">
        <v>1222419</v>
      </c>
    </row>
    <row r="195" spans="2:20" ht="36" customHeight="1" thickTop="1" x14ac:dyDescent="0.3">
      <c r="B195" s="181" t="s">
        <v>472</v>
      </c>
      <c r="C195" s="211">
        <f t="shared" ref="C195" si="40">MIN(C171:C194)</f>
        <v>2.8237500190734863</v>
      </c>
      <c r="D195" s="212">
        <f>MIN(D171:D194)</f>
        <v>36.932998657226563</v>
      </c>
      <c r="E195" s="213">
        <f t="shared" ref="E195:F195" si="41">MIN(E171:E194)</f>
        <v>935442</v>
      </c>
      <c r="F195" s="211">
        <f t="shared" si="41"/>
        <v>2.5818748474121094</v>
      </c>
      <c r="G195" s="212">
        <f>MIN(G171:G194)</f>
        <v>56.492000579833984</v>
      </c>
      <c r="H195" s="213">
        <f t="shared" ref="H195:I195" si="42">MIN(H171:H194)</f>
        <v>1088146</v>
      </c>
      <c r="I195" s="211">
        <f t="shared" si="42"/>
        <v>3.5137498378753662</v>
      </c>
      <c r="J195" s="212">
        <f>MIN(J171:J194)</f>
        <v>64.351997375488281</v>
      </c>
      <c r="K195" s="213">
        <f t="shared" ref="K195:L195" si="43">MIN(K171:K194)</f>
        <v>3637896</v>
      </c>
      <c r="L195" s="211">
        <f t="shared" si="43"/>
        <v>3.9787499904632568</v>
      </c>
      <c r="M195" s="212">
        <f>MIN(M171:M194)</f>
        <v>23.665000915527344</v>
      </c>
      <c r="N195" s="213">
        <f t="shared" ref="N195:O195" si="44">MIN(N171:N194)</f>
        <v>2816289</v>
      </c>
      <c r="O195" s="211">
        <f t="shared" si="44"/>
        <v>4.0593748092651367</v>
      </c>
      <c r="P195" s="212">
        <f>MIN(P171:P194)</f>
        <v>41.215999603271484</v>
      </c>
      <c r="Q195" s="213">
        <f t="shared" ref="Q195:R195" si="45">MIN(Q171:Q194)</f>
        <v>3564523</v>
      </c>
      <c r="R195" s="211">
        <f t="shared" si="45"/>
        <v>2.7749998569488525</v>
      </c>
      <c r="S195" s="212">
        <f>MIN(S171:S194)</f>
        <v>35.498001098632813</v>
      </c>
      <c r="T195" s="214">
        <f t="shared" ref="T195" si="46">MIN(T171:T194)</f>
        <v>1220898</v>
      </c>
    </row>
    <row r="196" spans="2:20" ht="36" customHeight="1" x14ac:dyDescent="0.3">
      <c r="B196" s="173" t="s">
        <v>473</v>
      </c>
      <c r="C196" s="211">
        <f t="shared" ref="C196:T196" si="47">MAX(C171:C194)</f>
        <v>3.133124828338623</v>
      </c>
      <c r="D196" s="215">
        <f t="shared" si="47"/>
        <v>86.05999755859375</v>
      </c>
      <c r="E196" s="216">
        <f t="shared" si="47"/>
        <v>936899</v>
      </c>
      <c r="F196" s="211">
        <f t="shared" si="47"/>
        <v>3.7537498474121094</v>
      </c>
      <c r="G196" s="215">
        <f t="shared" si="47"/>
        <v>82.956001281738281</v>
      </c>
      <c r="H196" s="216">
        <f t="shared" si="47"/>
        <v>1089756</v>
      </c>
      <c r="I196" s="211">
        <f t="shared" si="47"/>
        <v>3.823124885559082</v>
      </c>
      <c r="J196" s="215">
        <f t="shared" si="47"/>
        <v>213.63999938964844</v>
      </c>
      <c r="K196" s="216">
        <f t="shared" si="47"/>
        <v>3641489</v>
      </c>
      <c r="L196" s="211">
        <f t="shared" si="47"/>
        <v>5.5668749809265137</v>
      </c>
      <c r="M196" s="215">
        <f t="shared" si="47"/>
        <v>353.96600341796875</v>
      </c>
      <c r="N196" s="216">
        <f t="shared" si="47"/>
        <v>2819311</v>
      </c>
      <c r="O196" s="211">
        <f t="shared" si="47"/>
        <v>5.5893750190734863</v>
      </c>
      <c r="P196" s="215">
        <f t="shared" si="47"/>
        <v>572.8800048828125</v>
      </c>
      <c r="Q196" s="216">
        <f t="shared" si="47"/>
        <v>3568347</v>
      </c>
      <c r="R196" s="211">
        <f t="shared" si="47"/>
        <v>3.46875</v>
      </c>
      <c r="S196" s="215">
        <f t="shared" si="47"/>
        <v>332.33599853515625</v>
      </c>
      <c r="T196" s="217">
        <f t="shared" si="47"/>
        <v>1222419</v>
      </c>
    </row>
    <row r="197" spans="2:20" ht="36" customHeight="1" x14ac:dyDescent="0.3">
      <c r="B197" s="173" t="s">
        <v>474</v>
      </c>
      <c r="C197" s="211">
        <f>AVERAGE(C171:C194)</f>
        <v>2.9589843253294625</v>
      </c>
      <c r="D197" s="215">
        <f>AVERAGE(D171:D194)</f>
        <v>63.697790622711182</v>
      </c>
      <c r="E197" s="218"/>
      <c r="F197" s="211">
        <f>AVERAGE(F171:F194)</f>
        <v>3.1798436840375266</v>
      </c>
      <c r="G197" s="215">
        <f>AVERAGE(G171:G194)</f>
        <v>68.4491244951884</v>
      </c>
      <c r="H197" s="218"/>
      <c r="I197" s="211">
        <f>AVERAGE(I171:I194)</f>
        <v>3.6578123966852822</v>
      </c>
      <c r="J197" s="215">
        <f>AVERAGE(J171:J194)</f>
        <v>154.68366622924805</v>
      </c>
      <c r="K197" s="218"/>
      <c r="L197" s="211">
        <f>AVERAGE(L171:L194)</f>
        <v>5.0665623843669891</v>
      </c>
      <c r="M197" s="215">
        <f>AVERAGE(M171:M194)</f>
        <v>133.89258416493735</v>
      </c>
      <c r="N197" s="218"/>
      <c r="O197" s="211">
        <f>AVERAGE(O171:O194)</f>
        <v>5.1136717796325684</v>
      </c>
      <c r="P197" s="215">
        <f>AVERAGE(P171:P194)</f>
        <v>197.59816471735635</v>
      </c>
      <c r="Q197" s="218"/>
      <c r="R197" s="211">
        <f>AVERAGE(R171:R194)</f>
        <v>3.2309374709924064</v>
      </c>
      <c r="S197" s="215">
        <f>AVERAGE(S171:S194)</f>
        <v>68.674333095550537</v>
      </c>
      <c r="T197" s="219"/>
    </row>
    <row r="198" spans="2:20" ht="36" customHeight="1" thickBot="1" x14ac:dyDescent="0.35">
      <c r="B198" s="186" t="s">
        <v>475</v>
      </c>
      <c r="C198" s="220"/>
      <c r="D198" s="221"/>
      <c r="E198" s="222"/>
      <c r="F198" s="220"/>
      <c r="G198" s="221"/>
      <c r="H198" s="222"/>
      <c r="I198" s="220"/>
      <c r="J198" s="221"/>
      <c r="K198" s="222"/>
      <c r="L198" s="220"/>
      <c r="M198" s="221"/>
      <c r="N198" s="222"/>
      <c r="O198" s="220"/>
      <c r="P198" s="221"/>
      <c r="Q198" s="222"/>
      <c r="R198" s="220"/>
      <c r="S198" s="221"/>
      <c r="T198" s="223"/>
    </row>
    <row r="199" spans="2:20" ht="9.9499999999999993" customHeight="1" thickBot="1" x14ac:dyDescent="0.35">
      <c r="B199" s="190"/>
      <c r="E199" s="190"/>
      <c r="H199" s="190"/>
      <c r="K199" s="190"/>
      <c r="N199" s="190"/>
      <c r="Q199" s="190"/>
      <c r="T199" s="190"/>
    </row>
    <row r="200" spans="2:20" s="162" customFormat="1" ht="51.95" customHeight="1" thickBot="1" x14ac:dyDescent="0.35">
      <c r="B200" s="460" t="s">
        <v>573</v>
      </c>
      <c r="C200" s="461"/>
      <c r="D200" s="461"/>
      <c r="E200" s="461"/>
      <c r="F200" s="461"/>
      <c r="G200" s="461"/>
      <c r="H200" s="461"/>
      <c r="I200" s="461"/>
      <c r="J200" s="461"/>
      <c r="K200" s="461"/>
      <c r="L200" s="461"/>
      <c r="M200" s="461"/>
      <c r="N200" s="461"/>
      <c r="O200" s="461"/>
      <c r="P200" s="461"/>
      <c r="Q200" s="461"/>
      <c r="R200" s="461"/>
      <c r="S200" s="461"/>
      <c r="T200" s="462"/>
    </row>
    <row r="201" spans="2:20" s="164" customFormat="1" ht="36" customHeight="1" thickTop="1" x14ac:dyDescent="0.3">
      <c r="B201" s="163" t="s">
        <v>433</v>
      </c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3"/>
      <c r="N201" s="463"/>
      <c r="O201" s="463"/>
      <c r="P201" s="463"/>
      <c r="Q201" s="463"/>
      <c r="R201" s="463"/>
      <c r="S201" s="463"/>
      <c r="T201" s="464"/>
    </row>
    <row r="202" spans="2:20" s="165" customFormat="1" ht="27.95" customHeight="1" x14ac:dyDescent="0.3">
      <c r="B202" s="455" t="s">
        <v>434</v>
      </c>
      <c r="C202" s="468" t="s">
        <v>615</v>
      </c>
      <c r="D202" s="468"/>
      <c r="E202" s="468"/>
      <c r="F202" s="468" t="s">
        <v>637</v>
      </c>
      <c r="G202" s="468"/>
      <c r="H202" s="468"/>
      <c r="I202" s="467" t="s">
        <v>617</v>
      </c>
      <c r="J202" s="467"/>
      <c r="K202" s="467"/>
      <c r="L202" s="467" t="s">
        <v>638</v>
      </c>
      <c r="M202" s="467"/>
      <c r="N202" s="467"/>
      <c r="O202" s="468" t="s">
        <v>639</v>
      </c>
      <c r="P202" s="468"/>
      <c r="Q202" s="468"/>
      <c r="R202" s="468"/>
      <c r="S202" s="468"/>
      <c r="T202" s="469"/>
    </row>
    <row r="203" spans="2:20" ht="27.95" customHeight="1" x14ac:dyDescent="0.3">
      <c r="B203" s="456"/>
      <c r="C203" s="200" t="s">
        <v>624</v>
      </c>
      <c r="D203" s="201" t="s">
        <v>625</v>
      </c>
      <c r="E203" s="202" t="s">
        <v>445</v>
      </c>
      <c r="F203" s="203" t="s">
        <v>624</v>
      </c>
      <c r="G203" s="201" t="s">
        <v>625</v>
      </c>
      <c r="H203" s="202" t="s">
        <v>445</v>
      </c>
      <c r="I203" s="203" t="s">
        <v>624</v>
      </c>
      <c r="J203" s="201" t="s">
        <v>625</v>
      </c>
      <c r="K203" s="202" t="s">
        <v>445</v>
      </c>
      <c r="L203" s="203" t="s">
        <v>624</v>
      </c>
      <c r="M203" s="201" t="s">
        <v>625</v>
      </c>
      <c r="N203" s="202" t="s">
        <v>445</v>
      </c>
      <c r="O203" s="203" t="s">
        <v>624</v>
      </c>
      <c r="P203" s="201" t="s">
        <v>625</v>
      </c>
      <c r="Q203" s="202" t="s">
        <v>445</v>
      </c>
      <c r="R203" s="203" t="s">
        <v>624</v>
      </c>
      <c r="S203" s="201" t="s">
        <v>625</v>
      </c>
      <c r="T203" s="204" t="s">
        <v>445</v>
      </c>
    </row>
    <row r="204" spans="2:20" ht="36" customHeight="1" x14ac:dyDescent="0.3">
      <c r="B204" s="169" t="s">
        <v>448</v>
      </c>
      <c r="C204" s="205">
        <v>7.8374996185302734</v>
      </c>
      <c r="D204" s="206">
        <v>91.610565185546875</v>
      </c>
      <c r="E204" s="171">
        <v>1592119</v>
      </c>
      <c r="F204" s="205">
        <v>0</v>
      </c>
      <c r="G204" s="206">
        <v>71.867790222167969</v>
      </c>
      <c r="H204" s="171">
        <v>1576196</v>
      </c>
      <c r="I204" s="205"/>
      <c r="J204" s="206">
        <v>1.5792813152074814E-2</v>
      </c>
      <c r="K204" s="171">
        <v>109077</v>
      </c>
      <c r="L204" s="205"/>
      <c r="M204" s="206">
        <v>31.621311187744141</v>
      </c>
      <c r="N204" s="171">
        <v>413718</v>
      </c>
      <c r="O204" s="205"/>
      <c r="P204" s="206">
        <v>13.039200782775879</v>
      </c>
      <c r="Q204" s="171">
        <v>195289</v>
      </c>
      <c r="R204" s="205"/>
      <c r="S204" s="206"/>
      <c r="T204" s="172"/>
    </row>
    <row r="205" spans="2:20" ht="36" customHeight="1" x14ac:dyDescent="0.3">
      <c r="B205" s="173" t="s">
        <v>449</v>
      </c>
      <c r="C205" s="207">
        <v>7.914374828338623</v>
      </c>
      <c r="D205" s="208">
        <v>82.854347229003906</v>
      </c>
      <c r="E205" s="175">
        <v>1592205</v>
      </c>
      <c r="F205" s="207">
        <v>0</v>
      </c>
      <c r="G205" s="208">
        <v>56.094696044921875</v>
      </c>
      <c r="H205" s="175">
        <v>1576259</v>
      </c>
      <c r="I205" s="207" t="s">
        <v>583</v>
      </c>
      <c r="J205" s="208">
        <v>20.005044937133789</v>
      </c>
      <c r="K205" s="175">
        <v>109078</v>
      </c>
      <c r="L205" s="207" t="s">
        <v>583</v>
      </c>
      <c r="M205" s="208">
        <v>30.018936157226563</v>
      </c>
      <c r="N205" s="175">
        <v>413748</v>
      </c>
      <c r="O205" s="207" t="s">
        <v>583</v>
      </c>
      <c r="P205" s="208">
        <v>12.860570907592773</v>
      </c>
      <c r="Q205" s="175">
        <v>195302</v>
      </c>
      <c r="R205" s="207" t="s">
        <v>583</v>
      </c>
      <c r="S205" s="208"/>
      <c r="T205" s="176"/>
    </row>
    <row r="206" spans="2:20" ht="36" customHeight="1" x14ac:dyDescent="0.3">
      <c r="B206" s="173" t="s">
        <v>450</v>
      </c>
      <c r="C206" s="207">
        <v>8.0024995803833008</v>
      </c>
      <c r="D206" s="208">
        <v>69.792221069335938</v>
      </c>
      <c r="E206" s="175">
        <v>1592281</v>
      </c>
      <c r="F206" s="207">
        <v>0</v>
      </c>
      <c r="G206" s="208">
        <v>44.989181518554688</v>
      </c>
      <c r="H206" s="175">
        <v>1576311</v>
      </c>
      <c r="I206" s="207"/>
      <c r="J206" s="208">
        <v>1.3354556635022163E-2</v>
      </c>
      <c r="K206" s="175">
        <v>109089</v>
      </c>
      <c r="L206" s="207"/>
      <c r="M206" s="208">
        <v>29.734035491943359</v>
      </c>
      <c r="N206" s="175">
        <v>413778</v>
      </c>
      <c r="O206" s="207"/>
      <c r="P206" s="208">
        <v>12.676656723022461</v>
      </c>
      <c r="Q206" s="175">
        <v>195315</v>
      </c>
      <c r="R206" s="207"/>
      <c r="S206" s="208"/>
      <c r="T206" s="176"/>
    </row>
    <row r="207" spans="2:20" ht="36" customHeight="1" x14ac:dyDescent="0.3">
      <c r="B207" s="173" t="s">
        <v>451</v>
      </c>
      <c r="C207" s="207">
        <v>8.0249996185302734</v>
      </c>
      <c r="D207" s="208">
        <v>63.374263763427734</v>
      </c>
      <c r="E207" s="175">
        <v>1592348</v>
      </c>
      <c r="F207" s="207">
        <v>0</v>
      </c>
      <c r="G207" s="208">
        <v>38.69854736328125</v>
      </c>
      <c r="H207" s="175">
        <v>1576354</v>
      </c>
      <c r="I207" s="207"/>
      <c r="J207" s="208">
        <v>1.6147792339324951E-2</v>
      </c>
      <c r="K207" s="175">
        <v>109089</v>
      </c>
      <c r="L207" s="207"/>
      <c r="M207" s="208">
        <v>29.045890808105469</v>
      </c>
      <c r="N207" s="175">
        <v>413808</v>
      </c>
      <c r="O207" s="207"/>
      <c r="P207" s="208">
        <v>11.730122566223145</v>
      </c>
      <c r="Q207" s="175">
        <v>195327</v>
      </c>
      <c r="R207" s="207"/>
      <c r="S207" s="208"/>
      <c r="T207" s="176"/>
    </row>
    <row r="208" spans="2:20" ht="36" customHeight="1" x14ac:dyDescent="0.3">
      <c r="B208" s="173" t="s">
        <v>452</v>
      </c>
      <c r="C208" s="207">
        <v>8.036250114440918</v>
      </c>
      <c r="D208" s="208">
        <v>61.770786285400391</v>
      </c>
      <c r="E208" s="175">
        <v>1592411</v>
      </c>
      <c r="F208" s="207">
        <v>0</v>
      </c>
      <c r="G208" s="208">
        <v>38.3641357421875</v>
      </c>
      <c r="H208" s="175">
        <v>1576393</v>
      </c>
      <c r="I208" s="207"/>
      <c r="J208" s="208">
        <v>1.671253889799118E-2</v>
      </c>
      <c r="K208" s="175">
        <v>109089</v>
      </c>
      <c r="L208" s="207"/>
      <c r="M208" s="208">
        <v>29.941598892211914</v>
      </c>
      <c r="N208" s="175">
        <v>413837</v>
      </c>
      <c r="O208" s="207"/>
      <c r="P208" s="208">
        <v>11.593193054199219</v>
      </c>
      <c r="Q208" s="175">
        <v>195339</v>
      </c>
      <c r="R208" s="207"/>
      <c r="S208" s="208"/>
      <c r="T208" s="176"/>
    </row>
    <row r="209" spans="2:20" ht="36" customHeight="1" x14ac:dyDescent="0.3">
      <c r="B209" s="173" t="s">
        <v>453</v>
      </c>
      <c r="C209" s="207">
        <v>8.0456247329711914</v>
      </c>
      <c r="D209" s="208">
        <v>60.603672027587891</v>
      </c>
      <c r="E209" s="175">
        <v>1592474</v>
      </c>
      <c r="F209" s="207">
        <v>0</v>
      </c>
      <c r="G209" s="208">
        <v>37.610427856445313</v>
      </c>
      <c r="H209" s="175">
        <v>1576431</v>
      </c>
      <c r="I209" s="207"/>
      <c r="J209" s="208">
        <v>20.00145149230957</v>
      </c>
      <c r="K209" s="175">
        <v>109093</v>
      </c>
      <c r="L209" s="207"/>
      <c r="M209" s="208">
        <v>29.867702484130859</v>
      </c>
      <c r="N209" s="175">
        <v>413867</v>
      </c>
      <c r="O209" s="207"/>
      <c r="P209" s="208">
        <v>11.502334594726563</v>
      </c>
      <c r="Q209" s="175">
        <v>195350</v>
      </c>
      <c r="R209" s="207"/>
      <c r="S209" s="208"/>
      <c r="T209" s="176"/>
    </row>
    <row r="210" spans="2:20" ht="36" customHeight="1" x14ac:dyDescent="0.3">
      <c r="B210" s="173" t="s">
        <v>454</v>
      </c>
      <c r="C210" s="207">
        <v>8.0456247329711914</v>
      </c>
      <c r="D210" s="208">
        <v>68.095207214355469</v>
      </c>
      <c r="E210" s="175">
        <v>1592537</v>
      </c>
      <c r="F210" s="207">
        <v>0</v>
      </c>
      <c r="G210" s="208">
        <v>37.321796417236328</v>
      </c>
      <c r="H210" s="175">
        <v>1576468</v>
      </c>
      <c r="I210" s="207"/>
      <c r="J210" s="208">
        <v>1.5493786893785E-2</v>
      </c>
      <c r="K210" s="175">
        <v>109102</v>
      </c>
      <c r="L210" s="207"/>
      <c r="M210" s="208">
        <v>31.375053405761719</v>
      </c>
      <c r="N210" s="175">
        <v>413897</v>
      </c>
      <c r="O210" s="207"/>
      <c r="P210" s="208">
        <v>11.815017700195313</v>
      </c>
      <c r="Q210" s="175">
        <v>195362</v>
      </c>
      <c r="R210" s="207"/>
      <c r="S210" s="208"/>
      <c r="T210" s="176"/>
    </row>
    <row r="211" spans="2:20" ht="36" customHeight="1" x14ac:dyDescent="0.3">
      <c r="B211" s="173" t="s">
        <v>455</v>
      </c>
      <c r="C211" s="207">
        <v>8.0249996185302734</v>
      </c>
      <c r="D211" s="208">
        <v>70.495567321777344</v>
      </c>
      <c r="E211" s="175">
        <v>1592605</v>
      </c>
      <c r="F211" s="207">
        <v>0</v>
      </c>
      <c r="G211" s="208">
        <v>57.309467315673828</v>
      </c>
      <c r="H211" s="175">
        <v>1576519</v>
      </c>
      <c r="I211" s="207"/>
      <c r="J211" s="208">
        <v>1.4433491043746471E-2</v>
      </c>
      <c r="K211" s="175">
        <v>109102</v>
      </c>
      <c r="L211" s="207"/>
      <c r="M211" s="208">
        <v>31.123451232910156</v>
      </c>
      <c r="N211" s="175">
        <v>413927</v>
      </c>
      <c r="O211" s="207"/>
      <c r="P211" s="208">
        <v>11.972151756286621</v>
      </c>
      <c r="Q211" s="175">
        <v>195374</v>
      </c>
      <c r="R211" s="207"/>
      <c r="S211" s="208"/>
      <c r="T211" s="176"/>
    </row>
    <row r="212" spans="2:20" ht="36" customHeight="1" x14ac:dyDescent="0.3">
      <c r="B212" s="173" t="s">
        <v>456</v>
      </c>
      <c r="C212" s="207">
        <v>7.8918747901916504</v>
      </c>
      <c r="D212" s="208">
        <v>82.178810119628906</v>
      </c>
      <c r="E212" s="175">
        <v>1592678</v>
      </c>
      <c r="F212" s="207">
        <v>0</v>
      </c>
      <c r="G212" s="208">
        <v>66.661964416503906</v>
      </c>
      <c r="H212" s="175">
        <v>1576580</v>
      </c>
      <c r="I212" s="207"/>
      <c r="J212" s="208">
        <v>1.3013132847845554E-2</v>
      </c>
      <c r="K212" s="175">
        <v>109102</v>
      </c>
      <c r="L212" s="207"/>
      <c r="M212" s="208">
        <v>31.623325347900391</v>
      </c>
      <c r="N212" s="175">
        <v>413959</v>
      </c>
      <c r="O212" s="207"/>
      <c r="P212" s="208">
        <v>13.746372222900391</v>
      </c>
      <c r="Q212" s="175">
        <v>195387</v>
      </c>
      <c r="R212" s="207"/>
      <c r="S212" s="208"/>
      <c r="T212" s="176"/>
    </row>
    <row r="213" spans="2:20" ht="36" customHeight="1" x14ac:dyDescent="0.3">
      <c r="B213" s="173" t="s">
        <v>457</v>
      </c>
      <c r="C213" s="207">
        <v>7.3743748664855957</v>
      </c>
      <c r="D213" s="208">
        <v>93.6318359375</v>
      </c>
      <c r="E213" s="175">
        <v>1592764</v>
      </c>
      <c r="F213" s="207">
        <v>0</v>
      </c>
      <c r="G213" s="208">
        <v>105.77805328369141</v>
      </c>
      <c r="H213" s="175">
        <v>1576663</v>
      </c>
      <c r="I213" s="207"/>
      <c r="J213" s="208">
        <v>1.4340518042445183E-2</v>
      </c>
      <c r="K213" s="175">
        <v>109102</v>
      </c>
      <c r="L213" s="207"/>
      <c r="M213" s="208">
        <v>34.003288269042969</v>
      </c>
      <c r="N213" s="175">
        <v>413992</v>
      </c>
      <c r="O213" s="207"/>
      <c r="P213" s="208">
        <v>12.883366584777832</v>
      </c>
      <c r="Q213" s="175">
        <v>195399</v>
      </c>
      <c r="R213" s="207"/>
      <c r="S213" s="208"/>
      <c r="T213" s="176"/>
    </row>
    <row r="214" spans="2:20" ht="36" customHeight="1" x14ac:dyDescent="0.3">
      <c r="B214" s="173" t="s">
        <v>458</v>
      </c>
      <c r="C214" s="207">
        <v>7.1437497138977051</v>
      </c>
      <c r="D214" s="208">
        <v>114.70130920410156</v>
      </c>
      <c r="E214" s="175">
        <v>1592871</v>
      </c>
      <c r="F214" s="207">
        <v>0</v>
      </c>
      <c r="G214" s="208">
        <v>125.78253173828125</v>
      </c>
      <c r="H214" s="175">
        <v>1576779</v>
      </c>
      <c r="I214" s="207"/>
      <c r="J214" s="208">
        <v>1.6802279278635979E-2</v>
      </c>
      <c r="K214" s="175">
        <v>109115</v>
      </c>
      <c r="L214" s="207"/>
      <c r="M214" s="208">
        <v>34.702724456787109</v>
      </c>
      <c r="N214" s="175">
        <v>414026</v>
      </c>
      <c r="O214" s="207"/>
      <c r="P214" s="208">
        <v>14.194622039794922</v>
      </c>
      <c r="Q214" s="175">
        <v>195412</v>
      </c>
      <c r="R214" s="207"/>
      <c r="S214" s="208"/>
      <c r="T214" s="176"/>
    </row>
    <row r="215" spans="2:20" ht="36" customHeight="1" x14ac:dyDescent="0.3">
      <c r="B215" s="173" t="s">
        <v>459</v>
      </c>
      <c r="C215" s="207">
        <v>7.5187497138977051</v>
      </c>
      <c r="D215" s="208">
        <v>124.01926422119141</v>
      </c>
      <c r="E215" s="175">
        <v>1592992</v>
      </c>
      <c r="F215" s="207">
        <v>0</v>
      </c>
      <c r="G215" s="208">
        <v>101.74486541748047</v>
      </c>
      <c r="H215" s="175">
        <v>1576886</v>
      </c>
      <c r="I215" s="207"/>
      <c r="J215" s="208">
        <v>1.3128146529197693E-2</v>
      </c>
      <c r="K215" s="175">
        <v>109115</v>
      </c>
      <c r="L215" s="207"/>
      <c r="M215" s="208">
        <v>32.581546783447266</v>
      </c>
      <c r="N215" s="175">
        <v>414060</v>
      </c>
      <c r="O215" s="207"/>
      <c r="P215" s="208">
        <v>16.677221298217773</v>
      </c>
      <c r="Q215" s="175">
        <v>195427</v>
      </c>
      <c r="R215" s="207"/>
      <c r="S215" s="208"/>
      <c r="T215" s="176"/>
    </row>
    <row r="216" spans="2:20" ht="36" customHeight="1" x14ac:dyDescent="0.3">
      <c r="B216" s="173" t="s">
        <v>460</v>
      </c>
      <c r="C216" s="207">
        <v>7.4962496757507324</v>
      </c>
      <c r="D216" s="208">
        <v>123.03261566162109</v>
      </c>
      <c r="E216" s="175">
        <v>1593120</v>
      </c>
      <c r="F216" s="207">
        <v>0</v>
      </c>
      <c r="G216" s="208">
        <v>93.292633056640625</v>
      </c>
      <c r="H216" s="175">
        <v>1576986</v>
      </c>
      <c r="I216" s="207"/>
      <c r="J216" s="208">
        <v>1.416443008929491E-2</v>
      </c>
      <c r="K216" s="175">
        <v>109115</v>
      </c>
      <c r="L216" s="207"/>
      <c r="M216" s="208">
        <v>32.685031890869141</v>
      </c>
      <c r="N216" s="175">
        <v>414093</v>
      </c>
      <c r="O216" s="207"/>
      <c r="P216" s="208">
        <v>14.556886672973633</v>
      </c>
      <c r="Q216" s="175">
        <v>195443</v>
      </c>
      <c r="R216" s="207"/>
      <c r="S216" s="208"/>
      <c r="T216" s="176"/>
    </row>
    <row r="217" spans="2:20" ht="36" customHeight="1" x14ac:dyDescent="0.3">
      <c r="B217" s="173" t="s">
        <v>461</v>
      </c>
      <c r="C217" s="207">
        <v>7.5074996948242188</v>
      </c>
      <c r="D217" s="208">
        <v>119.787841796875</v>
      </c>
      <c r="E217" s="175">
        <v>1593241</v>
      </c>
      <c r="F217" s="207">
        <v>0</v>
      </c>
      <c r="G217" s="208">
        <v>97.14813232421875</v>
      </c>
      <c r="H217" s="175">
        <v>1577086</v>
      </c>
      <c r="I217" s="207"/>
      <c r="J217" s="208">
        <v>19.949604034423828</v>
      </c>
      <c r="K217" s="175">
        <v>109128</v>
      </c>
      <c r="L217" s="207"/>
      <c r="M217" s="208">
        <v>32.345817565917969</v>
      </c>
      <c r="N217" s="175">
        <v>414126</v>
      </c>
      <c r="O217" s="207"/>
      <c r="P217" s="208">
        <v>16.311845779418945</v>
      </c>
      <c r="Q217" s="175">
        <v>195457</v>
      </c>
      <c r="R217" s="207"/>
      <c r="S217" s="208"/>
      <c r="T217" s="176"/>
    </row>
    <row r="218" spans="2:20" ht="36" customHeight="1" x14ac:dyDescent="0.3">
      <c r="B218" s="173" t="s">
        <v>462</v>
      </c>
      <c r="C218" s="207">
        <v>7.0893750190734863</v>
      </c>
      <c r="D218" s="208">
        <v>116.96306610107422</v>
      </c>
      <c r="E218" s="175">
        <v>1593359</v>
      </c>
      <c r="F218" s="207">
        <v>0</v>
      </c>
      <c r="G218" s="208">
        <v>126.04747772216797</v>
      </c>
      <c r="H218" s="175">
        <v>1577185</v>
      </c>
      <c r="I218" s="207"/>
      <c r="J218" s="208">
        <v>1.5664251521229744E-2</v>
      </c>
      <c r="K218" s="175">
        <v>109145</v>
      </c>
      <c r="L218" s="207"/>
      <c r="M218" s="208">
        <v>32.531665802001953</v>
      </c>
      <c r="N218" s="175">
        <v>414158</v>
      </c>
      <c r="O218" s="207"/>
      <c r="P218" s="208">
        <v>13.692068099975586</v>
      </c>
      <c r="Q218" s="175">
        <v>195471</v>
      </c>
      <c r="R218" s="207"/>
      <c r="S218" s="208"/>
      <c r="T218" s="176"/>
    </row>
    <row r="219" spans="2:20" ht="36" customHeight="1" x14ac:dyDescent="0.3">
      <c r="B219" s="173" t="s">
        <v>463</v>
      </c>
      <c r="C219" s="207">
        <v>7.1099996566772461</v>
      </c>
      <c r="D219" s="208">
        <v>117.08656311035156</v>
      </c>
      <c r="E219" s="175">
        <v>1593476</v>
      </c>
      <c r="F219" s="207">
        <v>0</v>
      </c>
      <c r="G219" s="208">
        <v>117.37346649169922</v>
      </c>
      <c r="H219" s="175">
        <v>1577307</v>
      </c>
      <c r="I219" s="207"/>
      <c r="J219" s="208">
        <v>19.938966751098633</v>
      </c>
      <c r="K219" s="175">
        <v>109150</v>
      </c>
      <c r="L219" s="207"/>
      <c r="M219" s="208">
        <v>32.960311889648438</v>
      </c>
      <c r="N219" s="175">
        <v>414191</v>
      </c>
      <c r="O219" s="207"/>
      <c r="P219" s="208">
        <v>14.364805221557617</v>
      </c>
      <c r="Q219" s="175">
        <v>195485</v>
      </c>
      <c r="R219" s="207"/>
      <c r="S219" s="208"/>
      <c r="T219" s="176"/>
    </row>
    <row r="220" spans="2:20" ht="36" customHeight="1" x14ac:dyDescent="0.3">
      <c r="B220" s="173" t="s">
        <v>464</v>
      </c>
      <c r="C220" s="207">
        <v>7.6162500381469727</v>
      </c>
      <c r="D220" s="208">
        <v>108.86549377441406</v>
      </c>
      <c r="E220" s="175">
        <v>1593589</v>
      </c>
      <c r="F220" s="207">
        <v>0</v>
      </c>
      <c r="G220" s="208">
        <v>91.271713256835938</v>
      </c>
      <c r="H220" s="175">
        <v>1577409</v>
      </c>
      <c r="I220" s="207"/>
      <c r="J220" s="208">
        <v>1.6230864450335503E-2</v>
      </c>
      <c r="K220" s="175">
        <v>109159</v>
      </c>
      <c r="L220" s="207"/>
      <c r="M220" s="208">
        <v>32.809207916259766</v>
      </c>
      <c r="N220" s="175">
        <v>414223</v>
      </c>
      <c r="O220" s="207"/>
      <c r="P220" s="208">
        <v>12.920679092407227</v>
      </c>
      <c r="Q220" s="175">
        <v>195498</v>
      </c>
      <c r="R220" s="207"/>
      <c r="S220" s="208"/>
      <c r="T220" s="176"/>
    </row>
    <row r="221" spans="2:20" ht="36" customHeight="1" x14ac:dyDescent="0.3">
      <c r="B221" s="173" t="s">
        <v>465</v>
      </c>
      <c r="C221" s="207">
        <v>7.6387495994567871</v>
      </c>
      <c r="D221" s="208">
        <v>112.76030731201172</v>
      </c>
      <c r="E221" s="175">
        <v>1593699</v>
      </c>
      <c r="F221" s="207">
        <v>0</v>
      </c>
      <c r="G221" s="208">
        <v>87.965667724609375</v>
      </c>
      <c r="H221" s="175">
        <v>1577501</v>
      </c>
      <c r="I221" s="207"/>
      <c r="J221" s="208">
        <v>1.7651399597525597E-2</v>
      </c>
      <c r="K221" s="175">
        <v>109159</v>
      </c>
      <c r="L221" s="207"/>
      <c r="M221" s="208">
        <v>31.326530456542969</v>
      </c>
      <c r="N221" s="175">
        <v>414255</v>
      </c>
      <c r="O221" s="207"/>
      <c r="P221" s="208">
        <v>13.764493942260742</v>
      </c>
      <c r="Q221" s="175">
        <v>195510</v>
      </c>
      <c r="R221" s="207"/>
      <c r="S221" s="208"/>
      <c r="T221" s="176"/>
    </row>
    <row r="222" spans="2:20" ht="36" customHeight="1" x14ac:dyDescent="0.3">
      <c r="B222" s="173" t="s">
        <v>466</v>
      </c>
      <c r="C222" s="207">
        <v>7.4849996566772461</v>
      </c>
      <c r="D222" s="208">
        <v>119.51607513427734</v>
      </c>
      <c r="E222" s="175">
        <v>1593811</v>
      </c>
      <c r="F222" s="207">
        <v>0</v>
      </c>
      <c r="G222" s="208">
        <v>97.252883911132813</v>
      </c>
      <c r="H222" s="175">
        <v>1577597</v>
      </c>
      <c r="I222" s="207"/>
      <c r="J222" s="208">
        <v>1.6854006797075272E-2</v>
      </c>
      <c r="K222" s="175">
        <v>109173</v>
      </c>
      <c r="L222" s="207"/>
      <c r="M222" s="208">
        <v>31.718265533447266</v>
      </c>
      <c r="N222" s="175">
        <v>414287</v>
      </c>
      <c r="O222" s="207"/>
      <c r="P222" s="208">
        <v>13.687715530395508</v>
      </c>
      <c r="Q222" s="175">
        <v>195524</v>
      </c>
      <c r="R222" s="207"/>
      <c r="S222" s="208"/>
      <c r="T222" s="176"/>
    </row>
    <row r="223" spans="2:20" ht="36" customHeight="1" x14ac:dyDescent="0.3">
      <c r="B223" s="173" t="s">
        <v>467</v>
      </c>
      <c r="C223" s="207">
        <v>7.4962496757507324</v>
      </c>
      <c r="D223" s="208">
        <v>118.42902374267578</v>
      </c>
      <c r="E223" s="175">
        <v>1593927</v>
      </c>
      <c r="F223" s="207">
        <v>0</v>
      </c>
      <c r="G223" s="208">
        <v>99.359756469726563</v>
      </c>
      <c r="H223" s="175">
        <v>1577701</v>
      </c>
      <c r="I223" s="207"/>
      <c r="J223" s="208">
        <v>1.5926962718367577E-2</v>
      </c>
      <c r="K223" s="175">
        <v>109173</v>
      </c>
      <c r="L223" s="207"/>
      <c r="M223" s="208">
        <v>31.322158813476563</v>
      </c>
      <c r="N223" s="175">
        <v>414319</v>
      </c>
      <c r="O223" s="207"/>
      <c r="P223" s="208">
        <v>12.540276527404785</v>
      </c>
      <c r="Q223" s="175">
        <v>195537</v>
      </c>
      <c r="R223" s="207"/>
      <c r="S223" s="208"/>
      <c r="T223" s="176"/>
    </row>
    <row r="224" spans="2:20" ht="36" customHeight="1" x14ac:dyDescent="0.3">
      <c r="B224" s="173" t="s">
        <v>468</v>
      </c>
      <c r="C224" s="207">
        <v>7.0218749046325684</v>
      </c>
      <c r="D224" s="208">
        <v>119.85745239257813</v>
      </c>
      <c r="E224" s="175">
        <v>1594047</v>
      </c>
      <c r="F224" s="207">
        <v>0</v>
      </c>
      <c r="G224" s="208">
        <v>136.28498840332031</v>
      </c>
      <c r="H224" s="175">
        <v>1577826</v>
      </c>
      <c r="I224" s="207"/>
      <c r="J224" s="208">
        <v>19.932439804077148</v>
      </c>
      <c r="K224" s="175">
        <v>109175</v>
      </c>
      <c r="L224" s="207"/>
      <c r="M224" s="208">
        <v>31.514808654785156</v>
      </c>
      <c r="N224" s="175">
        <v>414351</v>
      </c>
      <c r="O224" s="207"/>
      <c r="P224" s="208">
        <v>13.600866317749023</v>
      </c>
      <c r="Q224" s="175">
        <v>195550</v>
      </c>
      <c r="R224" s="207"/>
      <c r="S224" s="208"/>
      <c r="T224" s="176"/>
    </row>
    <row r="225" spans="2:20" ht="36" customHeight="1" x14ac:dyDescent="0.3">
      <c r="B225" s="173" t="s">
        <v>469</v>
      </c>
      <c r="C225" s="207">
        <v>7.0218749046325684</v>
      </c>
      <c r="D225" s="208">
        <v>121.38777160644531</v>
      </c>
      <c r="E225" s="175">
        <v>1594169</v>
      </c>
      <c r="F225" s="207">
        <v>0</v>
      </c>
      <c r="G225" s="208">
        <v>130.46722412109375</v>
      </c>
      <c r="H225" s="175">
        <v>1577963</v>
      </c>
      <c r="I225" s="207"/>
      <c r="J225" s="208">
        <v>1.7535282298922539E-2</v>
      </c>
      <c r="K225" s="175">
        <v>109186</v>
      </c>
      <c r="L225" s="207"/>
      <c r="M225" s="208">
        <v>30.689115524291992</v>
      </c>
      <c r="N225" s="175">
        <v>414382</v>
      </c>
      <c r="O225" s="207"/>
      <c r="P225" s="208">
        <v>12.736074447631836</v>
      </c>
      <c r="Q225" s="175">
        <v>195563</v>
      </c>
      <c r="R225" s="207"/>
      <c r="S225" s="208"/>
      <c r="T225" s="176"/>
    </row>
    <row r="226" spans="2:20" ht="36" customHeight="1" x14ac:dyDescent="0.3">
      <c r="B226" s="173" t="s">
        <v>470</v>
      </c>
      <c r="C226" s="207">
        <v>7.5618748664855957</v>
      </c>
      <c r="D226" s="208">
        <v>118.41539001464844</v>
      </c>
      <c r="E226" s="175">
        <v>1594292</v>
      </c>
      <c r="F226" s="207">
        <v>0</v>
      </c>
      <c r="G226" s="208">
        <v>89.42376708984375</v>
      </c>
      <c r="H226" s="175">
        <v>1578068</v>
      </c>
      <c r="I226" s="207"/>
      <c r="J226" s="208">
        <v>1.8021920695900917E-2</v>
      </c>
      <c r="K226" s="175">
        <v>109186</v>
      </c>
      <c r="L226" s="207"/>
      <c r="M226" s="208">
        <v>31.315944671630859</v>
      </c>
      <c r="N226" s="175">
        <v>414413</v>
      </c>
      <c r="O226" s="207"/>
      <c r="P226" s="208">
        <v>15.089946746826172</v>
      </c>
      <c r="Q226" s="175">
        <v>195576</v>
      </c>
      <c r="R226" s="207"/>
      <c r="S226" s="208"/>
      <c r="T226" s="176"/>
    </row>
    <row r="227" spans="2:20" ht="36" customHeight="1" thickBot="1" x14ac:dyDescent="0.35">
      <c r="B227" s="177" t="s">
        <v>471</v>
      </c>
      <c r="C227" s="209">
        <v>7.6949996948242188</v>
      </c>
      <c r="D227" s="210">
        <v>106.37509155273438</v>
      </c>
      <c r="E227" s="179">
        <v>1594409</v>
      </c>
      <c r="F227" s="209">
        <v>0</v>
      </c>
      <c r="G227" s="210">
        <v>74.973747253417969</v>
      </c>
      <c r="H227" s="179">
        <v>1578152</v>
      </c>
      <c r="I227" s="209"/>
      <c r="J227" s="210">
        <v>19.882392883300781</v>
      </c>
      <c r="K227" s="179">
        <v>109194</v>
      </c>
      <c r="L227" s="209"/>
      <c r="M227" s="210">
        <v>30.335678100585938</v>
      </c>
      <c r="N227" s="179">
        <v>414444</v>
      </c>
      <c r="O227" s="209"/>
      <c r="P227" s="210">
        <v>12.922433853149414</v>
      </c>
      <c r="Q227" s="179">
        <v>195590</v>
      </c>
      <c r="R227" s="209"/>
      <c r="S227" s="210"/>
      <c r="T227" s="180"/>
    </row>
    <row r="228" spans="2:20" ht="36" customHeight="1" thickTop="1" x14ac:dyDescent="0.3">
      <c r="B228" s="181" t="s">
        <v>472</v>
      </c>
      <c r="C228" s="211">
        <f t="shared" ref="C228" si="48">MIN(C204:C227)</f>
        <v>7.0218749046325684</v>
      </c>
      <c r="D228" s="212">
        <f>MIN(D204:D227)</f>
        <v>60.603672027587891</v>
      </c>
      <c r="E228" s="213">
        <f t="shared" ref="E228:F228" si="49">MIN(E204:E227)</f>
        <v>1592119</v>
      </c>
      <c r="F228" s="211">
        <f t="shared" si="49"/>
        <v>0</v>
      </c>
      <c r="G228" s="212">
        <f>MIN(G204:G227)</f>
        <v>37.321796417236328</v>
      </c>
      <c r="H228" s="213">
        <f t="shared" ref="H228:I228" si="50">MIN(H204:H227)</f>
        <v>1576196</v>
      </c>
      <c r="I228" s="211">
        <f t="shared" si="50"/>
        <v>0</v>
      </c>
      <c r="J228" s="212">
        <f>MIN(J204:J227)</f>
        <v>1.3013132847845554E-2</v>
      </c>
      <c r="K228" s="213">
        <f t="shared" ref="K228:L228" si="51">MIN(K204:K227)</f>
        <v>109077</v>
      </c>
      <c r="L228" s="211">
        <f t="shared" si="51"/>
        <v>0</v>
      </c>
      <c r="M228" s="212">
        <f>MIN(M204:M227)</f>
        <v>29.045890808105469</v>
      </c>
      <c r="N228" s="213">
        <f t="shared" ref="N228:O228" si="52">MIN(N204:N227)</f>
        <v>413718</v>
      </c>
      <c r="O228" s="211">
        <f t="shared" si="52"/>
        <v>0</v>
      </c>
      <c r="P228" s="212">
        <f>MIN(P204:P227)</f>
        <v>11.502334594726563</v>
      </c>
      <c r="Q228" s="213">
        <f t="shared" ref="Q228:R228" si="53">MIN(Q204:Q227)</f>
        <v>195289</v>
      </c>
      <c r="R228" s="211">
        <f t="shared" si="53"/>
        <v>0</v>
      </c>
      <c r="S228" s="212">
        <f>MIN(S204:S227)</f>
        <v>0</v>
      </c>
      <c r="T228" s="214">
        <f t="shared" ref="T228" si="54">MIN(T204:T227)</f>
        <v>0</v>
      </c>
    </row>
    <row r="229" spans="2:20" ht="36" customHeight="1" x14ac:dyDescent="0.3">
      <c r="B229" s="173" t="s">
        <v>473</v>
      </c>
      <c r="C229" s="211">
        <f t="shared" ref="C229:T229" si="55">MAX(C204:C227)</f>
        <v>8.0456247329711914</v>
      </c>
      <c r="D229" s="215">
        <f t="shared" si="55"/>
        <v>124.01926422119141</v>
      </c>
      <c r="E229" s="216">
        <f t="shared" si="55"/>
        <v>1594409</v>
      </c>
      <c r="F229" s="211">
        <f t="shared" si="55"/>
        <v>0</v>
      </c>
      <c r="G229" s="215">
        <f t="shared" si="55"/>
        <v>136.28498840332031</v>
      </c>
      <c r="H229" s="216">
        <f t="shared" si="55"/>
        <v>1578152</v>
      </c>
      <c r="I229" s="211">
        <f t="shared" si="55"/>
        <v>0</v>
      </c>
      <c r="J229" s="215">
        <f t="shared" si="55"/>
        <v>20.005044937133789</v>
      </c>
      <c r="K229" s="216">
        <f t="shared" si="55"/>
        <v>109194</v>
      </c>
      <c r="L229" s="211">
        <f t="shared" si="55"/>
        <v>0</v>
      </c>
      <c r="M229" s="215">
        <f t="shared" si="55"/>
        <v>34.702724456787109</v>
      </c>
      <c r="N229" s="216">
        <f t="shared" si="55"/>
        <v>414444</v>
      </c>
      <c r="O229" s="211">
        <f t="shared" si="55"/>
        <v>0</v>
      </c>
      <c r="P229" s="215">
        <f t="shared" si="55"/>
        <v>16.677221298217773</v>
      </c>
      <c r="Q229" s="216">
        <f t="shared" si="55"/>
        <v>195590</v>
      </c>
      <c r="R229" s="211">
        <f t="shared" si="55"/>
        <v>0</v>
      </c>
      <c r="S229" s="215">
        <f t="shared" si="55"/>
        <v>0</v>
      </c>
      <c r="T229" s="217">
        <f t="shared" si="55"/>
        <v>0</v>
      </c>
    </row>
    <row r="230" spans="2:20" ht="36" customHeight="1" x14ac:dyDescent="0.3">
      <c r="B230" s="173" t="s">
        <v>474</v>
      </c>
      <c r="C230" s="211">
        <f>AVERAGE(C204:C227)</f>
        <v>7.6083591381708784</v>
      </c>
      <c r="D230" s="215">
        <f>AVERAGE(D204:D227)</f>
        <v>99.400189240773514</v>
      </c>
      <c r="E230" s="218"/>
      <c r="F230" s="211">
        <f>AVERAGE(F204:F227)</f>
        <v>0</v>
      </c>
      <c r="G230" s="215">
        <f>AVERAGE(G204:G227)</f>
        <v>84.295204798380539</v>
      </c>
      <c r="H230" s="218"/>
      <c r="I230" s="211" t="e">
        <f>AVERAGE(I204:I227)</f>
        <v>#DIV/0!</v>
      </c>
      <c r="J230" s="215">
        <f>AVERAGE(J204:J227)</f>
        <v>4.9996320031738533</v>
      </c>
      <c r="K230" s="218"/>
      <c r="L230" s="211" t="e">
        <f>AVERAGE(L204:L227)</f>
        <v>#DIV/0!</v>
      </c>
      <c r="M230" s="215">
        <f>AVERAGE(M204:M227)</f>
        <v>31.54972505569458</v>
      </c>
      <c r="N230" s="218"/>
      <c r="O230" s="211" t="e">
        <f>AVERAGE(O204:O227)</f>
        <v>#DIV/0!</v>
      </c>
      <c r="P230" s="215">
        <f>AVERAGE(P204:P227)</f>
        <v>13.36995510260264</v>
      </c>
      <c r="Q230" s="218"/>
      <c r="R230" s="211" t="e">
        <f>AVERAGE(R204:R227)</f>
        <v>#DIV/0!</v>
      </c>
      <c r="S230" s="215" t="e">
        <f>AVERAGE(S204:S227)</f>
        <v>#DIV/0!</v>
      </c>
      <c r="T230" s="219"/>
    </row>
    <row r="231" spans="2:20" ht="36" customHeight="1" thickBot="1" x14ac:dyDescent="0.35">
      <c r="B231" s="186" t="s">
        <v>475</v>
      </c>
      <c r="C231" s="220"/>
      <c r="D231" s="221"/>
      <c r="E231" s="222"/>
      <c r="F231" s="220"/>
      <c r="G231" s="221"/>
      <c r="H231" s="222"/>
      <c r="I231" s="220"/>
      <c r="J231" s="221"/>
      <c r="K231" s="222"/>
      <c r="L231" s="220"/>
      <c r="M231" s="221"/>
      <c r="N231" s="222"/>
      <c r="O231" s="220"/>
      <c r="P231" s="221"/>
      <c r="Q231" s="222"/>
      <c r="R231" s="220"/>
      <c r="S231" s="221"/>
      <c r="T231" s="223"/>
    </row>
    <row r="232" spans="2:20" ht="9.9499999999999993" customHeight="1" thickBot="1" x14ac:dyDescent="0.35">
      <c r="B232" s="190"/>
      <c r="E232" s="190"/>
      <c r="H232" s="190"/>
      <c r="K232" s="190"/>
      <c r="N232" s="190"/>
      <c r="Q232" s="190"/>
      <c r="T232" s="190"/>
    </row>
    <row r="233" spans="2:20" s="162" customFormat="1" ht="51.95" customHeight="1" thickBot="1" x14ac:dyDescent="0.35">
      <c r="B233" s="460" t="s">
        <v>573</v>
      </c>
      <c r="C233" s="461"/>
      <c r="D233" s="461"/>
      <c r="E233" s="461"/>
      <c r="F233" s="461"/>
      <c r="G233" s="461"/>
      <c r="H233" s="461"/>
      <c r="I233" s="461"/>
      <c r="J233" s="461"/>
      <c r="K233" s="461"/>
      <c r="L233" s="461"/>
      <c r="M233" s="461"/>
      <c r="N233" s="461"/>
      <c r="O233" s="461"/>
      <c r="P233" s="461"/>
      <c r="Q233" s="461"/>
      <c r="R233" s="461"/>
      <c r="S233" s="461"/>
      <c r="T233" s="462"/>
    </row>
    <row r="234" spans="2:20" s="164" customFormat="1" ht="36" customHeight="1" thickTop="1" x14ac:dyDescent="0.3">
      <c r="B234" s="163" t="s">
        <v>433</v>
      </c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3"/>
      <c r="N234" s="463"/>
      <c r="O234" s="463"/>
      <c r="P234" s="463"/>
      <c r="Q234" s="463"/>
      <c r="R234" s="463"/>
      <c r="S234" s="463"/>
      <c r="T234" s="464"/>
    </row>
    <row r="235" spans="2:20" s="165" customFormat="1" ht="27.95" customHeight="1" x14ac:dyDescent="0.3">
      <c r="B235" s="455" t="s">
        <v>434</v>
      </c>
      <c r="C235" s="467" t="s">
        <v>619</v>
      </c>
      <c r="D235" s="467"/>
      <c r="E235" s="467"/>
      <c r="F235" s="467" t="s">
        <v>620</v>
      </c>
      <c r="G235" s="467"/>
      <c r="H235" s="467"/>
      <c r="I235" s="467" t="s">
        <v>621</v>
      </c>
      <c r="J235" s="467"/>
      <c r="K235" s="467"/>
      <c r="L235" s="467" t="s">
        <v>622</v>
      </c>
      <c r="M235" s="467"/>
      <c r="N235" s="467"/>
      <c r="O235" s="467" t="s">
        <v>623</v>
      </c>
      <c r="P235" s="467"/>
      <c r="Q235" s="467"/>
      <c r="R235" s="468"/>
      <c r="S235" s="468"/>
      <c r="T235" s="469"/>
    </row>
    <row r="236" spans="2:20" ht="27.95" customHeight="1" x14ac:dyDescent="0.3">
      <c r="B236" s="456"/>
      <c r="C236" s="200" t="s">
        <v>624</v>
      </c>
      <c r="D236" s="201" t="s">
        <v>625</v>
      </c>
      <c r="E236" s="202" t="s">
        <v>445</v>
      </c>
      <c r="F236" s="203" t="s">
        <v>624</v>
      </c>
      <c r="G236" s="201" t="s">
        <v>625</v>
      </c>
      <c r="H236" s="202" t="s">
        <v>445</v>
      </c>
      <c r="I236" s="203" t="s">
        <v>624</v>
      </c>
      <c r="J236" s="201" t="s">
        <v>625</v>
      </c>
      <c r="K236" s="202" t="s">
        <v>445</v>
      </c>
      <c r="L236" s="203" t="s">
        <v>624</v>
      </c>
      <c r="M236" s="201" t="s">
        <v>625</v>
      </c>
      <c r="N236" s="202" t="s">
        <v>445</v>
      </c>
      <c r="O236" s="203" t="s">
        <v>624</v>
      </c>
      <c r="P236" s="201" t="s">
        <v>625</v>
      </c>
      <c r="Q236" s="202" t="s">
        <v>445</v>
      </c>
      <c r="R236" s="203" t="s">
        <v>624</v>
      </c>
      <c r="S236" s="201" t="s">
        <v>625</v>
      </c>
      <c r="T236" s="204" t="s">
        <v>445</v>
      </c>
    </row>
    <row r="237" spans="2:20" ht="36" customHeight="1" x14ac:dyDescent="0.3">
      <c r="B237" s="169" t="s">
        <v>448</v>
      </c>
      <c r="C237" s="205"/>
      <c r="D237" s="206">
        <v>214.10322570800781</v>
      </c>
      <c r="E237" s="171">
        <v>3022348</v>
      </c>
      <c r="F237" s="205"/>
      <c r="G237" s="206">
        <v>8.8691186904907227</v>
      </c>
      <c r="H237" s="171">
        <v>126344</v>
      </c>
      <c r="I237" s="205">
        <v>0.42562499642372131</v>
      </c>
      <c r="J237" s="206">
        <v>13.899999618530273</v>
      </c>
      <c r="K237" s="171">
        <v>158424</v>
      </c>
      <c r="L237" s="205">
        <v>0.26249998807907104</v>
      </c>
      <c r="M237" s="206">
        <v>14.300000190734863</v>
      </c>
      <c r="N237" s="171">
        <v>303350</v>
      </c>
      <c r="O237" s="205">
        <v>0.14999999105930328</v>
      </c>
      <c r="P237" s="206">
        <v>70.400001525878906</v>
      </c>
      <c r="Q237" s="171">
        <v>2230547</v>
      </c>
      <c r="R237" s="205"/>
      <c r="S237" s="206"/>
      <c r="T237" s="172"/>
    </row>
    <row r="238" spans="2:20" ht="36" customHeight="1" x14ac:dyDescent="0.3">
      <c r="B238" s="173" t="s">
        <v>449</v>
      </c>
      <c r="C238" s="207" t="s">
        <v>583</v>
      </c>
      <c r="D238" s="208">
        <v>201.59060668945313</v>
      </c>
      <c r="E238" s="175">
        <v>3022556</v>
      </c>
      <c r="F238" s="207" t="s">
        <v>583</v>
      </c>
      <c r="G238" s="208">
        <v>8.4659814834594727</v>
      </c>
      <c r="H238" s="175">
        <v>126352</v>
      </c>
      <c r="I238" s="207">
        <v>0.43500000238418579</v>
      </c>
      <c r="J238" s="208">
        <v>13.600000381469727</v>
      </c>
      <c r="K238" s="175">
        <v>158438</v>
      </c>
      <c r="L238" s="207">
        <v>0.24937500059604645</v>
      </c>
      <c r="M238" s="208">
        <v>13.100000381469727</v>
      </c>
      <c r="N238" s="175">
        <v>303364</v>
      </c>
      <c r="O238" s="207">
        <v>0.16124999523162842</v>
      </c>
      <c r="P238" s="208">
        <v>70</v>
      </c>
      <c r="Q238" s="175">
        <v>2230618</v>
      </c>
      <c r="R238" s="207" t="s">
        <v>583</v>
      </c>
      <c r="S238" s="208"/>
      <c r="T238" s="176"/>
    </row>
    <row r="239" spans="2:20" ht="36" customHeight="1" x14ac:dyDescent="0.3">
      <c r="B239" s="173" t="s">
        <v>450</v>
      </c>
      <c r="C239" s="207"/>
      <c r="D239" s="208">
        <v>309.53982543945313</v>
      </c>
      <c r="E239" s="175">
        <v>3022861</v>
      </c>
      <c r="F239" s="207"/>
      <c r="G239" s="208">
        <v>8.5369052886962891</v>
      </c>
      <c r="H239" s="175">
        <v>126360</v>
      </c>
      <c r="I239" s="207">
        <v>0.43687498569488525</v>
      </c>
      <c r="J239" s="208">
        <v>13.699999809265137</v>
      </c>
      <c r="K239" s="175">
        <v>158452</v>
      </c>
      <c r="L239" s="207">
        <v>0.28687497973442078</v>
      </c>
      <c r="M239" s="208">
        <v>6.4000000953674316</v>
      </c>
      <c r="N239" s="175">
        <v>303374</v>
      </c>
      <c r="O239" s="207">
        <v>0.16499999165534973</v>
      </c>
      <c r="P239" s="208">
        <v>70.800003051757813</v>
      </c>
      <c r="Q239" s="175">
        <v>2230689</v>
      </c>
      <c r="R239" s="207"/>
      <c r="S239" s="208"/>
      <c r="T239" s="176"/>
    </row>
    <row r="240" spans="2:20" ht="36" customHeight="1" x14ac:dyDescent="0.3">
      <c r="B240" s="173" t="s">
        <v>451</v>
      </c>
      <c r="C240" s="207"/>
      <c r="D240" s="208">
        <v>304.68423461914063</v>
      </c>
      <c r="E240" s="175">
        <v>3023168</v>
      </c>
      <c r="F240" s="207"/>
      <c r="G240" s="208">
        <v>8.2990875244140625</v>
      </c>
      <c r="H240" s="175">
        <v>126369</v>
      </c>
      <c r="I240" s="207">
        <v>0.44249999523162842</v>
      </c>
      <c r="J240" s="208">
        <v>13.699999809265137</v>
      </c>
      <c r="K240" s="175">
        <v>158466</v>
      </c>
      <c r="L240" s="207">
        <v>0.30750000476837158</v>
      </c>
      <c r="M240" s="208">
        <v>5.9000000953674316</v>
      </c>
      <c r="N240" s="175">
        <v>303381</v>
      </c>
      <c r="O240" s="207">
        <v>0.16124999523162842</v>
      </c>
      <c r="P240" s="208">
        <v>70.599998474121094</v>
      </c>
      <c r="Q240" s="175">
        <v>2230759</v>
      </c>
      <c r="R240" s="207"/>
      <c r="S240" s="208"/>
      <c r="T240" s="176"/>
    </row>
    <row r="241" spans="2:20" ht="36" customHeight="1" x14ac:dyDescent="0.3">
      <c r="B241" s="173" t="s">
        <v>452</v>
      </c>
      <c r="C241" s="207"/>
      <c r="D241" s="208">
        <v>179.10906982421875</v>
      </c>
      <c r="E241" s="175">
        <v>3023375</v>
      </c>
      <c r="F241" s="207"/>
      <c r="G241" s="208">
        <v>7.6347208023071289</v>
      </c>
      <c r="H241" s="175">
        <v>126376</v>
      </c>
      <c r="I241" s="207">
        <v>0.44437497854232788</v>
      </c>
      <c r="J241" s="208">
        <v>13.5</v>
      </c>
      <c r="K241" s="175">
        <v>158479</v>
      </c>
      <c r="L241" s="207">
        <v>0.29999998211860657</v>
      </c>
      <c r="M241" s="208">
        <v>5.9000000953674316</v>
      </c>
      <c r="N241" s="175">
        <v>303387</v>
      </c>
      <c r="O241" s="207">
        <v>0.15562500059604645</v>
      </c>
      <c r="P241" s="208">
        <v>69.699996948242188</v>
      </c>
      <c r="Q241" s="175">
        <v>2230829</v>
      </c>
      <c r="R241" s="207"/>
      <c r="S241" s="208"/>
      <c r="T241" s="176"/>
    </row>
    <row r="242" spans="2:20" ht="36" customHeight="1" x14ac:dyDescent="0.3">
      <c r="B242" s="173" t="s">
        <v>453</v>
      </c>
      <c r="C242" s="207"/>
      <c r="D242" s="208">
        <v>188.4501953125</v>
      </c>
      <c r="E242" s="175">
        <v>3023558</v>
      </c>
      <c r="F242" s="207"/>
      <c r="G242" s="208">
        <v>8.0876617431640625</v>
      </c>
      <c r="H242" s="175">
        <v>126384</v>
      </c>
      <c r="I242" s="207">
        <v>0.43312498927116394</v>
      </c>
      <c r="J242" s="208">
        <v>13.600000381469727</v>
      </c>
      <c r="K242" s="175">
        <v>158493</v>
      </c>
      <c r="L242" s="207">
        <v>0.30937498807907104</v>
      </c>
      <c r="M242" s="208">
        <v>6.0999999046325684</v>
      </c>
      <c r="N242" s="175">
        <v>303393</v>
      </c>
      <c r="O242" s="207">
        <v>0.14437499642372131</v>
      </c>
      <c r="P242" s="208">
        <v>70.400001525878906</v>
      </c>
      <c r="Q242" s="175">
        <v>2230899</v>
      </c>
      <c r="R242" s="207"/>
      <c r="S242" s="208"/>
      <c r="T242" s="176"/>
    </row>
    <row r="243" spans="2:20" ht="36" customHeight="1" x14ac:dyDescent="0.3">
      <c r="B243" s="173" t="s">
        <v>454</v>
      </c>
      <c r="C243" s="207"/>
      <c r="D243" s="208">
        <v>185.38421630859375</v>
      </c>
      <c r="E243" s="175">
        <v>3023742</v>
      </c>
      <c r="F243" s="207"/>
      <c r="G243" s="208">
        <v>8.4077663421630859</v>
      </c>
      <c r="H243" s="175">
        <v>126393</v>
      </c>
      <c r="I243" s="207">
        <v>0.42937499284744263</v>
      </c>
      <c r="J243" s="208">
        <v>13.600000381469727</v>
      </c>
      <c r="K243" s="175">
        <v>158507</v>
      </c>
      <c r="L243" s="207">
        <v>0.30750000476837158</v>
      </c>
      <c r="M243" s="208">
        <v>6.1999998092651367</v>
      </c>
      <c r="N243" s="175">
        <v>303399</v>
      </c>
      <c r="O243" s="207">
        <v>0.14249999821186066</v>
      </c>
      <c r="P243" s="208">
        <v>69.300003051757813</v>
      </c>
      <c r="Q243" s="175">
        <v>2230969</v>
      </c>
      <c r="R243" s="207"/>
      <c r="S243" s="208"/>
      <c r="T243" s="176"/>
    </row>
    <row r="244" spans="2:20" ht="36" customHeight="1" x14ac:dyDescent="0.3">
      <c r="B244" s="173" t="s">
        <v>455</v>
      </c>
      <c r="C244" s="207"/>
      <c r="D244" s="208">
        <v>188.57171630859375</v>
      </c>
      <c r="E244" s="175">
        <v>3023929</v>
      </c>
      <c r="F244" s="207"/>
      <c r="G244" s="208">
        <v>9.7344207763671875</v>
      </c>
      <c r="H244" s="175">
        <v>126402</v>
      </c>
      <c r="I244" s="207">
        <v>0.42937499284744263</v>
      </c>
      <c r="J244" s="208">
        <v>14.600000381469727</v>
      </c>
      <c r="K244" s="175">
        <v>158521</v>
      </c>
      <c r="L244" s="207">
        <v>0.30937498807907104</v>
      </c>
      <c r="M244" s="208">
        <v>6.1999998092651367</v>
      </c>
      <c r="N244" s="175">
        <v>303405</v>
      </c>
      <c r="O244" s="207">
        <v>0.15187498927116394</v>
      </c>
      <c r="P244" s="208">
        <v>69.800003051757813</v>
      </c>
      <c r="Q244" s="175">
        <v>2231039</v>
      </c>
      <c r="R244" s="207"/>
      <c r="S244" s="208"/>
      <c r="T244" s="176"/>
    </row>
    <row r="245" spans="2:20" ht="36" customHeight="1" x14ac:dyDescent="0.3">
      <c r="B245" s="173" t="s">
        <v>456</v>
      </c>
      <c r="C245" s="207"/>
      <c r="D245" s="208">
        <v>200.53424072265625</v>
      </c>
      <c r="E245" s="175">
        <v>3024124</v>
      </c>
      <c r="F245" s="207"/>
      <c r="G245" s="208">
        <v>12.321002960205078</v>
      </c>
      <c r="H245" s="175">
        <v>126413</v>
      </c>
      <c r="I245" s="207">
        <v>0.43312498927116394</v>
      </c>
      <c r="J245" s="208">
        <v>14.699999809265137</v>
      </c>
      <c r="K245" s="175">
        <v>158536</v>
      </c>
      <c r="L245" s="207">
        <v>0.29999998211860657</v>
      </c>
      <c r="M245" s="208">
        <v>7.6999998092651367</v>
      </c>
      <c r="N245" s="175">
        <v>303412</v>
      </c>
      <c r="O245" s="207">
        <v>0.140625</v>
      </c>
      <c r="P245" s="208">
        <v>70.800003051757813</v>
      </c>
      <c r="Q245" s="175">
        <v>2231110</v>
      </c>
      <c r="R245" s="207"/>
      <c r="S245" s="208"/>
      <c r="T245" s="176"/>
    </row>
    <row r="246" spans="2:20" ht="36" customHeight="1" x14ac:dyDescent="0.3">
      <c r="B246" s="173" t="s">
        <v>457</v>
      </c>
      <c r="C246" s="207"/>
      <c r="D246" s="208">
        <v>222.71099853515625</v>
      </c>
      <c r="E246" s="175">
        <v>3024336</v>
      </c>
      <c r="F246" s="207"/>
      <c r="G246" s="208">
        <v>10.339174270629883</v>
      </c>
      <c r="H246" s="175">
        <v>126423</v>
      </c>
      <c r="I246" s="207">
        <v>0.42937499284744263</v>
      </c>
      <c r="J246" s="208">
        <v>15.199999809265137</v>
      </c>
      <c r="K246" s="175">
        <v>158551</v>
      </c>
      <c r="L246" s="207">
        <v>0.29062500596046448</v>
      </c>
      <c r="M246" s="208">
        <v>9.5</v>
      </c>
      <c r="N246" s="175">
        <v>303421</v>
      </c>
      <c r="O246" s="207">
        <v>0.140625</v>
      </c>
      <c r="P246" s="208">
        <v>73.099998474121094</v>
      </c>
      <c r="Q246" s="175">
        <v>2231182</v>
      </c>
      <c r="R246" s="207"/>
      <c r="S246" s="208"/>
      <c r="T246" s="176"/>
    </row>
    <row r="247" spans="2:20" ht="36" customHeight="1" x14ac:dyDescent="0.3">
      <c r="B247" s="173" t="s">
        <v>458</v>
      </c>
      <c r="C247" s="207"/>
      <c r="D247" s="208">
        <v>243.1678466796875</v>
      </c>
      <c r="E247" s="175">
        <v>3024567</v>
      </c>
      <c r="F247" s="207"/>
      <c r="G247" s="208">
        <v>10.585774421691895</v>
      </c>
      <c r="H247" s="175">
        <v>126433</v>
      </c>
      <c r="I247" s="207">
        <v>0.41999998688697815</v>
      </c>
      <c r="J247" s="208">
        <v>15.600000381469727</v>
      </c>
      <c r="K247" s="175">
        <v>158567</v>
      </c>
      <c r="L247" s="207">
        <v>0.28874999284744263</v>
      </c>
      <c r="M247" s="208">
        <v>11.899999618530273</v>
      </c>
      <c r="N247" s="175">
        <v>303432</v>
      </c>
      <c r="O247" s="207">
        <v>0.13687500357627869</v>
      </c>
      <c r="P247" s="208">
        <v>70.300003051757813</v>
      </c>
      <c r="Q247" s="175">
        <v>2231254</v>
      </c>
      <c r="R247" s="207"/>
      <c r="S247" s="208"/>
      <c r="T247" s="176"/>
    </row>
    <row r="248" spans="2:20" ht="36" customHeight="1" x14ac:dyDescent="0.3">
      <c r="B248" s="173" t="s">
        <v>459</v>
      </c>
      <c r="C248" s="207"/>
      <c r="D248" s="208">
        <v>247.24984741210938</v>
      </c>
      <c r="E248" s="175">
        <v>3024809</v>
      </c>
      <c r="F248" s="207"/>
      <c r="G248" s="208">
        <v>12.49952220916748</v>
      </c>
      <c r="H248" s="175">
        <v>126445</v>
      </c>
      <c r="I248" s="207">
        <v>0.42749997973442078</v>
      </c>
      <c r="J248" s="208">
        <v>15.699999809265137</v>
      </c>
      <c r="K248" s="175">
        <v>158582</v>
      </c>
      <c r="L248" s="207">
        <v>0.2512499988079071</v>
      </c>
      <c r="M248" s="208">
        <v>10.600000381469727</v>
      </c>
      <c r="N248" s="175">
        <v>303443</v>
      </c>
      <c r="O248" s="207">
        <v>0.12749999761581421</v>
      </c>
      <c r="P248" s="208">
        <v>73.699996948242188</v>
      </c>
      <c r="Q248" s="175">
        <v>2231327</v>
      </c>
      <c r="R248" s="207"/>
      <c r="S248" s="208"/>
      <c r="T248" s="176"/>
    </row>
    <row r="249" spans="2:20" ht="36" customHeight="1" x14ac:dyDescent="0.3">
      <c r="B249" s="173" t="s">
        <v>460</v>
      </c>
      <c r="C249" s="207"/>
      <c r="D249" s="208">
        <v>251.76667785644531</v>
      </c>
      <c r="E249" s="175">
        <v>3025051</v>
      </c>
      <c r="F249" s="207"/>
      <c r="G249" s="208">
        <v>10.687982559204102</v>
      </c>
      <c r="H249" s="175">
        <v>126456</v>
      </c>
      <c r="I249" s="207">
        <v>0.44249999523162842</v>
      </c>
      <c r="J249" s="208">
        <v>15.899999618530273</v>
      </c>
      <c r="K249" s="175">
        <v>158597</v>
      </c>
      <c r="L249" s="207">
        <v>0.26062500476837158</v>
      </c>
      <c r="M249" s="208">
        <v>11.300000190734863</v>
      </c>
      <c r="N249" s="175">
        <v>303454</v>
      </c>
      <c r="O249" s="207">
        <v>0.11625000089406967</v>
      </c>
      <c r="P249" s="208">
        <v>74.099998474121094</v>
      </c>
      <c r="Q249" s="175">
        <v>2231399</v>
      </c>
      <c r="R249" s="207"/>
      <c r="S249" s="208"/>
      <c r="T249" s="176"/>
    </row>
    <row r="250" spans="2:20" ht="36" customHeight="1" x14ac:dyDescent="0.3">
      <c r="B250" s="173" t="s">
        <v>461</v>
      </c>
      <c r="C250" s="207"/>
      <c r="D250" s="208">
        <v>250.53044128417969</v>
      </c>
      <c r="E250" s="175">
        <v>3025296</v>
      </c>
      <c r="F250" s="207"/>
      <c r="G250" s="208">
        <v>14.80357837677002</v>
      </c>
      <c r="H250" s="175">
        <v>126468</v>
      </c>
      <c r="I250" s="207">
        <v>0.44437497854232788</v>
      </c>
      <c r="J250" s="208">
        <v>15.600000381469727</v>
      </c>
      <c r="K250" s="175">
        <v>158612</v>
      </c>
      <c r="L250" s="207">
        <v>0.2643750011920929</v>
      </c>
      <c r="M250" s="208">
        <v>11.199999809265137</v>
      </c>
      <c r="N250" s="175">
        <v>303466</v>
      </c>
      <c r="O250" s="207">
        <v>0.13124999403953552</v>
      </c>
      <c r="P250" s="208">
        <v>73.099998474121094</v>
      </c>
      <c r="Q250" s="175">
        <v>2231471</v>
      </c>
      <c r="R250" s="207"/>
      <c r="S250" s="208"/>
      <c r="T250" s="176"/>
    </row>
    <row r="251" spans="2:20" ht="36" customHeight="1" x14ac:dyDescent="0.3">
      <c r="B251" s="173" t="s">
        <v>462</v>
      </c>
      <c r="C251" s="207"/>
      <c r="D251" s="208">
        <v>248.90724182128906</v>
      </c>
      <c r="E251" s="175">
        <v>3025539</v>
      </c>
      <c r="F251" s="207"/>
      <c r="G251" s="208">
        <v>19.317153930664063</v>
      </c>
      <c r="H251" s="175">
        <v>126483</v>
      </c>
      <c r="I251" s="207">
        <v>0.43312498927116394</v>
      </c>
      <c r="J251" s="208">
        <v>14.800000190734863</v>
      </c>
      <c r="K251" s="175">
        <v>158627</v>
      </c>
      <c r="L251" s="207">
        <v>0.27937498688697815</v>
      </c>
      <c r="M251" s="208">
        <v>10</v>
      </c>
      <c r="N251" s="175">
        <v>303476</v>
      </c>
      <c r="O251" s="207">
        <v>0.1237499937415123</v>
      </c>
      <c r="P251" s="208">
        <v>73.300003051757813</v>
      </c>
      <c r="Q251" s="175">
        <v>2231544</v>
      </c>
      <c r="R251" s="207"/>
      <c r="S251" s="208"/>
      <c r="T251" s="176"/>
    </row>
    <row r="252" spans="2:20" ht="36" customHeight="1" x14ac:dyDescent="0.3">
      <c r="B252" s="173" t="s">
        <v>463</v>
      </c>
      <c r="C252" s="207"/>
      <c r="D252" s="208">
        <v>234.66815185546875</v>
      </c>
      <c r="E252" s="175">
        <v>3025782</v>
      </c>
      <c r="F252" s="207"/>
      <c r="G252" s="208">
        <v>15.991375923156738</v>
      </c>
      <c r="H252" s="175">
        <v>126501</v>
      </c>
      <c r="I252" s="207">
        <v>0.43312498927116394</v>
      </c>
      <c r="J252" s="208">
        <v>15.199999809265137</v>
      </c>
      <c r="K252" s="175">
        <v>158642</v>
      </c>
      <c r="L252" s="207">
        <v>0.28874999284744263</v>
      </c>
      <c r="M252" s="208">
        <v>12</v>
      </c>
      <c r="N252" s="175">
        <v>303487</v>
      </c>
      <c r="O252" s="207">
        <v>0.14624999463558197</v>
      </c>
      <c r="P252" s="208">
        <v>72.300003051757813</v>
      </c>
      <c r="Q252" s="175">
        <v>2231616</v>
      </c>
      <c r="R252" s="207"/>
      <c r="S252" s="208"/>
      <c r="T252" s="176"/>
    </row>
    <row r="253" spans="2:20" ht="36" customHeight="1" x14ac:dyDescent="0.3">
      <c r="B253" s="173" t="s">
        <v>464</v>
      </c>
      <c r="C253" s="207"/>
      <c r="D253" s="208">
        <v>235.51626586914063</v>
      </c>
      <c r="E253" s="175">
        <v>3026018</v>
      </c>
      <c r="F253" s="207"/>
      <c r="G253" s="208">
        <v>15.213283538818359</v>
      </c>
      <c r="H253" s="175">
        <v>126518</v>
      </c>
      <c r="I253" s="207">
        <v>0.42749997973442078</v>
      </c>
      <c r="J253" s="208">
        <v>14.800000190734863</v>
      </c>
      <c r="K253" s="175">
        <v>158657</v>
      </c>
      <c r="L253" s="207">
        <v>0.26812499761581421</v>
      </c>
      <c r="M253" s="208">
        <v>11.899999618530273</v>
      </c>
      <c r="N253" s="175">
        <v>303499</v>
      </c>
      <c r="O253" s="207">
        <v>0.1237499937415123</v>
      </c>
      <c r="P253" s="208">
        <v>73.400001525878906</v>
      </c>
      <c r="Q253" s="175">
        <v>2231688</v>
      </c>
      <c r="R253" s="207"/>
      <c r="S253" s="208"/>
      <c r="T253" s="176"/>
    </row>
    <row r="254" spans="2:20" ht="36" customHeight="1" x14ac:dyDescent="0.3">
      <c r="B254" s="173" t="s">
        <v>465</v>
      </c>
      <c r="C254" s="207"/>
      <c r="D254" s="208">
        <v>230.36369323730469</v>
      </c>
      <c r="E254" s="175">
        <v>3026253</v>
      </c>
      <c r="F254" s="207"/>
      <c r="G254" s="208">
        <v>12.592809677124023</v>
      </c>
      <c r="H254" s="175">
        <v>126533</v>
      </c>
      <c r="I254" s="207">
        <v>0.42937499284744263</v>
      </c>
      <c r="J254" s="208">
        <v>15.399999618530273</v>
      </c>
      <c r="K254" s="175">
        <v>158672</v>
      </c>
      <c r="L254" s="207">
        <v>0.28687497973442078</v>
      </c>
      <c r="M254" s="208">
        <v>10.300000190734863</v>
      </c>
      <c r="N254" s="175">
        <v>303509</v>
      </c>
      <c r="O254" s="207">
        <v>0.1237499937415123</v>
      </c>
      <c r="P254" s="208">
        <v>72</v>
      </c>
      <c r="Q254" s="175">
        <v>2231760</v>
      </c>
      <c r="R254" s="207"/>
      <c r="S254" s="208"/>
      <c r="T254" s="176"/>
    </row>
    <row r="255" spans="2:20" ht="36" customHeight="1" x14ac:dyDescent="0.3">
      <c r="B255" s="173" t="s">
        <v>466</v>
      </c>
      <c r="C255" s="207"/>
      <c r="D255" s="208">
        <v>228.67390441894531</v>
      </c>
      <c r="E255" s="175">
        <v>3026489</v>
      </c>
      <c r="F255" s="207"/>
      <c r="G255" s="208">
        <v>11.687182426452637</v>
      </c>
      <c r="H255" s="175">
        <v>126546</v>
      </c>
      <c r="I255" s="207">
        <v>0.42562499642372131</v>
      </c>
      <c r="J255" s="208">
        <v>15.5</v>
      </c>
      <c r="K255" s="175">
        <v>158688</v>
      </c>
      <c r="L255" s="207">
        <v>0.25499999523162842</v>
      </c>
      <c r="M255" s="208">
        <v>18.100000381469727</v>
      </c>
      <c r="N255" s="175">
        <v>303522</v>
      </c>
      <c r="O255" s="207">
        <v>0.13499999046325684</v>
      </c>
      <c r="P255" s="208">
        <v>72</v>
      </c>
      <c r="Q255" s="175">
        <v>2231832</v>
      </c>
      <c r="R255" s="207"/>
      <c r="S255" s="208"/>
      <c r="T255" s="176"/>
    </row>
    <row r="256" spans="2:20" ht="36" customHeight="1" x14ac:dyDescent="0.3">
      <c r="B256" s="173" t="s">
        <v>467</v>
      </c>
      <c r="C256" s="207"/>
      <c r="D256" s="208">
        <v>240.76382446289063</v>
      </c>
      <c r="E256" s="175">
        <v>3026733</v>
      </c>
      <c r="F256" s="207"/>
      <c r="G256" s="208">
        <v>11.911788940429688</v>
      </c>
      <c r="H256" s="175">
        <v>126558</v>
      </c>
      <c r="I256" s="207">
        <v>0.42374998331069946</v>
      </c>
      <c r="J256" s="208">
        <v>15.399999618530273</v>
      </c>
      <c r="K256" s="175">
        <v>158704</v>
      </c>
      <c r="L256" s="207">
        <v>0.19874998927116394</v>
      </c>
      <c r="M256" s="208">
        <v>16.899999618530273</v>
      </c>
      <c r="N256" s="175">
        <v>303540</v>
      </c>
      <c r="O256" s="207">
        <v>0.13687500357627869</v>
      </c>
      <c r="P256" s="208">
        <v>72.199996948242188</v>
      </c>
      <c r="Q256" s="175">
        <v>2231904</v>
      </c>
      <c r="R256" s="207"/>
      <c r="S256" s="208"/>
      <c r="T256" s="176"/>
    </row>
    <row r="257" spans="2:20" ht="36" customHeight="1" x14ac:dyDescent="0.3">
      <c r="B257" s="173" t="s">
        <v>468</v>
      </c>
      <c r="C257" s="207"/>
      <c r="D257" s="208">
        <v>253.79287719726563</v>
      </c>
      <c r="E257" s="175">
        <v>3026981</v>
      </c>
      <c r="F257" s="207"/>
      <c r="G257" s="208">
        <v>12.245647430419922</v>
      </c>
      <c r="H257" s="175">
        <v>126570</v>
      </c>
      <c r="I257" s="207">
        <v>0.42374998331069946</v>
      </c>
      <c r="J257" s="208">
        <v>15.300000190734863</v>
      </c>
      <c r="K257" s="175">
        <v>158719</v>
      </c>
      <c r="L257" s="207">
        <v>0.14999999105930328</v>
      </c>
      <c r="M257" s="208">
        <v>16.799999237060547</v>
      </c>
      <c r="N257" s="175">
        <v>303556</v>
      </c>
      <c r="O257" s="207">
        <v>0.12749999761581421</v>
      </c>
      <c r="P257" s="208">
        <v>74</v>
      </c>
      <c r="Q257" s="175">
        <v>2231977</v>
      </c>
      <c r="R257" s="207"/>
      <c r="S257" s="208"/>
      <c r="T257" s="176"/>
    </row>
    <row r="258" spans="2:20" ht="36" customHeight="1" x14ac:dyDescent="0.3">
      <c r="B258" s="173" t="s">
        <v>469</v>
      </c>
      <c r="C258" s="207"/>
      <c r="D258" s="208">
        <v>259.08343505859375</v>
      </c>
      <c r="E258" s="175">
        <v>3027230</v>
      </c>
      <c r="F258" s="207"/>
      <c r="G258" s="208">
        <v>10.268630981445313</v>
      </c>
      <c r="H258" s="175">
        <v>126582</v>
      </c>
      <c r="I258" s="207">
        <v>0.42562499642372131</v>
      </c>
      <c r="J258" s="208">
        <v>15.199999809265137</v>
      </c>
      <c r="K258" s="175">
        <v>158734</v>
      </c>
      <c r="L258" s="207">
        <v>0.14812499284744263</v>
      </c>
      <c r="M258" s="208">
        <v>10</v>
      </c>
      <c r="N258" s="175">
        <v>303571</v>
      </c>
      <c r="O258" s="207">
        <v>0.12749999761581421</v>
      </c>
      <c r="P258" s="208">
        <v>70.800003051757813</v>
      </c>
      <c r="Q258" s="175">
        <v>2232049</v>
      </c>
      <c r="R258" s="207"/>
      <c r="S258" s="208"/>
      <c r="T258" s="176"/>
    </row>
    <row r="259" spans="2:20" ht="36" customHeight="1" x14ac:dyDescent="0.3">
      <c r="B259" s="173" t="s">
        <v>470</v>
      </c>
      <c r="C259" s="207"/>
      <c r="D259" s="208">
        <v>235.41679382324219</v>
      </c>
      <c r="E259" s="175">
        <v>3027478</v>
      </c>
      <c r="F259" s="207"/>
      <c r="G259" s="208">
        <v>9.9555368423461914</v>
      </c>
      <c r="H259" s="175">
        <v>126593</v>
      </c>
      <c r="I259" s="207">
        <v>0.43687498569488525</v>
      </c>
      <c r="J259" s="208">
        <v>14</v>
      </c>
      <c r="K259" s="175">
        <v>158749</v>
      </c>
      <c r="L259" s="207">
        <v>0.17624999582767487</v>
      </c>
      <c r="M259" s="208">
        <v>9</v>
      </c>
      <c r="N259" s="175">
        <v>303581</v>
      </c>
      <c r="O259" s="207">
        <v>0.13124999403953552</v>
      </c>
      <c r="P259" s="208">
        <v>70.599998474121094</v>
      </c>
      <c r="Q259" s="175">
        <v>2232120</v>
      </c>
      <c r="R259" s="207"/>
      <c r="S259" s="208"/>
      <c r="T259" s="176"/>
    </row>
    <row r="260" spans="2:20" ht="36" customHeight="1" thickBot="1" x14ac:dyDescent="0.35">
      <c r="B260" s="177" t="s">
        <v>471</v>
      </c>
      <c r="C260" s="209"/>
      <c r="D260" s="210">
        <v>241.34092712402344</v>
      </c>
      <c r="E260" s="179">
        <v>3027718</v>
      </c>
      <c r="F260" s="209"/>
      <c r="G260" s="210">
        <v>8.0718488693237305</v>
      </c>
      <c r="H260" s="179">
        <v>126602</v>
      </c>
      <c r="I260" s="209">
        <v>0.42937499284744263</v>
      </c>
      <c r="J260" s="210">
        <v>14.300000190734863</v>
      </c>
      <c r="K260" s="179">
        <v>158763</v>
      </c>
      <c r="L260" s="209">
        <v>0.20062500238418579</v>
      </c>
      <c r="M260" s="210">
        <v>9.8999996185302734</v>
      </c>
      <c r="N260" s="179">
        <v>303590</v>
      </c>
      <c r="O260" s="209">
        <v>0.13124999403953552</v>
      </c>
      <c r="P260" s="210">
        <v>69.599998474121094</v>
      </c>
      <c r="Q260" s="179">
        <v>2232191</v>
      </c>
      <c r="R260" s="209"/>
      <c r="S260" s="210"/>
      <c r="T260" s="180"/>
    </row>
    <row r="261" spans="2:20" ht="36" customHeight="1" thickTop="1" x14ac:dyDescent="0.3">
      <c r="B261" s="181" t="s">
        <v>472</v>
      </c>
      <c r="C261" s="211">
        <f t="shared" ref="C261" si="56">MIN(C237:C260)</f>
        <v>0</v>
      </c>
      <c r="D261" s="212">
        <f>MIN(D237:D260)</f>
        <v>179.10906982421875</v>
      </c>
      <c r="E261" s="213">
        <f t="shared" ref="E261:F261" si="57">MIN(E237:E260)</f>
        <v>3022348</v>
      </c>
      <c r="F261" s="211">
        <f t="shared" si="57"/>
        <v>0</v>
      </c>
      <c r="G261" s="212">
        <f>MIN(G237:G260)</f>
        <v>7.6347208023071289</v>
      </c>
      <c r="H261" s="213">
        <f t="shared" ref="H261:I261" si="58">MIN(H237:H260)</f>
        <v>126344</v>
      </c>
      <c r="I261" s="211">
        <f t="shared" si="58"/>
        <v>0.41999998688697815</v>
      </c>
      <c r="J261" s="212">
        <f>MIN(J237:J260)</f>
        <v>13.5</v>
      </c>
      <c r="K261" s="213">
        <f t="shared" ref="K261:L261" si="59">MIN(K237:K260)</f>
        <v>158424</v>
      </c>
      <c r="L261" s="211">
        <f t="shared" si="59"/>
        <v>0.14812499284744263</v>
      </c>
      <c r="M261" s="212">
        <f>MIN(M237:M260)</f>
        <v>5.9000000953674316</v>
      </c>
      <c r="N261" s="213">
        <f t="shared" ref="N261:O261" si="60">MIN(N237:N260)</f>
        <v>303350</v>
      </c>
      <c r="O261" s="211">
        <f t="shared" si="60"/>
        <v>0.11625000089406967</v>
      </c>
      <c r="P261" s="212">
        <f>MIN(P237:P260)</f>
        <v>69.300003051757813</v>
      </c>
      <c r="Q261" s="213">
        <f t="shared" ref="Q261:R261" si="61">MIN(Q237:Q260)</f>
        <v>2230547</v>
      </c>
      <c r="R261" s="211">
        <f t="shared" si="61"/>
        <v>0</v>
      </c>
      <c r="S261" s="212">
        <f>MIN(S237:S260)</f>
        <v>0</v>
      </c>
      <c r="T261" s="214">
        <f t="shared" ref="T261" si="62">MIN(T237:T260)</f>
        <v>0</v>
      </c>
    </row>
    <row r="262" spans="2:20" ht="36" customHeight="1" x14ac:dyDescent="0.3">
      <c r="B262" s="173" t="s">
        <v>473</v>
      </c>
      <c r="C262" s="211">
        <f t="shared" ref="C262:T262" si="63">MAX(C237:C260)</f>
        <v>0</v>
      </c>
      <c r="D262" s="215">
        <f t="shared" si="63"/>
        <v>309.53982543945313</v>
      </c>
      <c r="E262" s="216">
        <f t="shared" si="63"/>
        <v>3027718</v>
      </c>
      <c r="F262" s="211">
        <f t="shared" si="63"/>
        <v>0</v>
      </c>
      <c r="G262" s="215">
        <f t="shared" si="63"/>
        <v>19.317153930664063</v>
      </c>
      <c r="H262" s="216">
        <f t="shared" si="63"/>
        <v>126602</v>
      </c>
      <c r="I262" s="211">
        <f t="shared" si="63"/>
        <v>0.44437497854232788</v>
      </c>
      <c r="J262" s="215">
        <f t="shared" si="63"/>
        <v>15.899999618530273</v>
      </c>
      <c r="K262" s="216">
        <f t="shared" si="63"/>
        <v>158763</v>
      </c>
      <c r="L262" s="211">
        <f t="shared" si="63"/>
        <v>0.30937498807907104</v>
      </c>
      <c r="M262" s="215">
        <f t="shared" si="63"/>
        <v>18.100000381469727</v>
      </c>
      <c r="N262" s="216">
        <f t="shared" si="63"/>
        <v>303590</v>
      </c>
      <c r="O262" s="211">
        <f t="shared" si="63"/>
        <v>0.16499999165534973</v>
      </c>
      <c r="P262" s="215">
        <f t="shared" si="63"/>
        <v>74.099998474121094</v>
      </c>
      <c r="Q262" s="216">
        <f t="shared" si="63"/>
        <v>2232191</v>
      </c>
      <c r="R262" s="211">
        <f t="shared" si="63"/>
        <v>0</v>
      </c>
      <c r="S262" s="215">
        <f t="shared" si="63"/>
        <v>0</v>
      </c>
      <c r="T262" s="217">
        <f t="shared" si="63"/>
        <v>0</v>
      </c>
    </row>
    <row r="263" spans="2:20" ht="36" customHeight="1" x14ac:dyDescent="0.3">
      <c r="B263" s="173" t="s">
        <v>474</v>
      </c>
      <c r="C263" s="211" t="e">
        <f>AVERAGE(C237:C260)</f>
        <v>#DIV/0!</v>
      </c>
      <c r="D263" s="215">
        <f>AVERAGE(D237:D260)</f>
        <v>233.1633440653483</v>
      </c>
      <c r="E263" s="218"/>
      <c r="F263" s="211" t="e">
        <f>AVERAGE(F237:F260)</f>
        <v>#DIV/0!</v>
      </c>
      <c r="G263" s="215">
        <f>AVERAGE(G237:G260)</f>
        <v>11.105331500371298</v>
      </c>
      <c r="H263" s="218"/>
      <c r="I263" s="211">
        <f>AVERAGE(I237:I260)</f>
        <v>0.43171873937050503</v>
      </c>
      <c r="J263" s="215">
        <f>AVERAGE(J237:J260)</f>
        <v>14.700000007947287</v>
      </c>
      <c r="K263" s="218"/>
      <c r="L263" s="211">
        <f>AVERAGE(L237:L260)</f>
        <v>0.2599999935676654</v>
      </c>
      <c r="M263" s="215">
        <f>AVERAGE(M237:M260)</f>
        <v>10.46666661898295</v>
      </c>
      <c r="N263" s="218"/>
      <c r="O263" s="211">
        <f>AVERAGE(O237:O260)</f>
        <v>0.13882812112569809</v>
      </c>
      <c r="P263" s="215">
        <f>AVERAGE(P237:P260)</f>
        <v>71.512500445048019</v>
      </c>
      <c r="Q263" s="218"/>
      <c r="R263" s="211" t="e">
        <f>AVERAGE(R237:R260)</f>
        <v>#DIV/0!</v>
      </c>
      <c r="S263" s="215" t="e">
        <f>AVERAGE(S237:S260)</f>
        <v>#DIV/0!</v>
      </c>
      <c r="T263" s="219"/>
    </row>
    <row r="264" spans="2:20" ht="36" customHeight="1" thickBot="1" x14ac:dyDescent="0.35">
      <c r="B264" s="186" t="s">
        <v>475</v>
      </c>
      <c r="C264" s="220"/>
      <c r="D264" s="221"/>
      <c r="E264" s="222"/>
      <c r="F264" s="220"/>
      <c r="G264" s="221"/>
      <c r="H264" s="222"/>
      <c r="I264" s="220"/>
      <c r="J264" s="221"/>
      <c r="K264" s="222"/>
      <c r="L264" s="220"/>
      <c r="M264" s="221"/>
      <c r="N264" s="222"/>
      <c r="O264" s="220"/>
      <c r="P264" s="221"/>
      <c r="Q264" s="222"/>
      <c r="R264" s="220"/>
      <c r="S264" s="221"/>
      <c r="T264" s="223"/>
    </row>
    <row r="265" spans="2:20" ht="9.9499999999999993" customHeight="1" x14ac:dyDescent="0.3">
      <c r="B265" s="190"/>
      <c r="E265" s="190"/>
      <c r="H265" s="190"/>
      <c r="K265" s="190"/>
      <c r="N265" s="190"/>
      <c r="Q265" s="190"/>
      <c r="T265" s="190"/>
    </row>
  </sheetData>
  <mergeCells count="72">
    <mergeCell ref="B2:T2"/>
    <mergeCell ref="C3:T3"/>
    <mergeCell ref="B4:B5"/>
    <mergeCell ref="C4:E4"/>
    <mergeCell ref="F4:H4"/>
    <mergeCell ref="I4:K4"/>
    <mergeCell ref="L4:N4"/>
    <mergeCell ref="O4:Q4"/>
    <mergeCell ref="R4:T4"/>
    <mergeCell ref="B35:T35"/>
    <mergeCell ref="C36:T36"/>
    <mergeCell ref="B37:B38"/>
    <mergeCell ref="C37:E37"/>
    <mergeCell ref="F37:H37"/>
    <mergeCell ref="I37:K37"/>
    <mergeCell ref="L37:N37"/>
    <mergeCell ref="O37:Q37"/>
    <mergeCell ref="R37:T37"/>
    <mergeCell ref="B68:T68"/>
    <mergeCell ref="C69:T69"/>
    <mergeCell ref="B70:B71"/>
    <mergeCell ref="C70:E70"/>
    <mergeCell ref="F70:H70"/>
    <mergeCell ref="I70:K70"/>
    <mergeCell ref="L70:N70"/>
    <mergeCell ref="O70:Q70"/>
    <mergeCell ref="R70:T70"/>
    <mergeCell ref="B101:T101"/>
    <mergeCell ref="C102:T102"/>
    <mergeCell ref="B103:B104"/>
    <mergeCell ref="C103:E103"/>
    <mergeCell ref="F103:H103"/>
    <mergeCell ref="I103:K103"/>
    <mergeCell ref="L103:N103"/>
    <mergeCell ref="O103:Q103"/>
    <mergeCell ref="R103:T103"/>
    <mergeCell ref="B134:T134"/>
    <mergeCell ref="C135:T135"/>
    <mergeCell ref="B136:B137"/>
    <mergeCell ref="C136:E136"/>
    <mergeCell ref="F136:H136"/>
    <mergeCell ref="I136:K136"/>
    <mergeCell ref="L136:N136"/>
    <mergeCell ref="O136:Q136"/>
    <mergeCell ref="R136:T136"/>
    <mergeCell ref="B167:T167"/>
    <mergeCell ref="C168:T168"/>
    <mergeCell ref="B169:B170"/>
    <mergeCell ref="C169:E169"/>
    <mergeCell ref="F169:H169"/>
    <mergeCell ref="I169:K169"/>
    <mergeCell ref="L169:N169"/>
    <mergeCell ref="O169:Q169"/>
    <mergeCell ref="R169:T169"/>
    <mergeCell ref="B200:T200"/>
    <mergeCell ref="C201:T201"/>
    <mergeCell ref="B202:B203"/>
    <mergeCell ref="C202:E202"/>
    <mergeCell ref="F202:H202"/>
    <mergeCell ref="I202:K202"/>
    <mergeCell ref="L202:N202"/>
    <mergeCell ref="O202:Q202"/>
    <mergeCell ref="R202:T202"/>
    <mergeCell ref="B233:T233"/>
    <mergeCell ref="C234:T234"/>
    <mergeCell ref="B235:B236"/>
    <mergeCell ref="C235:E235"/>
    <mergeCell ref="F235:H235"/>
    <mergeCell ref="I235:K235"/>
    <mergeCell ref="L235:N235"/>
    <mergeCell ref="O235:Q235"/>
    <mergeCell ref="R235:T235"/>
  </mergeCells>
  <phoneticPr fontId="1" type="noConversion"/>
  <printOptions horizontalCentered="1" verticalCentered="1"/>
  <pageMargins left="0.25" right="0.25" top="0.75" bottom="0.75" header="0.3" footer="0.3"/>
  <pageSetup paperSize="9" scale="20" fitToHeight="2" orientation="landscape" r:id="rId1"/>
  <rowBreaks count="7" manualBreakCount="7">
    <brk id="34" max="20" man="1"/>
    <brk id="67" max="20" man="1"/>
    <brk id="100" max="20" man="1"/>
    <brk id="133" max="20" man="1"/>
    <brk id="166" max="20" man="1"/>
    <brk id="199" max="20" man="1"/>
    <brk id="2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6986-4217-4D9D-9DC0-5D9DB5355921}">
  <sheetPr>
    <tabColor theme="5"/>
  </sheetPr>
  <dimension ref="A1:AM133"/>
  <sheetViews>
    <sheetView view="pageBreakPreview" topLeftCell="A19" zoomScale="55" zoomScaleSheetLayoutView="55" workbookViewId="0">
      <selection activeCell="V102" sqref="V102"/>
    </sheetView>
  </sheetViews>
  <sheetFormatPr defaultRowHeight="16.5" x14ac:dyDescent="0.3"/>
  <cols>
    <col min="1" max="1" width="1.625" style="161" customWidth="1"/>
    <col min="2" max="2" width="9.625" style="161" customWidth="1"/>
    <col min="3" max="20" width="15.75" style="161" customWidth="1"/>
    <col min="21" max="21" width="1.625" style="161" customWidth="1"/>
    <col min="22" max="256" width="9" style="161"/>
    <col min="257" max="257" width="1.625" style="161" customWidth="1"/>
    <col min="258" max="258" width="9.625" style="161" customWidth="1"/>
    <col min="259" max="276" width="15.75" style="161" customWidth="1"/>
    <col min="277" max="277" width="1.625" style="161" customWidth="1"/>
    <col min="278" max="512" width="9" style="161"/>
    <col min="513" max="513" width="1.625" style="161" customWidth="1"/>
    <col min="514" max="514" width="9.625" style="161" customWidth="1"/>
    <col min="515" max="532" width="15.75" style="161" customWidth="1"/>
    <col min="533" max="533" width="1.625" style="161" customWidth="1"/>
    <col min="534" max="768" width="9" style="161"/>
    <col min="769" max="769" width="1.625" style="161" customWidth="1"/>
    <col min="770" max="770" width="9.625" style="161" customWidth="1"/>
    <col min="771" max="788" width="15.75" style="161" customWidth="1"/>
    <col min="789" max="789" width="1.625" style="161" customWidth="1"/>
    <col min="790" max="1024" width="9" style="161"/>
    <col min="1025" max="1025" width="1.625" style="161" customWidth="1"/>
    <col min="1026" max="1026" width="9.625" style="161" customWidth="1"/>
    <col min="1027" max="1044" width="15.75" style="161" customWidth="1"/>
    <col min="1045" max="1045" width="1.625" style="161" customWidth="1"/>
    <col min="1046" max="1280" width="9" style="161"/>
    <col min="1281" max="1281" width="1.625" style="161" customWidth="1"/>
    <col min="1282" max="1282" width="9.625" style="161" customWidth="1"/>
    <col min="1283" max="1300" width="15.75" style="161" customWidth="1"/>
    <col min="1301" max="1301" width="1.625" style="161" customWidth="1"/>
    <col min="1302" max="1536" width="9" style="161"/>
    <col min="1537" max="1537" width="1.625" style="161" customWidth="1"/>
    <col min="1538" max="1538" width="9.625" style="161" customWidth="1"/>
    <col min="1539" max="1556" width="15.75" style="161" customWidth="1"/>
    <col min="1557" max="1557" width="1.625" style="161" customWidth="1"/>
    <col min="1558" max="1792" width="9" style="161"/>
    <col min="1793" max="1793" width="1.625" style="161" customWidth="1"/>
    <col min="1794" max="1794" width="9.625" style="161" customWidth="1"/>
    <col min="1795" max="1812" width="15.75" style="161" customWidth="1"/>
    <col min="1813" max="1813" width="1.625" style="161" customWidth="1"/>
    <col min="1814" max="2048" width="9" style="161"/>
    <col min="2049" max="2049" width="1.625" style="161" customWidth="1"/>
    <col min="2050" max="2050" width="9.625" style="161" customWidth="1"/>
    <col min="2051" max="2068" width="15.75" style="161" customWidth="1"/>
    <col min="2069" max="2069" width="1.625" style="161" customWidth="1"/>
    <col min="2070" max="2304" width="9" style="161"/>
    <col min="2305" max="2305" width="1.625" style="161" customWidth="1"/>
    <col min="2306" max="2306" width="9.625" style="161" customWidth="1"/>
    <col min="2307" max="2324" width="15.75" style="161" customWidth="1"/>
    <col min="2325" max="2325" width="1.625" style="161" customWidth="1"/>
    <col min="2326" max="2560" width="9" style="161"/>
    <col min="2561" max="2561" width="1.625" style="161" customWidth="1"/>
    <col min="2562" max="2562" width="9.625" style="161" customWidth="1"/>
    <col min="2563" max="2580" width="15.75" style="161" customWidth="1"/>
    <col min="2581" max="2581" width="1.625" style="161" customWidth="1"/>
    <col min="2582" max="2816" width="9" style="161"/>
    <col min="2817" max="2817" width="1.625" style="161" customWidth="1"/>
    <col min="2818" max="2818" width="9.625" style="161" customWidth="1"/>
    <col min="2819" max="2836" width="15.75" style="161" customWidth="1"/>
    <col min="2837" max="2837" width="1.625" style="161" customWidth="1"/>
    <col min="2838" max="3072" width="9" style="161"/>
    <col min="3073" max="3073" width="1.625" style="161" customWidth="1"/>
    <col min="3074" max="3074" width="9.625" style="161" customWidth="1"/>
    <col min="3075" max="3092" width="15.75" style="161" customWidth="1"/>
    <col min="3093" max="3093" width="1.625" style="161" customWidth="1"/>
    <col min="3094" max="3328" width="9" style="161"/>
    <col min="3329" max="3329" width="1.625" style="161" customWidth="1"/>
    <col min="3330" max="3330" width="9.625" style="161" customWidth="1"/>
    <col min="3331" max="3348" width="15.75" style="161" customWidth="1"/>
    <col min="3349" max="3349" width="1.625" style="161" customWidth="1"/>
    <col min="3350" max="3584" width="9" style="161"/>
    <col min="3585" max="3585" width="1.625" style="161" customWidth="1"/>
    <col min="3586" max="3586" width="9.625" style="161" customWidth="1"/>
    <col min="3587" max="3604" width="15.75" style="161" customWidth="1"/>
    <col min="3605" max="3605" width="1.625" style="161" customWidth="1"/>
    <col min="3606" max="3840" width="9" style="161"/>
    <col min="3841" max="3841" width="1.625" style="161" customWidth="1"/>
    <col min="3842" max="3842" width="9.625" style="161" customWidth="1"/>
    <col min="3843" max="3860" width="15.75" style="161" customWidth="1"/>
    <col min="3861" max="3861" width="1.625" style="161" customWidth="1"/>
    <col min="3862" max="4096" width="9" style="161"/>
    <col min="4097" max="4097" width="1.625" style="161" customWidth="1"/>
    <col min="4098" max="4098" width="9.625" style="161" customWidth="1"/>
    <col min="4099" max="4116" width="15.75" style="161" customWidth="1"/>
    <col min="4117" max="4117" width="1.625" style="161" customWidth="1"/>
    <col min="4118" max="4352" width="9" style="161"/>
    <col min="4353" max="4353" width="1.625" style="161" customWidth="1"/>
    <col min="4354" max="4354" width="9.625" style="161" customWidth="1"/>
    <col min="4355" max="4372" width="15.75" style="161" customWidth="1"/>
    <col min="4373" max="4373" width="1.625" style="161" customWidth="1"/>
    <col min="4374" max="4608" width="9" style="161"/>
    <col min="4609" max="4609" width="1.625" style="161" customWidth="1"/>
    <col min="4610" max="4610" width="9.625" style="161" customWidth="1"/>
    <col min="4611" max="4628" width="15.75" style="161" customWidth="1"/>
    <col min="4629" max="4629" width="1.625" style="161" customWidth="1"/>
    <col min="4630" max="4864" width="9" style="161"/>
    <col min="4865" max="4865" width="1.625" style="161" customWidth="1"/>
    <col min="4866" max="4866" width="9.625" style="161" customWidth="1"/>
    <col min="4867" max="4884" width="15.75" style="161" customWidth="1"/>
    <col min="4885" max="4885" width="1.625" style="161" customWidth="1"/>
    <col min="4886" max="5120" width="9" style="161"/>
    <col min="5121" max="5121" width="1.625" style="161" customWidth="1"/>
    <col min="5122" max="5122" width="9.625" style="161" customWidth="1"/>
    <col min="5123" max="5140" width="15.75" style="161" customWidth="1"/>
    <col min="5141" max="5141" width="1.625" style="161" customWidth="1"/>
    <col min="5142" max="5376" width="9" style="161"/>
    <col min="5377" max="5377" width="1.625" style="161" customWidth="1"/>
    <col min="5378" max="5378" width="9.625" style="161" customWidth="1"/>
    <col min="5379" max="5396" width="15.75" style="161" customWidth="1"/>
    <col min="5397" max="5397" width="1.625" style="161" customWidth="1"/>
    <col min="5398" max="5632" width="9" style="161"/>
    <col min="5633" max="5633" width="1.625" style="161" customWidth="1"/>
    <col min="5634" max="5634" width="9.625" style="161" customWidth="1"/>
    <col min="5635" max="5652" width="15.75" style="161" customWidth="1"/>
    <col min="5653" max="5653" width="1.625" style="161" customWidth="1"/>
    <col min="5654" max="5888" width="9" style="161"/>
    <col min="5889" max="5889" width="1.625" style="161" customWidth="1"/>
    <col min="5890" max="5890" width="9.625" style="161" customWidth="1"/>
    <col min="5891" max="5908" width="15.75" style="161" customWidth="1"/>
    <col min="5909" max="5909" width="1.625" style="161" customWidth="1"/>
    <col min="5910" max="6144" width="9" style="161"/>
    <col min="6145" max="6145" width="1.625" style="161" customWidth="1"/>
    <col min="6146" max="6146" width="9.625" style="161" customWidth="1"/>
    <col min="6147" max="6164" width="15.75" style="161" customWidth="1"/>
    <col min="6165" max="6165" width="1.625" style="161" customWidth="1"/>
    <col min="6166" max="6400" width="9" style="161"/>
    <col min="6401" max="6401" width="1.625" style="161" customWidth="1"/>
    <col min="6402" max="6402" width="9.625" style="161" customWidth="1"/>
    <col min="6403" max="6420" width="15.75" style="161" customWidth="1"/>
    <col min="6421" max="6421" width="1.625" style="161" customWidth="1"/>
    <col min="6422" max="6656" width="9" style="161"/>
    <col min="6657" max="6657" width="1.625" style="161" customWidth="1"/>
    <col min="6658" max="6658" width="9.625" style="161" customWidth="1"/>
    <col min="6659" max="6676" width="15.75" style="161" customWidth="1"/>
    <col min="6677" max="6677" width="1.625" style="161" customWidth="1"/>
    <col min="6678" max="6912" width="9" style="161"/>
    <col min="6913" max="6913" width="1.625" style="161" customWidth="1"/>
    <col min="6914" max="6914" width="9.625" style="161" customWidth="1"/>
    <col min="6915" max="6932" width="15.75" style="161" customWidth="1"/>
    <col min="6933" max="6933" width="1.625" style="161" customWidth="1"/>
    <col min="6934" max="7168" width="9" style="161"/>
    <col min="7169" max="7169" width="1.625" style="161" customWidth="1"/>
    <col min="7170" max="7170" width="9.625" style="161" customWidth="1"/>
    <col min="7171" max="7188" width="15.75" style="161" customWidth="1"/>
    <col min="7189" max="7189" width="1.625" style="161" customWidth="1"/>
    <col min="7190" max="7424" width="9" style="161"/>
    <col min="7425" max="7425" width="1.625" style="161" customWidth="1"/>
    <col min="7426" max="7426" width="9.625" style="161" customWidth="1"/>
    <col min="7427" max="7444" width="15.75" style="161" customWidth="1"/>
    <col min="7445" max="7445" width="1.625" style="161" customWidth="1"/>
    <col min="7446" max="7680" width="9" style="161"/>
    <col min="7681" max="7681" width="1.625" style="161" customWidth="1"/>
    <col min="7682" max="7682" width="9.625" style="161" customWidth="1"/>
    <col min="7683" max="7700" width="15.75" style="161" customWidth="1"/>
    <col min="7701" max="7701" width="1.625" style="161" customWidth="1"/>
    <col min="7702" max="7936" width="9" style="161"/>
    <col min="7937" max="7937" width="1.625" style="161" customWidth="1"/>
    <col min="7938" max="7938" width="9.625" style="161" customWidth="1"/>
    <col min="7939" max="7956" width="15.75" style="161" customWidth="1"/>
    <col min="7957" max="7957" width="1.625" style="161" customWidth="1"/>
    <col min="7958" max="8192" width="9" style="161"/>
    <col min="8193" max="8193" width="1.625" style="161" customWidth="1"/>
    <col min="8194" max="8194" width="9.625" style="161" customWidth="1"/>
    <col min="8195" max="8212" width="15.75" style="161" customWidth="1"/>
    <col min="8213" max="8213" width="1.625" style="161" customWidth="1"/>
    <col min="8214" max="8448" width="9" style="161"/>
    <col min="8449" max="8449" width="1.625" style="161" customWidth="1"/>
    <col min="8450" max="8450" width="9.625" style="161" customWidth="1"/>
    <col min="8451" max="8468" width="15.75" style="161" customWidth="1"/>
    <col min="8469" max="8469" width="1.625" style="161" customWidth="1"/>
    <col min="8470" max="8704" width="9" style="161"/>
    <col min="8705" max="8705" width="1.625" style="161" customWidth="1"/>
    <col min="8706" max="8706" width="9.625" style="161" customWidth="1"/>
    <col min="8707" max="8724" width="15.75" style="161" customWidth="1"/>
    <col min="8725" max="8725" width="1.625" style="161" customWidth="1"/>
    <col min="8726" max="8960" width="9" style="161"/>
    <col min="8961" max="8961" width="1.625" style="161" customWidth="1"/>
    <col min="8962" max="8962" width="9.625" style="161" customWidth="1"/>
    <col min="8963" max="8980" width="15.75" style="161" customWidth="1"/>
    <col min="8981" max="8981" width="1.625" style="161" customWidth="1"/>
    <col min="8982" max="9216" width="9" style="161"/>
    <col min="9217" max="9217" width="1.625" style="161" customWidth="1"/>
    <col min="9218" max="9218" width="9.625" style="161" customWidth="1"/>
    <col min="9219" max="9236" width="15.75" style="161" customWidth="1"/>
    <col min="9237" max="9237" width="1.625" style="161" customWidth="1"/>
    <col min="9238" max="9472" width="9" style="161"/>
    <col min="9473" max="9473" width="1.625" style="161" customWidth="1"/>
    <col min="9474" max="9474" width="9.625" style="161" customWidth="1"/>
    <col min="9475" max="9492" width="15.75" style="161" customWidth="1"/>
    <col min="9493" max="9493" width="1.625" style="161" customWidth="1"/>
    <col min="9494" max="9728" width="9" style="161"/>
    <col min="9729" max="9729" width="1.625" style="161" customWidth="1"/>
    <col min="9730" max="9730" width="9.625" style="161" customWidth="1"/>
    <col min="9731" max="9748" width="15.75" style="161" customWidth="1"/>
    <col min="9749" max="9749" width="1.625" style="161" customWidth="1"/>
    <col min="9750" max="9984" width="9" style="161"/>
    <col min="9985" max="9985" width="1.625" style="161" customWidth="1"/>
    <col min="9986" max="9986" width="9.625" style="161" customWidth="1"/>
    <col min="9987" max="10004" width="15.75" style="161" customWidth="1"/>
    <col min="10005" max="10005" width="1.625" style="161" customWidth="1"/>
    <col min="10006" max="10240" width="9" style="161"/>
    <col min="10241" max="10241" width="1.625" style="161" customWidth="1"/>
    <col min="10242" max="10242" width="9.625" style="161" customWidth="1"/>
    <col min="10243" max="10260" width="15.75" style="161" customWidth="1"/>
    <col min="10261" max="10261" width="1.625" style="161" customWidth="1"/>
    <col min="10262" max="10496" width="9" style="161"/>
    <col min="10497" max="10497" width="1.625" style="161" customWidth="1"/>
    <col min="10498" max="10498" width="9.625" style="161" customWidth="1"/>
    <col min="10499" max="10516" width="15.75" style="161" customWidth="1"/>
    <col min="10517" max="10517" width="1.625" style="161" customWidth="1"/>
    <col min="10518" max="10752" width="9" style="161"/>
    <col min="10753" max="10753" width="1.625" style="161" customWidth="1"/>
    <col min="10754" max="10754" width="9.625" style="161" customWidth="1"/>
    <col min="10755" max="10772" width="15.75" style="161" customWidth="1"/>
    <col min="10773" max="10773" width="1.625" style="161" customWidth="1"/>
    <col min="10774" max="11008" width="9" style="161"/>
    <col min="11009" max="11009" width="1.625" style="161" customWidth="1"/>
    <col min="11010" max="11010" width="9.625" style="161" customWidth="1"/>
    <col min="11011" max="11028" width="15.75" style="161" customWidth="1"/>
    <col min="11029" max="11029" width="1.625" style="161" customWidth="1"/>
    <col min="11030" max="11264" width="9" style="161"/>
    <col min="11265" max="11265" width="1.625" style="161" customWidth="1"/>
    <col min="11266" max="11266" width="9.625" style="161" customWidth="1"/>
    <col min="11267" max="11284" width="15.75" style="161" customWidth="1"/>
    <col min="11285" max="11285" width="1.625" style="161" customWidth="1"/>
    <col min="11286" max="11520" width="9" style="161"/>
    <col min="11521" max="11521" width="1.625" style="161" customWidth="1"/>
    <col min="11522" max="11522" width="9.625" style="161" customWidth="1"/>
    <col min="11523" max="11540" width="15.75" style="161" customWidth="1"/>
    <col min="11541" max="11541" width="1.625" style="161" customWidth="1"/>
    <col min="11542" max="11776" width="9" style="161"/>
    <col min="11777" max="11777" width="1.625" style="161" customWidth="1"/>
    <col min="11778" max="11778" width="9.625" style="161" customWidth="1"/>
    <col min="11779" max="11796" width="15.75" style="161" customWidth="1"/>
    <col min="11797" max="11797" width="1.625" style="161" customWidth="1"/>
    <col min="11798" max="12032" width="9" style="161"/>
    <col min="12033" max="12033" width="1.625" style="161" customWidth="1"/>
    <col min="12034" max="12034" width="9.625" style="161" customWidth="1"/>
    <col min="12035" max="12052" width="15.75" style="161" customWidth="1"/>
    <col min="12053" max="12053" width="1.625" style="161" customWidth="1"/>
    <col min="12054" max="12288" width="9" style="161"/>
    <col min="12289" max="12289" width="1.625" style="161" customWidth="1"/>
    <col min="12290" max="12290" width="9.625" style="161" customWidth="1"/>
    <col min="12291" max="12308" width="15.75" style="161" customWidth="1"/>
    <col min="12309" max="12309" width="1.625" style="161" customWidth="1"/>
    <col min="12310" max="12544" width="9" style="161"/>
    <col min="12545" max="12545" width="1.625" style="161" customWidth="1"/>
    <col min="12546" max="12546" width="9.625" style="161" customWidth="1"/>
    <col min="12547" max="12564" width="15.75" style="161" customWidth="1"/>
    <col min="12565" max="12565" width="1.625" style="161" customWidth="1"/>
    <col min="12566" max="12800" width="9" style="161"/>
    <col min="12801" max="12801" width="1.625" style="161" customWidth="1"/>
    <col min="12802" max="12802" width="9.625" style="161" customWidth="1"/>
    <col min="12803" max="12820" width="15.75" style="161" customWidth="1"/>
    <col min="12821" max="12821" width="1.625" style="161" customWidth="1"/>
    <col min="12822" max="13056" width="9" style="161"/>
    <col min="13057" max="13057" width="1.625" style="161" customWidth="1"/>
    <col min="13058" max="13058" width="9.625" style="161" customWidth="1"/>
    <col min="13059" max="13076" width="15.75" style="161" customWidth="1"/>
    <col min="13077" max="13077" width="1.625" style="161" customWidth="1"/>
    <col min="13078" max="13312" width="9" style="161"/>
    <col min="13313" max="13313" width="1.625" style="161" customWidth="1"/>
    <col min="13314" max="13314" width="9.625" style="161" customWidth="1"/>
    <col min="13315" max="13332" width="15.75" style="161" customWidth="1"/>
    <col min="13333" max="13333" width="1.625" style="161" customWidth="1"/>
    <col min="13334" max="13568" width="9" style="161"/>
    <col min="13569" max="13569" width="1.625" style="161" customWidth="1"/>
    <col min="13570" max="13570" width="9.625" style="161" customWidth="1"/>
    <col min="13571" max="13588" width="15.75" style="161" customWidth="1"/>
    <col min="13589" max="13589" width="1.625" style="161" customWidth="1"/>
    <col min="13590" max="13824" width="9" style="161"/>
    <col min="13825" max="13825" width="1.625" style="161" customWidth="1"/>
    <col min="13826" max="13826" width="9.625" style="161" customWidth="1"/>
    <col min="13827" max="13844" width="15.75" style="161" customWidth="1"/>
    <col min="13845" max="13845" width="1.625" style="161" customWidth="1"/>
    <col min="13846" max="14080" width="9" style="161"/>
    <col min="14081" max="14081" width="1.625" style="161" customWidth="1"/>
    <col min="14082" max="14082" width="9.625" style="161" customWidth="1"/>
    <col min="14083" max="14100" width="15.75" style="161" customWidth="1"/>
    <col min="14101" max="14101" width="1.625" style="161" customWidth="1"/>
    <col min="14102" max="14336" width="9" style="161"/>
    <col min="14337" max="14337" width="1.625" style="161" customWidth="1"/>
    <col min="14338" max="14338" width="9.625" style="161" customWidth="1"/>
    <col min="14339" max="14356" width="15.75" style="161" customWidth="1"/>
    <col min="14357" max="14357" width="1.625" style="161" customWidth="1"/>
    <col min="14358" max="14592" width="9" style="161"/>
    <col min="14593" max="14593" width="1.625" style="161" customWidth="1"/>
    <col min="14594" max="14594" width="9.625" style="161" customWidth="1"/>
    <col min="14595" max="14612" width="15.75" style="161" customWidth="1"/>
    <col min="14613" max="14613" width="1.625" style="161" customWidth="1"/>
    <col min="14614" max="14848" width="9" style="161"/>
    <col min="14849" max="14849" width="1.625" style="161" customWidth="1"/>
    <col min="14850" max="14850" width="9.625" style="161" customWidth="1"/>
    <col min="14851" max="14868" width="15.75" style="161" customWidth="1"/>
    <col min="14869" max="14869" width="1.625" style="161" customWidth="1"/>
    <col min="14870" max="15104" width="9" style="161"/>
    <col min="15105" max="15105" width="1.625" style="161" customWidth="1"/>
    <col min="15106" max="15106" width="9.625" style="161" customWidth="1"/>
    <col min="15107" max="15124" width="15.75" style="161" customWidth="1"/>
    <col min="15125" max="15125" width="1.625" style="161" customWidth="1"/>
    <col min="15126" max="15360" width="9" style="161"/>
    <col min="15361" max="15361" width="1.625" style="161" customWidth="1"/>
    <col min="15362" max="15362" width="9.625" style="161" customWidth="1"/>
    <col min="15363" max="15380" width="15.75" style="161" customWidth="1"/>
    <col min="15381" max="15381" width="1.625" style="161" customWidth="1"/>
    <col min="15382" max="15616" width="9" style="161"/>
    <col min="15617" max="15617" width="1.625" style="161" customWidth="1"/>
    <col min="15618" max="15618" width="9.625" style="161" customWidth="1"/>
    <col min="15619" max="15636" width="15.75" style="161" customWidth="1"/>
    <col min="15637" max="15637" width="1.625" style="161" customWidth="1"/>
    <col min="15638" max="15872" width="9" style="161"/>
    <col min="15873" max="15873" width="1.625" style="161" customWidth="1"/>
    <col min="15874" max="15874" width="9.625" style="161" customWidth="1"/>
    <col min="15875" max="15892" width="15.75" style="161" customWidth="1"/>
    <col min="15893" max="15893" width="1.625" style="161" customWidth="1"/>
    <col min="15894" max="16128" width="9" style="161"/>
    <col min="16129" max="16129" width="1.625" style="161" customWidth="1"/>
    <col min="16130" max="16130" width="9.625" style="161" customWidth="1"/>
    <col min="16131" max="16148" width="15.75" style="161" customWidth="1"/>
    <col min="16149" max="16149" width="1.625" style="161" customWidth="1"/>
    <col min="16150" max="16384" width="9" style="161"/>
  </cols>
  <sheetData>
    <row r="1" spans="2:20" ht="9.9499999999999993" customHeight="1" thickBot="1" x14ac:dyDescent="0.35"/>
    <row r="2" spans="2:20" s="162" customFormat="1" ht="51.95" customHeight="1" thickBot="1" x14ac:dyDescent="0.35">
      <c r="B2" s="460" t="s">
        <v>432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2"/>
    </row>
    <row r="3" spans="2:20" s="164" customFormat="1" ht="36" customHeight="1" thickTop="1" x14ac:dyDescent="0.3">
      <c r="B3" s="163" t="s">
        <v>433</v>
      </c>
      <c r="C3" s="463" t="s">
        <v>726</v>
      </c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4"/>
    </row>
    <row r="4" spans="2:20" s="165" customFormat="1" ht="27.95" customHeight="1" x14ac:dyDescent="0.3">
      <c r="B4" s="455" t="s">
        <v>434</v>
      </c>
      <c r="C4" s="477" t="s">
        <v>435</v>
      </c>
      <c r="D4" s="478"/>
      <c r="E4" s="479" t="s">
        <v>436</v>
      </c>
      <c r="F4" s="478"/>
      <c r="G4" s="477" t="s">
        <v>437</v>
      </c>
      <c r="H4" s="480"/>
      <c r="I4" s="477" t="s">
        <v>438</v>
      </c>
      <c r="J4" s="478"/>
      <c r="K4" s="477" t="s">
        <v>439</v>
      </c>
      <c r="L4" s="478"/>
      <c r="M4" s="477" t="s">
        <v>440</v>
      </c>
      <c r="N4" s="480"/>
      <c r="O4" s="481" t="s">
        <v>441</v>
      </c>
      <c r="P4" s="482"/>
      <c r="Q4" s="448" t="s">
        <v>442</v>
      </c>
      <c r="R4" s="449"/>
      <c r="S4" s="448" t="s">
        <v>443</v>
      </c>
      <c r="T4" s="450"/>
    </row>
    <row r="5" spans="2:20" ht="27.95" customHeight="1" x14ac:dyDescent="0.3">
      <c r="B5" s="456"/>
      <c r="C5" s="166" t="s">
        <v>444</v>
      </c>
      <c r="D5" s="167" t="s">
        <v>445</v>
      </c>
      <c r="E5" s="166" t="s">
        <v>444</v>
      </c>
      <c r="F5" s="167" t="s">
        <v>445</v>
      </c>
      <c r="G5" s="166" t="s">
        <v>444</v>
      </c>
      <c r="H5" s="167" t="s">
        <v>445</v>
      </c>
      <c r="I5" s="166" t="s">
        <v>444</v>
      </c>
      <c r="J5" s="167" t="s">
        <v>445</v>
      </c>
      <c r="K5" s="166" t="s">
        <v>444</v>
      </c>
      <c r="L5" s="167" t="s">
        <v>445</v>
      </c>
      <c r="M5" s="166" t="s">
        <v>444</v>
      </c>
      <c r="N5" s="167" t="s">
        <v>445</v>
      </c>
      <c r="O5" s="166" t="s">
        <v>444</v>
      </c>
      <c r="P5" s="167" t="s">
        <v>445</v>
      </c>
      <c r="Q5" s="166" t="s">
        <v>444</v>
      </c>
      <c r="R5" s="167" t="s">
        <v>445</v>
      </c>
      <c r="S5" s="166" t="s">
        <v>446</v>
      </c>
      <c r="T5" s="168" t="s">
        <v>447</v>
      </c>
    </row>
    <row r="6" spans="2:20" ht="36" customHeight="1" x14ac:dyDescent="0.3">
      <c r="B6" s="169" t="s">
        <v>448</v>
      </c>
      <c r="C6" s="170">
        <v>427</v>
      </c>
      <c r="D6" s="171">
        <v>7450435</v>
      </c>
      <c r="E6" s="170">
        <v>124</v>
      </c>
      <c r="F6" s="171">
        <v>2603560</v>
      </c>
      <c r="G6" s="170">
        <v>52</v>
      </c>
      <c r="H6" s="171">
        <v>894900</v>
      </c>
      <c r="I6" s="170">
        <v>0</v>
      </c>
      <c r="J6" s="171">
        <v>0</v>
      </c>
      <c r="K6" s="170">
        <v>355</v>
      </c>
      <c r="L6" s="171">
        <v>4944846</v>
      </c>
      <c r="M6" s="170">
        <v>0</v>
      </c>
      <c r="N6" s="171">
        <v>424819</v>
      </c>
      <c r="O6" s="170">
        <v>305</v>
      </c>
      <c r="P6" s="171">
        <v>5156568</v>
      </c>
      <c r="Q6" s="170">
        <v>57</v>
      </c>
      <c r="R6" s="171">
        <v>1624553</v>
      </c>
      <c r="S6" s="170">
        <v>60</v>
      </c>
      <c r="T6" s="172">
        <v>2002791</v>
      </c>
    </row>
    <row r="7" spans="2:20" ht="36" customHeight="1" x14ac:dyDescent="0.3">
      <c r="B7" s="173" t="s">
        <v>449</v>
      </c>
      <c r="C7" s="174">
        <v>415</v>
      </c>
      <c r="D7" s="175">
        <v>7450862</v>
      </c>
      <c r="E7" s="174">
        <v>101</v>
      </c>
      <c r="F7" s="175">
        <v>2603684</v>
      </c>
      <c r="G7" s="174">
        <v>45</v>
      </c>
      <c r="H7" s="175">
        <v>894952</v>
      </c>
      <c r="I7" s="174">
        <v>0</v>
      </c>
      <c r="J7" s="175">
        <v>0</v>
      </c>
      <c r="K7" s="174">
        <v>289</v>
      </c>
      <c r="L7" s="175">
        <v>4945201</v>
      </c>
      <c r="M7" s="174">
        <v>0</v>
      </c>
      <c r="N7" s="175">
        <v>424819</v>
      </c>
      <c r="O7" s="174">
        <v>304</v>
      </c>
      <c r="P7" s="175">
        <v>5156873</v>
      </c>
      <c r="Q7" s="174">
        <v>57</v>
      </c>
      <c r="R7" s="175">
        <v>1624610</v>
      </c>
      <c r="S7" s="174">
        <v>46</v>
      </c>
      <c r="T7" s="176">
        <v>2002851</v>
      </c>
    </row>
    <row r="8" spans="2:20" ht="36" customHeight="1" x14ac:dyDescent="0.3">
      <c r="B8" s="173" t="s">
        <v>450</v>
      </c>
      <c r="C8" s="174">
        <v>375</v>
      </c>
      <c r="D8" s="175">
        <v>7451277</v>
      </c>
      <c r="E8" s="174">
        <v>87</v>
      </c>
      <c r="F8" s="175">
        <v>2603785</v>
      </c>
      <c r="G8" s="174">
        <v>37</v>
      </c>
      <c r="H8" s="175">
        <v>894997</v>
      </c>
      <c r="I8" s="174">
        <v>0</v>
      </c>
      <c r="J8" s="175">
        <v>0</v>
      </c>
      <c r="K8" s="174">
        <v>229</v>
      </c>
      <c r="L8" s="175">
        <v>4945490</v>
      </c>
      <c r="M8" s="174">
        <v>0</v>
      </c>
      <c r="N8" s="175">
        <v>424819</v>
      </c>
      <c r="O8" s="174">
        <v>289</v>
      </c>
      <c r="P8" s="175">
        <v>5157177</v>
      </c>
      <c r="Q8" s="174">
        <v>37</v>
      </c>
      <c r="R8" s="175">
        <v>1624667</v>
      </c>
      <c r="S8" s="174">
        <v>37</v>
      </c>
      <c r="T8" s="176">
        <v>2002897</v>
      </c>
    </row>
    <row r="9" spans="2:20" ht="36" customHeight="1" x14ac:dyDescent="0.3">
      <c r="B9" s="173" t="s">
        <v>451</v>
      </c>
      <c r="C9" s="174">
        <v>358</v>
      </c>
      <c r="D9" s="175">
        <v>7451652</v>
      </c>
      <c r="E9" s="174">
        <v>82</v>
      </c>
      <c r="F9" s="175">
        <v>2603872</v>
      </c>
      <c r="G9" s="174">
        <v>31</v>
      </c>
      <c r="H9" s="175">
        <v>895034</v>
      </c>
      <c r="I9" s="174">
        <v>0</v>
      </c>
      <c r="J9" s="175">
        <v>0</v>
      </c>
      <c r="K9" s="174">
        <v>226</v>
      </c>
      <c r="L9" s="175">
        <v>4945719</v>
      </c>
      <c r="M9" s="174">
        <v>0</v>
      </c>
      <c r="N9" s="175">
        <v>424819</v>
      </c>
      <c r="O9" s="174">
        <v>283</v>
      </c>
      <c r="P9" s="175">
        <v>5157466</v>
      </c>
      <c r="Q9" s="174">
        <v>31</v>
      </c>
      <c r="R9" s="175">
        <v>1624704</v>
      </c>
      <c r="S9" s="174">
        <v>35</v>
      </c>
      <c r="T9" s="176">
        <v>2002934</v>
      </c>
    </row>
    <row r="10" spans="2:20" ht="36" customHeight="1" x14ac:dyDescent="0.3">
      <c r="B10" s="173" t="s">
        <v>452</v>
      </c>
      <c r="C10" s="174">
        <v>352</v>
      </c>
      <c r="D10" s="175">
        <v>7452010</v>
      </c>
      <c r="E10" s="174">
        <v>80</v>
      </c>
      <c r="F10" s="175">
        <v>2603954</v>
      </c>
      <c r="G10" s="174">
        <v>29</v>
      </c>
      <c r="H10" s="175">
        <v>895065</v>
      </c>
      <c r="I10" s="174">
        <v>0</v>
      </c>
      <c r="J10" s="175">
        <v>0</v>
      </c>
      <c r="K10" s="174">
        <v>215</v>
      </c>
      <c r="L10" s="175">
        <v>4945945</v>
      </c>
      <c r="M10" s="174">
        <v>0</v>
      </c>
      <c r="N10" s="175">
        <v>424819</v>
      </c>
      <c r="O10" s="174">
        <v>278</v>
      </c>
      <c r="P10" s="175">
        <v>5157749</v>
      </c>
      <c r="Q10" s="174">
        <v>33</v>
      </c>
      <c r="R10" s="175">
        <v>1624735</v>
      </c>
      <c r="S10" s="174">
        <v>34</v>
      </c>
      <c r="T10" s="176">
        <v>2002969</v>
      </c>
    </row>
    <row r="11" spans="2:20" ht="36" customHeight="1" x14ac:dyDescent="0.3">
      <c r="B11" s="173" t="s">
        <v>453</v>
      </c>
      <c r="C11" s="174">
        <v>355</v>
      </c>
      <c r="D11" s="175">
        <v>7452362</v>
      </c>
      <c r="E11" s="174">
        <v>81</v>
      </c>
      <c r="F11" s="175">
        <v>2604034</v>
      </c>
      <c r="G11" s="174">
        <v>27</v>
      </c>
      <c r="H11" s="175">
        <v>895094</v>
      </c>
      <c r="I11" s="174">
        <v>0</v>
      </c>
      <c r="J11" s="175">
        <v>0</v>
      </c>
      <c r="K11" s="174">
        <v>194</v>
      </c>
      <c r="L11" s="175">
        <v>4946160</v>
      </c>
      <c r="M11" s="174">
        <v>0</v>
      </c>
      <c r="N11" s="175">
        <v>424819</v>
      </c>
      <c r="O11" s="174">
        <v>280</v>
      </c>
      <c r="P11" s="175">
        <v>5158027</v>
      </c>
      <c r="Q11" s="174">
        <v>34</v>
      </c>
      <c r="R11" s="175">
        <v>1624768</v>
      </c>
      <c r="S11" s="174">
        <v>35</v>
      </c>
      <c r="T11" s="176">
        <v>2003003</v>
      </c>
    </row>
    <row r="12" spans="2:20" ht="36" customHeight="1" x14ac:dyDescent="0.3">
      <c r="B12" s="173" t="s">
        <v>454</v>
      </c>
      <c r="C12" s="174">
        <v>413</v>
      </c>
      <c r="D12" s="175">
        <v>7452717</v>
      </c>
      <c r="E12" s="174">
        <v>89</v>
      </c>
      <c r="F12" s="175">
        <v>2604115</v>
      </c>
      <c r="G12" s="174">
        <v>31</v>
      </c>
      <c r="H12" s="175">
        <v>895121</v>
      </c>
      <c r="I12" s="174">
        <v>0</v>
      </c>
      <c r="J12" s="175">
        <v>0</v>
      </c>
      <c r="K12" s="174">
        <v>211</v>
      </c>
      <c r="L12" s="175">
        <v>4946354</v>
      </c>
      <c r="M12" s="174">
        <v>0</v>
      </c>
      <c r="N12" s="175">
        <v>424819</v>
      </c>
      <c r="O12" s="174">
        <v>290</v>
      </c>
      <c r="P12" s="175">
        <v>5158307</v>
      </c>
      <c r="Q12" s="174">
        <v>83</v>
      </c>
      <c r="R12" s="175">
        <v>1624802</v>
      </c>
      <c r="S12" s="174">
        <v>39</v>
      </c>
      <c r="T12" s="176">
        <v>2003038</v>
      </c>
    </row>
    <row r="13" spans="2:20" ht="36" customHeight="1" x14ac:dyDescent="0.3">
      <c r="B13" s="173" t="s">
        <v>455</v>
      </c>
      <c r="C13" s="174">
        <v>404</v>
      </c>
      <c r="D13" s="175">
        <v>7453130</v>
      </c>
      <c r="E13" s="174">
        <v>111</v>
      </c>
      <c r="F13" s="175">
        <v>2604204</v>
      </c>
      <c r="G13" s="174">
        <v>31</v>
      </c>
      <c r="H13" s="175">
        <v>895152</v>
      </c>
      <c r="I13" s="174">
        <v>0</v>
      </c>
      <c r="J13" s="175">
        <v>0</v>
      </c>
      <c r="K13" s="174">
        <v>213</v>
      </c>
      <c r="L13" s="175">
        <v>4946565</v>
      </c>
      <c r="M13" s="174">
        <v>0</v>
      </c>
      <c r="N13" s="175">
        <v>424819</v>
      </c>
      <c r="O13" s="174">
        <v>304</v>
      </c>
      <c r="P13" s="175">
        <v>5158597</v>
      </c>
      <c r="Q13" s="174">
        <v>54</v>
      </c>
      <c r="R13" s="175">
        <v>1624885</v>
      </c>
      <c r="S13" s="174">
        <v>54</v>
      </c>
      <c r="T13" s="176">
        <v>2003077</v>
      </c>
    </row>
    <row r="14" spans="2:20" ht="36" customHeight="1" x14ac:dyDescent="0.3">
      <c r="B14" s="173" t="s">
        <v>456</v>
      </c>
      <c r="C14" s="174">
        <v>418</v>
      </c>
      <c r="D14" s="175">
        <v>7453534</v>
      </c>
      <c r="E14" s="174">
        <v>151</v>
      </c>
      <c r="F14" s="175">
        <v>2604315</v>
      </c>
      <c r="G14" s="174">
        <v>40</v>
      </c>
      <c r="H14" s="175">
        <v>895183</v>
      </c>
      <c r="I14" s="174">
        <v>0</v>
      </c>
      <c r="J14" s="175">
        <v>0</v>
      </c>
      <c r="K14" s="174">
        <v>208</v>
      </c>
      <c r="L14" s="175">
        <v>4946778</v>
      </c>
      <c r="M14" s="174">
        <v>0</v>
      </c>
      <c r="N14" s="175">
        <v>424819</v>
      </c>
      <c r="O14" s="174">
        <v>312</v>
      </c>
      <c r="P14" s="175">
        <v>5158901</v>
      </c>
      <c r="Q14" s="174">
        <v>55</v>
      </c>
      <c r="R14" s="175">
        <v>1624939</v>
      </c>
      <c r="S14" s="174">
        <v>76</v>
      </c>
      <c r="T14" s="176">
        <v>2003131</v>
      </c>
    </row>
    <row r="15" spans="2:20" ht="36" customHeight="1" x14ac:dyDescent="0.3">
      <c r="B15" s="173" t="s">
        <v>457</v>
      </c>
      <c r="C15" s="174">
        <v>461</v>
      </c>
      <c r="D15" s="175">
        <v>7453952</v>
      </c>
      <c r="E15" s="174">
        <v>178</v>
      </c>
      <c r="F15" s="175">
        <v>2604466</v>
      </c>
      <c r="G15" s="174">
        <v>51</v>
      </c>
      <c r="H15" s="175">
        <v>895223</v>
      </c>
      <c r="I15" s="174">
        <v>0</v>
      </c>
      <c r="J15" s="175">
        <v>0</v>
      </c>
      <c r="K15" s="174">
        <v>228</v>
      </c>
      <c r="L15" s="175">
        <v>4946986</v>
      </c>
      <c r="M15" s="174">
        <v>0</v>
      </c>
      <c r="N15" s="175">
        <v>424819</v>
      </c>
      <c r="O15" s="174">
        <v>314</v>
      </c>
      <c r="P15" s="175">
        <v>5159213</v>
      </c>
      <c r="Q15" s="174">
        <v>80</v>
      </c>
      <c r="R15" s="175">
        <v>1624994</v>
      </c>
      <c r="S15" s="174">
        <v>88</v>
      </c>
      <c r="T15" s="176">
        <v>2003207</v>
      </c>
    </row>
    <row r="16" spans="2:20" ht="36" customHeight="1" x14ac:dyDescent="0.3">
      <c r="B16" s="173" t="s">
        <v>458</v>
      </c>
      <c r="C16" s="174">
        <v>488</v>
      </c>
      <c r="D16" s="175">
        <v>7454413</v>
      </c>
      <c r="E16" s="174">
        <v>204</v>
      </c>
      <c r="F16" s="175">
        <v>2604644</v>
      </c>
      <c r="G16" s="174">
        <v>61</v>
      </c>
      <c r="H16" s="175">
        <v>895274</v>
      </c>
      <c r="I16" s="174">
        <v>0</v>
      </c>
      <c r="J16" s="175">
        <v>0</v>
      </c>
      <c r="K16" s="174">
        <v>309</v>
      </c>
      <c r="L16" s="175">
        <v>4947214</v>
      </c>
      <c r="M16" s="174">
        <v>0</v>
      </c>
      <c r="N16" s="175">
        <v>424819</v>
      </c>
      <c r="O16" s="174">
        <v>314</v>
      </c>
      <c r="P16" s="175">
        <v>5159527</v>
      </c>
      <c r="Q16" s="174">
        <v>91</v>
      </c>
      <c r="R16" s="175">
        <v>1625074</v>
      </c>
      <c r="S16" s="174">
        <v>99</v>
      </c>
      <c r="T16" s="176">
        <v>2003295</v>
      </c>
    </row>
    <row r="17" spans="2:20" ht="36" customHeight="1" x14ac:dyDescent="0.3">
      <c r="B17" s="173" t="s">
        <v>459</v>
      </c>
      <c r="C17" s="174">
        <v>481</v>
      </c>
      <c r="D17" s="175">
        <v>7454901</v>
      </c>
      <c r="E17" s="174">
        <v>203</v>
      </c>
      <c r="F17" s="175">
        <v>2604848</v>
      </c>
      <c r="G17" s="174">
        <v>65</v>
      </c>
      <c r="H17" s="175">
        <v>895335</v>
      </c>
      <c r="I17" s="174">
        <v>0</v>
      </c>
      <c r="J17" s="175">
        <v>0</v>
      </c>
      <c r="K17" s="174">
        <v>353</v>
      </c>
      <c r="L17" s="175">
        <v>4947523</v>
      </c>
      <c r="M17" s="174">
        <v>0</v>
      </c>
      <c r="N17" s="175">
        <v>424819</v>
      </c>
      <c r="O17" s="174">
        <v>312</v>
      </c>
      <c r="P17" s="175">
        <v>5159841</v>
      </c>
      <c r="Q17" s="174">
        <v>78</v>
      </c>
      <c r="R17" s="175">
        <v>1625165</v>
      </c>
      <c r="S17" s="174">
        <v>100</v>
      </c>
      <c r="T17" s="176">
        <v>2003394</v>
      </c>
    </row>
    <row r="18" spans="2:20" ht="36" customHeight="1" x14ac:dyDescent="0.3">
      <c r="B18" s="173" t="s">
        <v>460</v>
      </c>
      <c r="C18" s="174">
        <v>466</v>
      </c>
      <c r="D18" s="175">
        <v>7455382</v>
      </c>
      <c r="E18" s="174">
        <v>203</v>
      </c>
      <c r="F18" s="175">
        <v>2605051</v>
      </c>
      <c r="G18" s="174">
        <v>69</v>
      </c>
      <c r="H18" s="175">
        <v>895400</v>
      </c>
      <c r="I18" s="174">
        <v>0</v>
      </c>
      <c r="J18" s="175">
        <v>0</v>
      </c>
      <c r="K18" s="174">
        <v>314</v>
      </c>
      <c r="L18" s="175">
        <v>4947876</v>
      </c>
      <c r="M18" s="174">
        <v>0</v>
      </c>
      <c r="N18" s="175">
        <v>424819</v>
      </c>
      <c r="O18" s="174">
        <v>312</v>
      </c>
      <c r="P18" s="175">
        <v>5160153</v>
      </c>
      <c r="Q18" s="174">
        <v>69</v>
      </c>
      <c r="R18" s="175">
        <v>1625243</v>
      </c>
      <c r="S18" s="174">
        <v>97</v>
      </c>
      <c r="T18" s="176">
        <v>2003494</v>
      </c>
    </row>
    <row r="19" spans="2:20" ht="36" customHeight="1" x14ac:dyDescent="0.3">
      <c r="B19" s="173" t="s">
        <v>461</v>
      </c>
      <c r="C19" s="174">
        <v>461</v>
      </c>
      <c r="D19" s="175">
        <v>7455848</v>
      </c>
      <c r="E19" s="174">
        <v>200</v>
      </c>
      <c r="F19" s="175">
        <v>2605254</v>
      </c>
      <c r="G19" s="174">
        <v>68</v>
      </c>
      <c r="H19" s="175">
        <v>895469</v>
      </c>
      <c r="I19" s="174">
        <v>0</v>
      </c>
      <c r="J19" s="175">
        <v>0</v>
      </c>
      <c r="K19" s="174">
        <v>305</v>
      </c>
      <c r="L19" s="175">
        <v>4948190</v>
      </c>
      <c r="M19" s="174">
        <v>0</v>
      </c>
      <c r="N19" s="175">
        <v>424819</v>
      </c>
      <c r="O19" s="174">
        <v>310</v>
      </c>
      <c r="P19" s="175">
        <v>5160465</v>
      </c>
      <c r="Q19" s="174">
        <v>66</v>
      </c>
      <c r="R19" s="175">
        <v>1625312</v>
      </c>
      <c r="S19" s="174">
        <v>97</v>
      </c>
      <c r="T19" s="176">
        <v>2003591</v>
      </c>
    </row>
    <row r="20" spans="2:20" ht="36" customHeight="1" x14ac:dyDescent="0.3">
      <c r="B20" s="173" t="s">
        <v>462</v>
      </c>
      <c r="C20" s="174">
        <v>457</v>
      </c>
      <c r="D20" s="175">
        <v>7456309</v>
      </c>
      <c r="E20" s="174">
        <v>193</v>
      </c>
      <c r="F20" s="175">
        <v>2605454</v>
      </c>
      <c r="G20" s="174">
        <v>67</v>
      </c>
      <c r="H20" s="175">
        <v>895537</v>
      </c>
      <c r="I20" s="174">
        <v>0</v>
      </c>
      <c r="J20" s="175">
        <v>0</v>
      </c>
      <c r="K20" s="174">
        <v>275</v>
      </c>
      <c r="L20" s="175">
        <v>4948495</v>
      </c>
      <c r="M20" s="174">
        <v>0</v>
      </c>
      <c r="N20" s="175">
        <v>424819</v>
      </c>
      <c r="O20" s="174">
        <v>310</v>
      </c>
      <c r="P20" s="175">
        <v>5160775</v>
      </c>
      <c r="Q20" s="174">
        <v>65</v>
      </c>
      <c r="R20" s="175">
        <v>1625378</v>
      </c>
      <c r="S20" s="174">
        <v>96</v>
      </c>
      <c r="T20" s="176">
        <v>2003688</v>
      </c>
    </row>
    <row r="21" spans="2:20" ht="36" customHeight="1" x14ac:dyDescent="0.3">
      <c r="B21" s="173" t="s">
        <v>463</v>
      </c>
      <c r="C21" s="174">
        <v>464</v>
      </c>
      <c r="D21" s="175">
        <v>7456766</v>
      </c>
      <c r="E21" s="174">
        <v>184</v>
      </c>
      <c r="F21" s="175">
        <v>2605647</v>
      </c>
      <c r="G21" s="174">
        <v>64</v>
      </c>
      <c r="H21" s="175">
        <v>895604</v>
      </c>
      <c r="I21" s="174">
        <v>0</v>
      </c>
      <c r="J21" s="175">
        <v>0</v>
      </c>
      <c r="K21" s="174">
        <v>285</v>
      </c>
      <c r="L21" s="175">
        <v>4948770</v>
      </c>
      <c r="M21" s="174">
        <v>0</v>
      </c>
      <c r="N21" s="175">
        <v>424819</v>
      </c>
      <c r="O21" s="174">
        <v>310</v>
      </c>
      <c r="P21" s="175">
        <v>5161085</v>
      </c>
      <c r="Q21" s="174">
        <v>75</v>
      </c>
      <c r="R21" s="175">
        <v>1625443</v>
      </c>
      <c r="S21" s="174">
        <v>88</v>
      </c>
      <c r="T21" s="176">
        <v>2003784</v>
      </c>
    </row>
    <row r="22" spans="2:20" ht="36" customHeight="1" x14ac:dyDescent="0.3">
      <c r="B22" s="173" t="s">
        <v>464</v>
      </c>
      <c r="C22" s="174">
        <v>460</v>
      </c>
      <c r="D22" s="175">
        <v>7457230</v>
      </c>
      <c r="E22" s="174">
        <v>186</v>
      </c>
      <c r="F22" s="175">
        <v>2605831</v>
      </c>
      <c r="G22" s="174">
        <v>63</v>
      </c>
      <c r="H22" s="175">
        <v>895668</v>
      </c>
      <c r="I22" s="174">
        <v>0</v>
      </c>
      <c r="J22" s="175">
        <v>0</v>
      </c>
      <c r="K22" s="174">
        <v>295</v>
      </c>
      <c r="L22" s="175">
        <v>4949055</v>
      </c>
      <c r="M22" s="174">
        <v>0</v>
      </c>
      <c r="N22" s="175">
        <v>424819</v>
      </c>
      <c r="O22" s="174">
        <v>310</v>
      </c>
      <c r="P22" s="175">
        <v>5161395</v>
      </c>
      <c r="Q22" s="174">
        <v>72</v>
      </c>
      <c r="R22" s="175">
        <v>1625518</v>
      </c>
      <c r="S22" s="174">
        <v>88</v>
      </c>
      <c r="T22" s="176">
        <v>2003872</v>
      </c>
    </row>
    <row r="23" spans="2:20" ht="36" customHeight="1" x14ac:dyDescent="0.3">
      <c r="B23" s="173" t="s">
        <v>465</v>
      </c>
      <c r="C23" s="174">
        <v>467</v>
      </c>
      <c r="D23" s="175">
        <v>7457690</v>
      </c>
      <c r="E23" s="174">
        <v>191</v>
      </c>
      <c r="F23" s="175">
        <v>2606017</v>
      </c>
      <c r="G23" s="174">
        <v>65</v>
      </c>
      <c r="H23" s="175">
        <v>895731</v>
      </c>
      <c r="I23" s="174">
        <v>0</v>
      </c>
      <c r="J23" s="175">
        <v>0</v>
      </c>
      <c r="K23" s="174">
        <v>338</v>
      </c>
      <c r="L23" s="175">
        <v>4949350</v>
      </c>
      <c r="M23" s="174">
        <v>0</v>
      </c>
      <c r="N23" s="175">
        <v>424819</v>
      </c>
      <c r="O23" s="174">
        <v>310</v>
      </c>
      <c r="P23" s="175">
        <v>5161705</v>
      </c>
      <c r="Q23" s="174">
        <v>68</v>
      </c>
      <c r="R23" s="175">
        <v>1625590</v>
      </c>
      <c r="S23" s="174">
        <v>95</v>
      </c>
      <c r="T23" s="176">
        <v>2003960</v>
      </c>
    </row>
    <row r="24" spans="2:20" ht="36" customHeight="1" x14ac:dyDescent="0.3">
      <c r="B24" s="173" t="s">
        <v>466</v>
      </c>
      <c r="C24" s="174">
        <v>484</v>
      </c>
      <c r="D24" s="175">
        <v>7458157</v>
      </c>
      <c r="E24" s="174">
        <v>196</v>
      </c>
      <c r="F24" s="175">
        <v>2606208</v>
      </c>
      <c r="G24" s="174">
        <v>75</v>
      </c>
      <c r="H24" s="175">
        <v>895796</v>
      </c>
      <c r="I24" s="174">
        <v>0</v>
      </c>
      <c r="J24" s="175">
        <v>0</v>
      </c>
      <c r="K24" s="174">
        <v>411</v>
      </c>
      <c r="L24" s="175">
        <v>4949688</v>
      </c>
      <c r="M24" s="174">
        <v>0</v>
      </c>
      <c r="N24" s="175">
        <v>424819</v>
      </c>
      <c r="O24" s="174">
        <v>311</v>
      </c>
      <c r="P24" s="175">
        <v>5162015</v>
      </c>
      <c r="Q24" s="174">
        <v>86</v>
      </c>
      <c r="R24" s="175">
        <v>1625658</v>
      </c>
      <c r="S24" s="174">
        <v>100</v>
      </c>
      <c r="T24" s="176">
        <v>2004055</v>
      </c>
    </row>
    <row r="25" spans="2:20" ht="36" customHeight="1" x14ac:dyDescent="0.3">
      <c r="B25" s="173" t="s">
        <v>467</v>
      </c>
      <c r="C25" s="174">
        <v>491</v>
      </c>
      <c r="D25" s="175">
        <v>7458641</v>
      </c>
      <c r="E25" s="174">
        <v>204</v>
      </c>
      <c r="F25" s="175">
        <v>2606404</v>
      </c>
      <c r="G25" s="174">
        <v>75</v>
      </c>
      <c r="H25" s="175">
        <v>895871</v>
      </c>
      <c r="I25" s="174">
        <v>0</v>
      </c>
      <c r="J25" s="175">
        <v>0</v>
      </c>
      <c r="K25" s="174">
        <v>368</v>
      </c>
      <c r="L25" s="175">
        <v>4950099</v>
      </c>
      <c r="M25" s="174">
        <v>0</v>
      </c>
      <c r="N25" s="175">
        <v>424819</v>
      </c>
      <c r="O25" s="174">
        <v>310</v>
      </c>
      <c r="P25" s="175">
        <v>5162326</v>
      </c>
      <c r="Q25" s="174">
        <v>94</v>
      </c>
      <c r="R25" s="175">
        <v>1625744</v>
      </c>
      <c r="S25" s="174">
        <v>106</v>
      </c>
      <c r="T25" s="176">
        <v>2004155</v>
      </c>
    </row>
    <row r="26" spans="2:20" ht="36" customHeight="1" x14ac:dyDescent="0.3">
      <c r="B26" s="173" t="s">
        <v>468</v>
      </c>
      <c r="C26" s="174">
        <v>500</v>
      </c>
      <c r="D26" s="175">
        <v>7459132</v>
      </c>
      <c r="E26" s="174">
        <v>186</v>
      </c>
      <c r="F26" s="175">
        <v>2606608</v>
      </c>
      <c r="G26" s="174">
        <v>72</v>
      </c>
      <c r="H26" s="175">
        <v>895946</v>
      </c>
      <c r="I26" s="174">
        <v>0</v>
      </c>
      <c r="J26" s="175">
        <v>0</v>
      </c>
      <c r="K26" s="174">
        <v>364</v>
      </c>
      <c r="L26" s="175">
        <v>4950467</v>
      </c>
      <c r="M26" s="174">
        <v>0</v>
      </c>
      <c r="N26" s="175">
        <v>424819</v>
      </c>
      <c r="O26" s="174">
        <v>309</v>
      </c>
      <c r="P26" s="175">
        <v>5162636</v>
      </c>
      <c r="Q26" s="174">
        <v>101</v>
      </c>
      <c r="R26" s="175">
        <v>1625838</v>
      </c>
      <c r="S26" s="174">
        <v>97</v>
      </c>
      <c r="T26" s="176">
        <v>2004261</v>
      </c>
    </row>
    <row r="27" spans="2:20" ht="36" customHeight="1" x14ac:dyDescent="0.3">
      <c r="B27" s="173" t="s">
        <v>469</v>
      </c>
      <c r="C27" s="174">
        <v>524</v>
      </c>
      <c r="D27" s="175">
        <v>7459632</v>
      </c>
      <c r="E27" s="174">
        <v>183</v>
      </c>
      <c r="F27" s="175">
        <v>2606794</v>
      </c>
      <c r="G27" s="174">
        <v>69</v>
      </c>
      <c r="H27" s="175">
        <v>896018</v>
      </c>
      <c r="I27" s="174">
        <v>0</v>
      </c>
      <c r="J27" s="175">
        <v>0</v>
      </c>
      <c r="K27" s="174">
        <v>397</v>
      </c>
      <c r="L27" s="175">
        <v>4950831</v>
      </c>
      <c r="M27" s="174">
        <v>0</v>
      </c>
      <c r="N27" s="175">
        <v>424819</v>
      </c>
      <c r="O27" s="174">
        <v>307</v>
      </c>
      <c r="P27" s="175">
        <v>5162945</v>
      </c>
      <c r="Q27" s="174">
        <v>126</v>
      </c>
      <c r="R27" s="175">
        <v>1625939</v>
      </c>
      <c r="S27" s="174">
        <v>97</v>
      </c>
      <c r="T27" s="176">
        <v>2004358</v>
      </c>
    </row>
    <row r="28" spans="2:20" ht="36" customHeight="1" x14ac:dyDescent="0.3">
      <c r="B28" s="173" t="s">
        <v>470</v>
      </c>
      <c r="C28" s="174">
        <v>476</v>
      </c>
      <c r="D28" s="175">
        <v>7460156</v>
      </c>
      <c r="E28" s="174">
        <v>161</v>
      </c>
      <c r="F28" s="175">
        <v>2606977</v>
      </c>
      <c r="G28" s="174">
        <v>67</v>
      </c>
      <c r="H28" s="175">
        <v>896087</v>
      </c>
      <c r="I28" s="174">
        <v>0</v>
      </c>
      <c r="J28" s="175">
        <v>0</v>
      </c>
      <c r="K28" s="174">
        <v>383</v>
      </c>
      <c r="L28" s="175">
        <v>4951228</v>
      </c>
      <c r="M28" s="174">
        <v>0</v>
      </c>
      <c r="N28" s="175">
        <v>424819</v>
      </c>
      <c r="O28" s="174">
        <v>307</v>
      </c>
      <c r="P28" s="175">
        <v>5163252</v>
      </c>
      <c r="Q28" s="174">
        <v>81</v>
      </c>
      <c r="R28" s="175">
        <v>1626065</v>
      </c>
      <c r="S28" s="174">
        <v>81</v>
      </c>
      <c r="T28" s="176">
        <v>2004455</v>
      </c>
    </row>
    <row r="29" spans="2:20" ht="36" customHeight="1" thickBot="1" x14ac:dyDescent="0.35">
      <c r="B29" s="177" t="s">
        <v>471</v>
      </c>
      <c r="C29" s="178">
        <v>453</v>
      </c>
      <c r="D29" s="179">
        <v>7460632</v>
      </c>
      <c r="E29" s="178">
        <v>142</v>
      </c>
      <c r="F29" s="179">
        <v>2607138</v>
      </c>
      <c r="G29" s="178">
        <v>61</v>
      </c>
      <c r="H29" s="179">
        <v>896154</v>
      </c>
      <c r="I29" s="178">
        <v>0</v>
      </c>
      <c r="J29" s="179">
        <v>0</v>
      </c>
      <c r="K29" s="178">
        <v>382</v>
      </c>
      <c r="L29" s="179">
        <v>4951611</v>
      </c>
      <c r="M29" s="178">
        <v>0</v>
      </c>
      <c r="N29" s="179">
        <v>424819</v>
      </c>
      <c r="O29" s="178">
        <v>306</v>
      </c>
      <c r="P29" s="179">
        <v>5163559</v>
      </c>
      <c r="Q29" s="178">
        <v>71</v>
      </c>
      <c r="R29" s="179">
        <v>1626146</v>
      </c>
      <c r="S29" s="178">
        <v>71</v>
      </c>
      <c r="T29" s="180">
        <v>2004536</v>
      </c>
    </row>
    <row r="30" spans="2:20" ht="36" customHeight="1" thickTop="1" x14ac:dyDescent="0.3">
      <c r="B30" s="181" t="s">
        <v>472</v>
      </c>
      <c r="C30" s="182">
        <f t="shared" ref="C30:T30" si="0">MIN(C6:C29)</f>
        <v>352</v>
      </c>
      <c r="D30" s="182">
        <f t="shared" si="0"/>
        <v>7450435</v>
      </c>
      <c r="E30" s="182">
        <f t="shared" si="0"/>
        <v>80</v>
      </c>
      <c r="F30" s="182">
        <f t="shared" si="0"/>
        <v>2603560</v>
      </c>
      <c r="G30" s="182">
        <f t="shared" si="0"/>
        <v>27</v>
      </c>
      <c r="H30" s="182">
        <f t="shared" si="0"/>
        <v>894900</v>
      </c>
      <c r="I30" s="182">
        <f t="shared" si="0"/>
        <v>0</v>
      </c>
      <c r="J30" s="182">
        <f t="shared" si="0"/>
        <v>0</v>
      </c>
      <c r="K30" s="182">
        <f t="shared" si="0"/>
        <v>194</v>
      </c>
      <c r="L30" s="182">
        <f t="shared" si="0"/>
        <v>4944846</v>
      </c>
      <c r="M30" s="182">
        <f t="shared" si="0"/>
        <v>0</v>
      </c>
      <c r="N30" s="182">
        <f t="shared" si="0"/>
        <v>424819</v>
      </c>
      <c r="O30" s="182">
        <f t="shared" si="0"/>
        <v>278</v>
      </c>
      <c r="P30" s="182">
        <f t="shared" si="0"/>
        <v>5156568</v>
      </c>
      <c r="Q30" s="182">
        <f t="shared" si="0"/>
        <v>31</v>
      </c>
      <c r="R30" s="182">
        <f t="shared" si="0"/>
        <v>1624553</v>
      </c>
      <c r="S30" s="182">
        <f t="shared" si="0"/>
        <v>34</v>
      </c>
      <c r="T30" s="183">
        <f t="shared" si="0"/>
        <v>2002791</v>
      </c>
    </row>
    <row r="31" spans="2:20" ht="36" customHeight="1" x14ac:dyDescent="0.3">
      <c r="B31" s="173" t="s">
        <v>473</v>
      </c>
      <c r="C31" s="182">
        <f t="shared" ref="C31:T31" si="1">MAX(C6:C29)</f>
        <v>524</v>
      </c>
      <c r="D31" s="182">
        <f t="shared" si="1"/>
        <v>7460632</v>
      </c>
      <c r="E31" s="182">
        <f t="shared" si="1"/>
        <v>204</v>
      </c>
      <c r="F31" s="182">
        <f t="shared" si="1"/>
        <v>2607138</v>
      </c>
      <c r="G31" s="182">
        <f t="shared" si="1"/>
        <v>75</v>
      </c>
      <c r="H31" s="182">
        <f t="shared" si="1"/>
        <v>896154</v>
      </c>
      <c r="I31" s="182">
        <f t="shared" si="1"/>
        <v>0</v>
      </c>
      <c r="J31" s="182">
        <f t="shared" si="1"/>
        <v>0</v>
      </c>
      <c r="K31" s="182">
        <f t="shared" si="1"/>
        <v>411</v>
      </c>
      <c r="L31" s="182">
        <f t="shared" si="1"/>
        <v>4951611</v>
      </c>
      <c r="M31" s="182">
        <f t="shared" si="1"/>
        <v>0</v>
      </c>
      <c r="N31" s="182">
        <f t="shared" si="1"/>
        <v>424819</v>
      </c>
      <c r="O31" s="182">
        <f t="shared" si="1"/>
        <v>314</v>
      </c>
      <c r="P31" s="182">
        <f t="shared" si="1"/>
        <v>5163559</v>
      </c>
      <c r="Q31" s="182">
        <f t="shared" si="1"/>
        <v>126</v>
      </c>
      <c r="R31" s="182">
        <f t="shared" si="1"/>
        <v>1626146</v>
      </c>
      <c r="S31" s="182">
        <f t="shared" si="1"/>
        <v>106</v>
      </c>
      <c r="T31" s="183">
        <f t="shared" si="1"/>
        <v>2004536</v>
      </c>
    </row>
    <row r="32" spans="2:20" ht="36" customHeight="1" x14ac:dyDescent="0.3">
      <c r="B32" s="173" t="s">
        <v>474</v>
      </c>
      <c r="C32" s="182">
        <f>AVERAGE(C6:C29)</f>
        <v>443.75</v>
      </c>
      <c r="D32" s="184"/>
      <c r="E32" s="182">
        <f>AVERAGE(E6:E29)</f>
        <v>155</v>
      </c>
      <c r="F32" s="184"/>
      <c r="G32" s="182">
        <f>AVERAGE(G6:G29)</f>
        <v>54.791666666666664</v>
      </c>
      <c r="H32" s="184"/>
      <c r="I32" s="182">
        <f>AVERAGE(I6:I29)</f>
        <v>0</v>
      </c>
      <c r="J32" s="184"/>
      <c r="K32" s="182">
        <f>AVERAGE(K6:K29)</f>
        <v>297.79166666666669</v>
      </c>
      <c r="L32" s="184"/>
      <c r="M32" s="182">
        <f>AVERAGE(M6:M29)</f>
        <v>0</v>
      </c>
      <c r="N32" s="184"/>
      <c r="O32" s="182">
        <f>AVERAGE(O6:O29)</f>
        <v>304.04166666666669</v>
      </c>
      <c r="P32" s="184"/>
      <c r="Q32" s="182">
        <f>AVERAGE(Q6:Q29)</f>
        <v>69.333333333333329</v>
      </c>
      <c r="R32" s="184"/>
      <c r="S32" s="182">
        <f>AVERAGE(S6:S29)</f>
        <v>75.666666666666671</v>
      </c>
      <c r="T32" s="185"/>
    </row>
    <row r="33" spans="1:21" ht="36" customHeight="1" thickBot="1" x14ac:dyDescent="0.35">
      <c r="B33" s="186" t="s">
        <v>475</v>
      </c>
      <c r="C33" s="187">
        <f>SUM(C6:C29)</f>
        <v>10650</v>
      </c>
      <c r="D33" s="188"/>
      <c r="E33" s="187">
        <f>SUM(E6:E29)</f>
        <v>3720</v>
      </c>
      <c r="F33" s="188"/>
      <c r="G33" s="187">
        <f>SUM(G6:G29)</f>
        <v>1315</v>
      </c>
      <c r="H33" s="188"/>
      <c r="I33" s="187">
        <f>SUM(I6:I29)</f>
        <v>0</v>
      </c>
      <c r="J33" s="188"/>
      <c r="K33" s="187">
        <f>SUM(K6:K29)</f>
        <v>7147</v>
      </c>
      <c r="L33" s="188"/>
      <c r="M33" s="187">
        <f>SUM(M6:M29)</f>
        <v>0</v>
      </c>
      <c r="N33" s="188"/>
      <c r="O33" s="187">
        <f>SUM(O6:O29)</f>
        <v>7297</v>
      </c>
      <c r="P33" s="188"/>
      <c r="Q33" s="187">
        <f>SUM(Q6:Q29)</f>
        <v>1664</v>
      </c>
      <c r="R33" s="188"/>
      <c r="S33" s="187">
        <f>SUM(S6:S29)</f>
        <v>1816</v>
      </c>
      <c r="T33" s="189"/>
    </row>
    <row r="34" spans="1:21" ht="9.9499999999999993" customHeight="1" thickBot="1" x14ac:dyDescent="0.35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1:21" ht="51.95" customHeight="1" thickBot="1" x14ac:dyDescent="0.35">
      <c r="A35" s="162"/>
      <c r="B35" s="457" t="s">
        <v>476</v>
      </c>
      <c r="C35" s="458"/>
      <c r="D35" s="458"/>
      <c r="E35" s="458"/>
      <c r="F35" s="458"/>
      <c r="G35" s="458"/>
      <c r="H35" s="458"/>
      <c r="I35" s="458"/>
      <c r="J35" s="458"/>
      <c r="K35" s="458"/>
      <c r="L35" s="458"/>
      <c r="M35" s="458"/>
      <c r="N35" s="458"/>
      <c r="O35" s="458"/>
      <c r="P35" s="458"/>
      <c r="Q35" s="458"/>
      <c r="R35" s="458"/>
      <c r="S35" s="458"/>
      <c r="T35" s="459"/>
      <c r="U35" s="162"/>
    </row>
    <row r="36" spans="1:21" ht="36" customHeight="1" thickTop="1" x14ac:dyDescent="0.3">
      <c r="A36" s="164"/>
      <c r="B36" s="191" t="s">
        <v>433</v>
      </c>
      <c r="C36" s="453" t="str">
        <f>C3</f>
        <v>2025년12월28일  일요일</v>
      </c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  <c r="Q36" s="453"/>
      <c r="R36" s="453"/>
      <c r="S36" s="453"/>
      <c r="T36" s="454"/>
      <c r="U36" s="164"/>
    </row>
    <row r="37" spans="1:21" ht="27.95" customHeight="1" x14ac:dyDescent="0.3">
      <c r="A37" s="165"/>
      <c r="B37" s="451" t="s">
        <v>434</v>
      </c>
      <c r="C37" s="448" t="s">
        <v>477</v>
      </c>
      <c r="D37" s="449"/>
      <c r="E37" s="448" t="s">
        <v>478</v>
      </c>
      <c r="F37" s="449"/>
      <c r="G37" s="448" t="s">
        <v>659</v>
      </c>
      <c r="H37" s="449"/>
      <c r="I37" s="448" t="s">
        <v>479</v>
      </c>
      <c r="J37" s="449"/>
      <c r="K37" s="448" t="s">
        <v>480</v>
      </c>
      <c r="L37" s="449"/>
      <c r="M37" s="448" t="s">
        <v>481</v>
      </c>
      <c r="N37" s="449"/>
      <c r="O37" s="448" t="s">
        <v>482</v>
      </c>
      <c r="P37" s="449"/>
      <c r="Q37" s="448" t="s">
        <v>483</v>
      </c>
      <c r="R37" s="449"/>
      <c r="S37" s="448" t="s">
        <v>484</v>
      </c>
      <c r="T37" s="450"/>
      <c r="U37" s="165"/>
    </row>
    <row r="38" spans="1:21" ht="27.95" customHeight="1" x14ac:dyDescent="0.3">
      <c r="B38" s="452"/>
      <c r="C38" s="166" t="s">
        <v>444</v>
      </c>
      <c r="D38" s="167" t="s">
        <v>445</v>
      </c>
      <c r="E38" s="166" t="s">
        <v>444</v>
      </c>
      <c r="F38" s="167" t="s">
        <v>445</v>
      </c>
      <c r="G38" s="166" t="s">
        <v>444</v>
      </c>
      <c r="H38" s="167" t="s">
        <v>445</v>
      </c>
      <c r="I38" s="166" t="s">
        <v>444</v>
      </c>
      <c r="J38" s="167" t="s">
        <v>445</v>
      </c>
      <c r="K38" s="166" t="s">
        <v>444</v>
      </c>
      <c r="L38" s="167" t="s">
        <v>445</v>
      </c>
      <c r="M38" s="166" t="s">
        <v>444</v>
      </c>
      <c r="N38" s="167" t="s">
        <v>445</v>
      </c>
      <c r="O38" s="166" t="s">
        <v>444</v>
      </c>
      <c r="P38" s="167" t="s">
        <v>445</v>
      </c>
      <c r="Q38" s="166" t="s">
        <v>444</v>
      </c>
      <c r="R38" s="167" t="s">
        <v>445</v>
      </c>
      <c r="S38" s="166" t="s">
        <v>446</v>
      </c>
      <c r="T38" s="168" t="s">
        <v>447</v>
      </c>
    </row>
    <row r="39" spans="1:21" ht="36" customHeight="1" x14ac:dyDescent="0.3">
      <c r="B39" s="169" t="s">
        <v>448</v>
      </c>
      <c r="C39" s="170">
        <v>70</v>
      </c>
      <c r="D39" s="171">
        <v>2021147</v>
      </c>
      <c r="E39" s="170">
        <v>52</v>
      </c>
      <c r="F39" s="171">
        <v>894900</v>
      </c>
      <c r="G39" s="170">
        <v>31</v>
      </c>
      <c r="H39" s="171">
        <v>403980</v>
      </c>
      <c r="I39" s="170">
        <v>73</v>
      </c>
      <c r="J39" s="171">
        <v>1920497</v>
      </c>
      <c r="K39" s="170">
        <v>21</v>
      </c>
      <c r="L39" s="171">
        <v>358717</v>
      </c>
      <c r="M39" s="170">
        <v>126</v>
      </c>
      <c r="N39" s="171">
        <v>2092163</v>
      </c>
      <c r="O39" s="170">
        <v>73</v>
      </c>
      <c r="P39" s="171">
        <v>3834893</v>
      </c>
      <c r="Q39" s="170">
        <v>134</v>
      </c>
      <c r="R39" s="171">
        <v>2114805</v>
      </c>
      <c r="S39" s="170">
        <v>158</v>
      </c>
      <c r="T39" s="172">
        <v>2234395</v>
      </c>
    </row>
    <row r="40" spans="1:21" ht="36" customHeight="1" x14ac:dyDescent="0.3">
      <c r="B40" s="173" t="s">
        <v>449</v>
      </c>
      <c r="C40" s="174">
        <v>61</v>
      </c>
      <c r="D40" s="175">
        <v>2021217</v>
      </c>
      <c r="E40" s="174">
        <v>45</v>
      </c>
      <c r="F40" s="175">
        <v>894952</v>
      </c>
      <c r="G40" s="174">
        <v>28</v>
      </c>
      <c r="H40" s="175">
        <v>404011</v>
      </c>
      <c r="I40" s="174">
        <v>62</v>
      </c>
      <c r="J40" s="175">
        <v>1920570</v>
      </c>
      <c r="K40" s="174">
        <v>18</v>
      </c>
      <c r="L40" s="175">
        <v>358738</v>
      </c>
      <c r="M40" s="174">
        <v>67</v>
      </c>
      <c r="N40" s="175">
        <v>2092289</v>
      </c>
      <c r="O40" s="174">
        <v>169</v>
      </c>
      <c r="P40" s="175">
        <v>3834966</v>
      </c>
      <c r="Q40" s="174">
        <v>118</v>
      </c>
      <c r="R40" s="175">
        <v>2114939</v>
      </c>
      <c r="S40" s="174">
        <v>102</v>
      </c>
      <c r="T40" s="176">
        <v>2234553</v>
      </c>
    </row>
    <row r="41" spans="1:21" ht="36" customHeight="1" x14ac:dyDescent="0.3">
      <c r="B41" s="173" t="s">
        <v>450</v>
      </c>
      <c r="C41" s="174">
        <v>54</v>
      </c>
      <c r="D41" s="175">
        <v>2021278</v>
      </c>
      <c r="E41" s="174">
        <v>37</v>
      </c>
      <c r="F41" s="175">
        <v>894997</v>
      </c>
      <c r="G41" s="174">
        <v>24</v>
      </c>
      <c r="H41" s="175">
        <v>404039</v>
      </c>
      <c r="I41" s="174">
        <v>57</v>
      </c>
      <c r="J41" s="175">
        <v>1920632</v>
      </c>
      <c r="K41" s="174">
        <v>17</v>
      </c>
      <c r="L41" s="175">
        <v>358756</v>
      </c>
      <c r="M41" s="174">
        <v>46</v>
      </c>
      <c r="N41" s="175">
        <v>2092356</v>
      </c>
      <c r="O41" s="174">
        <v>69</v>
      </c>
      <c r="P41" s="175">
        <v>3835135</v>
      </c>
      <c r="Q41" s="174">
        <v>101</v>
      </c>
      <c r="R41" s="175">
        <v>2115057</v>
      </c>
      <c r="S41" s="174">
        <v>66</v>
      </c>
      <c r="T41" s="176">
        <v>2234655</v>
      </c>
    </row>
    <row r="42" spans="1:21" ht="36" customHeight="1" x14ac:dyDescent="0.3">
      <c r="B42" s="173" t="s">
        <v>451</v>
      </c>
      <c r="C42" s="174">
        <v>52</v>
      </c>
      <c r="D42" s="175">
        <v>2021332</v>
      </c>
      <c r="E42" s="174">
        <v>31</v>
      </c>
      <c r="F42" s="175">
        <v>895034</v>
      </c>
      <c r="G42" s="174">
        <v>20</v>
      </c>
      <c r="H42" s="175">
        <v>404063</v>
      </c>
      <c r="I42" s="174">
        <v>53</v>
      </c>
      <c r="J42" s="175">
        <v>1920689</v>
      </c>
      <c r="K42" s="174">
        <v>16</v>
      </c>
      <c r="L42" s="175">
        <v>358773</v>
      </c>
      <c r="M42" s="174">
        <v>40</v>
      </c>
      <c r="N42" s="175">
        <v>2092402</v>
      </c>
      <c r="O42" s="174">
        <v>43</v>
      </c>
      <c r="P42" s="175">
        <v>3835204</v>
      </c>
      <c r="Q42" s="174">
        <v>89</v>
      </c>
      <c r="R42" s="175">
        <v>2115158</v>
      </c>
      <c r="S42" s="174">
        <v>77</v>
      </c>
      <c r="T42" s="176">
        <v>2234721</v>
      </c>
    </row>
    <row r="43" spans="1:21" ht="36" customHeight="1" x14ac:dyDescent="0.3">
      <c r="B43" s="173" t="s">
        <v>452</v>
      </c>
      <c r="C43" s="174">
        <v>49</v>
      </c>
      <c r="D43" s="175">
        <v>2021384</v>
      </c>
      <c r="E43" s="174">
        <v>29</v>
      </c>
      <c r="F43" s="175">
        <v>895065</v>
      </c>
      <c r="G43" s="174">
        <v>19</v>
      </c>
      <c r="H43" s="175">
        <v>404083</v>
      </c>
      <c r="I43" s="174">
        <v>50</v>
      </c>
      <c r="J43" s="175">
        <v>1920742</v>
      </c>
      <c r="K43" s="174">
        <v>16</v>
      </c>
      <c r="L43" s="175">
        <v>358789</v>
      </c>
      <c r="M43" s="174">
        <v>38</v>
      </c>
      <c r="N43" s="175">
        <v>2092442</v>
      </c>
      <c r="O43" s="174">
        <v>49</v>
      </c>
      <c r="P43" s="175">
        <v>3835247</v>
      </c>
      <c r="Q43" s="174">
        <v>81</v>
      </c>
      <c r="R43" s="175">
        <v>2115247</v>
      </c>
      <c r="S43" s="174">
        <v>53</v>
      </c>
      <c r="T43" s="176">
        <v>2234798</v>
      </c>
    </row>
    <row r="44" spans="1:21" ht="36" customHeight="1" x14ac:dyDescent="0.3">
      <c r="B44" s="173" t="s">
        <v>453</v>
      </c>
      <c r="C44" s="174">
        <v>50</v>
      </c>
      <c r="D44" s="175">
        <v>2021433</v>
      </c>
      <c r="E44" s="174">
        <v>27</v>
      </c>
      <c r="F44" s="175">
        <v>895094</v>
      </c>
      <c r="G44" s="174">
        <v>19</v>
      </c>
      <c r="H44" s="175">
        <v>404102</v>
      </c>
      <c r="I44" s="174">
        <v>54</v>
      </c>
      <c r="J44" s="175">
        <v>1920792</v>
      </c>
      <c r="K44" s="174">
        <v>22</v>
      </c>
      <c r="L44" s="175">
        <v>358805</v>
      </c>
      <c r="M44" s="174">
        <v>40</v>
      </c>
      <c r="N44" s="175">
        <v>2092480</v>
      </c>
      <c r="O44" s="174">
        <v>43</v>
      </c>
      <c r="P44" s="175">
        <v>3835296</v>
      </c>
      <c r="Q44" s="174">
        <v>87</v>
      </c>
      <c r="R44" s="175">
        <v>2115328</v>
      </c>
      <c r="S44" s="174">
        <v>59</v>
      </c>
      <c r="T44" s="176">
        <v>2234851</v>
      </c>
    </row>
    <row r="45" spans="1:21" ht="36" customHeight="1" x14ac:dyDescent="0.3">
      <c r="B45" s="173" t="s">
        <v>454</v>
      </c>
      <c r="C45" s="174">
        <v>55</v>
      </c>
      <c r="D45" s="175">
        <v>2021483</v>
      </c>
      <c r="E45" s="174">
        <v>31</v>
      </c>
      <c r="F45" s="175">
        <v>895121</v>
      </c>
      <c r="G45" s="174">
        <v>18</v>
      </c>
      <c r="H45" s="175">
        <v>404121</v>
      </c>
      <c r="I45" s="174">
        <v>59</v>
      </c>
      <c r="J45" s="175">
        <v>1920846</v>
      </c>
      <c r="K45" s="174">
        <v>21</v>
      </c>
      <c r="L45" s="175">
        <v>358827</v>
      </c>
      <c r="M45" s="174">
        <v>43</v>
      </c>
      <c r="N45" s="175">
        <v>2092520</v>
      </c>
      <c r="O45" s="174">
        <v>47</v>
      </c>
      <c r="P45" s="175">
        <v>3835339</v>
      </c>
      <c r="Q45" s="174">
        <v>60</v>
      </c>
      <c r="R45" s="175">
        <v>2115415</v>
      </c>
      <c r="S45" s="174">
        <v>81</v>
      </c>
      <c r="T45" s="176">
        <v>2234910</v>
      </c>
    </row>
    <row r="46" spans="1:21" ht="36" customHeight="1" x14ac:dyDescent="0.3">
      <c r="B46" s="173" t="s">
        <v>455</v>
      </c>
      <c r="C46" s="174">
        <v>63</v>
      </c>
      <c r="D46" s="175">
        <v>2021538</v>
      </c>
      <c r="E46" s="174">
        <v>31</v>
      </c>
      <c r="F46" s="175">
        <v>895152</v>
      </c>
      <c r="G46" s="174">
        <v>19</v>
      </c>
      <c r="H46" s="175">
        <v>404139</v>
      </c>
      <c r="I46" s="174">
        <v>68</v>
      </c>
      <c r="J46" s="175">
        <v>1920905</v>
      </c>
      <c r="K46" s="174">
        <v>20</v>
      </c>
      <c r="L46" s="175">
        <v>358848</v>
      </c>
      <c r="M46" s="174">
        <v>56</v>
      </c>
      <c r="N46" s="175">
        <v>2092563</v>
      </c>
      <c r="O46" s="174">
        <v>56</v>
      </c>
      <c r="P46" s="175">
        <v>3835386</v>
      </c>
      <c r="Q46" s="174">
        <v>64</v>
      </c>
      <c r="R46" s="175">
        <v>2115475</v>
      </c>
      <c r="S46" s="174">
        <v>72</v>
      </c>
      <c r="T46" s="176">
        <v>2234991</v>
      </c>
    </row>
    <row r="47" spans="1:21" ht="36" customHeight="1" x14ac:dyDescent="0.3">
      <c r="B47" s="173" t="s">
        <v>456</v>
      </c>
      <c r="C47" s="174">
        <v>82</v>
      </c>
      <c r="D47" s="175">
        <v>2021601</v>
      </c>
      <c r="E47" s="174">
        <v>40</v>
      </c>
      <c r="F47" s="175">
        <v>895183</v>
      </c>
      <c r="G47" s="174">
        <v>25</v>
      </c>
      <c r="H47" s="175">
        <v>404158</v>
      </c>
      <c r="I47" s="174">
        <v>83</v>
      </c>
      <c r="J47" s="175">
        <v>1920973</v>
      </c>
      <c r="K47" s="174">
        <v>23</v>
      </c>
      <c r="L47" s="175">
        <v>358868</v>
      </c>
      <c r="M47" s="174">
        <v>68</v>
      </c>
      <c r="N47" s="175">
        <v>2092619</v>
      </c>
      <c r="O47" s="174">
        <v>282</v>
      </c>
      <c r="P47" s="175">
        <v>3835442</v>
      </c>
      <c r="Q47" s="174">
        <v>81</v>
      </c>
      <c r="R47" s="175">
        <v>2115539</v>
      </c>
      <c r="S47" s="174">
        <v>70</v>
      </c>
      <c r="T47" s="176">
        <v>2235063</v>
      </c>
    </row>
    <row r="48" spans="1:21" ht="36" customHeight="1" x14ac:dyDescent="0.3">
      <c r="B48" s="173" t="s">
        <v>457</v>
      </c>
      <c r="C48" s="174">
        <v>99</v>
      </c>
      <c r="D48" s="175">
        <v>2021683</v>
      </c>
      <c r="E48" s="174">
        <v>51</v>
      </c>
      <c r="F48" s="175">
        <v>895223</v>
      </c>
      <c r="G48" s="174">
        <v>32</v>
      </c>
      <c r="H48" s="175">
        <v>404183</v>
      </c>
      <c r="I48" s="174">
        <v>104</v>
      </c>
      <c r="J48" s="175">
        <v>1921056</v>
      </c>
      <c r="K48" s="174">
        <v>28</v>
      </c>
      <c r="L48" s="175">
        <v>358891</v>
      </c>
      <c r="M48" s="174">
        <v>100</v>
      </c>
      <c r="N48" s="175">
        <v>2092687</v>
      </c>
      <c r="O48" s="174">
        <v>161</v>
      </c>
      <c r="P48" s="175">
        <v>3835724</v>
      </c>
      <c r="Q48" s="174">
        <v>101</v>
      </c>
      <c r="R48" s="175">
        <v>2115620</v>
      </c>
      <c r="S48" s="174">
        <v>90</v>
      </c>
      <c r="T48" s="176">
        <v>2235133</v>
      </c>
    </row>
    <row r="49" spans="2:20" ht="36" customHeight="1" x14ac:dyDescent="0.3">
      <c r="B49" s="173" t="s">
        <v>458</v>
      </c>
      <c r="C49" s="174">
        <v>113</v>
      </c>
      <c r="D49" s="175">
        <v>2021782</v>
      </c>
      <c r="E49" s="174">
        <v>61</v>
      </c>
      <c r="F49" s="175">
        <v>895274</v>
      </c>
      <c r="G49" s="174">
        <v>42</v>
      </c>
      <c r="H49" s="175">
        <v>404215</v>
      </c>
      <c r="I49" s="174">
        <v>115</v>
      </c>
      <c r="J49" s="175">
        <v>1921160</v>
      </c>
      <c r="K49" s="174">
        <v>25</v>
      </c>
      <c r="L49" s="175">
        <v>358919</v>
      </c>
      <c r="M49" s="174">
        <v>113</v>
      </c>
      <c r="N49" s="175">
        <v>2092787</v>
      </c>
      <c r="O49" s="174">
        <v>316</v>
      </c>
      <c r="P49" s="175">
        <v>3835885</v>
      </c>
      <c r="Q49" s="174">
        <v>150</v>
      </c>
      <c r="R49" s="175">
        <v>2115721</v>
      </c>
      <c r="S49" s="174">
        <v>137</v>
      </c>
      <c r="T49" s="176">
        <v>2235223</v>
      </c>
    </row>
    <row r="50" spans="2:20" ht="36" customHeight="1" x14ac:dyDescent="0.3">
      <c r="B50" s="173" t="s">
        <v>459</v>
      </c>
      <c r="C50" s="174">
        <v>112</v>
      </c>
      <c r="D50" s="175">
        <v>2021895</v>
      </c>
      <c r="E50" s="174">
        <v>65</v>
      </c>
      <c r="F50" s="175">
        <v>895335</v>
      </c>
      <c r="G50" s="174">
        <v>47</v>
      </c>
      <c r="H50" s="175">
        <v>404257</v>
      </c>
      <c r="I50" s="174">
        <v>128</v>
      </c>
      <c r="J50" s="175">
        <v>1921275</v>
      </c>
      <c r="K50" s="174">
        <v>25</v>
      </c>
      <c r="L50" s="175">
        <v>358944</v>
      </c>
      <c r="M50" s="174">
        <v>117</v>
      </c>
      <c r="N50" s="175">
        <v>2092900</v>
      </c>
      <c r="O50" s="174">
        <v>294</v>
      </c>
      <c r="P50" s="175">
        <v>3836201</v>
      </c>
      <c r="Q50" s="174">
        <v>122</v>
      </c>
      <c r="R50" s="175">
        <v>2115871</v>
      </c>
      <c r="S50" s="174">
        <v>169</v>
      </c>
      <c r="T50" s="176">
        <v>2235360</v>
      </c>
    </row>
    <row r="51" spans="2:20" ht="36" customHeight="1" x14ac:dyDescent="0.3">
      <c r="B51" s="173" t="s">
        <v>460</v>
      </c>
      <c r="C51" s="174">
        <v>114</v>
      </c>
      <c r="D51" s="175">
        <v>2022007</v>
      </c>
      <c r="E51" s="174">
        <v>69</v>
      </c>
      <c r="F51" s="175">
        <v>895400</v>
      </c>
      <c r="G51" s="174">
        <v>43</v>
      </c>
      <c r="H51" s="175">
        <v>404304</v>
      </c>
      <c r="I51" s="174">
        <v>122</v>
      </c>
      <c r="J51" s="175">
        <v>1921403</v>
      </c>
      <c r="K51" s="174">
        <v>26</v>
      </c>
      <c r="L51" s="175">
        <v>358969</v>
      </c>
      <c r="M51" s="174">
        <v>108</v>
      </c>
      <c r="N51" s="175">
        <v>2093017</v>
      </c>
      <c r="O51" s="174">
        <v>217</v>
      </c>
      <c r="P51" s="175">
        <v>3836495</v>
      </c>
      <c r="Q51" s="174">
        <v>110</v>
      </c>
      <c r="R51" s="175">
        <v>2115993</v>
      </c>
      <c r="S51" s="174">
        <v>134</v>
      </c>
      <c r="T51" s="176">
        <v>2235529</v>
      </c>
    </row>
    <row r="52" spans="2:20" ht="36" customHeight="1" x14ac:dyDescent="0.3">
      <c r="B52" s="173" t="s">
        <v>461</v>
      </c>
      <c r="C52" s="174">
        <v>109</v>
      </c>
      <c r="D52" s="175">
        <v>2022121</v>
      </c>
      <c r="E52" s="174">
        <v>68</v>
      </c>
      <c r="F52" s="175">
        <v>895469</v>
      </c>
      <c r="G52" s="174">
        <v>43</v>
      </c>
      <c r="H52" s="175">
        <v>404347</v>
      </c>
      <c r="I52" s="174">
        <v>119</v>
      </c>
      <c r="J52" s="175">
        <v>1921525</v>
      </c>
      <c r="K52" s="174">
        <v>26</v>
      </c>
      <c r="L52" s="175">
        <v>358995</v>
      </c>
      <c r="M52" s="174">
        <v>99</v>
      </c>
      <c r="N52" s="175">
        <v>2093125</v>
      </c>
      <c r="O52" s="174">
        <v>234</v>
      </c>
      <c r="P52" s="175">
        <v>3836712</v>
      </c>
      <c r="Q52" s="174">
        <v>139</v>
      </c>
      <c r="R52" s="175">
        <v>2116103</v>
      </c>
      <c r="S52" s="174">
        <v>120</v>
      </c>
      <c r="T52" s="176">
        <v>2235663</v>
      </c>
    </row>
    <row r="53" spans="2:20" ht="36" customHeight="1" x14ac:dyDescent="0.3">
      <c r="B53" s="173" t="s">
        <v>462</v>
      </c>
      <c r="C53" s="174">
        <v>103</v>
      </c>
      <c r="D53" s="175">
        <v>2022230</v>
      </c>
      <c r="E53" s="174">
        <v>67</v>
      </c>
      <c r="F53" s="175">
        <v>895537</v>
      </c>
      <c r="G53" s="174">
        <v>40</v>
      </c>
      <c r="H53" s="175">
        <v>404390</v>
      </c>
      <c r="I53" s="174">
        <v>109</v>
      </c>
      <c r="J53" s="175">
        <v>1921644</v>
      </c>
      <c r="K53" s="174">
        <v>24</v>
      </c>
      <c r="L53" s="175">
        <v>359021</v>
      </c>
      <c r="M53" s="174">
        <v>103</v>
      </c>
      <c r="N53" s="175">
        <v>2093224</v>
      </c>
      <c r="O53" s="174">
        <v>226</v>
      </c>
      <c r="P53" s="175">
        <v>3836946</v>
      </c>
      <c r="Q53" s="174">
        <v>113</v>
      </c>
      <c r="R53" s="175">
        <v>2116242</v>
      </c>
      <c r="S53" s="174">
        <v>104</v>
      </c>
      <c r="T53" s="176">
        <v>2235783</v>
      </c>
    </row>
    <row r="54" spans="2:20" ht="36" customHeight="1" x14ac:dyDescent="0.3">
      <c r="B54" s="173" t="s">
        <v>463</v>
      </c>
      <c r="C54" s="174">
        <v>103</v>
      </c>
      <c r="D54" s="175">
        <v>2022333</v>
      </c>
      <c r="E54" s="174">
        <v>64</v>
      </c>
      <c r="F54" s="175">
        <v>895604</v>
      </c>
      <c r="G54" s="174">
        <v>39</v>
      </c>
      <c r="H54" s="175">
        <v>404430</v>
      </c>
      <c r="I54" s="174">
        <v>102</v>
      </c>
      <c r="J54" s="175">
        <v>1921753</v>
      </c>
      <c r="K54" s="174">
        <v>25</v>
      </c>
      <c r="L54" s="175">
        <v>359045</v>
      </c>
      <c r="M54" s="174">
        <v>115</v>
      </c>
      <c r="N54" s="175">
        <v>2093327</v>
      </c>
      <c r="O54" s="174">
        <v>300</v>
      </c>
      <c r="P54" s="175">
        <v>3837172</v>
      </c>
      <c r="Q54" s="174">
        <v>102</v>
      </c>
      <c r="R54" s="175">
        <v>2116355</v>
      </c>
      <c r="S54" s="174">
        <v>97</v>
      </c>
      <c r="T54" s="176">
        <v>2235887</v>
      </c>
    </row>
    <row r="55" spans="2:20" ht="36" customHeight="1" x14ac:dyDescent="0.3">
      <c r="B55" s="173" t="s">
        <v>464</v>
      </c>
      <c r="C55" s="174">
        <v>105</v>
      </c>
      <c r="D55" s="175">
        <v>2022436</v>
      </c>
      <c r="E55" s="174">
        <v>63</v>
      </c>
      <c r="F55" s="175">
        <v>895668</v>
      </c>
      <c r="G55" s="174">
        <v>42</v>
      </c>
      <c r="H55" s="175">
        <v>404469</v>
      </c>
      <c r="I55" s="174">
        <v>107</v>
      </c>
      <c r="J55" s="175">
        <v>1921855</v>
      </c>
      <c r="K55" s="174">
        <v>24</v>
      </c>
      <c r="L55" s="175">
        <v>359070</v>
      </c>
      <c r="M55" s="174">
        <v>107</v>
      </c>
      <c r="N55" s="175">
        <v>2093442</v>
      </c>
      <c r="O55" s="174">
        <v>134</v>
      </c>
      <c r="P55" s="175">
        <v>3837472</v>
      </c>
      <c r="Q55" s="174">
        <v>132</v>
      </c>
      <c r="R55" s="175">
        <v>2116457</v>
      </c>
      <c r="S55" s="174">
        <v>97</v>
      </c>
      <c r="T55" s="176">
        <v>2235984</v>
      </c>
    </row>
    <row r="56" spans="2:20" ht="36" customHeight="1" x14ac:dyDescent="0.3">
      <c r="B56" s="173" t="s">
        <v>465</v>
      </c>
      <c r="C56" s="174">
        <v>104</v>
      </c>
      <c r="D56" s="175">
        <v>2022541</v>
      </c>
      <c r="E56" s="174">
        <v>65</v>
      </c>
      <c r="F56" s="175">
        <v>895731</v>
      </c>
      <c r="G56" s="174">
        <v>53</v>
      </c>
      <c r="H56" s="175">
        <v>404511</v>
      </c>
      <c r="I56" s="174">
        <v>114</v>
      </c>
      <c r="J56" s="175">
        <v>1921962</v>
      </c>
      <c r="K56" s="174">
        <v>23</v>
      </c>
      <c r="L56" s="175">
        <v>359094</v>
      </c>
      <c r="M56" s="174">
        <v>243</v>
      </c>
      <c r="N56" s="175">
        <v>2093549</v>
      </c>
      <c r="O56" s="174">
        <v>98</v>
      </c>
      <c r="P56" s="175">
        <v>3837606</v>
      </c>
      <c r="Q56" s="174">
        <v>140</v>
      </c>
      <c r="R56" s="175">
        <v>2116589</v>
      </c>
      <c r="S56" s="174">
        <v>128</v>
      </c>
      <c r="T56" s="176">
        <v>2236081</v>
      </c>
    </row>
    <row r="57" spans="2:20" ht="36" customHeight="1" x14ac:dyDescent="0.3">
      <c r="B57" s="173" t="s">
        <v>466</v>
      </c>
      <c r="C57" s="174">
        <v>104</v>
      </c>
      <c r="D57" s="175">
        <v>2022645</v>
      </c>
      <c r="E57" s="174">
        <v>75</v>
      </c>
      <c r="F57" s="175">
        <v>895796</v>
      </c>
      <c r="G57" s="174">
        <v>50</v>
      </c>
      <c r="H57" s="175">
        <v>404564</v>
      </c>
      <c r="I57" s="174">
        <v>117</v>
      </c>
      <c r="J57" s="175">
        <v>1922076</v>
      </c>
      <c r="K57" s="174">
        <v>25</v>
      </c>
      <c r="L57" s="175">
        <v>359117</v>
      </c>
      <c r="M57" s="174">
        <v>252</v>
      </c>
      <c r="N57" s="175">
        <v>2093792</v>
      </c>
      <c r="O57" s="174">
        <v>196</v>
      </c>
      <c r="P57" s="175">
        <v>3837704</v>
      </c>
      <c r="Q57" s="174">
        <v>126</v>
      </c>
      <c r="R57" s="175">
        <v>2116729</v>
      </c>
      <c r="S57" s="174">
        <v>182</v>
      </c>
      <c r="T57" s="176">
        <v>2236209</v>
      </c>
    </row>
    <row r="58" spans="2:20" ht="36" customHeight="1" x14ac:dyDescent="0.3">
      <c r="B58" s="173" t="s">
        <v>467</v>
      </c>
      <c r="C58" s="174">
        <v>107</v>
      </c>
      <c r="D58" s="175">
        <v>2022749</v>
      </c>
      <c r="E58" s="174">
        <v>75</v>
      </c>
      <c r="F58" s="175">
        <v>895871</v>
      </c>
      <c r="G58" s="174">
        <v>46</v>
      </c>
      <c r="H58" s="175">
        <v>404614</v>
      </c>
      <c r="I58" s="174">
        <v>118</v>
      </c>
      <c r="J58" s="175">
        <v>1922193</v>
      </c>
      <c r="K58" s="174">
        <v>23</v>
      </c>
      <c r="L58" s="175">
        <v>359142</v>
      </c>
      <c r="M58" s="174">
        <v>108</v>
      </c>
      <c r="N58" s="175">
        <v>2094044</v>
      </c>
      <c r="O58" s="174">
        <v>186</v>
      </c>
      <c r="P58" s="175">
        <v>3837900</v>
      </c>
      <c r="Q58" s="174">
        <v>151</v>
      </c>
      <c r="R58" s="175">
        <v>2116855</v>
      </c>
      <c r="S58" s="174">
        <v>135</v>
      </c>
      <c r="T58" s="176">
        <v>2236391</v>
      </c>
    </row>
    <row r="59" spans="2:20" ht="36" customHeight="1" x14ac:dyDescent="0.3">
      <c r="B59" s="173" t="s">
        <v>468</v>
      </c>
      <c r="C59" s="174">
        <v>98</v>
      </c>
      <c r="D59" s="175">
        <v>2022856</v>
      </c>
      <c r="E59" s="174">
        <v>72</v>
      </c>
      <c r="F59" s="175">
        <v>895946</v>
      </c>
      <c r="G59" s="174">
        <v>48</v>
      </c>
      <c r="H59" s="175">
        <v>404660</v>
      </c>
      <c r="I59" s="174">
        <v>117</v>
      </c>
      <c r="J59" s="175">
        <v>1922311</v>
      </c>
      <c r="K59" s="174">
        <v>22</v>
      </c>
      <c r="L59" s="175">
        <v>359165</v>
      </c>
      <c r="M59" s="174">
        <v>109</v>
      </c>
      <c r="N59" s="175">
        <v>2094152</v>
      </c>
      <c r="O59" s="174">
        <v>124</v>
      </c>
      <c r="P59" s="175">
        <v>3838086</v>
      </c>
      <c r="Q59" s="174">
        <v>146</v>
      </c>
      <c r="R59" s="175">
        <v>2117006</v>
      </c>
      <c r="S59" s="174">
        <v>135</v>
      </c>
      <c r="T59" s="176">
        <v>2236526</v>
      </c>
    </row>
    <row r="60" spans="2:20" ht="36" customHeight="1" x14ac:dyDescent="0.3">
      <c r="B60" s="173" t="s">
        <v>469</v>
      </c>
      <c r="C60" s="174">
        <v>93</v>
      </c>
      <c r="D60" s="175">
        <v>2022954</v>
      </c>
      <c r="E60" s="174">
        <v>69</v>
      </c>
      <c r="F60" s="175">
        <v>896018</v>
      </c>
      <c r="G60" s="174">
        <v>48</v>
      </c>
      <c r="H60" s="175">
        <v>404708</v>
      </c>
      <c r="I60" s="174">
        <v>111</v>
      </c>
      <c r="J60" s="175">
        <v>1922428</v>
      </c>
      <c r="K60" s="174">
        <v>22</v>
      </c>
      <c r="L60" s="175">
        <v>359187</v>
      </c>
      <c r="M60" s="174">
        <v>100</v>
      </c>
      <c r="N60" s="175">
        <v>2094261</v>
      </c>
      <c r="O60" s="174">
        <v>225</v>
      </c>
      <c r="P60" s="175">
        <v>3838210</v>
      </c>
      <c r="Q60" s="174">
        <v>150</v>
      </c>
      <c r="R60" s="175">
        <v>2117152</v>
      </c>
      <c r="S60" s="174">
        <v>146</v>
      </c>
      <c r="T60" s="176">
        <v>2236661</v>
      </c>
    </row>
    <row r="61" spans="2:20" ht="36" customHeight="1" x14ac:dyDescent="0.3">
      <c r="B61" s="173" t="s">
        <v>470</v>
      </c>
      <c r="C61" s="174">
        <v>87</v>
      </c>
      <c r="D61" s="175">
        <v>2023047</v>
      </c>
      <c r="E61" s="174">
        <v>67</v>
      </c>
      <c r="F61" s="175">
        <v>896087</v>
      </c>
      <c r="G61" s="174">
        <v>45</v>
      </c>
      <c r="H61" s="175">
        <v>404756</v>
      </c>
      <c r="I61" s="174">
        <v>101</v>
      </c>
      <c r="J61" s="175">
        <v>1922539</v>
      </c>
      <c r="K61" s="174">
        <v>21</v>
      </c>
      <c r="L61" s="175">
        <v>359209</v>
      </c>
      <c r="M61" s="174">
        <v>88</v>
      </c>
      <c r="N61" s="175">
        <v>2094361</v>
      </c>
      <c r="O61" s="174">
        <v>298</v>
      </c>
      <c r="P61" s="175">
        <v>3838435</v>
      </c>
      <c r="Q61" s="174">
        <v>157</v>
      </c>
      <c r="R61" s="175">
        <v>2117302</v>
      </c>
      <c r="S61" s="174">
        <v>131</v>
      </c>
      <c r="T61" s="176">
        <v>2236807</v>
      </c>
    </row>
    <row r="62" spans="2:20" ht="36" customHeight="1" thickBot="1" x14ac:dyDescent="0.35">
      <c r="B62" s="177" t="s">
        <v>471</v>
      </c>
      <c r="C62" s="178">
        <v>78</v>
      </c>
      <c r="D62" s="179">
        <v>2023134</v>
      </c>
      <c r="E62" s="178">
        <v>61</v>
      </c>
      <c r="F62" s="179">
        <v>896154</v>
      </c>
      <c r="G62" s="178">
        <v>41</v>
      </c>
      <c r="H62" s="179">
        <v>404801</v>
      </c>
      <c r="I62" s="178">
        <v>86</v>
      </c>
      <c r="J62" s="179">
        <v>1922640</v>
      </c>
      <c r="K62" s="178">
        <v>19</v>
      </c>
      <c r="L62" s="179">
        <v>359230</v>
      </c>
      <c r="M62" s="178">
        <v>73</v>
      </c>
      <c r="N62" s="179">
        <v>2094449</v>
      </c>
      <c r="O62" s="178">
        <v>355</v>
      </c>
      <c r="P62" s="179">
        <v>3838733</v>
      </c>
      <c r="Q62" s="178">
        <v>149</v>
      </c>
      <c r="R62" s="179">
        <v>2117459</v>
      </c>
      <c r="S62" s="178">
        <v>158</v>
      </c>
      <c r="T62" s="180">
        <v>2236938</v>
      </c>
    </row>
    <row r="63" spans="2:20" ht="36" customHeight="1" thickTop="1" x14ac:dyDescent="0.3">
      <c r="B63" s="181" t="s">
        <v>472</v>
      </c>
      <c r="C63" s="182">
        <f t="shared" ref="C63:T63" si="2">MIN(C39:C62)</f>
        <v>49</v>
      </c>
      <c r="D63" s="182">
        <f t="shared" si="2"/>
        <v>2021147</v>
      </c>
      <c r="E63" s="182">
        <f t="shared" si="2"/>
        <v>27</v>
      </c>
      <c r="F63" s="182">
        <f t="shared" si="2"/>
        <v>894900</v>
      </c>
      <c r="G63" s="182">
        <f t="shared" si="2"/>
        <v>18</v>
      </c>
      <c r="H63" s="182">
        <f t="shared" si="2"/>
        <v>403980</v>
      </c>
      <c r="I63" s="182">
        <f t="shared" si="2"/>
        <v>50</v>
      </c>
      <c r="J63" s="182">
        <f t="shared" si="2"/>
        <v>1920497</v>
      </c>
      <c r="K63" s="182">
        <f t="shared" si="2"/>
        <v>16</v>
      </c>
      <c r="L63" s="182">
        <f t="shared" si="2"/>
        <v>358717</v>
      </c>
      <c r="M63" s="182">
        <f t="shared" si="2"/>
        <v>38</v>
      </c>
      <c r="N63" s="182">
        <f t="shared" si="2"/>
        <v>2092163</v>
      </c>
      <c r="O63" s="182">
        <f t="shared" si="2"/>
        <v>43</v>
      </c>
      <c r="P63" s="182">
        <f t="shared" si="2"/>
        <v>3834893</v>
      </c>
      <c r="Q63" s="182">
        <f t="shared" si="2"/>
        <v>60</v>
      </c>
      <c r="R63" s="182">
        <f t="shared" si="2"/>
        <v>2114805</v>
      </c>
      <c r="S63" s="182">
        <f t="shared" si="2"/>
        <v>53</v>
      </c>
      <c r="T63" s="183">
        <f t="shared" si="2"/>
        <v>2234395</v>
      </c>
    </row>
    <row r="64" spans="2:20" ht="36" customHeight="1" x14ac:dyDescent="0.3">
      <c r="B64" s="173" t="s">
        <v>473</v>
      </c>
      <c r="C64" s="182">
        <f t="shared" ref="C64:T64" si="3">MAX(C39:C62)</f>
        <v>114</v>
      </c>
      <c r="D64" s="182">
        <f t="shared" si="3"/>
        <v>2023134</v>
      </c>
      <c r="E64" s="182">
        <f t="shared" si="3"/>
        <v>75</v>
      </c>
      <c r="F64" s="182">
        <f t="shared" si="3"/>
        <v>896154</v>
      </c>
      <c r="G64" s="182">
        <f t="shared" si="3"/>
        <v>53</v>
      </c>
      <c r="H64" s="182">
        <f t="shared" si="3"/>
        <v>404801</v>
      </c>
      <c r="I64" s="182">
        <f t="shared" si="3"/>
        <v>128</v>
      </c>
      <c r="J64" s="182">
        <f t="shared" si="3"/>
        <v>1922640</v>
      </c>
      <c r="K64" s="182">
        <f t="shared" si="3"/>
        <v>28</v>
      </c>
      <c r="L64" s="182">
        <f t="shared" si="3"/>
        <v>359230</v>
      </c>
      <c r="M64" s="182">
        <f t="shared" si="3"/>
        <v>252</v>
      </c>
      <c r="N64" s="182">
        <f t="shared" si="3"/>
        <v>2094449</v>
      </c>
      <c r="O64" s="182">
        <f t="shared" si="3"/>
        <v>355</v>
      </c>
      <c r="P64" s="182">
        <f t="shared" si="3"/>
        <v>3838733</v>
      </c>
      <c r="Q64" s="182">
        <f t="shared" si="3"/>
        <v>157</v>
      </c>
      <c r="R64" s="182">
        <f t="shared" si="3"/>
        <v>2117459</v>
      </c>
      <c r="S64" s="182">
        <f t="shared" si="3"/>
        <v>182</v>
      </c>
      <c r="T64" s="183">
        <f t="shared" si="3"/>
        <v>2236938</v>
      </c>
    </row>
    <row r="65" spans="2:39" ht="36" customHeight="1" x14ac:dyDescent="0.3">
      <c r="B65" s="173" t="s">
        <v>474</v>
      </c>
      <c r="C65" s="182">
        <f>AVERAGE(C39:C62)</f>
        <v>86.041666666666671</v>
      </c>
      <c r="D65" s="184"/>
      <c r="E65" s="182">
        <f>AVERAGE(E39:E62)</f>
        <v>54.791666666666664</v>
      </c>
      <c r="F65" s="184"/>
      <c r="G65" s="182">
        <f>AVERAGE(G39:G62)</f>
        <v>35.916666666666664</v>
      </c>
      <c r="H65" s="184"/>
      <c r="I65" s="182">
        <f>AVERAGE(I39:I62)</f>
        <v>92.875</v>
      </c>
      <c r="J65" s="184"/>
      <c r="K65" s="182">
        <f>AVERAGE(K39:K62)</f>
        <v>22.166666666666668</v>
      </c>
      <c r="L65" s="184"/>
      <c r="M65" s="182">
        <f>AVERAGE(M39:M62)</f>
        <v>98.291666666666671</v>
      </c>
      <c r="N65" s="184"/>
      <c r="O65" s="182">
        <f>AVERAGE(O39:O62)</f>
        <v>174.79166666666666</v>
      </c>
      <c r="P65" s="184"/>
      <c r="Q65" s="182">
        <f>AVERAGE(Q39:Q62)</f>
        <v>116.79166666666667</v>
      </c>
      <c r="R65" s="184"/>
      <c r="S65" s="182">
        <f>AVERAGE(S39:S62)</f>
        <v>112.54166666666667</v>
      </c>
      <c r="T65" s="185"/>
    </row>
    <row r="66" spans="2:39" ht="36" customHeight="1" thickBot="1" x14ac:dyDescent="0.35">
      <c r="B66" s="186" t="s">
        <v>475</v>
      </c>
      <c r="C66" s="187">
        <f>SUM(C39:C62)</f>
        <v>2065</v>
      </c>
      <c r="D66" s="188"/>
      <c r="E66" s="187">
        <f>SUM(E39:E62)</f>
        <v>1315</v>
      </c>
      <c r="F66" s="188"/>
      <c r="G66" s="187">
        <f>SUM(G39:G62)</f>
        <v>862</v>
      </c>
      <c r="H66" s="188"/>
      <c r="I66" s="187">
        <f>SUM(I39:I62)</f>
        <v>2229</v>
      </c>
      <c r="J66" s="188"/>
      <c r="K66" s="187">
        <f>SUM(K39:K62)</f>
        <v>532</v>
      </c>
      <c r="L66" s="188"/>
      <c r="M66" s="187">
        <f>SUM(M39:M62)</f>
        <v>2359</v>
      </c>
      <c r="N66" s="188"/>
      <c r="O66" s="187">
        <f>SUM(O39:O62)</f>
        <v>4195</v>
      </c>
      <c r="P66" s="188"/>
      <c r="Q66" s="187">
        <f>SUM(Q39:Q62)</f>
        <v>2803</v>
      </c>
      <c r="R66" s="188"/>
      <c r="S66" s="187">
        <f>SUM(S39:S62)</f>
        <v>2701</v>
      </c>
      <c r="T66" s="189"/>
    </row>
    <row r="67" spans="2:39" ht="9.9499999999999993" customHeight="1" thickBot="1" x14ac:dyDescent="0.35"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</row>
    <row r="68" spans="2:39" s="162" customFormat="1" ht="51.95" customHeight="1" thickBot="1" x14ac:dyDescent="0.35">
      <c r="B68" s="460" t="s">
        <v>486</v>
      </c>
      <c r="C68" s="461"/>
      <c r="D68" s="461"/>
      <c r="E68" s="461"/>
      <c r="F68" s="461"/>
      <c r="G68" s="461"/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2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</row>
    <row r="69" spans="2:39" s="164" customFormat="1" ht="36" customHeight="1" thickTop="1" x14ac:dyDescent="0.3">
      <c r="B69" s="163" t="s">
        <v>433</v>
      </c>
      <c r="C69" s="453" t="str">
        <f>C3</f>
        <v>2025년12월28일  일요일</v>
      </c>
      <c r="D69" s="453"/>
      <c r="E69" s="453"/>
      <c r="F69" s="453"/>
      <c r="G69" s="453"/>
      <c r="H69" s="453"/>
      <c r="I69" s="453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4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5"/>
    </row>
    <row r="70" spans="2:39" s="165" customFormat="1" ht="27.95" customHeight="1" x14ac:dyDescent="0.3">
      <c r="B70" s="455" t="s">
        <v>434</v>
      </c>
      <c r="C70" s="448" t="s">
        <v>485</v>
      </c>
      <c r="D70" s="449"/>
      <c r="E70" s="448" t="s">
        <v>487</v>
      </c>
      <c r="F70" s="449"/>
      <c r="G70" s="448" t="s">
        <v>488</v>
      </c>
      <c r="H70" s="449"/>
      <c r="I70" s="448" t="s">
        <v>489</v>
      </c>
      <c r="J70" s="449"/>
      <c r="K70" s="448" t="s">
        <v>490</v>
      </c>
      <c r="L70" s="449"/>
      <c r="M70" s="448" t="s">
        <v>491</v>
      </c>
      <c r="N70" s="449"/>
      <c r="O70" s="448" t="s">
        <v>492</v>
      </c>
      <c r="P70" s="449"/>
      <c r="Q70" s="448" t="s">
        <v>493</v>
      </c>
      <c r="R70" s="449"/>
      <c r="S70" s="448" t="s">
        <v>494</v>
      </c>
      <c r="T70" s="450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</row>
    <row r="71" spans="2:39" ht="27.95" customHeight="1" x14ac:dyDescent="0.3">
      <c r="B71" s="456"/>
      <c r="C71" s="166" t="s">
        <v>444</v>
      </c>
      <c r="D71" s="167" t="s">
        <v>445</v>
      </c>
      <c r="E71" s="166" t="s">
        <v>444</v>
      </c>
      <c r="F71" s="167" t="s">
        <v>445</v>
      </c>
      <c r="G71" s="166" t="s">
        <v>444</v>
      </c>
      <c r="H71" s="167" t="s">
        <v>445</v>
      </c>
      <c r="I71" s="166" t="s">
        <v>444</v>
      </c>
      <c r="J71" s="167" t="s">
        <v>445</v>
      </c>
      <c r="K71" s="166" t="s">
        <v>444</v>
      </c>
      <c r="L71" s="167" t="s">
        <v>445</v>
      </c>
      <c r="M71" s="166" t="s">
        <v>444</v>
      </c>
      <c r="N71" s="167" t="s">
        <v>445</v>
      </c>
      <c r="O71" s="166" t="s">
        <v>444</v>
      </c>
      <c r="P71" s="167" t="s">
        <v>445</v>
      </c>
      <c r="Q71" s="166" t="s">
        <v>444</v>
      </c>
      <c r="R71" s="167" t="s">
        <v>445</v>
      </c>
      <c r="S71" s="166" t="s">
        <v>446</v>
      </c>
      <c r="T71" s="168" t="s">
        <v>447</v>
      </c>
    </row>
    <row r="72" spans="2:39" ht="36" customHeight="1" x14ac:dyDescent="0.3">
      <c r="B72" s="169" t="s">
        <v>448</v>
      </c>
      <c r="C72" s="170">
        <v>87</v>
      </c>
      <c r="D72" s="171">
        <v>1479299</v>
      </c>
      <c r="E72" s="170">
        <v>110</v>
      </c>
      <c r="F72" s="171">
        <v>1929565</v>
      </c>
      <c r="G72" s="170">
        <v>224</v>
      </c>
      <c r="H72" s="171">
        <v>4770252</v>
      </c>
      <c r="I72" s="170">
        <v>68</v>
      </c>
      <c r="J72" s="171">
        <v>1047587</v>
      </c>
      <c r="K72" s="170">
        <v>26</v>
      </c>
      <c r="L72" s="171">
        <v>559039</v>
      </c>
      <c r="M72" s="170">
        <v>47</v>
      </c>
      <c r="N72" s="171">
        <v>1373158</v>
      </c>
      <c r="O72" s="170">
        <v>101</v>
      </c>
      <c r="P72" s="171">
        <v>2222605</v>
      </c>
      <c r="Q72" s="170">
        <v>135</v>
      </c>
      <c r="R72" s="171">
        <v>3754044</v>
      </c>
      <c r="S72" s="170">
        <v>111</v>
      </c>
      <c r="T72" s="172">
        <v>2907713</v>
      </c>
    </row>
    <row r="73" spans="2:39" ht="36" customHeight="1" x14ac:dyDescent="0.3">
      <c r="B73" s="173" t="s">
        <v>449</v>
      </c>
      <c r="C73" s="174">
        <v>80</v>
      </c>
      <c r="D73" s="175">
        <v>1479386</v>
      </c>
      <c r="E73" s="174">
        <v>103</v>
      </c>
      <c r="F73" s="175">
        <v>1929675</v>
      </c>
      <c r="G73" s="174">
        <v>200</v>
      </c>
      <c r="H73" s="175">
        <v>4770476</v>
      </c>
      <c r="I73" s="174">
        <v>60</v>
      </c>
      <c r="J73" s="175">
        <v>1047655</v>
      </c>
      <c r="K73" s="174">
        <v>24</v>
      </c>
      <c r="L73" s="175">
        <v>559065</v>
      </c>
      <c r="M73" s="174">
        <v>40</v>
      </c>
      <c r="N73" s="175">
        <v>1373205</v>
      </c>
      <c r="O73" s="174">
        <v>95</v>
      </c>
      <c r="P73" s="175">
        <v>2222706</v>
      </c>
      <c r="Q73" s="174">
        <v>122</v>
      </c>
      <c r="R73" s="175">
        <v>3754179</v>
      </c>
      <c r="S73" s="174">
        <v>94</v>
      </c>
      <c r="T73" s="176">
        <v>2907824</v>
      </c>
    </row>
    <row r="74" spans="2:39" ht="36" customHeight="1" x14ac:dyDescent="0.3">
      <c r="B74" s="173" t="s">
        <v>450</v>
      </c>
      <c r="C74" s="174">
        <v>77</v>
      </c>
      <c r="D74" s="175">
        <v>1479466</v>
      </c>
      <c r="E74" s="174">
        <v>86</v>
      </c>
      <c r="F74" s="175">
        <v>1929778</v>
      </c>
      <c r="G74" s="174">
        <v>141</v>
      </c>
      <c r="H74" s="175">
        <v>4770676</v>
      </c>
      <c r="I74" s="174">
        <v>55</v>
      </c>
      <c r="J74" s="175">
        <v>1047715</v>
      </c>
      <c r="K74" s="174">
        <v>22</v>
      </c>
      <c r="L74" s="175">
        <v>559089</v>
      </c>
      <c r="M74" s="174">
        <v>35</v>
      </c>
      <c r="N74" s="175">
        <v>1373245</v>
      </c>
      <c r="O74" s="174">
        <v>88</v>
      </c>
      <c r="P74" s="175">
        <v>2222801</v>
      </c>
      <c r="Q74" s="174">
        <v>112</v>
      </c>
      <c r="R74" s="175">
        <v>3754301</v>
      </c>
      <c r="S74" s="174">
        <v>82</v>
      </c>
      <c r="T74" s="176">
        <v>2907918</v>
      </c>
    </row>
    <row r="75" spans="2:39" ht="36" customHeight="1" x14ac:dyDescent="0.3">
      <c r="B75" s="173" t="s">
        <v>451</v>
      </c>
      <c r="C75" s="174">
        <v>69</v>
      </c>
      <c r="D75" s="175">
        <v>1479543</v>
      </c>
      <c r="E75" s="174">
        <v>80</v>
      </c>
      <c r="F75" s="175">
        <v>1929864</v>
      </c>
      <c r="G75" s="174">
        <v>168</v>
      </c>
      <c r="H75" s="175">
        <v>4770817</v>
      </c>
      <c r="I75" s="174">
        <v>53</v>
      </c>
      <c r="J75" s="175">
        <v>1047770</v>
      </c>
      <c r="K75" s="174">
        <v>20</v>
      </c>
      <c r="L75" s="175">
        <v>559111</v>
      </c>
      <c r="M75" s="174">
        <v>32</v>
      </c>
      <c r="N75" s="175">
        <v>1373280</v>
      </c>
      <c r="O75" s="174">
        <v>83</v>
      </c>
      <c r="P75" s="175">
        <v>2222889</v>
      </c>
      <c r="Q75" s="174">
        <v>105</v>
      </c>
      <c r="R75" s="175">
        <v>3754413</v>
      </c>
      <c r="S75" s="174">
        <v>73</v>
      </c>
      <c r="T75" s="176">
        <v>2908000</v>
      </c>
    </row>
    <row r="76" spans="2:39" ht="36" customHeight="1" x14ac:dyDescent="0.3">
      <c r="B76" s="173" t="s">
        <v>452</v>
      </c>
      <c r="C76" s="174">
        <v>75</v>
      </c>
      <c r="D76" s="175">
        <v>1479612</v>
      </c>
      <c r="E76" s="174">
        <v>87</v>
      </c>
      <c r="F76" s="175">
        <v>1929944</v>
      </c>
      <c r="G76" s="174">
        <v>138</v>
      </c>
      <c r="H76" s="175">
        <v>4770985</v>
      </c>
      <c r="I76" s="174">
        <v>51</v>
      </c>
      <c r="J76" s="175">
        <v>1047823</v>
      </c>
      <c r="K76" s="174">
        <v>21</v>
      </c>
      <c r="L76" s="175">
        <v>559131</v>
      </c>
      <c r="M76" s="174">
        <v>31</v>
      </c>
      <c r="N76" s="175">
        <v>1373312</v>
      </c>
      <c r="O76" s="174">
        <v>81</v>
      </c>
      <c r="P76" s="175">
        <v>2222972</v>
      </c>
      <c r="Q76" s="174">
        <v>103</v>
      </c>
      <c r="R76" s="175">
        <v>3754518</v>
      </c>
      <c r="S76" s="174">
        <v>67</v>
      </c>
      <c r="T76" s="176">
        <v>2908073</v>
      </c>
    </row>
    <row r="77" spans="2:39" ht="36" customHeight="1" x14ac:dyDescent="0.3">
      <c r="B77" s="173" t="s">
        <v>453</v>
      </c>
      <c r="C77" s="174">
        <v>70</v>
      </c>
      <c r="D77" s="175">
        <v>1479687</v>
      </c>
      <c r="E77" s="174">
        <v>64</v>
      </c>
      <c r="F77" s="175">
        <v>1930031</v>
      </c>
      <c r="G77" s="174">
        <v>110</v>
      </c>
      <c r="H77" s="175">
        <v>4771123</v>
      </c>
      <c r="I77" s="174">
        <v>53</v>
      </c>
      <c r="J77" s="175">
        <v>1047874</v>
      </c>
      <c r="K77" s="174">
        <v>21</v>
      </c>
      <c r="L77" s="175">
        <v>559152</v>
      </c>
      <c r="M77" s="174">
        <v>32</v>
      </c>
      <c r="N77" s="175">
        <v>1373343</v>
      </c>
      <c r="O77" s="174">
        <v>79</v>
      </c>
      <c r="P77" s="175">
        <v>2223053</v>
      </c>
      <c r="Q77" s="174">
        <v>115</v>
      </c>
      <c r="R77" s="175">
        <v>3754621</v>
      </c>
      <c r="S77" s="174">
        <v>69</v>
      </c>
      <c r="T77" s="176">
        <v>2908140</v>
      </c>
    </row>
    <row r="78" spans="2:39" ht="36" customHeight="1" x14ac:dyDescent="0.3">
      <c r="B78" s="173" t="s">
        <v>454</v>
      </c>
      <c r="C78" s="174">
        <v>61</v>
      </c>
      <c r="D78" s="175">
        <v>1479757</v>
      </c>
      <c r="E78" s="174">
        <v>71</v>
      </c>
      <c r="F78" s="175">
        <v>1930095</v>
      </c>
      <c r="G78" s="174">
        <v>119</v>
      </c>
      <c r="H78" s="175">
        <v>4771233</v>
      </c>
      <c r="I78" s="174">
        <v>60</v>
      </c>
      <c r="J78" s="175">
        <v>1047927</v>
      </c>
      <c r="K78" s="174">
        <v>23</v>
      </c>
      <c r="L78" s="175">
        <v>559173</v>
      </c>
      <c r="M78" s="174">
        <v>35</v>
      </c>
      <c r="N78" s="175">
        <v>1373375</v>
      </c>
      <c r="O78" s="174">
        <v>84</v>
      </c>
      <c r="P78" s="175">
        <v>2223132</v>
      </c>
      <c r="Q78" s="174">
        <v>148</v>
      </c>
      <c r="R78" s="175">
        <v>3754736</v>
      </c>
      <c r="S78" s="174">
        <v>77</v>
      </c>
      <c r="T78" s="176">
        <v>2908209</v>
      </c>
    </row>
    <row r="79" spans="2:39" ht="36" customHeight="1" x14ac:dyDescent="0.3">
      <c r="B79" s="173" t="s">
        <v>455</v>
      </c>
      <c r="C79" s="174">
        <v>54</v>
      </c>
      <c r="D79" s="175">
        <v>1479818</v>
      </c>
      <c r="E79" s="174">
        <v>86</v>
      </c>
      <c r="F79" s="175">
        <v>1930166</v>
      </c>
      <c r="G79" s="174">
        <v>139</v>
      </c>
      <c r="H79" s="175">
        <v>4771352</v>
      </c>
      <c r="I79" s="174">
        <v>70</v>
      </c>
      <c r="J79" s="175">
        <v>1047987</v>
      </c>
      <c r="K79" s="174">
        <v>25</v>
      </c>
      <c r="L79" s="175">
        <v>559196</v>
      </c>
      <c r="M79" s="174">
        <v>44</v>
      </c>
      <c r="N79" s="175">
        <v>1373410</v>
      </c>
      <c r="O79" s="174">
        <v>92</v>
      </c>
      <c r="P79" s="175">
        <v>2223216</v>
      </c>
      <c r="Q79" s="174">
        <v>171</v>
      </c>
      <c r="R79" s="175">
        <v>3754884</v>
      </c>
      <c r="S79" s="174">
        <v>84</v>
      </c>
      <c r="T79" s="176">
        <v>2908286</v>
      </c>
    </row>
    <row r="80" spans="2:39" ht="36" customHeight="1" x14ac:dyDescent="0.3">
      <c r="B80" s="173" t="s">
        <v>456</v>
      </c>
      <c r="C80" s="174">
        <v>54</v>
      </c>
      <c r="D80" s="175">
        <v>1479872</v>
      </c>
      <c r="E80" s="174">
        <v>86</v>
      </c>
      <c r="F80" s="175">
        <v>1930252</v>
      </c>
      <c r="G80" s="174">
        <v>172</v>
      </c>
      <c r="H80" s="175">
        <v>4771491</v>
      </c>
      <c r="I80" s="174">
        <v>85</v>
      </c>
      <c r="J80" s="175">
        <v>1048057</v>
      </c>
      <c r="K80" s="174">
        <v>31</v>
      </c>
      <c r="L80" s="175">
        <v>559221</v>
      </c>
      <c r="M80" s="174">
        <v>57</v>
      </c>
      <c r="N80" s="175">
        <v>1373454</v>
      </c>
      <c r="O80" s="174">
        <v>113</v>
      </c>
      <c r="P80" s="175">
        <v>2223308</v>
      </c>
      <c r="Q80" s="174">
        <v>200</v>
      </c>
      <c r="R80" s="175">
        <v>3755055</v>
      </c>
      <c r="S80" s="174">
        <v>110</v>
      </c>
      <c r="T80" s="176">
        <v>2908370</v>
      </c>
    </row>
    <row r="81" spans="2:20" ht="36" customHeight="1" x14ac:dyDescent="0.3">
      <c r="B81" s="173" t="s">
        <v>457</v>
      </c>
      <c r="C81" s="174">
        <v>59</v>
      </c>
      <c r="D81" s="175">
        <v>1479926</v>
      </c>
      <c r="E81" s="174">
        <v>77</v>
      </c>
      <c r="F81" s="175">
        <v>1930338</v>
      </c>
      <c r="G81" s="174">
        <v>214</v>
      </c>
      <c r="H81" s="175">
        <v>4771663</v>
      </c>
      <c r="I81" s="174">
        <v>101</v>
      </c>
      <c r="J81" s="175">
        <v>1048142</v>
      </c>
      <c r="K81" s="174">
        <v>37</v>
      </c>
      <c r="L81" s="175">
        <v>559252</v>
      </c>
      <c r="M81" s="174">
        <v>74</v>
      </c>
      <c r="N81" s="175">
        <v>1373511</v>
      </c>
      <c r="O81" s="174">
        <v>124</v>
      </c>
      <c r="P81" s="175">
        <v>2223421</v>
      </c>
      <c r="Q81" s="174">
        <v>397</v>
      </c>
      <c r="R81" s="175">
        <v>3755255</v>
      </c>
      <c r="S81" s="174">
        <v>126</v>
      </c>
      <c r="T81" s="176">
        <v>2908480</v>
      </c>
    </row>
    <row r="82" spans="2:20" ht="36" customHeight="1" x14ac:dyDescent="0.3">
      <c r="B82" s="173" t="s">
        <v>458</v>
      </c>
      <c r="C82" s="174">
        <v>69</v>
      </c>
      <c r="D82" s="175">
        <v>1479985</v>
      </c>
      <c r="E82" s="174">
        <v>101</v>
      </c>
      <c r="F82" s="175">
        <v>1930415</v>
      </c>
      <c r="G82" s="174">
        <v>242</v>
      </c>
      <c r="H82" s="175">
        <v>4771877</v>
      </c>
      <c r="I82" s="174">
        <v>107</v>
      </c>
      <c r="J82" s="175">
        <v>1048243</v>
      </c>
      <c r="K82" s="174">
        <v>40</v>
      </c>
      <c r="L82" s="175">
        <v>559289</v>
      </c>
      <c r="M82" s="174">
        <v>81</v>
      </c>
      <c r="N82" s="175">
        <v>1373585</v>
      </c>
      <c r="O82" s="174">
        <v>130</v>
      </c>
      <c r="P82" s="175">
        <v>2223545</v>
      </c>
      <c r="Q82" s="174">
        <v>268</v>
      </c>
      <c r="R82" s="175">
        <v>3755652</v>
      </c>
      <c r="S82" s="174">
        <v>171</v>
      </c>
      <c r="T82" s="176">
        <v>2908606</v>
      </c>
    </row>
    <row r="83" spans="2:20" ht="36" customHeight="1" x14ac:dyDescent="0.3">
      <c r="B83" s="173" t="s">
        <v>459</v>
      </c>
      <c r="C83" s="174">
        <v>69</v>
      </c>
      <c r="D83" s="175">
        <v>1480054</v>
      </c>
      <c r="E83" s="174">
        <v>102</v>
      </c>
      <c r="F83" s="175">
        <v>1930516</v>
      </c>
      <c r="G83" s="174">
        <v>249</v>
      </c>
      <c r="H83" s="175">
        <v>4772119</v>
      </c>
      <c r="I83" s="174">
        <v>108</v>
      </c>
      <c r="J83" s="175">
        <v>1048350</v>
      </c>
      <c r="K83" s="174">
        <v>38</v>
      </c>
      <c r="L83" s="175">
        <v>559329</v>
      </c>
      <c r="M83" s="174">
        <v>126</v>
      </c>
      <c r="N83" s="175">
        <v>1373666</v>
      </c>
      <c r="O83" s="174">
        <v>124</v>
      </c>
      <c r="P83" s="175">
        <v>2223675</v>
      </c>
      <c r="Q83" s="174">
        <v>153</v>
      </c>
      <c r="R83" s="175">
        <v>3755920</v>
      </c>
      <c r="S83" s="174">
        <v>154</v>
      </c>
      <c r="T83" s="176">
        <v>2908777</v>
      </c>
    </row>
    <row r="84" spans="2:20" ht="36" customHeight="1" x14ac:dyDescent="0.3">
      <c r="B84" s="173" t="s">
        <v>460</v>
      </c>
      <c r="C84" s="174">
        <v>85</v>
      </c>
      <c r="D84" s="175">
        <v>1480123</v>
      </c>
      <c r="E84" s="174">
        <v>87</v>
      </c>
      <c r="F84" s="175">
        <v>1930618</v>
      </c>
      <c r="G84" s="174">
        <v>247</v>
      </c>
      <c r="H84" s="175">
        <v>4772368</v>
      </c>
      <c r="I84" s="174">
        <v>107</v>
      </c>
      <c r="J84" s="175">
        <v>1048458</v>
      </c>
      <c r="K84" s="174">
        <v>35</v>
      </c>
      <c r="L84" s="175">
        <v>559367</v>
      </c>
      <c r="M84" s="174">
        <v>79</v>
      </c>
      <c r="N84" s="175">
        <v>1373792</v>
      </c>
      <c r="O84" s="174">
        <v>124</v>
      </c>
      <c r="P84" s="175">
        <v>2223799</v>
      </c>
      <c r="Q84" s="174">
        <v>158</v>
      </c>
      <c r="R84" s="175">
        <v>3756073</v>
      </c>
      <c r="S84" s="174">
        <v>149</v>
      </c>
      <c r="T84" s="176">
        <v>2908931</v>
      </c>
    </row>
    <row r="85" spans="2:20" ht="36" customHeight="1" x14ac:dyDescent="0.3">
      <c r="B85" s="173" t="s">
        <v>461</v>
      </c>
      <c r="C85" s="174">
        <v>80</v>
      </c>
      <c r="D85" s="175">
        <v>1480208</v>
      </c>
      <c r="E85" s="174">
        <v>98</v>
      </c>
      <c r="F85" s="175">
        <v>1930705</v>
      </c>
      <c r="G85" s="174">
        <v>245</v>
      </c>
      <c r="H85" s="175">
        <v>4772615</v>
      </c>
      <c r="I85" s="174">
        <v>97</v>
      </c>
      <c r="J85" s="175">
        <v>1048565</v>
      </c>
      <c r="K85" s="174">
        <v>37</v>
      </c>
      <c r="L85" s="175">
        <v>559402</v>
      </c>
      <c r="M85" s="174">
        <v>78</v>
      </c>
      <c r="N85" s="175">
        <v>1373871</v>
      </c>
      <c r="O85" s="174">
        <v>123</v>
      </c>
      <c r="P85" s="175">
        <v>2223923</v>
      </c>
      <c r="Q85" s="174">
        <v>161</v>
      </c>
      <c r="R85" s="175">
        <v>3756231</v>
      </c>
      <c r="S85" s="174">
        <v>147</v>
      </c>
      <c r="T85" s="176">
        <v>2909080</v>
      </c>
    </row>
    <row r="86" spans="2:20" ht="36" customHeight="1" x14ac:dyDescent="0.3">
      <c r="B86" s="173" t="s">
        <v>462</v>
      </c>
      <c r="C86" s="174">
        <v>80</v>
      </c>
      <c r="D86" s="175">
        <v>1480288</v>
      </c>
      <c r="E86" s="174">
        <v>85</v>
      </c>
      <c r="F86" s="175">
        <v>1930803</v>
      </c>
      <c r="G86" s="174">
        <v>272</v>
      </c>
      <c r="H86" s="175">
        <v>4772860</v>
      </c>
      <c r="I86" s="174">
        <v>94</v>
      </c>
      <c r="J86" s="175">
        <v>1048662</v>
      </c>
      <c r="K86" s="174">
        <v>34</v>
      </c>
      <c r="L86" s="175">
        <v>559439</v>
      </c>
      <c r="M86" s="174">
        <v>71</v>
      </c>
      <c r="N86" s="175">
        <v>1373949</v>
      </c>
      <c r="O86" s="174">
        <v>120</v>
      </c>
      <c r="P86" s="175">
        <v>2224046</v>
      </c>
      <c r="Q86" s="174">
        <v>461</v>
      </c>
      <c r="R86" s="175">
        <v>3756392</v>
      </c>
      <c r="S86" s="174">
        <v>146</v>
      </c>
      <c r="T86" s="176">
        <v>2909227</v>
      </c>
    </row>
    <row r="87" spans="2:20" ht="36" customHeight="1" x14ac:dyDescent="0.3">
      <c r="B87" s="173" t="s">
        <v>463</v>
      </c>
      <c r="C87" s="174">
        <v>88</v>
      </c>
      <c r="D87" s="175">
        <v>1480368</v>
      </c>
      <c r="E87" s="174">
        <v>93</v>
      </c>
      <c r="F87" s="175">
        <v>1930888</v>
      </c>
      <c r="G87" s="174">
        <v>389</v>
      </c>
      <c r="H87" s="175">
        <v>4773132</v>
      </c>
      <c r="I87" s="174">
        <v>94</v>
      </c>
      <c r="J87" s="175">
        <v>1048756</v>
      </c>
      <c r="K87" s="174">
        <v>36</v>
      </c>
      <c r="L87" s="175">
        <v>559473</v>
      </c>
      <c r="M87" s="174">
        <v>74</v>
      </c>
      <c r="N87" s="175">
        <v>1374020</v>
      </c>
      <c r="O87" s="174">
        <v>113</v>
      </c>
      <c r="P87" s="175">
        <v>2224166</v>
      </c>
      <c r="Q87" s="174">
        <v>189</v>
      </c>
      <c r="R87" s="175">
        <v>3756853</v>
      </c>
      <c r="S87" s="174">
        <v>140</v>
      </c>
      <c r="T87" s="176">
        <v>2909373</v>
      </c>
    </row>
    <row r="88" spans="2:20" ht="36" customHeight="1" x14ac:dyDescent="0.3">
      <c r="B88" s="173" t="s">
        <v>464</v>
      </c>
      <c r="C88" s="174">
        <v>90</v>
      </c>
      <c r="D88" s="175">
        <v>1480456</v>
      </c>
      <c r="E88" s="174">
        <v>105</v>
      </c>
      <c r="F88" s="175">
        <v>1930981</v>
      </c>
      <c r="G88" s="174">
        <v>382</v>
      </c>
      <c r="H88" s="175">
        <v>4773521</v>
      </c>
      <c r="I88" s="174">
        <v>91</v>
      </c>
      <c r="J88" s="175">
        <v>1048850</v>
      </c>
      <c r="K88" s="174">
        <v>34</v>
      </c>
      <c r="L88" s="175">
        <v>559509</v>
      </c>
      <c r="M88" s="174">
        <v>72</v>
      </c>
      <c r="N88" s="175">
        <v>1374094</v>
      </c>
      <c r="O88" s="174">
        <v>119</v>
      </c>
      <c r="P88" s="175">
        <v>2224279</v>
      </c>
      <c r="Q88" s="174">
        <v>283</v>
      </c>
      <c r="R88" s="175">
        <v>3757042</v>
      </c>
      <c r="S88" s="174">
        <v>142</v>
      </c>
      <c r="T88" s="176">
        <v>2909513</v>
      </c>
    </row>
    <row r="89" spans="2:20" ht="36" customHeight="1" x14ac:dyDescent="0.3">
      <c r="B89" s="173" t="s">
        <v>465</v>
      </c>
      <c r="C89" s="174">
        <v>87</v>
      </c>
      <c r="D89" s="175">
        <v>1480546</v>
      </c>
      <c r="E89" s="174">
        <v>115</v>
      </c>
      <c r="F89" s="175">
        <v>1931086</v>
      </c>
      <c r="G89" s="174">
        <v>243</v>
      </c>
      <c r="H89" s="175">
        <v>4773903</v>
      </c>
      <c r="I89" s="174">
        <v>96</v>
      </c>
      <c r="J89" s="175">
        <v>1048941</v>
      </c>
      <c r="K89" s="174">
        <v>36</v>
      </c>
      <c r="L89" s="175">
        <v>559543</v>
      </c>
      <c r="M89" s="174">
        <v>81</v>
      </c>
      <c r="N89" s="175">
        <v>1374166</v>
      </c>
      <c r="O89" s="174">
        <v>123</v>
      </c>
      <c r="P89" s="175">
        <v>2224398</v>
      </c>
      <c r="Q89" s="174">
        <v>228</v>
      </c>
      <c r="R89" s="175">
        <v>3757325</v>
      </c>
      <c r="S89" s="174">
        <v>157</v>
      </c>
      <c r="T89" s="176">
        <v>2909655</v>
      </c>
    </row>
    <row r="90" spans="2:20" ht="36" customHeight="1" x14ac:dyDescent="0.3">
      <c r="B90" s="173" t="s">
        <v>466</v>
      </c>
      <c r="C90" s="174">
        <v>85</v>
      </c>
      <c r="D90" s="175">
        <v>1480633</v>
      </c>
      <c r="E90" s="174">
        <v>138</v>
      </c>
      <c r="F90" s="175">
        <v>1931201</v>
      </c>
      <c r="G90" s="174">
        <v>265</v>
      </c>
      <c r="H90" s="175">
        <v>4774146</v>
      </c>
      <c r="I90" s="174">
        <v>98</v>
      </c>
      <c r="J90" s="175">
        <v>1049037</v>
      </c>
      <c r="K90" s="174">
        <v>36</v>
      </c>
      <c r="L90" s="175">
        <v>559579</v>
      </c>
      <c r="M90" s="174">
        <v>78</v>
      </c>
      <c r="N90" s="175">
        <v>1374247</v>
      </c>
      <c r="O90" s="174">
        <v>121</v>
      </c>
      <c r="P90" s="175">
        <v>2224521</v>
      </c>
      <c r="Q90" s="174">
        <v>208</v>
      </c>
      <c r="R90" s="175">
        <v>3757553</v>
      </c>
      <c r="S90" s="174">
        <v>164</v>
      </c>
      <c r="T90" s="176">
        <v>2909812</v>
      </c>
    </row>
    <row r="91" spans="2:20" ht="36" customHeight="1" x14ac:dyDescent="0.3">
      <c r="B91" s="173" t="s">
        <v>467</v>
      </c>
      <c r="C91" s="174">
        <v>90</v>
      </c>
      <c r="D91" s="175">
        <v>1480718</v>
      </c>
      <c r="E91" s="174">
        <v>141</v>
      </c>
      <c r="F91" s="175">
        <v>1931339</v>
      </c>
      <c r="G91" s="174">
        <v>335</v>
      </c>
      <c r="H91" s="175">
        <v>4774411</v>
      </c>
      <c r="I91" s="174">
        <v>100</v>
      </c>
      <c r="J91" s="175">
        <v>1049135</v>
      </c>
      <c r="K91" s="174">
        <v>39</v>
      </c>
      <c r="L91" s="175">
        <v>559615</v>
      </c>
      <c r="M91" s="174">
        <v>78</v>
      </c>
      <c r="N91" s="175">
        <v>1374325</v>
      </c>
      <c r="O91" s="174">
        <v>122</v>
      </c>
      <c r="P91" s="175">
        <v>2224642</v>
      </c>
      <c r="Q91" s="174">
        <v>249</v>
      </c>
      <c r="R91" s="175">
        <v>3757761</v>
      </c>
      <c r="S91" s="174">
        <v>169</v>
      </c>
      <c r="T91" s="176">
        <v>2909976</v>
      </c>
    </row>
    <row r="92" spans="2:20" ht="36" customHeight="1" x14ac:dyDescent="0.3">
      <c r="B92" s="173" t="s">
        <v>468</v>
      </c>
      <c r="C92" s="174">
        <v>91</v>
      </c>
      <c r="D92" s="175">
        <v>1480808</v>
      </c>
      <c r="E92" s="174">
        <v>137</v>
      </c>
      <c r="F92" s="175">
        <v>1931480</v>
      </c>
      <c r="G92" s="174">
        <v>357</v>
      </c>
      <c r="H92" s="175">
        <v>4774746</v>
      </c>
      <c r="I92" s="174">
        <v>101</v>
      </c>
      <c r="J92" s="175">
        <v>1049235</v>
      </c>
      <c r="K92" s="174">
        <v>39</v>
      </c>
      <c r="L92" s="175">
        <v>559654</v>
      </c>
      <c r="M92" s="174">
        <v>81</v>
      </c>
      <c r="N92" s="175">
        <v>1374403</v>
      </c>
      <c r="O92" s="174">
        <v>127</v>
      </c>
      <c r="P92" s="175">
        <v>2224764</v>
      </c>
      <c r="Q92" s="174">
        <v>237</v>
      </c>
      <c r="R92" s="175">
        <v>3758010</v>
      </c>
      <c r="S92" s="174">
        <v>169</v>
      </c>
      <c r="T92" s="176">
        <v>2910145</v>
      </c>
    </row>
    <row r="93" spans="2:20" ht="36" customHeight="1" x14ac:dyDescent="0.3">
      <c r="B93" s="173" t="s">
        <v>469</v>
      </c>
      <c r="C93" s="174">
        <v>93</v>
      </c>
      <c r="D93" s="175">
        <v>1480899</v>
      </c>
      <c r="E93" s="174">
        <v>157</v>
      </c>
      <c r="F93" s="175">
        <v>1931617</v>
      </c>
      <c r="G93" s="174">
        <v>374</v>
      </c>
      <c r="H93" s="175">
        <v>4775103</v>
      </c>
      <c r="I93" s="174">
        <v>101</v>
      </c>
      <c r="J93" s="175">
        <v>1049336</v>
      </c>
      <c r="K93" s="174">
        <v>37</v>
      </c>
      <c r="L93" s="175">
        <v>559693</v>
      </c>
      <c r="M93" s="174">
        <v>78</v>
      </c>
      <c r="N93" s="175">
        <v>1374484</v>
      </c>
      <c r="O93" s="174">
        <v>123</v>
      </c>
      <c r="P93" s="175">
        <v>2224891</v>
      </c>
      <c r="Q93" s="174">
        <v>205</v>
      </c>
      <c r="R93" s="175">
        <v>3758247</v>
      </c>
      <c r="S93" s="174">
        <v>166</v>
      </c>
      <c r="T93" s="176">
        <v>2910314</v>
      </c>
    </row>
    <row r="94" spans="2:20" ht="36" customHeight="1" x14ac:dyDescent="0.3">
      <c r="B94" s="173" t="s">
        <v>470</v>
      </c>
      <c r="C94" s="174">
        <v>99</v>
      </c>
      <c r="D94" s="175">
        <v>1480992</v>
      </c>
      <c r="E94" s="174">
        <v>148</v>
      </c>
      <c r="F94" s="175">
        <v>1931774</v>
      </c>
      <c r="G94" s="174">
        <v>435</v>
      </c>
      <c r="H94" s="175">
        <v>4775477</v>
      </c>
      <c r="I94" s="174">
        <v>90</v>
      </c>
      <c r="J94" s="175">
        <v>1049437</v>
      </c>
      <c r="K94" s="174">
        <v>34</v>
      </c>
      <c r="L94" s="175">
        <v>559730</v>
      </c>
      <c r="M94" s="174">
        <v>67</v>
      </c>
      <c r="N94" s="175">
        <v>1374562</v>
      </c>
      <c r="O94" s="174">
        <v>121</v>
      </c>
      <c r="P94" s="175">
        <v>2225014</v>
      </c>
      <c r="Q94" s="174">
        <v>214</v>
      </c>
      <c r="R94" s="175">
        <v>3758452</v>
      </c>
      <c r="S94" s="174">
        <v>176</v>
      </c>
      <c r="T94" s="176">
        <v>2910480</v>
      </c>
    </row>
    <row r="95" spans="2:20" ht="36" customHeight="1" thickBot="1" x14ac:dyDescent="0.35">
      <c r="B95" s="177" t="s">
        <v>471</v>
      </c>
      <c r="C95" s="178">
        <v>106</v>
      </c>
      <c r="D95" s="179">
        <v>1481091</v>
      </c>
      <c r="E95" s="178">
        <v>115</v>
      </c>
      <c r="F95" s="179">
        <v>1931922</v>
      </c>
      <c r="G95" s="178">
        <v>287</v>
      </c>
      <c r="H95" s="179">
        <v>4775912</v>
      </c>
      <c r="I95" s="178">
        <v>80</v>
      </c>
      <c r="J95" s="179">
        <v>1049527</v>
      </c>
      <c r="K95" s="178">
        <v>31</v>
      </c>
      <c r="L95" s="179">
        <v>559764</v>
      </c>
      <c r="M95" s="178">
        <v>61</v>
      </c>
      <c r="N95" s="179">
        <v>1374629</v>
      </c>
      <c r="O95" s="178">
        <v>108</v>
      </c>
      <c r="P95" s="179">
        <v>2225135</v>
      </c>
      <c r="Q95" s="178">
        <v>153</v>
      </c>
      <c r="R95" s="179">
        <v>3758666</v>
      </c>
      <c r="S95" s="178">
        <v>133</v>
      </c>
      <c r="T95" s="180">
        <v>2910656</v>
      </c>
    </row>
    <row r="96" spans="2:20" ht="36" customHeight="1" thickTop="1" x14ac:dyDescent="0.3">
      <c r="B96" s="181" t="s">
        <v>472</v>
      </c>
      <c r="C96" s="182">
        <f t="shared" ref="C96:T96" si="4">MIN(C72:C95)</f>
        <v>54</v>
      </c>
      <c r="D96" s="182">
        <f t="shared" si="4"/>
        <v>1479299</v>
      </c>
      <c r="E96" s="182">
        <f t="shared" si="4"/>
        <v>64</v>
      </c>
      <c r="F96" s="182">
        <f t="shared" si="4"/>
        <v>1929565</v>
      </c>
      <c r="G96" s="182">
        <f t="shared" si="4"/>
        <v>110</v>
      </c>
      <c r="H96" s="182">
        <f t="shared" si="4"/>
        <v>4770252</v>
      </c>
      <c r="I96" s="182">
        <f t="shared" si="4"/>
        <v>51</v>
      </c>
      <c r="J96" s="182">
        <f t="shared" si="4"/>
        <v>1047587</v>
      </c>
      <c r="K96" s="182">
        <f t="shared" si="4"/>
        <v>20</v>
      </c>
      <c r="L96" s="182">
        <f t="shared" si="4"/>
        <v>559039</v>
      </c>
      <c r="M96" s="182">
        <f t="shared" si="4"/>
        <v>31</v>
      </c>
      <c r="N96" s="182">
        <f t="shared" si="4"/>
        <v>1373158</v>
      </c>
      <c r="O96" s="182">
        <f t="shared" si="4"/>
        <v>79</v>
      </c>
      <c r="P96" s="182">
        <f t="shared" si="4"/>
        <v>2222605</v>
      </c>
      <c r="Q96" s="182">
        <f t="shared" si="4"/>
        <v>103</v>
      </c>
      <c r="R96" s="182">
        <f t="shared" si="4"/>
        <v>3754044</v>
      </c>
      <c r="S96" s="182">
        <f t="shared" si="4"/>
        <v>67</v>
      </c>
      <c r="T96" s="183">
        <f t="shared" si="4"/>
        <v>2907713</v>
      </c>
    </row>
    <row r="97" spans="1:21" ht="36" customHeight="1" x14ac:dyDescent="0.3">
      <c r="B97" s="173" t="s">
        <v>473</v>
      </c>
      <c r="C97" s="182">
        <f t="shared" ref="C97:T97" si="5">MAX(C72:C95)</f>
        <v>106</v>
      </c>
      <c r="D97" s="182">
        <f t="shared" si="5"/>
        <v>1481091</v>
      </c>
      <c r="E97" s="182">
        <f t="shared" si="5"/>
        <v>157</v>
      </c>
      <c r="F97" s="182">
        <f t="shared" si="5"/>
        <v>1931922</v>
      </c>
      <c r="G97" s="182">
        <f t="shared" si="5"/>
        <v>435</v>
      </c>
      <c r="H97" s="182">
        <f t="shared" si="5"/>
        <v>4775912</v>
      </c>
      <c r="I97" s="182">
        <f t="shared" si="5"/>
        <v>108</v>
      </c>
      <c r="J97" s="182">
        <f t="shared" si="5"/>
        <v>1049527</v>
      </c>
      <c r="K97" s="182">
        <f t="shared" si="5"/>
        <v>40</v>
      </c>
      <c r="L97" s="182">
        <f t="shared" si="5"/>
        <v>559764</v>
      </c>
      <c r="M97" s="182">
        <f t="shared" si="5"/>
        <v>126</v>
      </c>
      <c r="N97" s="182">
        <f t="shared" si="5"/>
        <v>1374629</v>
      </c>
      <c r="O97" s="182">
        <f t="shared" si="5"/>
        <v>130</v>
      </c>
      <c r="P97" s="182">
        <f t="shared" si="5"/>
        <v>2225135</v>
      </c>
      <c r="Q97" s="182">
        <f t="shared" si="5"/>
        <v>461</v>
      </c>
      <c r="R97" s="182">
        <f t="shared" si="5"/>
        <v>3758666</v>
      </c>
      <c r="S97" s="182">
        <f t="shared" si="5"/>
        <v>176</v>
      </c>
      <c r="T97" s="183">
        <f t="shared" si="5"/>
        <v>2910656</v>
      </c>
    </row>
    <row r="98" spans="1:21" ht="36" customHeight="1" x14ac:dyDescent="0.3">
      <c r="B98" s="173" t="s">
        <v>474</v>
      </c>
      <c r="C98" s="182">
        <f>AVERAGE(C72:C95)</f>
        <v>79.083333333333329</v>
      </c>
      <c r="D98" s="184"/>
      <c r="E98" s="182">
        <f>AVERAGE(E72:E95)</f>
        <v>103</v>
      </c>
      <c r="F98" s="184"/>
      <c r="G98" s="182">
        <f>AVERAGE(G72:G95)</f>
        <v>247.79166666666666</v>
      </c>
      <c r="H98" s="184"/>
      <c r="I98" s="182">
        <f>AVERAGE(I72:I95)</f>
        <v>84.166666666666671</v>
      </c>
      <c r="J98" s="184"/>
      <c r="K98" s="182">
        <f>AVERAGE(K72:K95)</f>
        <v>31.5</v>
      </c>
      <c r="L98" s="184"/>
      <c r="M98" s="182">
        <f>AVERAGE(M72:M95)</f>
        <v>63.833333333333336</v>
      </c>
      <c r="N98" s="184"/>
      <c r="O98" s="182">
        <f>AVERAGE(O72:O95)</f>
        <v>109.91666666666667</v>
      </c>
      <c r="P98" s="184"/>
      <c r="Q98" s="182">
        <f>AVERAGE(Q72:Q95)</f>
        <v>198.95833333333334</v>
      </c>
      <c r="R98" s="184"/>
      <c r="S98" s="182">
        <f>AVERAGE(S72:S95)</f>
        <v>128.16666666666666</v>
      </c>
      <c r="T98" s="185"/>
    </row>
    <row r="99" spans="1:21" ht="36" customHeight="1" thickBot="1" x14ac:dyDescent="0.35">
      <c r="B99" s="186" t="s">
        <v>475</v>
      </c>
      <c r="C99" s="187">
        <f>SUM(C72:C95)</f>
        <v>1898</v>
      </c>
      <c r="D99" s="188"/>
      <c r="E99" s="187">
        <f>SUM(E72:E95)</f>
        <v>2472</v>
      </c>
      <c r="F99" s="188"/>
      <c r="G99" s="187">
        <f>SUM(G72:G95)</f>
        <v>5947</v>
      </c>
      <c r="H99" s="188"/>
      <c r="I99" s="187">
        <f>SUM(I72:I95)</f>
        <v>2020</v>
      </c>
      <c r="J99" s="188"/>
      <c r="K99" s="187">
        <f>SUM(K72:K95)</f>
        <v>756</v>
      </c>
      <c r="L99" s="188"/>
      <c r="M99" s="187">
        <f>SUM(M72:M95)</f>
        <v>1532</v>
      </c>
      <c r="N99" s="188"/>
      <c r="O99" s="187">
        <f>SUM(O72:O95)</f>
        <v>2638</v>
      </c>
      <c r="P99" s="188"/>
      <c r="Q99" s="187">
        <f>SUM(Q72:Q95)</f>
        <v>4775</v>
      </c>
      <c r="R99" s="188"/>
      <c r="S99" s="187">
        <f>SUM(S72:S95)</f>
        <v>3076</v>
      </c>
      <c r="T99" s="189"/>
    </row>
    <row r="100" spans="1:21" ht="9.9499999999999993" customHeight="1" thickBot="1" x14ac:dyDescent="0.35"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</row>
    <row r="101" spans="1:21" ht="51.95" customHeight="1" thickBot="1" x14ac:dyDescent="0.35">
      <c r="A101" s="162"/>
      <c r="B101" s="457" t="s">
        <v>496</v>
      </c>
      <c r="C101" s="458"/>
      <c r="D101" s="458"/>
      <c r="E101" s="458"/>
      <c r="F101" s="458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458"/>
      <c r="R101" s="458"/>
      <c r="S101" s="458"/>
      <c r="T101" s="459"/>
      <c r="U101" s="162"/>
    </row>
    <row r="102" spans="1:21" ht="36" customHeight="1" thickTop="1" x14ac:dyDescent="0.3">
      <c r="A102" s="164"/>
      <c r="B102" s="191" t="s">
        <v>433</v>
      </c>
      <c r="C102" s="453" t="str">
        <f>C3</f>
        <v>2025년12월28일  일요일</v>
      </c>
      <c r="D102" s="453"/>
      <c r="E102" s="453"/>
      <c r="F102" s="453"/>
      <c r="G102" s="453"/>
      <c r="H102" s="453"/>
      <c r="I102" s="453"/>
      <c r="J102" s="453"/>
      <c r="K102" s="453"/>
      <c r="L102" s="453"/>
      <c r="M102" s="453"/>
      <c r="N102" s="453"/>
      <c r="O102" s="453"/>
      <c r="P102" s="453"/>
      <c r="Q102" s="453"/>
      <c r="R102" s="453"/>
      <c r="S102" s="453"/>
      <c r="T102" s="454"/>
      <c r="U102" s="164"/>
    </row>
    <row r="103" spans="1:21" ht="27.95" customHeight="1" x14ac:dyDescent="0.3">
      <c r="A103" s="165"/>
      <c r="B103" s="451" t="s">
        <v>434</v>
      </c>
      <c r="C103" s="448" t="s">
        <v>495</v>
      </c>
      <c r="D103" s="449"/>
      <c r="E103" s="448" t="s">
        <v>497</v>
      </c>
      <c r="F103" s="449"/>
      <c r="G103" s="448" t="s">
        <v>498</v>
      </c>
      <c r="H103" s="449"/>
      <c r="I103" s="448" t="s">
        <v>499</v>
      </c>
      <c r="J103" s="449"/>
      <c r="K103" s="448" t="s">
        <v>500</v>
      </c>
      <c r="L103" s="449"/>
      <c r="M103" s="448" t="s">
        <v>501</v>
      </c>
      <c r="N103" s="449"/>
      <c r="O103" s="448" t="s">
        <v>502</v>
      </c>
      <c r="P103" s="449"/>
      <c r="Q103" s="448" t="s">
        <v>503</v>
      </c>
      <c r="R103" s="449"/>
      <c r="S103" s="448" t="s">
        <v>713</v>
      </c>
      <c r="T103" s="450"/>
      <c r="U103" s="165"/>
    </row>
    <row r="104" spans="1:21" ht="27.95" customHeight="1" x14ac:dyDescent="0.3">
      <c r="B104" s="452"/>
      <c r="C104" s="166" t="s">
        <v>444</v>
      </c>
      <c r="D104" s="167" t="s">
        <v>445</v>
      </c>
      <c r="E104" s="166" t="s">
        <v>444</v>
      </c>
      <c r="F104" s="167" t="s">
        <v>445</v>
      </c>
      <c r="G104" s="166" t="s">
        <v>444</v>
      </c>
      <c r="H104" s="167" t="s">
        <v>445</v>
      </c>
      <c r="I104" s="166" t="s">
        <v>444</v>
      </c>
      <c r="J104" s="167" t="s">
        <v>445</v>
      </c>
      <c r="K104" s="166" t="s">
        <v>444</v>
      </c>
      <c r="L104" s="167" t="s">
        <v>445</v>
      </c>
      <c r="M104" s="166" t="s">
        <v>444</v>
      </c>
      <c r="N104" s="167" t="s">
        <v>445</v>
      </c>
      <c r="O104" s="166" t="s">
        <v>444</v>
      </c>
      <c r="P104" s="167" t="s">
        <v>445</v>
      </c>
      <c r="Q104" s="166" t="s">
        <v>444</v>
      </c>
      <c r="R104" s="167" t="s">
        <v>445</v>
      </c>
      <c r="S104" s="166" t="s">
        <v>446</v>
      </c>
      <c r="T104" s="168" t="s">
        <v>447</v>
      </c>
    </row>
    <row r="105" spans="1:21" ht="36" customHeight="1" x14ac:dyDescent="0.3">
      <c r="B105" s="169" t="s">
        <v>448</v>
      </c>
      <c r="C105" s="170">
        <v>66</v>
      </c>
      <c r="D105" s="171">
        <v>1270164</v>
      </c>
      <c r="E105" s="170">
        <v>48</v>
      </c>
      <c r="F105" s="171">
        <v>1338171</v>
      </c>
      <c r="G105" s="170">
        <v>116</v>
      </c>
      <c r="H105" s="171">
        <v>954258</v>
      </c>
      <c r="I105" s="170">
        <v>34</v>
      </c>
      <c r="J105" s="171">
        <v>2558918</v>
      </c>
      <c r="K105" s="170">
        <v>52</v>
      </c>
      <c r="L105" s="171">
        <v>7013504</v>
      </c>
      <c r="M105" s="170">
        <v>61</v>
      </c>
      <c r="N105" s="171">
        <v>6284809</v>
      </c>
      <c r="O105" s="170">
        <v>122</v>
      </c>
      <c r="P105" s="171">
        <v>3141679</v>
      </c>
      <c r="Q105" s="170">
        <v>60</v>
      </c>
      <c r="R105" s="171">
        <v>1749461</v>
      </c>
      <c r="S105" s="170">
        <v>9</v>
      </c>
      <c r="T105" s="172">
        <v>613573</v>
      </c>
    </row>
    <row r="106" spans="1:21" ht="36" customHeight="1" x14ac:dyDescent="0.3">
      <c r="B106" s="173" t="s">
        <v>449</v>
      </c>
      <c r="C106" s="174">
        <v>58</v>
      </c>
      <c r="D106" s="175">
        <v>1270230</v>
      </c>
      <c r="E106" s="174">
        <v>45</v>
      </c>
      <c r="F106" s="175">
        <v>1338219</v>
      </c>
      <c r="G106" s="174">
        <v>85</v>
      </c>
      <c r="H106" s="175">
        <v>954374</v>
      </c>
      <c r="I106" s="174">
        <v>31</v>
      </c>
      <c r="J106" s="175">
        <v>2558952</v>
      </c>
      <c r="K106" s="174">
        <v>42</v>
      </c>
      <c r="L106" s="175">
        <v>7013556</v>
      </c>
      <c r="M106" s="174">
        <v>57</v>
      </c>
      <c r="N106" s="175">
        <v>6284870</v>
      </c>
      <c r="O106" s="174">
        <v>117</v>
      </c>
      <c r="P106" s="175">
        <v>3141801</v>
      </c>
      <c r="Q106" s="174">
        <v>44</v>
      </c>
      <c r="R106" s="175">
        <v>1749521</v>
      </c>
      <c r="S106" s="174">
        <v>8</v>
      </c>
      <c r="T106" s="176">
        <v>613582</v>
      </c>
    </row>
    <row r="107" spans="1:21" ht="36" customHeight="1" x14ac:dyDescent="0.3">
      <c r="B107" s="173" t="s">
        <v>450</v>
      </c>
      <c r="C107" s="174">
        <v>53</v>
      </c>
      <c r="D107" s="175">
        <v>1270288</v>
      </c>
      <c r="E107" s="174">
        <v>41</v>
      </c>
      <c r="F107" s="175">
        <v>1338264</v>
      </c>
      <c r="G107" s="174">
        <v>4</v>
      </c>
      <c r="H107" s="175">
        <v>954459</v>
      </c>
      <c r="I107" s="174">
        <v>29</v>
      </c>
      <c r="J107" s="175">
        <v>2558983</v>
      </c>
      <c r="K107" s="174">
        <v>37</v>
      </c>
      <c r="L107" s="175">
        <v>7013598</v>
      </c>
      <c r="M107" s="174">
        <v>55</v>
      </c>
      <c r="N107" s="175">
        <v>6284927</v>
      </c>
      <c r="O107" s="174">
        <v>115</v>
      </c>
      <c r="P107" s="175">
        <v>3141918</v>
      </c>
      <c r="Q107" s="174">
        <v>35</v>
      </c>
      <c r="R107" s="175">
        <v>1749565</v>
      </c>
      <c r="S107" s="174">
        <v>6</v>
      </c>
      <c r="T107" s="176">
        <v>613590</v>
      </c>
    </row>
    <row r="108" spans="1:21" ht="36" customHeight="1" x14ac:dyDescent="0.3">
      <c r="B108" s="173" t="s">
        <v>451</v>
      </c>
      <c r="C108" s="174">
        <v>46</v>
      </c>
      <c r="D108" s="175">
        <v>1270341</v>
      </c>
      <c r="E108" s="174">
        <v>40</v>
      </c>
      <c r="F108" s="175">
        <v>1338305</v>
      </c>
      <c r="G108" s="174">
        <v>170</v>
      </c>
      <c r="H108" s="175">
        <v>954463</v>
      </c>
      <c r="I108" s="174">
        <v>28</v>
      </c>
      <c r="J108" s="175">
        <v>2559012</v>
      </c>
      <c r="K108" s="174">
        <v>31</v>
      </c>
      <c r="L108" s="175">
        <v>7013635</v>
      </c>
      <c r="M108" s="174">
        <v>54</v>
      </c>
      <c r="N108" s="175">
        <v>6284982</v>
      </c>
      <c r="O108" s="174">
        <v>114</v>
      </c>
      <c r="P108" s="175">
        <v>3142033</v>
      </c>
      <c r="Q108" s="174">
        <v>33</v>
      </c>
      <c r="R108" s="175">
        <v>1749600</v>
      </c>
      <c r="S108" s="174">
        <v>9</v>
      </c>
      <c r="T108" s="176">
        <v>613596</v>
      </c>
    </row>
    <row r="109" spans="1:21" ht="36" customHeight="1" x14ac:dyDescent="0.3">
      <c r="B109" s="173" t="s">
        <v>452</v>
      </c>
      <c r="C109" s="174">
        <v>42</v>
      </c>
      <c r="D109" s="175">
        <v>1270387</v>
      </c>
      <c r="E109" s="174">
        <v>40</v>
      </c>
      <c r="F109" s="175">
        <v>1338345</v>
      </c>
      <c r="G109" s="174">
        <v>168</v>
      </c>
      <c r="H109" s="175">
        <v>954633</v>
      </c>
      <c r="I109" s="174">
        <v>28</v>
      </c>
      <c r="J109" s="175">
        <v>2559040</v>
      </c>
      <c r="K109" s="174">
        <v>27</v>
      </c>
      <c r="L109" s="175">
        <v>7013666</v>
      </c>
      <c r="M109" s="174">
        <v>54</v>
      </c>
      <c r="N109" s="175">
        <v>6285036</v>
      </c>
      <c r="O109" s="174">
        <v>115</v>
      </c>
      <c r="P109" s="175">
        <v>3142147</v>
      </c>
      <c r="Q109" s="174">
        <v>30</v>
      </c>
      <c r="R109" s="175">
        <v>1749633</v>
      </c>
      <c r="S109" s="174">
        <v>7</v>
      </c>
      <c r="T109" s="176">
        <v>613605</v>
      </c>
    </row>
    <row r="110" spans="1:21" ht="36" customHeight="1" x14ac:dyDescent="0.3">
      <c r="B110" s="173" t="s">
        <v>453</v>
      </c>
      <c r="C110" s="174">
        <v>42</v>
      </c>
      <c r="D110" s="175">
        <v>1270429</v>
      </c>
      <c r="E110" s="174">
        <v>41</v>
      </c>
      <c r="F110" s="175">
        <v>1338385</v>
      </c>
      <c r="G110" s="174">
        <v>134</v>
      </c>
      <c r="H110" s="175">
        <v>954801</v>
      </c>
      <c r="I110" s="174">
        <v>30</v>
      </c>
      <c r="J110" s="175">
        <v>2559068</v>
      </c>
      <c r="K110" s="174">
        <v>30</v>
      </c>
      <c r="L110" s="175">
        <v>7013693</v>
      </c>
      <c r="M110" s="174">
        <v>56</v>
      </c>
      <c r="N110" s="175">
        <v>6285090</v>
      </c>
      <c r="O110" s="174">
        <v>117</v>
      </c>
      <c r="P110" s="175">
        <v>3142262</v>
      </c>
      <c r="Q110" s="174">
        <v>30</v>
      </c>
      <c r="R110" s="175">
        <v>1749663</v>
      </c>
      <c r="S110" s="174">
        <v>7</v>
      </c>
      <c r="T110" s="176">
        <v>613612</v>
      </c>
    </row>
    <row r="111" spans="1:21" ht="36" customHeight="1" x14ac:dyDescent="0.3">
      <c r="B111" s="173" t="s">
        <v>454</v>
      </c>
      <c r="C111" s="174">
        <v>42</v>
      </c>
      <c r="D111" s="175">
        <v>1270471</v>
      </c>
      <c r="E111" s="174">
        <v>46</v>
      </c>
      <c r="F111" s="175">
        <v>1338426</v>
      </c>
      <c r="G111" s="174">
        <v>1</v>
      </c>
      <c r="H111" s="175">
        <v>954935</v>
      </c>
      <c r="I111" s="174">
        <v>32</v>
      </c>
      <c r="J111" s="175">
        <v>2559098</v>
      </c>
      <c r="K111" s="174">
        <v>37</v>
      </c>
      <c r="L111" s="175">
        <v>7013723</v>
      </c>
      <c r="M111" s="174">
        <v>59</v>
      </c>
      <c r="N111" s="175">
        <v>6285146</v>
      </c>
      <c r="O111" s="174">
        <v>120</v>
      </c>
      <c r="P111" s="175">
        <v>3142379</v>
      </c>
      <c r="Q111" s="174">
        <v>33</v>
      </c>
      <c r="R111" s="175">
        <v>1749693</v>
      </c>
      <c r="S111" s="174">
        <v>19</v>
      </c>
      <c r="T111" s="176">
        <v>613619</v>
      </c>
    </row>
    <row r="112" spans="1:21" ht="36" customHeight="1" x14ac:dyDescent="0.3">
      <c r="B112" s="173" t="s">
        <v>455</v>
      </c>
      <c r="C112" s="174">
        <v>44</v>
      </c>
      <c r="D112" s="175">
        <v>1270513</v>
      </c>
      <c r="E112" s="174">
        <v>53</v>
      </c>
      <c r="F112" s="175">
        <v>1338472</v>
      </c>
      <c r="G112" s="174">
        <v>4</v>
      </c>
      <c r="H112" s="175">
        <v>954936</v>
      </c>
      <c r="I112" s="174">
        <v>38</v>
      </c>
      <c r="J112" s="175">
        <v>2559130</v>
      </c>
      <c r="K112" s="174">
        <v>51</v>
      </c>
      <c r="L112" s="175">
        <v>7013760</v>
      </c>
      <c r="M112" s="174">
        <v>77</v>
      </c>
      <c r="N112" s="175">
        <v>6285205</v>
      </c>
      <c r="O112" s="174">
        <v>127</v>
      </c>
      <c r="P112" s="175">
        <v>3142499</v>
      </c>
      <c r="Q112" s="174">
        <v>39</v>
      </c>
      <c r="R112" s="175">
        <v>1749726</v>
      </c>
      <c r="S112" s="174">
        <v>13</v>
      </c>
      <c r="T112" s="176">
        <v>613638</v>
      </c>
    </row>
    <row r="113" spans="2:20" ht="36" customHeight="1" x14ac:dyDescent="0.3">
      <c r="B113" s="173" t="s">
        <v>456</v>
      </c>
      <c r="C113" s="174">
        <v>53</v>
      </c>
      <c r="D113" s="175">
        <v>1270557</v>
      </c>
      <c r="E113" s="174">
        <v>78</v>
      </c>
      <c r="F113" s="175">
        <v>1338525</v>
      </c>
      <c r="G113" s="174">
        <v>2</v>
      </c>
      <c r="H113" s="175">
        <v>954940</v>
      </c>
      <c r="I113" s="174">
        <v>50</v>
      </c>
      <c r="J113" s="175">
        <v>2559168</v>
      </c>
      <c r="K113" s="174">
        <v>71</v>
      </c>
      <c r="L113" s="175">
        <v>7013811</v>
      </c>
      <c r="M113" s="174">
        <v>92</v>
      </c>
      <c r="N113" s="175">
        <v>6285282</v>
      </c>
      <c r="O113" s="174">
        <v>136</v>
      </c>
      <c r="P113" s="175">
        <v>3142626</v>
      </c>
      <c r="Q113" s="174">
        <v>55</v>
      </c>
      <c r="R113" s="175">
        <v>1749765</v>
      </c>
      <c r="S113" s="174">
        <v>13</v>
      </c>
      <c r="T113" s="176">
        <v>613651</v>
      </c>
    </row>
    <row r="114" spans="2:20" ht="36" customHeight="1" x14ac:dyDescent="0.3">
      <c r="B114" s="173" t="s">
        <v>457</v>
      </c>
      <c r="C114" s="174">
        <v>69</v>
      </c>
      <c r="D114" s="175">
        <v>1270610</v>
      </c>
      <c r="E114" s="174">
        <v>95</v>
      </c>
      <c r="F114" s="175">
        <v>1338603</v>
      </c>
      <c r="G114" s="174">
        <v>3</v>
      </c>
      <c r="H114" s="175">
        <v>954942</v>
      </c>
      <c r="I114" s="174">
        <v>59</v>
      </c>
      <c r="J114" s="175">
        <v>2559218</v>
      </c>
      <c r="K114" s="174">
        <v>79</v>
      </c>
      <c r="L114" s="175">
        <v>7013882</v>
      </c>
      <c r="M114" s="174">
        <v>103</v>
      </c>
      <c r="N114" s="175">
        <v>6285374</v>
      </c>
      <c r="O114" s="174">
        <v>142</v>
      </c>
      <c r="P114" s="175">
        <v>3142762</v>
      </c>
      <c r="Q114" s="174">
        <v>67</v>
      </c>
      <c r="R114" s="175">
        <v>1749820</v>
      </c>
      <c r="S114" s="174">
        <v>19</v>
      </c>
      <c r="T114" s="176">
        <v>613664</v>
      </c>
    </row>
    <row r="115" spans="2:20" ht="36" customHeight="1" x14ac:dyDescent="0.3">
      <c r="B115" s="173" t="s">
        <v>458</v>
      </c>
      <c r="C115" s="174">
        <v>79</v>
      </c>
      <c r="D115" s="175">
        <v>1270679</v>
      </c>
      <c r="E115" s="174">
        <v>99</v>
      </c>
      <c r="F115" s="175">
        <v>1338698</v>
      </c>
      <c r="G115" s="174">
        <v>4</v>
      </c>
      <c r="H115" s="175">
        <v>954945</v>
      </c>
      <c r="I115" s="174">
        <v>63</v>
      </c>
      <c r="J115" s="175">
        <v>2559277</v>
      </c>
      <c r="K115" s="174">
        <v>84</v>
      </c>
      <c r="L115" s="175">
        <v>7013961</v>
      </c>
      <c r="M115" s="174">
        <v>104</v>
      </c>
      <c r="N115" s="175">
        <v>6285477</v>
      </c>
      <c r="O115" s="174">
        <v>146</v>
      </c>
      <c r="P115" s="175">
        <v>3142904</v>
      </c>
      <c r="Q115" s="174">
        <v>84</v>
      </c>
      <c r="R115" s="175">
        <v>1749887</v>
      </c>
      <c r="S115" s="174">
        <v>27</v>
      </c>
      <c r="T115" s="176">
        <v>613683</v>
      </c>
    </row>
    <row r="116" spans="2:20" ht="36" customHeight="1" x14ac:dyDescent="0.3">
      <c r="B116" s="173" t="s">
        <v>459</v>
      </c>
      <c r="C116" s="174">
        <v>81</v>
      </c>
      <c r="D116" s="175">
        <v>1270758</v>
      </c>
      <c r="E116" s="174">
        <v>103</v>
      </c>
      <c r="F116" s="175">
        <v>1338797</v>
      </c>
      <c r="G116" s="174">
        <v>2</v>
      </c>
      <c r="H116" s="175">
        <v>954949</v>
      </c>
      <c r="I116" s="174">
        <v>59</v>
      </c>
      <c r="J116" s="175">
        <v>2559340</v>
      </c>
      <c r="K116" s="174">
        <v>99</v>
      </c>
      <c r="L116" s="175">
        <v>7014045</v>
      </c>
      <c r="M116" s="174">
        <v>93</v>
      </c>
      <c r="N116" s="175">
        <v>6285581</v>
      </c>
      <c r="O116" s="174">
        <v>142</v>
      </c>
      <c r="P116" s="175">
        <v>3143050</v>
      </c>
      <c r="Q116" s="174">
        <v>98</v>
      </c>
      <c r="R116" s="175">
        <v>1749971</v>
      </c>
      <c r="S116" s="174">
        <v>14</v>
      </c>
      <c r="T116" s="176">
        <v>613710</v>
      </c>
    </row>
    <row r="117" spans="2:20" ht="36" customHeight="1" x14ac:dyDescent="0.3">
      <c r="B117" s="173" t="s">
        <v>460</v>
      </c>
      <c r="C117" s="174">
        <v>97</v>
      </c>
      <c r="D117" s="175">
        <v>1270839</v>
      </c>
      <c r="E117" s="174">
        <v>102</v>
      </c>
      <c r="F117" s="175">
        <v>1338900</v>
      </c>
      <c r="G117" s="174">
        <v>27</v>
      </c>
      <c r="H117" s="175">
        <v>954951</v>
      </c>
      <c r="I117" s="174">
        <v>58</v>
      </c>
      <c r="J117" s="175">
        <v>2559399</v>
      </c>
      <c r="K117" s="174">
        <v>101</v>
      </c>
      <c r="L117" s="175">
        <v>7014144</v>
      </c>
      <c r="M117" s="174">
        <v>111</v>
      </c>
      <c r="N117" s="175">
        <v>6285674</v>
      </c>
      <c r="O117" s="174">
        <v>140</v>
      </c>
      <c r="P117" s="175">
        <v>3143192</v>
      </c>
      <c r="Q117" s="174">
        <v>88</v>
      </c>
      <c r="R117" s="175">
        <v>1750069</v>
      </c>
      <c r="S117" s="174">
        <v>16</v>
      </c>
      <c r="T117" s="176">
        <v>613724</v>
      </c>
    </row>
    <row r="118" spans="2:20" ht="36" customHeight="1" x14ac:dyDescent="0.3">
      <c r="B118" s="173" t="s">
        <v>461</v>
      </c>
      <c r="C118" s="174">
        <v>102</v>
      </c>
      <c r="D118" s="175">
        <v>1270936</v>
      </c>
      <c r="E118" s="174">
        <v>99</v>
      </c>
      <c r="F118" s="175">
        <v>1339002</v>
      </c>
      <c r="G118" s="174">
        <v>167</v>
      </c>
      <c r="H118" s="175">
        <v>954978</v>
      </c>
      <c r="I118" s="174">
        <v>56</v>
      </c>
      <c r="J118" s="175">
        <v>2559457</v>
      </c>
      <c r="K118" s="174">
        <v>81</v>
      </c>
      <c r="L118" s="175">
        <v>7014245</v>
      </c>
      <c r="M118" s="174">
        <v>116</v>
      </c>
      <c r="N118" s="175">
        <v>6285785</v>
      </c>
      <c r="O118" s="174">
        <v>138</v>
      </c>
      <c r="P118" s="175">
        <v>3143332</v>
      </c>
      <c r="Q118" s="174">
        <v>90</v>
      </c>
      <c r="R118" s="175">
        <v>1750157</v>
      </c>
      <c r="S118" s="174">
        <v>25</v>
      </c>
      <c r="T118" s="176">
        <v>613740</v>
      </c>
    </row>
    <row r="119" spans="2:20" ht="36" customHeight="1" x14ac:dyDescent="0.3">
      <c r="B119" s="173" t="s">
        <v>462</v>
      </c>
      <c r="C119" s="174">
        <v>82</v>
      </c>
      <c r="D119" s="175">
        <v>1271038</v>
      </c>
      <c r="E119" s="174">
        <v>92</v>
      </c>
      <c r="F119" s="175">
        <v>1339101</v>
      </c>
      <c r="G119" s="174">
        <v>165</v>
      </c>
      <c r="H119" s="175">
        <v>955145</v>
      </c>
      <c r="I119" s="174">
        <v>56</v>
      </c>
      <c r="J119" s="175">
        <v>2559513</v>
      </c>
      <c r="K119" s="174">
        <v>84</v>
      </c>
      <c r="L119" s="175">
        <v>7014326</v>
      </c>
      <c r="M119" s="174">
        <v>108</v>
      </c>
      <c r="N119" s="175">
        <v>6285901</v>
      </c>
      <c r="O119" s="174">
        <v>137</v>
      </c>
      <c r="P119" s="175">
        <v>3143470</v>
      </c>
      <c r="Q119" s="174">
        <v>82</v>
      </c>
      <c r="R119" s="175">
        <v>1750247</v>
      </c>
      <c r="S119" s="174">
        <v>15</v>
      </c>
      <c r="T119" s="176">
        <v>613765</v>
      </c>
    </row>
    <row r="120" spans="2:20" ht="36" customHeight="1" x14ac:dyDescent="0.3">
      <c r="B120" s="173" t="s">
        <v>463</v>
      </c>
      <c r="C120" s="174">
        <v>89</v>
      </c>
      <c r="D120" s="175">
        <v>1271120</v>
      </c>
      <c r="E120" s="174">
        <v>88</v>
      </c>
      <c r="F120" s="175">
        <v>1339193</v>
      </c>
      <c r="G120" s="174">
        <v>166</v>
      </c>
      <c r="H120" s="175">
        <v>955310</v>
      </c>
      <c r="I120" s="174">
        <v>55</v>
      </c>
      <c r="J120" s="175">
        <v>2559569</v>
      </c>
      <c r="K120" s="174">
        <v>80</v>
      </c>
      <c r="L120" s="175">
        <v>7014410</v>
      </c>
      <c r="M120" s="174">
        <v>102</v>
      </c>
      <c r="N120" s="175">
        <v>6286009</v>
      </c>
      <c r="O120" s="174">
        <v>136</v>
      </c>
      <c r="P120" s="175">
        <v>3143607</v>
      </c>
      <c r="Q120" s="174">
        <v>83</v>
      </c>
      <c r="R120" s="175">
        <v>1750329</v>
      </c>
      <c r="S120" s="174">
        <v>13</v>
      </c>
      <c r="T120" s="176">
        <v>613780</v>
      </c>
    </row>
    <row r="121" spans="2:20" ht="36" customHeight="1" x14ac:dyDescent="0.3">
      <c r="B121" s="173" t="s">
        <v>464</v>
      </c>
      <c r="C121" s="174">
        <v>84</v>
      </c>
      <c r="D121" s="175">
        <v>1271209</v>
      </c>
      <c r="E121" s="174">
        <v>87</v>
      </c>
      <c r="F121" s="175">
        <v>1339281</v>
      </c>
      <c r="G121" s="174">
        <v>165</v>
      </c>
      <c r="H121" s="175">
        <v>955476</v>
      </c>
      <c r="I121" s="174">
        <v>56</v>
      </c>
      <c r="J121" s="175">
        <v>2559624</v>
      </c>
      <c r="K121" s="174">
        <v>83</v>
      </c>
      <c r="L121" s="175">
        <v>7014490</v>
      </c>
      <c r="M121" s="174">
        <v>103</v>
      </c>
      <c r="N121" s="175">
        <v>6286111</v>
      </c>
      <c r="O121" s="174">
        <v>133</v>
      </c>
      <c r="P121" s="175">
        <v>3143743</v>
      </c>
      <c r="Q121" s="174">
        <v>78</v>
      </c>
      <c r="R121" s="175">
        <v>1750412</v>
      </c>
      <c r="S121" s="174">
        <v>16</v>
      </c>
      <c r="T121" s="176">
        <v>613793</v>
      </c>
    </row>
    <row r="122" spans="2:20" ht="36" customHeight="1" x14ac:dyDescent="0.3">
      <c r="B122" s="173" t="s">
        <v>465</v>
      </c>
      <c r="C122" s="174">
        <v>89</v>
      </c>
      <c r="D122" s="175">
        <v>1271293</v>
      </c>
      <c r="E122" s="174">
        <v>89</v>
      </c>
      <c r="F122" s="175">
        <v>1339368</v>
      </c>
      <c r="G122" s="174">
        <v>47</v>
      </c>
      <c r="H122" s="175">
        <v>955641</v>
      </c>
      <c r="I122" s="174">
        <v>59</v>
      </c>
      <c r="J122" s="175">
        <v>2559680</v>
      </c>
      <c r="K122" s="174">
        <v>90</v>
      </c>
      <c r="L122" s="175">
        <v>7014573</v>
      </c>
      <c r="M122" s="174">
        <v>96</v>
      </c>
      <c r="N122" s="175">
        <v>6286214</v>
      </c>
      <c r="O122" s="174">
        <v>136</v>
      </c>
      <c r="P122" s="175">
        <v>3143876</v>
      </c>
      <c r="Q122" s="174">
        <v>77</v>
      </c>
      <c r="R122" s="175">
        <v>1750490</v>
      </c>
      <c r="S122" s="174">
        <v>23</v>
      </c>
      <c r="T122" s="176">
        <v>613809</v>
      </c>
    </row>
    <row r="123" spans="2:20" ht="36" customHeight="1" x14ac:dyDescent="0.3">
      <c r="B123" s="173" t="s">
        <v>466</v>
      </c>
      <c r="C123" s="174">
        <v>86</v>
      </c>
      <c r="D123" s="175">
        <v>1271382</v>
      </c>
      <c r="E123" s="174">
        <v>92</v>
      </c>
      <c r="F123" s="175">
        <v>1339457</v>
      </c>
      <c r="G123" s="174">
        <v>2</v>
      </c>
      <c r="H123" s="175">
        <v>955688</v>
      </c>
      <c r="I123" s="174">
        <v>59</v>
      </c>
      <c r="J123" s="175">
        <v>2559739</v>
      </c>
      <c r="K123" s="174">
        <v>96</v>
      </c>
      <c r="L123" s="175">
        <v>7014663</v>
      </c>
      <c r="M123" s="174">
        <v>93</v>
      </c>
      <c r="N123" s="175">
        <v>6286310</v>
      </c>
      <c r="O123" s="174">
        <v>137</v>
      </c>
      <c r="P123" s="175">
        <v>3144012</v>
      </c>
      <c r="Q123" s="174">
        <v>83</v>
      </c>
      <c r="R123" s="175">
        <v>1750567</v>
      </c>
      <c r="S123" s="174">
        <v>15</v>
      </c>
      <c r="T123" s="176">
        <v>613832</v>
      </c>
    </row>
    <row r="124" spans="2:20" ht="36" customHeight="1" x14ac:dyDescent="0.3">
      <c r="B124" s="173" t="s">
        <v>467</v>
      </c>
      <c r="C124" s="174">
        <v>90</v>
      </c>
      <c r="D124" s="175">
        <v>1271468</v>
      </c>
      <c r="E124" s="174">
        <v>84</v>
      </c>
      <c r="F124" s="175">
        <v>1339549</v>
      </c>
      <c r="G124" s="174">
        <v>4</v>
      </c>
      <c r="H124" s="175">
        <v>955690</v>
      </c>
      <c r="I124" s="174">
        <v>55</v>
      </c>
      <c r="J124" s="175">
        <v>2559798</v>
      </c>
      <c r="K124" s="174">
        <v>89</v>
      </c>
      <c r="L124" s="175">
        <v>7014759</v>
      </c>
      <c r="M124" s="174">
        <v>88</v>
      </c>
      <c r="N124" s="175">
        <v>6286403</v>
      </c>
      <c r="O124" s="174">
        <v>138</v>
      </c>
      <c r="P124" s="175">
        <v>3144149</v>
      </c>
      <c r="Q124" s="174">
        <v>83</v>
      </c>
      <c r="R124" s="175">
        <v>1750650</v>
      </c>
      <c r="S124" s="174">
        <v>14</v>
      </c>
      <c r="T124" s="176">
        <v>613847</v>
      </c>
    </row>
    <row r="125" spans="2:20" ht="36" customHeight="1" x14ac:dyDescent="0.3">
      <c r="B125" s="173" t="s">
        <v>468</v>
      </c>
      <c r="C125" s="174">
        <v>91</v>
      </c>
      <c r="D125" s="175">
        <v>1271558</v>
      </c>
      <c r="E125" s="174">
        <v>72</v>
      </c>
      <c r="F125" s="175">
        <v>1339633</v>
      </c>
      <c r="G125" s="174">
        <v>3</v>
      </c>
      <c r="H125" s="175">
        <v>955694</v>
      </c>
      <c r="I125" s="174">
        <v>50</v>
      </c>
      <c r="J125" s="175">
        <v>2559853</v>
      </c>
      <c r="K125" s="174">
        <v>86</v>
      </c>
      <c r="L125" s="175">
        <v>7014848</v>
      </c>
      <c r="M125" s="174">
        <v>79</v>
      </c>
      <c r="N125" s="175">
        <v>6286491</v>
      </c>
      <c r="O125" s="174">
        <v>138</v>
      </c>
      <c r="P125" s="175">
        <v>3144287</v>
      </c>
      <c r="Q125" s="174">
        <v>88</v>
      </c>
      <c r="R125" s="175">
        <v>1750733</v>
      </c>
      <c r="S125" s="174">
        <v>24</v>
      </c>
      <c r="T125" s="176">
        <v>613861</v>
      </c>
    </row>
    <row r="126" spans="2:20" ht="36" customHeight="1" x14ac:dyDescent="0.3">
      <c r="B126" s="173" t="s">
        <v>469</v>
      </c>
      <c r="C126" s="174">
        <v>120</v>
      </c>
      <c r="D126" s="175">
        <v>1271649</v>
      </c>
      <c r="E126" s="174">
        <v>67</v>
      </c>
      <c r="F126" s="175">
        <v>1339705</v>
      </c>
      <c r="G126" s="174">
        <v>29</v>
      </c>
      <c r="H126" s="175">
        <v>955697</v>
      </c>
      <c r="I126" s="174">
        <v>47</v>
      </c>
      <c r="J126" s="175">
        <v>2559903</v>
      </c>
      <c r="K126" s="174">
        <v>76</v>
      </c>
      <c r="L126" s="175">
        <v>7014934</v>
      </c>
      <c r="M126" s="174">
        <v>76</v>
      </c>
      <c r="N126" s="175">
        <v>6286570</v>
      </c>
      <c r="O126" s="174">
        <v>135</v>
      </c>
      <c r="P126" s="175">
        <v>3144425</v>
      </c>
      <c r="Q126" s="174">
        <v>85</v>
      </c>
      <c r="R126" s="175">
        <v>1750821</v>
      </c>
      <c r="S126" s="174">
        <v>23</v>
      </c>
      <c r="T126" s="176">
        <v>613885</v>
      </c>
    </row>
    <row r="127" spans="2:20" ht="36" customHeight="1" x14ac:dyDescent="0.3">
      <c r="B127" s="173" t="s">
        <v>470</v>
      </c>
      <c r="C127" s="174">
        <v>116</v>
      </c>
      <c r="D127" s="175">
        <v>1271769</v>
      </c>
      <c r="E127" s="174">
        <v>60</v>
      </c>
      <c r="F127" s="175">
        <v>1339772</v>
      </c>
      <c r="G127" s="174">
        <v>169</v>
      </c>
      <c r="H127" s="175">
        <v>955726</v>
      </c>
      <c r="I127" s="174">
        <v>43</v>
      </c>
      <c r="J127" s="175">
        <v>2559950</v>
      </c>
      <c r="K127" s="174">
        <v>67</v>
      </c>
      <c r="L127" s="175">
        <v>7015010</v>
      </c>
      <c r="M127" s="174">
        <v>67</v>
      </c>
      <c r="N127" s="175">
        <v>6286646</v>
      </c>
      <c r="O127" s="174">
        <v>130</v>
      </c>
      <c r="P127" s="175">
        <v>3144560</v>
      </c>
      <c r="Q127" s="174">
        <v>75</v>
      </c>
      <c r="R127" s="175">
        <v>1750906</v>
      </c>
      <c r="S127" s="174">
        <v>17</v>
      </c>
      <c r="T127" s="176">
        <v>613908</v>
      </c>
    </row>
    <row r="128" spans="2:20" ht="36" customHeight="1" thickBot="1" x14ac:dyDescent="0.35">
      <c r="B128" s="177" t="s">
        <v>471</v>
      </c>
      <c r="C128" s="178">
        <v>97</v>
      </c>
      <c r="D128" s="179">
        <v>1271885</v>
      </c>
      <c r="E128" s="178">
        <v>56</v>
      </c>
      <c r="F128" s="179">
        <v>1339832</v>
      </c>
      <c r="G128" s="178">
        <v>167</v>
      </c>
      <c r="H128" s="179">
        <v>955895</v>
      </c>
      <c r="I128" s="178">
        <v>39</v>
      </c>
      <c r="J128" s="179">
        <v>2559993</v>
      </c>
      <c r="K128" s="178">
        <v>63</v>
      </c>
      <c r="L128" s="179">
        <v>7015077</v>
      </c>
      <c r="M128" s="178">
        <v>62</v>
      </c>
      <c r="N128" s="179">
        <v>6286713</v>
      </c>
      <c r="O128" s="178">
        <v>124</v>
      </c>
      <c r="P128" s="179">
        <v>3144690</v>
      </c>
      <c r="Q128" s="178">
        <v>64</v>
      </c>
      <c r="R128" s="179">
        <v>1750981</v>
      </c>
      <c r="S128" s="178">
        <v>26</v>
      </c>
      <c r="T128" s="180">
        <v>613925</v>
      </c>
    </row>
    <row r="129" spans="2:20" ht="36" customHeight="1" thickTop="1" x14ac:dyDescent="0.3">
      <c r="B129" s="181" t="s">
        <v>472</v>
      </c>
      <c r="C129" s="182">
        <f t="shared" ref="C129:T129" si="6">MIN(C105:C128)</f>
        <v>42</v>
      </c>
      <c r="D129" s="182">
        <f t="shared" si="6"/>
        <v>1270164</v>
      </c>
      <c r="E129" s="182">
        <f t="shared" si="6"/>
        <v>40</v>
      </c>
      <c r="F129" s="182">
        <f t="shared" si="6"/>
        <v>1338171</v>
      </c>
      <c r="G129" s="182">
        <f t="shared" si="6"/>
        <v>1</v>
      </c>
      <c r="H129" s="182">
        <f t="shared" si="6"/>
        <v>954258</v>
      </c>
      <c r="I129" s="182">
        <f t="shared" si="6"/>
        <v>28</v>
      </c>
      <c r="J129" s="182">
        <f t="shared" si="6"/>
        <v>2558918</v>
      </c>
      <c r="K129" s="182">
        <f t="shared" si="6"/>
        <v>27</v>
      </c>
      <c r="L129" s="182">
        <f t="shared" si="6"/>
        <v>7013504</v>
      </c>
      <c r="M129" s="182">
        <f t="shared" si="6"/>
        <v>54</v>
      </c>
      <c r="N129" s="182">
        <f t="shared" si="6"/>
        <v>6284809</v>
      </c>
      <c r="O129" s="182">
        <f t="shared" si="6"/>
        <v>114</v>
      </c>
      <c r="P129" s="182">
        <f t="shared" si="6"/>
        <v>3141679</v>
      </c>
      <c r="Q129" s="182">
        <f t="shared" si="6"/>
        <v>30</v>
      </c>
      <c r="R129" s="182">
        <f t="shared" si="6"/>
        <v>1749461</v>
      </c>
      <c r="S129" s="182">
        <f t="shared" si="6"/>
        <v>6</v>
      </c>
      <c r="T129" s="183">
        <f t="shared" si="6"/>
        <v>613573</v>
      </c>
    </row>
    <row r="130" spans="2:20" ht="36" customHeight="1" x14ac:dyDescent="0.3">
      <c r="B130" s="173" t="s">
        <v>473</v>
      </c>
      <c r="C130" s="182">
        <f t="shared" ref="C130:T130" si="7">MAX(C105:C128)</f>
        <v>120</v>
      </c>
      <c r="D130" s="182">
        <f t="shared" si="7"/>
        <v>1271885</v>
      </c>
      <c r="E130" s="182">
        <f t="shared" si="7"/>
        <v>103</v>
      </c>
      <c r="F130" s="182">
        <f t="shared" si="7"/>
        <v>1339832</v>
      </c>
      <c r="G130" s="182">
        <f t="shared" si="7"/>
        <v>170</v>
      </c>
      <c r="H130" s="182">
        <f t="shared" si="7"/>
        <v>955895</v>
      </c>
      <c r="I130" s="182">
        <f t="shared" si="7"/>
        <v>63</v>
      </c>
      <c r="J130" s="182">
        <f t="shared" si="7"/>
        <v>2559993</v>
      </c>
      <c r="K130" s="182">
        <f t="shared" si="7"/>
        <v>101</v>
      </c>
      <c r="L130" s="182">
        <f t="shared" si="7"/>
        <v>7015077</v>
      </c>
      <c r="M130" s="182">
        <f t="shared" si="7"/>
        <v>116</v>
      </c>
      <c r="N130" s="182">
        <f t="shared" si="7"/>
        <v>6286713</v>
      </c>
      <c r="O130" s="182">
        <f t="shared" si="7"/>
        <v>146</v>
      </c>
      <c r="P130" s="182">
        <f t="shared" si="7"/>
        <v>3144690</v>
      </c>
      <c r="Q130" s="182">
        <f t="shared" si="7"/>
        <v>98</v>
      </c>
      <c r="R130" s="182">
        <f t="shared" si="7"/>
        <v>1750981</v>
      </c>
      <c r="S130" s="182">
        <f t="shared" si="7"/>
        <v>27</v>
      </c>
      <c r="T130" s="183">
        <f t="shared" si="7"/>
        <v>613925</v>
      </c>
    </row>
    <row r="131" spans="2:20" ht="36" customHeight="1" x14ac:dyDescent="0.3">
      <c r="B131" s="173" t="s">
        <v>474</v>
      </c>
      <c r="C131" s="182">
        <f>AVERAGE(C105:C128)</f>
        <v>75.75</v>
      </c>
      <c r="D131" s="184"/>
      <c r="E131" s="182">
        <f>AVERAGE(E105:E128)</f>
        <v>71.541666666666671</v>
      </c>
      <c r="F131" s="184"/>
      <c r="G131" s="182">
        <f>AVERAGE(G105:G128)</f>
        <v>75.166666666666671</v>
      </c>
      <c r="H131" s="184"/>
      <c r="I131" s="182">
        <f>AVERAGE(I105:I128)</f>
        <v>46.416666666666664</v>
      </c>
      <c r="J131" s="184"/>
      <c r="K131" s="182">
        <f>AVERAGE(K105:K128)</f>
        <v>68.166666666666671</v>
      </c>
      <c r="L131" s="184"/>
      <c r="M131" s="182">
        <f>AVERAGE(M105:M128)</f>
        <v>81.916666666666671</v>
      </c>
      <c r="N131" s="184"/>
      <c r="O131" s="182">
        <f>AVERAGE(O105:O128)</f>
        <v>130.625</v>
      </c>
      <c r="P131" s="184"/>
      <c r="Q131" s="182">
        <f>AVERAGE(Q105:Q128)</f>
        <v>66</v>
      </c>
      <c r="R131" s="184"/>
      <c r="S131" s="182">
        <f>AVERAGE(S105:S128)</f>
        <v>15.75</v>
      </c>
      <c r="T131" s="185"/>
    </row>
    <row r="132" spans="2:20" ht="36" customHeight="1" thickBot="1" x14ac:dyDescent="0.35">
      <c r="B132" s="186" t="s">
        <v>475</v>
      </c>
      <c r="C132" s="187">
        <f>SUM(C105:C128)</f>
        <v>1818</v>
      </c>
      <c r="D132" s="188"/>
      <c r="E132" s="187">
        <f>SUM(E105:E128)</f>
        <v>1717</v>
      </c>
      <c r="F132" s="188"/>
      <c r="G132" s="187">
        <f>SUM(G105:G128)</f>
        <v>1804</v>
      </c>
      <c r="H132" s="188"/>
      <c r="I132" s="187">
        <f>SUM(I105:I128)</f>
        <v>1114</v>
      </c>
      <c r="J132" s="188"/>
      <c r="K132" s="187">
        <f>SUM(K105:K128)</f>
        <v>1636</v>
      </c>
      <c r="L132" s="188"/>
      <c r="M132" s="187">
        <f>SUM(M105:M128)</f>
        <v>1966</v>
      </c>
      <c r="N132" s="188"/>
      <c r="O132" s="187">
        <f>SUM(O105:O128)</f>
        <v>3135</v>
      </c>
      <c r="P132" s="188"/>
      <c r="Q132" s="187">
        <f>SUM(Q105:Q128)</f>
        <v>1584</v>
      </c>
      <c r="R132" s="188"/>
      <c r="S132" s="187">
        <f>SUM(S105:S128)</f>
        <v>378</v>
      </c>
      <c r="T132" s="189"/>
    </row>
    <row r="133" spans="2:20" ht="9.9499999999999993" customHeight="1" x14ac:dyDescent="0.3"/>
  </sheetData>
  <mergeCells count="48">
    <mergeCell ref="B2:T2"/>
    <mergeCell ref="C3:T3"/>
    <mergeCell ref="B4:B5"/>
    <mergeCell ref="C4:D4"/>
    <mergeCell ref="E4:F4"/>
    <mergeCell ref="G4:H4"/>
    <mergeCell ref="I4:J4"/>
    <mergeCell ref="K4:L4"/>
    <mergeCell ref="M4:N4"/>
    <mergeCell ref="O4:P4"/>
    <mergeCell ref="C69:T69"/>
    <mergeCell ref="Q4:R4"/>
    <mergeCell ref="S4:T4"/>
    <mergeCell ref="B35:T35"/>
    <mergeCell ref="C36:T36"/>
    <mergeCell ref="B37:B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B68:T68"/>
    <mergeCell ref="C102:T102"/>
    <mergeCell ref="B70:B71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B101:T101"/>
    <mergeCell ref="M103:N103"/>
    <mergeCell ref="O103:P103"/>
    <mergeCell ref="Q103:R103"/>
    <mergeCell ref="S103:T103"/>
    <mergeCell ref="B103:B104"/>
    <mergeCell ref="C103:D103"/>
    <mergeCell ref="E103:F103"/>
    <mergeCell ref="G103:H103"/>
    <mergeCell ref="I103:J103"/>
    <mergeCell ref="K103:L103"/>
  </mergeCells>
  <phoneticPr fontId="1" type="noConversion"/>
  <printOptions horizontalCentered="1" verticalCentered="1"/>
  <pageMargins left="0.25" right="0.25" top="0.75" bottom="0.75" header="0.3" footer="0.3"/>
  <pageSetup paperSize="9" scale="41" fitToHeight="2" orientation="landscape" r:id="rId1"/>
  <rowBreaks count="3" manualBreakCount="3">
    <brk id="34" max="20" man="1"/>
    <brk id="67" max="20" man="1"/>
    <brk id="100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69B3-22DE-4E74-9CF8-A3E0BBF5E02F}">
  <sheetPr>
    <tabColor theme="5"/>
  </sheetPr>
  <dimension ref="A1:U139"/>
  <sheetViews>
    <sheetView view="pageBreakPreview" topLeftCell="A103" zoomScale="55" zoomScaleSheetLayoutView="55" workbookViewId="0">
      <selection activeCell="E42" sqref="E42"/>
    </sheetView>
  </sheetViews>
  <sheetFormatPr defaultRowHeight="16.5" x14ac:dyDescent="0.3"/>
  <cols>
    <col min="1" max="1" width="1.625" style="161" customWidth="1"/>
    <col min="2" max="2" width="9.625" style="161" customWidth="1"/>
    <col min="3" max="20" width="15.75" style="161" customWidth="1"/>
    <col min="21" max="21" width="1.625" style="161" customWidth="1"/>
    <col min="22" max="256" width="9" style="161"/>
    <col min="257" max="257" width="1.625" style="161" customWidth="1"/>
    <col min="258" max="258" width="9.625" style="161" customWidth="1"/>
    <col min="259" max="276" width="15.75" style="161" customWidth="1"/>
    <col min="277" max="277" width="1.625" style="161" customWidth="1"/>
    <col min="278" max="512" width="9" style="161"/>
    <col min="513" max="513" width="1.625" style="161" customWidth="1"/>
    <col min="514" max="514" width="9.625" style="161" customWidth="1"/>
    <col min="515" max="532" width="15.75" style="161" customWidth="1"/>
    <col min="533" max="533" width="1.625" style="161" customWidth="1"/>
    <col min="534" max="768" width="9" style="161"/>
    <col min="769" max="769" width="1.625" style="161" customWidth="1"/>
    <col min="770" max="770" width="9.625" style="161" customWidth="1"/>
    <col min="771" max="788" width="15.75" style="161" customWidth="1"/>
    <col min="789" max="789" width="1.625" style="161" customWidth="1"/>
    <col min="790" max="1024" width="9" style="161"/>
    <col min="1025" max="1025" width="1.625" style="161" customWidth="1"/>
    <col min="1026" max="1026" width="9.625" style="161" customWidth="1"/>
    <col min="1027" max="1044" width="15.75" style="161" customWidth="1"/>
    <col min="1045" max="1045" width="1.625" style="161" customWidth="1"/>
    <col min="1046" max="1280" width="9" style="161"/>
    <col min="1281" max="1281" width="1.625" style="161" customWidth="1"/>
    <col min="1282" max="1282" width="9.625" style="161" customWidth="1"/>
    <col min="1283" max="1300" width="15.75" style="161" customWidth="1"/>
    <col min="1301" max="1301" width="1.625" style="161" customWidth="1"/>
    <col min="1302" max="1536" width="9" style="161"/>
    <col min="1537" max="1537" width="1.625" style="161" customWidth="1"/>
    <col min="1538" max="1538" width="9.625" style="161" customWidth="1"/>
    <col min="1539" max="1556" width="15.75" style="161" customWidth="1"/>
    <col min="1557" max="1557" width="1.625" style="161" customWidth="1"/>
    <col min="1558" max="1792" width="9" style="161"/>
    <col min="1793" max="1793" width="1.625" style="161" customWidth="1"/>
    <col min="1794" max="1794" width="9.625" style="161" customWidth="1"/>
    <col min="1795" max="1812" width="15.75" style="161" customWidth="1"/>
    <col min="1813" max="1813" width="1.625" style="161" customWidth="1"/>
    <col min="1814" max="2048" width="9" style="161"/>
    <col min="2049" max="2049" width="1.625" style="161" customWidth="1"/>
    <col min="2050" max="2050" width="9.625" style="161" customWidth="1"/>
    <col min="2051" max="2068" width="15.75" style="161" customWidth="1"/>
    <col min="2069" max="2069" width="1.625" style="161" customWidth="1"/>
    <col min="2070" max="2304" width="9" style="161"/>
    <col min="2305" max="2305" width="1.625" style="161" customWidth="1"/>
    <col min="2306" max="2306" width="9.625" style="161" customWidth="1"/>
    <col min="2307" max="2324" width="15.75" style="161" customWidth="1"/>
    <col min="2325" max="2325" width="1.625" style="161" customWidth="1"/>
    <col min="2326" max="2560" width="9" style="161"/>
    <col min="2561" max="2561" width="1.625" style="161" customWidth="1"/>
    <col min="2562" max="2562" width="9.625" style="161" customWidth="1"/>
    <col min="2563" max="2580" width="15.75" style="161" customWidth="1"/>
    <col min="2581" max="2581" width="1.625" style="161" customWidth="1"/>
    <col min="2582" max="2816" width="9" style="161"/>
    <col min="2817" max="2817" width="1.625" style="161" customWidth="1"/>
    <col min="2818" max="2818" width="9.625" style="161" customWidth="1"/>
    <col min="2819" max="2836" width="15.75" style="161" customWidth="1"/>
    <col min="2837" max="2837" width="1.625" style="161" customWidth="1"/>
    <col min="2838" max="3072" width="9" style="161"/>
    <col min="3073" max="3073" width="1.625" style="161" customWidth="1"/>
    <col min="3074" max="3074" width="9.625" style="161" customWidth="1"/>
    <col min="3075" max="3092" width="15.75" style="161" customWidth="1"/>
    <col min="3093" max="3093" width="1.625" style="161" customWidth="1"/>
    <col min="3094" max="3328" width="9" style="161"/>
    <col min="3329" max="3329" width="1.625" style="161" customWidth="1"/>
    <col min="3330" max="3330" width="9.625" style="161" customWidth="1"/>
    <col min="3331" max="3348" width="15.75" style="161" customWidth="1"/>
    <col min="3349" max="3349" width="1.625" style="161" customWidth="1"/>
    <col min="3350" max="3584" width="9" style="161"/>
    <col min="3585" max="3585" width="1.625" style="161" customWidth="1"/>
    <col min="3586" max="3586" width="9.625" style="161" customWidth="1"/>
    <col min="3587" max="3604" width="15.75" style="161" customWidth="1"/>
    <col min="3605" max="3605" width="1.625" style="161" customWidth="1"/>
    <col min="3606" max="3840" width="9" style="161"/>
    <col min="3841" max="3841" width="1.625" style="161" customWidth="1"/>
    <col min="3842" max="3842" width="9.625" style="161" customWidth="1"/>
    <col min="3843" max="3860" width="15.75" style="161" customWidth="1"/>
    <col min="3861" max="3861" width="1.625" style="161" customWidth="1"/>
    <col min="3862" max="4096" width="9" style="161"/>
    <col min="4097" max="4097" width="1.625" style="161" customWidth="1"/>
    <col min="4098" max="4098" width="9.625" style="161" customWidth="1"/>
    <col min="4099" max="4116" width="15.75" style="161" customWidth="1"/>
    <col min="4117" max="4117" width="1.625" style="161" customWidth="1"/>
    <col min="4118" max="4352" width="9" style="161"/>
    <col min="4353" max="4353" width="1.625" style="161" customWidth="1"/>
    <col min="4354" max="4354" width="9.625" style="161" customWidth="1"/>
    <col min="4355" max="4372" width="15.75" style="161" customWidth="1"/>
    <col min="4373" max="4373" width="1.625" style="161" customWidth="1"/>
    <col min="4374" max="4608" width="9" style="161"/>
    <col min="4609" max="4609" width="1.625" style="161" customWidth="1"/>
    <col min="4610" max="4610" width="9.625" style="161" customWidth="1"/>
    <col min="4611" max="4628" width="15.75" style="161" customWidth="1"/>
    <col min="4629" max="4629" width="1.625" style="161" customWidth="1"/>
    <col min="4630" max="4864" width="9" style="161"/>
    <col min="4865" max="4865" width="1.625" style="161" customWidth="1"/>
    <col min="4866" max="4866" width="9.625" style="161" customWidth="1"/>
    <col min="4867" max="4884" width="15.75" style="161" customWidth="1"/>
    <col min="4885" max="4885" width="1.625" style="161" customWidth="1"/>
    <col min="4886" max="5120" width="9" style="161"/>
    <col min="5121" max="5121" width="1.625" style="161" customWidth="1"/>
    <col min="5122" max="5122" width="9.625" style="161" customWidth="1"/>
    <col min="5123" max="5140" width="15.75" style="161" customWidth="1"/>
    <col min="5141" max="5141" width="1.625" style="161" customWidth="1"/>
    <col min="5142" max="5376" width="9" style="161"/>
    <col min="5377" max="5377" width="1.625" style="161" customWidth="1"/>
    <col min="5378" max="5378" width="9.625" style="161" customWidth="1"/>
    <col min="5379" max="5396" width="15.75" style="161" customWidth="1"/>
    <col min="5397" max="5397" width="1.625" style="161" customWidth="1"/>
    <col min="5398" max="5632" width="9" style="161"/>
    <col min="5633" max="5633" width="1.625" style="161" customWidth="1"/>
    <col min="5634" max="5634" width="9.625" style="161" customWidth="1"/>
    <col min="5635" max="5652" width="15.75" style="161" customWidth="1"/>
    <col min="5653" max="5653" width="1.625" style="161" customWidth="1"/>
    <col min="5654" max="5888" width="9" style="161"/>
    <col min="5889" max="5889" width="1.625" style="161" customWidth="1"/>
    <col min="5890" max="5890" width="9.625" style="161" customWidth="1"/>
    <col min="5891" max="5908" width="15.75" style="161" customWidth="1"/>
    <col min="5909" max="5909" width="1.625" style="161" customWidth="1"/>
    <col min="5910" max="6144" width="9" style="161"/>
    <col min="6145" max="6145" width="1.625" style="161" customWidth="1"/>
    <col min="6146" max="6146" width="9.625" style="161" customWidth="1"/>
    <col min="6147" max="6164" width="15.75" style="161" customWidth="1"/>
    <col min="6165" max="6165" width="1.625" style="161" customWidth="1"/>
    <col min="6166" max="6400" width="9" style="161"/>
    <col min="6401" max="6401" width="1.625" style="161" customWidth="1"/>
    <col min="6402" max="6402" width="9.625" style="161" customWidth="1"/>
    <col min="6403" max="6420" width="15.75" style="161" customWidth="1"/>
    <col min="6421" max="6421" width="1.625" style="161" customWidth="1"/>
    <col min="6422" max="6656" width="9" style="161"/>
    <col min="6657" max="6657" width="1.625" style="161" customWidth="1"/>
    <col min="6658" max="6658" width="9.625" style="161" customWidth="1"/>
    <col min="6659" max="6676" width="15.75" style="161" customWidth="1"/>
    <col min="6677" max="6677" width="1.625" style="161" customWidth="1"/>
    <col min="6678" max="6912" width="9" style="161"/>
    <col min="6913" max="6913" width="1.625" style="161" customWidth="1"/>
    <col min="6914" max="6914" width="9.625" style="161" customWidth="1"/>
    <col min="6915" max="6932" width="15.75" style="161" customWidth="1"/>
    <col min="6933" max="6933" width="1.625" style="161" customWidth="1"/>
    <col min="6934" max="7168" width="9" style="161"/>
    <col min="7169" max="7169" width="1.625" style="161" customWidth="1"/>
    <col min="7170" max="7170" width="9.625" style="161" customWidth="1"/>
    <col min="7171" max="7188" width="15.75" style="161" customWidth="1"/>
    <col min="7189" max="7189" width="1.625" style="161" customWidth="1"/>
    <col min="7190" max="7424" width="9" style="161"/>
    <col min="7425" max="7425" width="1.625" style="161" customWidth="1"/>
    <col min="7426" max="7426" width="9.625" style="161" customWidth="1"/>
    <col min="7427" max="7444" width="15.75" style="161" customWidth="1"/>
    <col min="7445" max="7445" width="1.625" style="161" customWidth="1"/>
    <col min="7446" max="7680" width="9" style="161"/>
    <col min="7681" max="7681" width="1.625" style="161" customWidth="1"/>
    <col min="7682" max="7682" width="9.625" style="161" customWidth="1"/>
    <col min="7683" max="7700" width="15.75" style="161" customWidth="1"/>
    <col min="7701" max="7701" width="1.625" style="161" customWidth="1"/>
    <col min="7702" max="7936" width="9" style="161"/>
    <col min="7937" max="7937" width="1.625" style="161" customWidth="1"/>
    <col min="7938" max="7938" width="9.625" style="161" customWidth="1"/>
    <col min="7939" max="7956" width="15.75" style="161" customWidth="1"/>
    <col min="7957" max="7957" width="1.625" style="161" customWidth="1"/>
    <col min="7958" max="8192" width="9" style="161"/>
    <col min="8193" max="8193" width="1.625" style="161" customWidth="1"/>
    <col min="8194" max="8194" width="9.625" style="161" customWidth="1"/>
    <col min="8195" max="8212" width="15.75" style="161" customWidth="1"/>
    <col min="8213" max="8213" width="1.625" style="161" customWidth="1"/>
    <col min="8214" max="8448" width="9" style="161"/>
    <col min="8449" max="8449" width="1.625" style="161" customWidth="1"/>
    <col min="8450" max="8450" width="9.625" style="161" customWidth="1"/>
    <col min="8451" max="8468" width="15.75" style="161" customWidth="1"/>
    <col min="8469" max="8469" width="1.625" style="161" customWidth="1"/>
    <col min="8470" max="8704" width="9" style="161"/>
    <col min="8705" max="8705" width="1.625" style="161" customWidth="1"/>
    <col min="8706" max="8706" width="9.625" style="161" customWidth="1"/>
    <col min="8707" max="8724" width="15.75" style="161" customWidth="1"/>
    <col min="8725" max="8725" width="1.625" style="161" customWidth="1"/>
    <col min="8726" max="8960" width="9" style="161"/>
    <col min="8961" max="8961" width="1.625" style="161" customWidth="1"/>
    <col min="8962" max="8962" width="9.625" style="161" customWidth="1"/>
    <col min="8963" max="8980" width="15.75" style="161" customWidth="1"/>
    <col min="8981" max="8981" width="1.625" style="161" customWidth="1"/>
    <col min="8982" max="9216" width="9" style="161"/>
    <col min="9217" max="9217" width="1.625" style="161" customWidth="1"/>
    <col min="9218" max="9218" width="9.625" style="161" customWidth="1"/>
    <col min="9219" max="9236" width="15.75" style="161" customWidth="1"/>
    <col min="9237" max="9237" width="1.625" style="161" customWidth="1"/>
    <col min="9238" max="9472" width="9" style="161"/>
    <col min="9473" max="9473" width="1.625" style="161" customWidth="1"/>
    <col min="9474" max="9474" width="9.625" style="161" customWidth="1"/>
    <col min="9475" max="9492" width="15.75" style="161" customWidth="1"/>
    <col min="9493" max="9493" width="1.625" style="161" customWidth="1"/>
    <col min="9494" max="9728" width="9" style="161"/>
    <col min="9729" max="9729" width="1.625" style="161" customWidth="1"/>
    <col min="9730" max="9730" width="9.625" style="161" customWidth="1"/>
    <col min="9731" max="9748" width="15.75" style="161" customWidth="1"/>
    <col min="9749" max="9749" width="1.625" style="161" customWidth="1"/>
    <col min="9750" max="9984" width="9" style="161"/>
    <col min="9985" max="9985" width="1.625" style="161" customWidth="1"/>
    <col min="9986" max="9986" width="9.625" style="161" customWidth="1"/>
    <col min="9987" max="10004" width="15.75" style="161" customWidth="1"/>
    <col min="10005" max="10005" width="1.625" style="161" customWidth="1"/>
    <col min="10006" max="10240" width="9" style="161"/>
    <col min="10241" max="10241" width="1.625" style="161" customWidth="1"/>
    <col min="10242" max="10242" width="9.625" style="161" customWidth="1"/>
    <col min="10243" max="10260" width="15.75" style="161" customWidth="1"/>
    <col min="10261" max="10261" width="1.625" style="161" customWidth="1"/>
    <col min="10262" max="10496" width="9" style="161"/>
    <col min="10497" max="10497" width="1.625" style="161" customWidth="1"/>
    <col min="10498" max="10498" width="9.625" style="161" customWidth="1"/>
    <col min="10499" max="10516" width="15.75" style="161" customWidth="1"/>
    <col min="10517" max="10517" width="1.625" style="161" customWidth="1"/>
    <col min="10518" max="10752" width="9" style="161"/>
    <col min="10753" max="10753" width="1.625" style="161" customWidth="1"/>
    <col min="10754" max="10754" width="9.625" style="161" customWidth="1"/>
    <col min="10755" max="10772" width="15.75" style="161" customWidth="1"/>
    <col min="10773" max="10773" width="1.625" style="161" customWidth="1"/>
    <col min="10774" max="11008" width="9" style="161"/>
    <col min="11009" max="11009" width="1.625" style="161" customWidth="1"/>
    <col min="11010" max="11010" width="9.625" style="161" customWidth="1"/>
    <col min="11011" max="11028" width="15.75" style="161" customWidth="1"/>
    <col min="11029" max="11029" width="1.625" style="161" customWidth="1"/>
    <col min="11030" max="11264" width="9" style="161"/>
    <col min="11265" max="11265" width="1.625" style="161" customWidth="1"/>
    <col min="11266" max="11266" width="9.625" style="161" customWidth="1"/>
    <col min="11267" max="11284" width="15.75" style="161" customWidth="1"/>
    <col min="11285" max="11285" width="1.625" style="161" customWidth="1"/>
    <col min="11286" max="11520" width="9" style="161"/>
    <col min="11521" max="11521" width="1.625" style="161" customWidth="1"/>
    <col min="11522" max="11522" width="9.625" style="161" customWidth="1"/>
    <col min="11523" max="11540" width="15.75" style="161" customWidth="1"/>
    <col min="11541" max="11541" width="1.625" style="161" customWidth="1"/>
    <col min="11542" max="11776" width="9" style="161"/>
    <col min="11777" max="11777" width="1.625" style="161" customWidth="1"/>
    <col min="11778" max="11778" width="9.625" style="161" customWidth="1"/>
    <col min="11779" max="11796" width="15.75" style="161" customWidth="1"/>
    <col min="11797" max="11797" width="1.625" style="161" customWidth="1"/>
    <col min="11798" max="12032" width="9" style="161"/>
    <col min="12033" max="12033" width="1.625" style="161" customWidth="1"/>
    <col min="12034" max="12034" width="9.625" style="161" customWidth="1"/>
    <col min="12035" max="12052" width="15.75" style="161" customWidth="1"/>
    <col min="12053" max="12053" width="1.625" style="161" customWidth="1"/>
    <col min="12054" max="12288" width="9" style="161"/>
    <col min="12289" max="12289" width="1.625" style="161" customWidth="1"/>
    <col min="12290" max="12290" width="9.625" style="161" customWidth="1"/>
    <col min="12291" max="12308" width="15.75" style="161" customWidth="1"/>
    <col min="12309" max="12309" width="1.625" style="161" customWidth="1"/>
    <col min="12310" max="12544" width="9" style="161"/>
    <col min="12545" max="12545" width="1.625" style="161" customWidth="1"/>
    <col min="12546" max="12546" width="9.625" style="161" customWidth="1"/>
    <col min="12547" max="12564" width="15.75" style="161" customWidth="1"/>
    <col min="12565" max="12565" width="1.625" style="161" customWidth="1"/>
    <col min="12566" max="12800" width="9" style="161"/>
    <col min="12801" max="12801" width="1.625" style="161" customWidth="1"/>
    <col min="12802" max="12802" width="9.625" style="161" customWidth="1"/>
    <col min="12803" max="12820" width="15.75" style="161" customWidth="1"/>
    <col min="12821" max="12821" width="1.625" style="161" customWidth="1"/>
    <col min="12822" max="13056" width="9" style="161"/>
    <col min="13057" max="13057" width="1.625" style="161" customWidth="1"/>
    <col min="13058" max="13058" width="9.625" style="161" customWidth="1"/>
    <col min="13059" max="13076" width="15.75" style="161" customWidth="1"/>
    <col min="13077" max="13077" width="1.625" style="161" customWidth="1"/>
    <col min="13078" max="13312" width="9" style="161"/>
    <col min="13313" max="13313" width="1.625" style="161" customWidth="1"/>
    <col min="13314" max="13314" width="9.625" style="161" customWidth="1"/>
    <col min="13315" max="13332" width="15.75" style="161" customWidth="1"/>
    <col min="13333" max="13333" width="1.625" style="161" customWidth="1"/>
    <col min="13334" max="13568" width="9" style="161"/>
    <col min="13569" max="13569" width="1.625" style="161" customWidth="1"/>
    <col min="13570" max="13570" width="9.625" style="161" customWidth="1"/>
    <col min="13571" max="13588" width="15.75" style="161" customWidth="1"/>
    <col min="13589" max="13589" width="1.625" style="161" customWidth="1"/>
    <col min="13590" max="13824" width="9" style="161"/>
    <col min="13825" max="13825" width="1.625" style="161" customWidth="1"/>
    <col min="13826" max="13826" width="9.625" style="161" customWidth="1"/>
    <col min="13827" max="13844" width="15.75" style="161" customWidth="1"/>
    <col min="13845" max="13845" width="1.625" style="161" customWidth="1"/>
    <col min="13846" max="14080" width="9" style="161"/>
    <col min="14081" max="14081" width="1.625" style="161" customWidth="1"/>
    <col min="14082" max="14082" width="9.625" style="161" customWidth="1"/>
    <col min="14083" max="14100" width="15.75" style="161" customWidth="1"/>
    <col min="14101" max="14101" width="1.625" style="161" customWidth="1"/>
    <col min="14102" max="14336" width="9" style="161"/>
    <col min="14337" max="14337" width="1.625" style="161" customWidth="1"/>
    <col min="14338" max="14338" width="9.625" style="161" customWidth="1"/>
    <col min="14339" max="14356" width="15.75" style="161" customWidth="1"/>
    <col min="14357" max="14357" width="1.625" style="161" customWidth="1"/>
    <col min="14358" max="14592" width="9" style="161"/>
    <col min="14593" max="14593" width="1.625" style="161" customWidth="1"/>
    <col min="14594" max="14594" width="9.625" style="161" customWidth="1"/>
    <col min="14595" max="14612" width="15.75" style="161" customWidth="1"/>
    <col min="14613" max="14613" width="1.625" style="161" customWidth="1"/>
    <col min="14614" max="14848" width="9" style="161"/>
    <col min="14849" max="14849" width="1.625" style="161" customWidth="1"/>
    <col min="14850" max="14850" width="9.625" style="161" customWidth="1"/>
    <col min="14851" max="14868" width="15.75" style="161" customWidth="1"/>
    <col min="14869" max="14869" width="1.625" style="161" customWidth="1"/>
    <col min="14870" max="15104" width="9" style="161"/>
    <col min="15105" max="15105" width="1.625" style="161" customWidth="1"/>
    <col min="15106" max="15106" width="9.625" style="161" customWidth="1"/>
    <col min="15107" max="15124" width="15.75" style="161" customWidth="1"/>
    <col min="15125" max="15125" width="1.625" style="161" customWidth="1"/>
    <col min="15126" max="15360" width="9" style="161"/>
    <col min="15361" max="15361" width="1.625" style="161" customWidth="1"/>
    <col min="15362" max="15362" width="9.625" style="161" customWidth="1"/>
    <col min="15363" max="15380" width="15.75" style="161" customWidth="1"/>
    <col min="15381" max="15381" width="1.625" style="161" customWidth="1"/>
    <col min="15382" max="15616" width="9" style="161"/>
    <col min="15617" max="15617" width="1.625" style="161" customWidth="1"/>
    <col min="15618" max="15618" width="9.625" style="161" customWidth="1"/>
    <col min="15619" max="15636" width="15.75" style="161" customWidth="1"/>
    <col min="15637" max="15637" width="1.625" style="161" customWidth="1"/>
    <col min="15638" max="15872" width="9" style="161"/>
    <col min="15873" max="15873" width="1.625" style="161" customWidth="1"/>
    <col min="15874" max="15874" width="9.625" style="161" customWidth="1"/>
    <col min="15875" max="15892" width="15.75" style="161" customWidth="1"/>
    <col min="15893" max="15893" width="1.625" style="161" customWidth="1"/>
    <col min="15894" max="16128" width="9" style="161"/>
    <col min="16129" max="16129" width="1.625" style="161" customWidth="1"/>
    <col min="16130" max="16130" width="9.625" style="161" customWidth="1"/>
    <col min="16131" max="16148" width="15.75" style="161" customWidth="1"/>
    <col min="16149" max="16149" width="1.625" style="161" customWidth="1"/>
    <col min="16150" max="16384" width="9" style="161"/>
  </cols>
  <sheetData>
    <row r="1" spans="2:20" ht="9.9499999999999993" customHeight="1" thickBot="1" x14ac:dyDescent="0.35"/>
    <row r="2" spans="2:20" s="162" customFormat="1" ht="51.95" customHeight="1" thickBot="1" x14ac:dyDescent="0.35">
      <c r="B2" s="460" t="s">
        <v>432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2"/>
    </row>
    <row r="3" spans="2:20" s="164" customFormat="1" ht="36" customHeight="1" thickTop="1" x14ac:dyDescent="0.3">
      <c r="B3" s="163" t="s">
        <v>433</v>
      </c>
      <c r="C3" s="463" t="s">
        <v>726</v>
      </c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4"/>
    </row>
    <row r="4" spans="2:20" s="165" customFormat="1" ht="27.95" customHeight="1" x14ac:dyDescent="0.3">
      <c r="B4" s="455" t="s">
        <v>434</v>
      </c>
      <c r="C4" s="496" t="s">
        <v>504</v>
      </c>
      <c r="D4" s="497"/>
      <c r="E4" s="497"/>
      <c r="F4" s="497"/>
      <c r="G4" s="497"/>
      <c r="H4" s="498"/>
      <c r="I4" s="496" t="s">
        <v>505</v>
      </c>
      <c r="J4" s="497"/>
      <c r="K4" s="497"/>
      <c r="L4" s="497"/>
      <c r="M4" s="496" t="s">
        <v>506</v>
      </c>
      <c r="N4" s="497"/>
      <c r="O4" s="497"/>
      <c r="P4" s="498"/>
      <c r="Q4" s="192"/>
      <c r="R4" s="193"/>
      <c r="S4" s="192"/>
      <c r="T4" s="194"/>
    </row>
    <row r="5" spans="2:20" s="165" customFormat="1" ht="27.95" customHeight="1" x14ac:dyDescent="0.3">
      <c r="B5" s="483"/>
      <c r="C5" s="499"/>
      <c r="D5" s="500"/>
      <c r="E5" s="500"/>
      <c r="F5" s="500"/>
      <c r="G5" s="500"/>
      <c r="H5" s="501"/>
      <c r="I5" s="499"/>
      <c r="J5" s="500"/>
      <c r="K5" s="500"/>
      <c r="L5" s="500"/>
      <c r="M5" s="499"/>
      <c r="N5" s="500"/>
      <c r="O5" s="500"/>
      <c r="P5" s="501"/>
      <c r="Q5" s="195"/>
      <c r="R5" s="196"/>
      <c r="S5" s="195"/>
      <c r="T5" s="197"/>
    </row>
    <row r="6" spans="2:20" s="165" customFormat="1" ht="27.95" customHeight="1" x14ac:dyDescent="0.3">
      <c r="B6" s="483"/>
      <c r="C6" s="465" t="s">
        <v>435</v>
      </c>
      <c r="D6" s="502"/>
      <c r="E6" s="465" t="s">
        <v>436</v>
      </c>
      <c r="F6" s="503"/>
      <c r="G6" s="465" t="s">
        <v>437</v>
      </c>
      <c r="H6" s="503"/>
      <c r="I6" s="465" t="s">
        <v>438</v>
      </c>
      <c r="J6" s="466"/>
      <c r="K6" s="465" t="s">
        <v>439</v>
      </c>
      <c r="L6" s="466"/>
      <c r="M6" s="465" t="s">
        <v>440</v>
      </c>
      <c r="N6" s="503"/>
      <c r="O6" s="448" t="s">
        <v>441</v>
      </c>
      <c r="P6" s="449"/>
      <c r="Q6" s="448"/>
      <c r="R6" s="449"/>
      <c r="S6" s="448"/>
      <c r="T6" s="450"/>
    </row>
    <row r="7" spans="2:20" ht="27.95" customHeight="1" x14ac:dyDescent="0.3">
      <c r="B7" s="456"/>
      <c r="C7" s="166" t="s">
        <v>444</v>
      </c>
      <c r="D7" s="167" t="s">
        <v>445</v>
      </c>
      <c r="E7" s="166" t="s">
        <v>444</v>
      </c>
      <c r="F7" s="167" t="s">
        <v>445</v>
      </c>
      <c r="G7" s="166" t="s">
        <v>444</v>
      </c>
      <c r="H7" s="167" t="s">
        <v>445</v>
      </c>
      <c r="I7" s="166" t="s">
        <v>444</v>
      </c>
      <c r="J7" s="167" t="s">
        <v>445</v>
      </c>
      <c r="K7" s="166" t="s">
        <v>444</v>
      </c>
      <c r="L7" s="167" t="s">
        <v>445</v>
      </c>
      <c r="M7" s="166" t="s">
        <v>444</v>
      </c>
      <c r="N7" s="167" t="s">
        <v>445</v>
      </c>
      <c r="O7" s="166" t="s">
        <v>444</v>
      </c>
      <c r="P7" s="167" t="s">
        <v>445</v>
      </c>
      <c r="Q7" s="166"/>
      <c r="R7" s="167"/>
      <c r="S7" s="166"/>
      <c r="T7" s="168"/>
    </row>
    <row r="8" spans="2:20" ht="36" customHeight="1" x14ac:dyDescent="0.3">
      <c r="B8" s="169" t="s">
        <v>448</v>
      </c>
      <c r="C8" s="170">
        <v>427</v>
      </c>
      <c r="D8" s="171">
        <v>7450435</v>
      </c>
      <c r="E8" s="170">
        <v>124</v>
      </c>
      <c r="F8" s="171">
        <v>2603560</v>
      </c>
      <c r="G8" s="170">
        <v>52</v>
      </c>
      <c r="H8" s="171">
        <v>894900</v>
      </c>
      <c r="I8" s="170">
        <v>0</v>
      </c>
      <c r="J8" s="171">
        <v>0</v>
      </c>
      <c r="K8" s="170">
        <v>355</v>
      </c>
      <c r="L8" s="171">
        <v>4944846</v>
      </c>
      <c r="M8" s="170">
        <v>0</v>
      </c>
      <c r="N8" s="171">
        <v>424819</v>
      </c>
      <c r="O8" s="170">
        <v>305</v>
      </c>
      <c r="P8" s="171">
        <v>5156568</v>
      </c>
      <c r="Q8" s="170"/>
      <c r="R8" s="171"/>
      <c r="S8" s="170"/>
      <c r="T8" s="172"/>
    </row>
    <row r="9" spans="2:20" ht="36" customHeight="1" x14ac:dyDescent="0.3">
      <c r="B9" s="173" t="s">
        <v>449</v>
      </c>
      <c r="C9" s="174">
        <v>415</v>
      </c>
      <c r="D9" s="175">
        <v>7450862</v>
      </c>
      <c r="E9" s="174">
        <v>101</v>
      </c>
      <c r="F9" s="175">
        <v>2603684</v>
      </c>
      <c r="G9" s="174">
        <v>45</v>
      </c>
      <c r="H9" s="175">
        <v>894952</v>
      </c>
      <c r="I9" s="174">
        <v>0</v>
      </c>
      <c r="J9" s="175">
        <v>0</v>
      </c>
      <c r="K9" s="174">
        <v>289</v>
      </c>
      <c r="L9" s="175">
        <v>4945201</v>
      </c>
      <c r="M9" s="174">
        <v>0</v>
      </c>
      <c r="N9" s="175">
        <v>424819</v>
      </c>
      <c r="O9" s="174">
        <v>304</v>
      </c>
      <c r="P9" s="175">
        <v>5156873</v>
      </c>
      <c r="Q9" s="174"/>
      <c r="R9" s="175"/>
      <c r="S9" s="174"/>
      <c r="T9" s="176"/>
    </row>
    <row r="10" spans="2:20" ht="36" customHeight="1" x14ac:dyDescent="0.3">
      <c r="B10" s="173" t="s">
        <v>450</v>
      </c>
      <c r="C10" s="174">
        <v>375</v>
      </c>
      <c r="D10" s="175">
        <v>7451277</v>
      </c>
      <c r="E10" s="174">
        <v>87</v>
      </c>
      <c r="F10" s="175">
        <v>2603785</v>
      </c>
      <c r="G10" s="174">
        <v>37</v>
      </c>
      <c r="H10" s="175">
        <v>894997</v>
      </c>
      <c r="I10" s="174">
        <v>0</v>
      </c>
      <c r="J10" s="175">
        <v>0</v>
      </c>
      <c r="K10" s="174">
        <v>229</v>
      </c>
      <c r="L10" s="175">
        <v>4945490</v>
      </c>
      <c r="M10" s="174">
        <v>0</v>
      </c>
      <c r="N10" s="175">
        <v>424819</v>
      </c>
      <c r="O10" s="174">
        <v>289</v>
      </c>
      <c r="P10" s="175">
        <v>5157177</v>
      </c>
      <c r="Q10" s="174"/>
      <c r="R10" s="175"/>
      <c r="S10" s="174"/>
      <c r="T10" s="176"/>
    </row>
    <row r="11" spans="2:20" ht="36" customHeight="1" x14ac:dyDescent="0.3">
      <c r="B11" s="173" t="s">
        <v>451</v>
      </c>
      <c r="C11" s="174">
        <v>358</v>
      </c>
      <c r="D11" s="175">
        <v>7451652</v>
      </c>
      <c r="E11" s="174">
        <v>82</v>
      </c>
      <c r="F11" s="175">
        <v>2603872</v>
      </c>
      <c r="G11" s="174">
        <v>31</v>
      </c>
      <c r="H11" s="175">
        <v>895034</v>
      </c>
      <c r="I11" s="174">
        <v>0</v>
      </c>
      <c r="J11" s="175">
        <v>0</v>
      </c>
      <c r="K11" s="174">
        <v>226</v>
      </c>
      <c r="L11" s="175">
        <v>4945719</v>
      </c>
      <c r="M11" s="174">
        <v>0</v>
      </c>
      <c r="N11" s="175">
        <v>424819</v>
      </c>
      <c r="O11" s="174">
        <v>283</v>
      </c>
      <c r="P11" s="175">
        <v>5157466</v>
      </c>
      <c r="Q11" s="174"/>
      <c r="R11" s="175"/>
      <c r="S11" s="174"/>
      <c r="T11" s="176"/>
    </row>
    <row r="12" spans="2:20" ht="36" customHeight="1" x14ac:dyDescent="0.3">
      <c r="B12" s="173" t="s">
        <v>452</v>
      </c>
      <c r="C12" s="174">
        <v>352</v>
      </c>
      <c r="D12" s="175">
        <v>7452010</v>
      </c>
      <c r="E12" s="174">
        <v>80</v>
      </c>
      <c r="F12" s="175">
        <v>2603954</v>
      </c>
      <c r="G12" s="174">
        <v>29</v>
      </c>
      <c r="H12" s="175">
        <v>895065</v>
      </c>
      <c r="I12" s="174">
        <v>0</v>
      </c>
      <c r="J12" s="175">
        <v>0</v>
      </c>
      <c r="K12" s="174">
        <v>215</v>
      </c>
      <c r="L12" s="175">
        <v>4945945</v>
      </c>
      <c r="M12" s="174">
        <v>0</v>
      </c>
      <c r="N12" s="175">
        <v>424819</v>
      </c>
      <c r="O12" s="174">
        <v>278</v>
      </c>
      <c r="P12" s="175">
        <v>5157749</v>
      </c>
      <c r="Q12" s="174"/>
      <c r="R12" s="175"/>
      <c r="S12" s="174"/>
      <c r="T12" s="176"/>
    </row>
    <row r="13" spans="2:20" ht="36" customHeight="1" x14ac:dyDescent="0.3">
      <c r="B13" s="173" t="s">
        <v>453</v>
      </c>
      <c r="C13" s="174">
        <v>355</v>
      </c>
      <c r="D13" s="175">
        <v>7452362</v>
      </c>
      <c r="E13" s="174">
        <v>81</v>
      </c>
      <c r="F13" s="175">
        <v>2604034</v>
      </c>
      <c r="G13" s="174">
        <v>27</v>
      </c>
      <c r="H13" s="175">
        <v>895094</v>
      </c>
      <c r="I13" s="174">
        <v>0</v>
      </c>
      <c r="J13" s="175">
        <v>0</v>
      </c>
      <c r="K13" s="174">
        <v>194</v>
      </c>
      <c r="L13" s="175">
        <v>4946160</v>
      </c>
      <c r="M13" s="174">
        <v>0</v>
      </c>
      <c r="N13" s="175">
        <v>424819</v>
      </c>
      <c r="O13" s="174">
        <v>280</v>
      </c>
      <c r="P13" s="175">
        <v>5158027</v>
      </c>
      <c r="Q13" s="174"/>
      <c r="R13" s="175"/>
      <c r="S13" s="174"/>
      <c r="T13" s="176"/>
    </row>
    <row r="14" spans="2:20" ht="36" customHeight="1" x14ac:dyDescent="0.3">
      <c r="B14" s="173" t="s">
        <v>454</v>
      </c>
      <c r="C14" s="174">
        <v>413</v>
      </c>
      <c r="D14" s="175">
        <v>7452717</v>
      </c>
      <c r="E14" s="174">
        <v>89</v>
      </c>
      <c r="F14" s="175">
        <v>2604115</v>
      </c>
      <c r="G14" s="174">
        <v>31</v>
      </c>
      <c r="H14" s="175">
        <v>895121</v>
      </c>
      <c r="I14" s="174">
        <v>0</v>
      </c>
      <c r="J14" s="175">
        <v>0</v>
      </c>
      <c r="K14" s="174">
        <v>211</v>
      </c>
      <c r="L14" s="175">
        <v>4946354</v>
      </c>
      <c r="M14" s="174">
        <v>0</v>
      </c>
      <c r="N14" s="175">
        <v>424819</v>
      </c>
      <c r="O14" s="174">
        <v>290</v>
      </c>
      <c r="P14" s="175">
        <v>5158307</v>
      </c>
      <c r="Q14" s="174"/>
      <c r="R14" s="175"/>
      <c r="S14" s="174"/>
      <c r="T14" s="176"/>
    </row>
    <row r="15" spans="2:20" ht="36" customHeight="1" x14ac:dyDescent="0.3">
      <c r="B15" s="173" t="s">
        <v>455</v>
      </c>
      <c r="C15" s="174">
        <v>404</v>
      </c>
      <c r="D15" s="175">
        <v>7453130</v>
      </c>
      <c r="E15" s="174">
        <v>111</v>
      </c>
      <c r="F15" s="175">
        <v>2604204</v>
      </c>
      <c r="G15" s="174">
        <v>31</v>
      </c>
      <c r="H15" s="175">
        <v>895152</v>
      </c>
      <c r="I15" s="174">
        <v>0</v>
      </c>
      <c r="J15" s="175">
        <v>0</v>
      </c>
      <c r="K15" s="174">
        <v>213</v>
      </c>
      <c r="L15" s="175">
        <v>4946565</v>
      </c>
      <c r="M15" s="174">
        <v>0</v>
      </c>
      <c r="N15" s="175">
        <v>424819</v>
      </c>
      <c r="O15" s="174">
        <v>304</v>
      </c>
      <c r="P15" s="175">
        <v>5158597</v>
      </c>
      <c r="Q15" s="174"/>
      <c r="R15" s="175"/>
      <c r="S15" s="174"/>
      <c r="T15" s="176"/>
    </row>
    <row r="16" spans="2:20" ht="36" customHeight="1" x14ac:dyDescent="0.3">
      <c r="B16" s="173" t="s">
        <v>456</v>
      </c>
      <c r="C16" s="174">
        <v>418</v>
      </c>
      <c r="D16" s="175">
        <v>7453534</v>
      </c>
      <c r="E16" s="174">
        <v>151</v>
      </c>
      <c r="F16" s="175">
        <v>2604315</v>
      </c>
      <c r="G16" s="174">
        <v>40</v>
      </c>
      <c r="H16" s="175">
        <v>895183</v>
      </c>
      <c r="I16" s="174">
        <v>0</v>
      </c>
      <c r="J16" s="175">
        <v>0</v>
      </c>
      <c r="K16" s="174">
        <v>208</v>
      </c>
      <c r="L16" s="175">
        <v>4946778</v>
      </c>
      <c r="M16" s="174">
        <v>0</v>
      </c>
      <c r="N16" s="175">
        <v>424819</v>
      </c>
      <c r="O16" s="174">
        <v>312</v>
      </c>
      <c r="P16" s="175">
        <v>5158901</v>
      </c>
      <c r="Q16" s="174"/>
      <c r="R16" s="175"/>
      <c r="S16" s="174"/>
      <c r="T16" s="176"/>
    </row>
    <row r="17" spans="2:20" ht="36" customHeight="1" x14ac:dyDescent="0.3">
      <c r="B17" s="173" t="s">
        <v>457</v>
      </c>
      <c r="C17" s="174">
        <v>461</v>
      </c>
      <c r="D17" s="175">
        <v>7453952</v>
      </c>
      <c r="E17" s="174">
        <v>178</v>
      </c>
      <c r="F17" s="175">
        <v>2604466</v>
      </c>
      <c r="G17" s="174">
        <v>51</v>
      </c>
      <c r="H17" s="175">
        <v>895223</v>
      </c>
      <c r="I17" s="174">
        <v>0</v>
      </c>
      <c r="J17" s="175">
        <v>0</v>
      </c>
      <c r="K17" s="174">
        <v>228</v>
      </c>
      <c r="L17" s="175">
        <v>4946986</v>
      </c>
      <c r="M17" s="174">
        <v>0</v>
      </c>
      <c r="N17" s="175">
        <v>424819</v>
      </c>
      <c r="O17" s="174">
        <v>314</v>
      </c>
      <c r="P17" s="175">
        <v>5159213</v>
      </c>
      <c r="Q17" s="174"/>
      <c r="R17" s="175"/>
      <c r="S17" s="174"/>
      <c r="T17" s="176"/>
    </row>
    <row r="18" spans="2:20" ht="36" customHeight="1" x14ac:dyDescent="0.3">
      <c r="B18" s="173" t="s">
        <v>458</v>
      </c>
      <c r="C18" s="174">
        <v>488</v>
      </c>
      <c r="D18" s="175">
        <v>7454413</v>
      </c>
      <c r="E18" s="174">
        <v>204</v>
      </c>
      <c r="F18" s="175">
        <v>2604644</v>
      </c>
      <c r="G18" s="174">
        <v>61</v>
      </c>
      <c r="H18" s="175">
        <v>895274</v>
      </c>
      <c r="I18" s="174">
        <v>0</v>
      </c>
      <c r="J18" s="175">
        <v>0</v>
      </c>
      <c r="K18" s="174">
        <v>309</v>
      </c>
      <c r="L18" s="175">
        <v>4947214</v>
      </c>
      <c r="M18" s="174">
        <v>0</v>
      </c>
      <c r="N18" s="175">
        <v>424819</v>
      </c>
      <c r="O18" s="174">
        <v>314</v>
      </c>
      <c r="P18" s="175">
        <v>5159527</v>
      </c>
      <c r="Q18" s="174"/>
      <c r="R18" s="175"/>
      <c r="S18" s="174"/>
      <c r="T18" s="176"/>
    </row>
    <row r="19" spans="2:20" ht="36" customHeight="1" x14ac:dyDescent="0.3">
      <c r="B19" s="173" t="s">
        <v>459</v>
      </c>
      <c r="C19" s="174">
        <v>481</v>
      </c>
      <c r="D19" s="175">
        <v>7454901</v>
      </c>
      <c r="E19" s="174">
        <v>203</v>
      </c>
      <c r="F19" s="175">
        <v>2604848</v>
      </c>
      <c r="G19" s="174">
        <v>65</v>
      </c>
      <c r="H19" s="175">
        <v>895335</v>
      </c>
      <c r="I19" s="174">
        <v>0</v>
      </c>
      <c r="J19" s="175">
        <v>0</v>
      </c>
      <c r="K19" s="174">
        <v>353</v>
      </c>
      <c r="L19" s="175">
        <v>4947523</v>
      </c>
      <c r="M19" s="174">
        <v>0</v>
      </c>
      <c r="N19" s="175">
        <v>424819</v>
      </c>
      <c r="O19" s="174">
        <v>312</v>
      </c>
      <c r="P19" s="175">
        <v>5159841</v>
      </c>
      <c r="Q19" s="174"/>
      <c r="R19" s="175"/>
      <c r="S19" s="174"/>
      <c r="T19" s="176"/>
    </row>
    <row r="20" spans="2:20" ht="36" customHeight="1" x14ac:dyDescent="0.3">
      <c r="B20" s="173" t="s">
        <v>460</v>
      </c>
      <c r="C20" s="174">
        <v>466</v>
      </c>
      <c r="D20" s="175">
        <v>7455382</v>
      </c>
      <c r="E20" s="174">
        <v>203</v>
      </c>
      <c r="F20" s="175">
        <v>2605051</v>
      </c>
      <c r="G20" s="174">
        <v>69</v>
      </c>
      <c r="H20" s="175">
        <v>895400</v>
      </c>
      <c r="I20" s="174">
        <v>0</v>
      </c>
      <c r="J20" s="175">
        <v>0</v>
      </c>
      <c r="K20" s="174">
        <v>314</v>
      </c>
      <c r="L20" s="175">
        <v>4947876</v>
      </c>
      <c r="M20" s="174">
        <v>0</v>
      </c>
      <c r="N20" s="175">
        <v>424819</v>
      </c>
      <c r="O20" s="174">
        <v>312</v>
      </c>
      <c r="P20" s="175">
        <v>5160153</v>
      </c>
      <c r="Q20" s="174"/>
      <c r="R20" s="175"/>
      <c r="S20" s="174"/>
      <c r="T20" s="176"/>
    </row>
    <row r="21" spans="2:20" ht="36" customHeight="1" x14ac:dyDescent="0.3">
      <c r="B21" s="173" t="s">
        <v>461</v>
      </c>
      <c r="C21" s="174">
        <v>461</v>
      </c>
      <c r="D21" s="175">
        <v>7455848</v>
      </c>
      <c r="E21" s="174">
        <v>200</v>
      </c>
      <c r="F21" s="175">
        <v>2605254</v>
      </c>
      <c r="G21" s="174">
        <v>68</v>
      </c>
      <c r="H21" s="175">
        <v>895469</v>
      </c>
      <c r="I21" s="174">
        <v>0</v>
      </c>
      <c r="J21" s="175">
        <v>0</v>
      </c>
      <c r="K21" s="174">
        <v>305</v>
      </c>
      <c r="L21" s="175">
        <v>4948190</v>
      </c>
      <c r="M21" s="174">
        <v>0</v>
      </c>
      <c r="N21" s="175">
        <v>424819</v>
      </c>
      <c r="O21" s="174">
        <v>310</v>
      </c>
      <c r="P21" s="175">
        <v>5160465</v>
      </c>
      <c r="Q21" s="174"/>
      <c r="R21" s="175"/>
      <c r="S21" s="174"/>
      <c r="T21" s="176"/>
    </row>
    <row r="22" spans="2:20" ht="36" customHeight="1" x14ac:dyDescent="0.3">
      <c r="B22" s="173" t="s">
        <v>462</v>
      </c>
      <c r="C22" s="174">
        <v>457</v>
      </c>
      <c r="D22" s="175">
        <v>7456309</v>
      </c>
      <c r="E22" s="174">
        <v>193</v>
      </c>
      <c r="F22" s="175">
        <v>2605454</v>
      </c>
      <c r="G22" s="174">
        <v>67</v>
      </c>
      <c r="H22" s="175">
        <v>895537</v>
      </c>
      <c r="I22" s="174">
        <v>0</v>
      </c>
      <c r="J22" s="175">
        <v>0</v>
      </c>
      <c r="K22" s="174">
        <v>275</v>
      </c>
      <c r="L22" s="175">
        <v>4948495</v>
      </c>
      <c r="M22" s="174">
        <v>0</v>
      </c>
      <c r="N22" s="175">
        <v>424819</v>
      </c>
      <c r="O22" s="174">
        <v>310</v>
      </c>
      <c r="P22" s="175">
        <v>5160775</v>
      </c>
      <c r="Q22" s="174"/>
      <c r="R22" s="175"/>
      <c r="S22" s="174"/>
      <c r="T22" s="176"/>
    </row>
    <row r="23" spans="2:20" ht="36" customHeight="1" x14ac:dyDescent="0.3">
      <c r="B23" s="173" t="s">
        <v>463</v>
      </c>
      <c r="C23" s="174">
        <v>464</v>
      </c>
      <c r="D23" s="175">
        <v>7456766</v>
      </c>
      <c r="E23" s="174">
        <v>184</v>
      </c>
      <c r="F23" s="175">
        <v>2605647</v>
      </c>
      <c r="G23" s="174">
        <v>64</v>
      </c>
      <c r="H23" s="175">
        <v>895604</v>
      </c>
      <c r="I23" s="174">
        <v>0</v>
      </c>
      <c r="J23" s="175">
        <v>0</v>
      </c>
      <c r="K23" s="174">
        <v>285</v>
      </c>
      <c r="L23" s="175">
        <v>4948770</v>
      </c>
      <c r="M23" s="174">
        <v>0</v>
      </c>
      <c r="N23" s="175">
        <v>424819</v>
      </c>
      <c r="O23" s="174">
        <v>310</v>
      </c>
      <c r="P23" s="175">
        <v>5161085</v>
      </c>
      <c r="Q23" s="174"/>
      <c r="R23" s="175"/>
      <c r="S23" s="174"/>
      <c r="T23" s="176"/>
    </row>
    <row r="24" spans="2:20" ht="36" customHeight="1" x14ac:dyDescent="0.3">
      <c r="B24" s="173" t="s">
        <v>464</v>
      </c>
      <c r="C24" s="174">
        <v>460</v>
      </c>
      <c r="D24" s="175">
        <v>7457230</v>
      </c>
      <c r="E24" s="174">
        <v>186</v>
      </c>
      <c r="F24" s="175">
        <v>2605831</v>
      </c>
      <c r="G24" s="174">
        <v>63</v>
      </c>
      <c r="H24" s="175">
        <v>895668</v>
      </c>
      <c r="I24" s="174">
        <v>0</v>
      </c>
      <c r="J24" s="175">
        <v>0</v>
      </c>
      <c r="K24" s="174">
        <v>295</v>
      </c>
      <c r="L24" s="175">
        <v>4949055</v>
      </c>
      <c r="M24" s="174">
        <v>0</v>
      </c>
      <c r="N24" s="175">
        <v>424819</v>
      </c>
      <c r="O24" s="174">
        <v>310</v>
      </c>
      <c r="P24" s="175">
        <v>5161395</v>
      </c>
      <c r="Q24" s="174"/>
      <c r="R24" s="175"/>
      <c r="S24" s="174"/>
      <c r="T24" s="176"/>
    </row>
    <row r="25" spans="2:20" ht="36" customHeight="1" x14ac:dyDescent="0.3">
      <c r="B25" s="173" t="s">
        <v>465</v>
      </c>
      <c r="C25" s="174">
        <v>467</v>
      </c>
      <c r="D25" s="175">
        <v>7457690</v>
      </c>
      <c r="E25" s="174">
        <v>191</v>
      </c>
      <c r="F25" s="175">
        <v>2606017</v>
      </c>
      <c r="G25" s="174">
        <v>65</v>
      </c>
      <c r="H25" s="175">
        <v>895731</v>
      </c>
      <c r="I25" s="174">
        <v>0</v>
      </c>
      <c r="J25" s="175">
        <v>0</v>
      </c>
      <c r="K25" s="174">
        <v>338</v>
      </c>
      <c r="L25" s="175">
        <v>4949350</v>
      </c>
      <c r="M25" s="174">
        <v>0</v>
      </c>
      <c r="N25" s="175">
        <v>424819</v>
      </c>
      <c r="O25" s="174">
        <v>310</v>
      </c>
      <c r="P25" s="175">
        <v>5161705</v>
      </c>
      <c r="Q25" s="174"/>
      <c r="R25" s="175"/>
      <c r="S25" s="174"/>
      <c r="T25" s="176"/>
    </row>
    <row r="26" spans="2:20" ht="36" customHeight="1" x14ac:dyDescent="0.3">
      <c r="B26" s="173" t="s">
        <v>466</v>
      </c>
      <c r="C26" s="174">
        <v>484</v>
      </c>
      <c r="D26" s="175">
        <v>7458157</v>
      </c>
      <c r="E26" s="174">
        <v>196</v>
      </c>
      <c r="F26" s="175">
        <v>2606208</v>
      </c>
      <c r="G26" s="174">
        <v>75</v>
      </c>
      <c r="H26" s="175">
        <v>895796</v>
      </c>
      <c r="I26" s="174">
        <v>0</v>
      </c>
      <c r="J26" s="175">
        <v>0</v>
      </c>
      <c r="K26" s="174">
        <v>411</v>
      </c>
      <c r="L26" s="175">
        <v>4949688</v>
      </c>
      <c r="M26" s="174">
        <v>0</v>
      </c>
      <c r="N26" s="175">
        <v>424819</v>
      </c>
      <c r="O26" s="174">
        <v>311</v>
      </c>
      <c r="P26" s="175">
        <v>5162015</v>
      </c>
      <c r="Q26" s="174"/>
      <c r="R26" s="175"/>
      <c r="S26" s="174"/>
      <c r="T26" s="176"/>
    </row>
    <row r="27" spans="2:20" ht="36" customHeight="1" x14ac:dyDescent="0.3">
      <c r="B27" s="173" t="s">
        <v>467</v>
      </c>
      <c r="C27" s="174">
        <v>491</v>
      </c>
      <c r="D27" s="175">
        <v>7458641</v>
      </c>
      <c r="E27" s="174">
        <v>204</v>
      </c>
      <c r="F27" s="175">
        <v>2606404</v>
      </c>
      <c r="G27" s="174">
        <v>75</v>
      </c>
      <c r="H27" s="175">
        <v>895871</v>
      </c>
      <c r="I27" s="174">
        <v>0</v>
      </c>
      <c r="J27" s="175">
        <v>0</v>
      </c>
      <c r="K27" s="174">
        <v>368</v>
      </c>
      <c r="L27" s="175">
        <v>4950099</v>
      </c>
      <c r="M27" s="174">
        <v>0</v>
      </c>
      <c r="N27" s="175">
        <v>424819</v>
      </c>
      <c r="O27" s="174">
        <v>310</v>
      </c>
      <c r="P27" s="175">
        <v>5162326</v>
      </c>
      <c r="Q27" s="174"/>
      <c r="R27" s="175"/>
      <c r="S27" s="174"/>
      <c r="T27" s="176"/>
    </row>
    <row r="28" spans="2:20" ht="36" customHeight="1" x14ac:dyDescent="0.3">
      <c r="B28" s="173" t="s">
        <v>468</v>
      </c>
      <c r="C28" s="174">
        <v>500</v>
      </c>
      <c r="D28" s="175">
        <v>7459132</v>
      </c>
      <c r="E28" s="174">
        <v>186</v>
      </c>
      <c r="F28" s="175">
        <v>2606608</v>
      </c>
      <c r="G28" s="174">
        <v>72</v>
      </c>
      <c r="H28" s="175">
        <v>895946</v>
      </c>
      <c r="I28" s="174">
        <v>0</v>
      </c>
      <c r="J28" s="175">
        <v>0</v>
      </c>
      <c r="K28" s="174">
        <v>364</v>
      </c>
      <c r="L28" s="175">
        <v>4950467</v>
      </c>
      <c r="M28" s="174">
        <v>0</v>
      </c>
      <c r="N28" s="175">
        <v>424819</v>
      </c>
      <c r="O28" s="174">
        <v>309</v>
      </c>
      <c r="P28" s="175">
        <v>5162636</v>
      </c>
      <c r="Q28" s="174"/>
      <c r="R28" s="175"/>
      <c r="S28" s="174"/>
      <c r="T28" s="176"/>
    </row>
    <row r="29" spans="2:20" ht="36" customHeight="1" x14ac:dyDescent="0.3">
      <c r="B29" s="173" t="s">
        <v>469</v>
      </c>
      <c r="C29" s="174">
        <v>524</v>
      </c>
      <c r="D29" s="175">
        <v>7459632</v>
      </c>
      <c r="E29" s="174">
        <v>183</v>
      </c>
      <c r="F29" s="175">
        <v>2606794</v>
      </c>
      <c r="G29" s="174">
        <v>69</v>
      </c>
      <c r="H29" s="175">
        <v>896018</v>
      </c>
      <c r="I29" s="174">
        <v>0</v>
      </c>
      <c r="J29" s="175">
        <v>0</v>
      </c>
      <c r="K29" s="174">
        <v>397</v>
      </c>
      <c r="L29" s="175">
        <v>4950831</v>
      </c>
      <c r="M29" s="174">
        <v>0</v>
      </c>
      <c r="N29" s="175">
        <v>424819</v>
      </c>
      <c r="O29" s="174">
        <v>307</v>
      </c>
      <c r="P29" s="175">
        <v>5162945</v>
      </c>
      <c r="Q29" s="174"/>
      <c r="R29" s="175"/>
      <c r="S29" s="174"/>
      <c r="T29" s="176"/>
    </row>
    <row r="30" spans="2:20" ht="36" customHeight="1" x14ac:dyDescent="0.3">
      <c r="B30" s="173" t="s">
        <v>470</v>
      </c>
      <c r="C30" s="174">
        <v>476</v>
      </c>
      <c r="D30" s="175">
        <v>7460156</v>
      </c>
      <c r="E30" s="174">
        <v>161</v>
      </c>
      <c r="F30" s="175">
        <v>2606977</v>
      </c>
      <c r="G30" s="174">
        <v>67</v>
      </c>
      <c r="H30" s="175">
        <v>896087</v>
      </c>
      <c r="I30" s="174">
        <v>0</v>
      </c>
      <c r="J30" s="175">
        <v>0</v>
      </c>
      <c r="K30" s="174">
        <v>383</v>
      </c>
      <c r="L30" s="175">
        <v>4951228</v>
      </c>
      <c r="M30" s="174">
        <v>0</v>
      </c>
      <c r="N30" s="175">
        <v>424819</v>
      </c>
      <c r="O30" s="174">
        <v>307</v>
      </c>
      <c r="P30" s="175">
        <v>5163252</v>
      </c>
      <c r="Q30" s="174"/>
      <c r="R30" s="175"/>
      <c r="S30" s="174"/>
      <c r="T30" s="176"/>
    </row>
    <row r="31" spans="2:20" ht="36" customHeight="1" thickBot="1" x14ac:dyDescent="0.35">
      <c r="B31" s="177" t="s">
        <v>471</v>
      </c>
      <c r="C31" s="178">
        <v>453</v>
      </c>
      <c r="D31" s="179">
        <v>7460632</v>
      </c>
      <c r="E31" s="178">
        <v>142</v>
      </c>
      <c r="F31" s="179">
        <v>2607138</v>
      </c>
      <c r="G31" s="178">
        <v>61</v>
      </c>
      <c r="H31" s="179">
        <v>896154</v>
      </c>
      <c r="I31" s="178">
        <v>0</v>
      </c>
      <c r="J31" s="179">
        <v>0</v>
      </c>
      <c r="K31" s="178">
        <v>382</v>
      </c>
      <c r="L31" s="179">
        <v>4951611</v>
      </c>
      <c r="M31" s="178">
        <v>0</v>
      </c>
      <c r="N31" s="179">
        <v>424819</v>
      </c>
      <c r="O31" s="178">
        <v>306</v>
      </c>
      <c r="P31" s="179">
        <v>5163559</v>
      </c>
      <c r="Q31" s="178"/>
      <c r="R31" s="179"/>
      <c r="S31" s="178"/>
      <c r="T31" s="180"/>
    </row>
    <row r="32" spans="2:20" ht="36" customHeight="1" thickTop="1" x14ac:dyDescent="0.3">
      <c r="B32" s="181" t="s">
        <v>472</v>
      </c>
      <c r="C32" s="182">
        <f t="shared" ref="C32:T32" si="0">MIN(C8:C31)</f>
        <v>352</v>
      </c>
      <c r="D32" s="182">
        <f t="shared" si="0"/>
        <v>7450435</v>
      </c>
      <c r="E32" s="182">
        <f t="shared" si="0"/>
        <v>80</v>
      </c>
      <c r="F32" s="182">
        <f t="shared" si="0"/>
        <v>2603560</v>
      </c>
      <c r="G32" s="182">
        <f t="shared" si="0"/>
        <v>27</v>
      </c>
      <c r="H32" s="182">
        <f t="shared" si="0"/>
        <v>894900</v>
      </c>
      <c r="I32" s="182">
        <f t="shared" si="0"/>
        <v>0</v>
      </c>
      <c r="J32" s="182">
        <f t="shared" si="0"/>
        <v>0</v>
      </c>
      <c r="K32" s="182">
        <f t="shared" si="0"/>
        <v>194</v>
      </c>
      <c r="L32" s="182">
        <f t="shared" si="0"/>
        <v>4944846</v>
      </c>
      <c r="M32" s="182">
        <f t="shared" si="0"/>
        <v>0</v>
      </c>
      <c r="N32" s="182">
        <f t="shared" si="0"/>
        <v>424819</v>
      </c>
      <c r="O32" s="182">
        <f t="shared" si="0"/>
        <v>278</v>
      </c>
      <c r="P32" s="182">
        <f t="shared" si="0"/>
        <v>5156568</v>
      </c>
      <c r="Q32" s="182">
        <f t="shared" si="0"/>
        <v>0</v>
      </c>
      <c r="R32" s="182">
        <f t="shared" si="0"/>
        <v>0</v>
      </c>
      <c r="S32" s="182">
        <f t="shared" si="0"/>
        <v>0</v>
      </c>
      <c r="T32" s="183">
        <f t="shared" si="0"/>
        <v>0</v>
      </c>
    </row>
    <row r="33" spans="1:21" ht="36" customHeight="1" x14ac:dyDescent="0.3">
      <c r="B33" s="173" t="s">
        <v>473</v>
      </c>
      <c r="C33" s="182">
        <f t="shared" ref="C33:T33" si="1">MAX(C8:C31)</f>
        <v>524</v>
      </c>
      <c r="D33" s="182">
        <f t="shared" si="1"/>
        <v>7460632</v>
      </c>
      <c r="E33" s="182">
        <f t="shared" si="1"/>
        <v>204</v>
      </c>
      <c r="F33" s="182">
        <f t="shared" si="1"/>
        <v>2607138</v>
      </c>
      <c r="G33" s="182">
        <f t="shared" si="1"/>
        <v>75</v>
      </c>
      <c r="H33" s="182">
        <f t="shared" si="1"/>
        <v>896154</v>
      </c>
      <c r="I33" s="182">
        <f t="shared" si="1"/>
        <v>0</v>
      </c>
      <c r="J33" s="182">
        <f t="shared" si="1"/>
        <v>0</v>
      </c>
      <c r="K33" s="182">
        <f t="shared" si="1"/>
        <v>411</v>
      </c>
      <c r="L33" s="182">
        <f t="shared" si="1"/>
        <v>4951611</v>
      </c>
      <c r="M33" s="182">
        <f t="shared" si="1"/>
        <v>0</v>
      </c>
      <c r="N33" s="182">
        <f t="shared" si="1"/>
        <v>424819</v>
      </c>
      <c r="O33" s="182">
        <f t="shared" si="1"/>
        <v>314</v>
      </c>
      <c r="P33" s="182">
        <f t="shared" si="1"/>
        <v>5163559</v>
      </c>
      <c r="Q33" s="182">
        <f t="shared" si="1"/>
        <v>0</v>
      </c>
      <c r="R33" s="182">
        <f t="shared" si="1"/>
        <v>0</v>
      </c>
      <c r="S33" s="182">
        <f t="shared" si="1"/>
        <v>0</v>
      </c>
      <c r="T33" s="183">
        <f t="shared" si="1"/>
        <v>0</v>
      </c>
    </row>
    <row r="34" spans="1:21" ht="36" customHeight="1" x14ac:dyDescent="0.3">
      <c r="B34" s="173" t="s">
        <v>474</v>
      </c>
      <c r="C34" s="182">
        <f>AVERAGE(C8:C31)</f>
        <v>443.75</v>
      </c>
      <c r="D34" s="184"/>
      <c r="E34" s="182">
        <f>AVERAGE(E8:E31)</f>
        <v>155</v>
      </c>
      <c r="F34" s="184"/>
      <c r="G34" s="182">
        <f>AVERAGE(G8:G31)</f>
        <v>54.791666666666664</v>
      </c>
      <c r="H34" s="184"/>
      <c r="I34" s="182">
        <f>AVERAGE(I8:I31)</f>
        <v>0</v>
      </c>
      <c r="J34" s="184"/>
      <c r="K34" s="182">
        <f>AVERAGE(K8:K31)</f>
        <v>297.79166666666669</v>
      </c>
      <c r="L34" s="184"/>
      <c r="M34" s="182">
        <f>AVERAGE(M8:M31)</f>
        <v>0</v>
      </c>
      <c r="N34" s="184"/>
      <c r="O34" s="182">
        <f>AVERAGE(O8:O31)</f>
        <v>304.04166666666669</v>
      </c>
      <c r="P34" s="184"/>
      <c r="Q34" s="182" t="e">
        <f>AVERAGE(Q8:Q31)</f>
        <v>#DIV/0!</v>
      </c>
      <c r="R34" s="184"/>
      <c r="S34" s="182" t="e">
        <f>AVERAGE(S8:S31)</f>
        <v>#DIV/0!</v>
      </c>
      <c r="T34" s="185"/>
    </row>
    <row r="35" spans="1:21" ht="36" customHeight="1" thickBot="1" x14ac:dyDescent="0.35">
      <c r="B35" s="186" t="s">
        <v>475</v>
      </c>
      <c r="C35" s="187">
        <f>SUM(C8:C31)</f>
        <v>10650</v>
      </c>
      <c r="D35" s="188"/>
      <c r="E35" s="187">
        <f>SUM(E8:E31)</f>
        <v>3720</v>
      </c>
      <c r="F35" s="188"/>
      <c r="G35" s="187">
        <f>SUM(G8:G31)</f>
        <v>1315</v>
      </c>
      <c r="H35" s="188"/>
      <c r="I35" s="187">
        <f>SUM(I8:I31)</f>
        <v>0</v>
      </c>
      <c r="J35" s="188"/>
      <c r="K35" s="187">
        <f>SUM(K8:K31)</f>
        <v>7147</v>
      </c>
      <c r="L35" s="188"/>
      <c r="M35" s="187">
        <f>SUM(M8:M31)</f>
        <v>0</v>
      </c>
      <c r="N35" s="188"/>
      <c r="O35" s="187">
        <f>SUM(O8:O31)</f>
        <v>7297</v>
      </c>
      <c r="P35" s="188"/>
      <c r="Q35" s="187">
        <f>SUM(Q8:Q31)</f>
        <v>0</v>
      </c>
      <c r="R35" s="188"/>
      <c r="S35" s="187">
        <f>SUM(S8:S31)</f>
        <v>0</v>
      </c>
      <c r="T35" s="189"/>
    </row>
    <row r="36" spans="1:21" ht="9.9499999999999993" customHeight="1" thickBot="1" x14ac:dyDescent="0.35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</row>
    <row r="37" spans="1:21" ht="51.95" customHeight="1" thickBot="1" x14ac:dyDescent="0.35">
      <c r="A37" s="162"/>
      <c r="B37" s="457" t="s">
        <v>476</v>
      </c>
      <c r="C37" s="458"/>
      <c r="D37" s="458"/>
      <c r="E37" s="458"/>
      <c r="F37" s="458"/>
      <c r="G37" s="458"/>
      <c r="H37" s="458"/>
      <c r="I37" s="458"/>
      <c r="J37" s="458"/>
      <c r="K37" s="458"/>
      <c r="L37" s="458"/>
      <c r="M37" s="458"/>
      <c r="N37" s="458"/>
      <c r="O37" s="458"/>
      <c r="P37" s="458"/>
      <c r="Q37" s="458"/>
      <c r="R37" s="458"/>
      <c r="S37" s="458"/>
      <c r="T37" s="459"/>
      <c r="U37" s="162"/>
    </row>
    <row r="38" spans="1:21" ht="36" customHeight="1" thickTop="1" x14ac:dyDescent="0.3">
      <c r="A38" s="164"/>
      <c r="B38" s="191" t="s">
        <v>433</v>
      </c>
      <c r="C38" s="453" t="str">
        <f>C3</f>
        <v>2025년12월28일  일요일</v>
      </c>
      <c r="D38" s="453"/>
      <c r="E38" s="453"/>
      <c r="F38" s="453"/>
      <c r="G38" s="453"/>
      <c r="H38" s="453"/>
      <c r="I38" s="453"/>
      <c r="J38" s="453"/>
      <c r="K38" s="453"/>
      <c r="L38" s="453"/>
      <c r="M38" s="453"/>
      <c r="N38" s="453"/>
      <c r="O38" s="453"/>
      <c r="P38" s="453"/>
      <c r="Q38" s="453"/>
      <c r="R38" s="453"/>
      <c r="S38" s="453"/>
      <c r="T38" s="454"/>
      <c r="U38" s="164"/>
    </row>
    <row r="39" spans="1:21" ht="27.95" customHeight="1" x14ac:dyDescent="0.3">
      <c r="A39" s="165"/>
      <c r="B39" s="451" t="s">
        <v>434</v>
      </c>
      <c r="C39" s="484" t="s">
        <v>507</v>
      </c>
      <c r="D39" s="485"/>
      <c r="E39" s="485"/>
      <c r="F39" s="485"/>
      <c r="G39" s="485"/>
      <c r="H39" s="486"/>
      <c r="I39" s="484" t="s">
        <v>508</v>
      </c>
      <c r="J39" s="486"/>
      <c r="K39" s="484" t="s">
        <v>183</v>
      </c>
      <c r="L39" s="485"/>
      <c r="M39" s="485"/>
      <c r="N39" s="486"/>
      <c r="O39" s="484" t="s">
        <v>509</v>
      </c>
      <c r="P39" s="486"/>
      <c r="Q39" s="484" t="s">
        <v>304</v>
      </c>
      <c r="R39" s="486"/>
      <c r="S39" s="484" t="s">
        <v>507</v>
      </c>
      <c r="T39" s="494"/>
      <c r="U39" s="165"/>
    </row>
    <row r="40" spans="1:21" ht="27.95" customHeight="1" x14ac:dyDescent="0.3">
      <c r="A40" s="165"/>
      <c r="B40" s="490"/>
      <c r="C40" s="487"/>
      <c r="D40" s="488"/>
      <c r="E40" s="488"/>
      <c r="F40" s="488"/>
      <c r="G40" s="488"/>
      <c r="H40" s="489"/>
      <c r="I40" s="487"/>
      <c r="J40" s="489"/>
      <c r="K40" s="491"/>
      <c r="L40" s="492"/>
      <c r="M40" s="492"/>
      <c r="N40" s="493"/>
      <c r="O40" s="487"/>
      <c r="P40" s="489"/>
      <c r="Q40" s="491"/>
      <c r="R40" s="493"/>
      <c r="S40" s="487"/>
      <c r="T40" s="495"/>
      <c r="U40" s="165"/>
    </row>
    <row r="41" spans="1:21" ht="27.95" customHeight="1" x14ac:dyDescent="0.3">
      <c r="A41" s="165"/>
      <c r="B41" s="490"/>
      <c r="C41" s="448" t="s">
        <v>510</v>
      </c>
      <c r="D41" s="449"/>
      <c r="E41" s="448" t="s">
        <v>719</v>
      </c>
      <c r="F41" s="449"/>
      <c r="G41" s="448" t="s">
        <v>718</v>
      </c>
      <c r="H41" s="449"/>
      <c r="I41" s="448" t="s">
        <v>511</v>
      </c>
      <c r="J41" s="449"/>
      <c r="K41" s="448" t="s">
        <v>512</v>
      </c>
      <c r="L41" s="449"/>
      <c r="M41" s="448" t="s">
        <v>183</v>
      </c>
      <c r="N41" s="449"/>
      <c r="O41" s="448" t="s">
        <v>513</v>
      </c>
      <c r="P41" s="449"/>
      <c r="Q41" s="448" t="s">
        <v>514</v>
      </c>
      <c r="R41" s="449"/>
      <c r="S41" s="448" t="s">
        <v>717</v>
      </c>
      <c r="T41" s="450"/>
      <c r="U41" s="165"/>
    </row>
    <row r="42" spans="1:21" ht="27.95" customHeight="1" x14ac:dyDescent="0.3">
      <c r="B42" s="452"/>
      <c r="C42" s="166" t="s">
        <v>444</v>
      </c>
      <c r="D42" s="167" t="s">
        <v>445</v>
      </c>
      <c r="E42" s="166" t="s">
        <v>444</v>
      </c>
      <c r="F42" s="167" t="s">
        <v>445</v>
      </c>
      <c r="G42" s="166" t="s">
        <v>444</v>
      </c>
      <c r="H42" s="167" t="s">
        <v>445</v>
      </c>
      <c r="I42" s="166" t="s">
        <v>444</v>
      </c>
      <c r="J42" s="167" t="s">
        <v>445</v>
      </c>
      <c r="K42" s="166" t="s">
        <v>444</v>
      </c>
      <c r="L42" s="167" t="s">
        <v>445</v>
      </c>
      <c r="M42" s="166" t="s">
        <v>444</v>
      </c>
      <c r="N42" s="167" t="s">
        <v>445</v>
      </c>
      <c r="O42" s="166" t="s">
        <v>444</v>
      </c>
      <c r="P42" s="167" t="s">
        <v>445</v>
      </c>
      <c r="Q42" s="166" t="s">
        <v>444</v>
      </c>
      <c r="R42" s="167" t="s">
        <v>445</v>
      </c>
      <c r="S42" s="166" t="s">
        <v>446</v>
      </c>
      <c r="T42" s="168" t="s">
        <v>447</v>
      </c>
    </row>
    <row r="43" spans="1:21" ht="36" customHeight="1" x14ac:dyDescent="0.3">
      <c r="B43" s="169" t="s">
        <v>448</v>
      </c>
      <c r="C43" s="170">
        <v>482</v>
      </c>
      <c r="D43" s="171">
        <v>7613896</v>
      </c>
      <c r="E43" s="170">
        <v>136</v>
      </c>
      <c r="F43" s="171">
        <v>30357632</v>
      </c>
      <c r="G43" s="170">
        <v>195</v>
      </c>
      <c r="H43" s="171">
        <v>14613101</v>
      </c>
      <c r="I43" s="170">
        <v>250</v>
      </c>
      <c r="J43" s="171">
        <v>2666462</v>
      </c>
      <c r="K43" s="170">
        <v>56</v>
      </c>
      <c r="L43" s="171">
        <v>83626</v>
      </c>
      <c r="M43" s="170">
        <v>60</v>
      </c>
      <c r="N43" s="171">
        <v>1749461</v>
      </c>
      <c r="O43" s="170">
        <v>14</v>
      </c>
      <c r="P43" s="171">
        <v>142990</v>
      </c>
      <c r="Q43" s="170">
        <v>15</v>
      </c>
      <c r="R43" s="171">
        <v>987206</v>
      </c>
      <c r="S43" s="170">
        <v>340</v>
      </c>
      <c r="T43" s="172">
        <v>1543839</v>
      </c>
    </row>
    <row r="44" spans="1:21" ht="36" customHeight="1" x14ac:dyDescent="0.3">
      <c r="B44" s="173" t="s">
        <v>449</v>
      </c>
      <c r="C44" s="174">
        <v>431</v>
      </c>
      <c r="D44" s="175">
        <v>7614378</v>
      </c>
      <c r="E44" s="174">
        <v>106</v>
      </c>
      <c r="F44" s="175">
        <v>30357768</v>
      </c>
      <c r="G44" s="174">
        <v>188</v>
      </c>
      <c r="H44" s="175">
        <v>14613296</v>
      </c>
      <c r="I44" s="174">
        <v>232</v>
      </c>
      <c r="J44" s="175">
        <v>2666712</v>
      </c>
      <c r="K44" s="174">
        <v>46</v>
      </c>
      <c r="L44" s="175">
        <v>83682</v>
      </c>
      <c r="M44" s="174">
        <v>44</v>
      </c>
      <c r="N44" s="175">
        <v>1749521</v>
      </c>
      <c r="O44" s="174">
        <v>14</v>
      </c>
      <c r="P44" s="175">
        <v>143004</v>
      </c>
      <c r="Q44" s="174">
        <v>14</v>
      </c>
      <c r="R44" s="175">
        <v>987221</v>
      </c>
      <c r="S44" s="174">
        <v>302</v>
      </c>
      <c r="T44" s="176">
        <v>1544179</v>
      </c>
    </row>
    <row r="45" spans="1:21" ht="36" customHeight="1" x14ac:dyDescent="0.3">
      <c r="B45" s="173" t="s">
        <v>450</v>
      </c>
      <c r="C45" s="174">
        <v>354</v>
      </c>
      <c r="D45" s="175">
        <v>7614809</v>
      </c>
      <c r="E45" s="174">
        <v>84</v>
      </c>
      <c r="F45" s="175">
        <v>30357874</v>
      </c>
      <c r="G45" s="174">
        <v>178</v>
      </c>
      <c r="H45" s="175">
        <v>14613484</v>
      </c>
      <c r="I45" s="174">
        <v>217</v>
      </c>
      <c r="J45" s="175">
        <v>2666944</v>
      </c>
      <c r="K45" s="174">
        <v>25</v>
      </c>
      <c r="L45" s="175">
        <v>83728</v>
      </c>
      <c r="M45" s="174">
        <v>35</v>
      </c>
      <c r="N45" s="175">
        <v>1749565</v>
      </c>
      <c r="O45" s="174">
        <v>13</v>
      </c>
      <c r="P45" s="175">
        <v>143018</v>
      </c>
      <c r="Q45" s="174">
        <v>13</v>
      </c>
      <c r="R45" s="175">
        <v>987235</v>
      </c>
      <c r="S45" s="174">
        <v>274</v>
      </c>
      <c r="T45" s="176">
        <v>1544481</v>
      </c>
    </row>
    <row r="46" spans="1:21" ht="36" customHeight="1" x14ac:dyDescent="0.3">
      <c r="B46" s="173" t="s">
        <v>451</v>
      </c>
      <c r="C46" s="174">
        <v>370</v>
      </c>
      <c r="D46" s="175">
        <v>7615163</v>
      </c>
      <c r="E46" s="174">
        <v>68</v>
      </c>
      <c r="F46" s="175">
        <v>30357958</v>
      </c>
      <c r="G46" s="174">
        <v>171</v>
      </c>
      <c r="H46" s="175">
        <v>14613662</v>
      </c>
      <c r="I46" s="174">
        <v>211</v>
      </c>
      <c r="J46" s="175">
        <v>2667161</v>
      </c>
      <c r="K46" s="174">
        <v>24</v>
      </c>
      <c r="L46" s="175">
        <v>83753</v>
      </c>
      <c r="M46" s="174">
        <v>33</v>
      </c>
      <c r="N46" s="175">
        <v>1749600</v>
      </c>
      <c r="O46" s="174">
        <v>14</v>
      </c>
      <c r="P46" s="175">
        <v>143031</v>
      </c>
      <c r="Q46" s="174">
        <v>13</v>
      </c>
      <c r="R46" s="175">
        <v>987248</v>
      </c>
      <c r="S46" s="174">
        <v>249</v>
      </c>
      <c r="T46" s="176">
        <v>1544755</v>
      </c>
    </row>
    <row r="47" spans="1:21" ht="36" customHeight="1" x14ac:dyDescent="0.3">
      <c r="B47" s="173" t="s">
        <v>452</v>
      </c>
      <c r="C47" s="174">
        <v>334</v>
      </c>
      <c r="D47" s="175">
        <v>7615533</v>
      </c>
      <c r="E47" s="174">
        <v>63</v>
      </c>
      <c r="F47" s="175">
        <v>30358026</v>
      </c>
      <c r="G47" s="174">
        <v>165</v>
      </c>
      <c r="H47" s="175">
        <v>14613833</v>
      </c>
      <c r="I47" s="174">
        <v>205</v>
      </c>
      <c r="J47" s="175">
        <v>2667372</v>
      </c>
      <c r="K47" s="174">
        <v>41</v>
      </c>
      <c r="L47" s="175">
        <v>83777</v>
      </c>
      <c r="M47" s="174">
        <v>30</v>
      </c>
      <c r="N47" s="175">
        <v>1749633</v>
      </c>
      <c r="O47" s="174">
        <v>14</v>
      </c>
      <c r="P47" s="175">
        <v>143045</v>
      </c>
      <c r="Q47" s="174">
        <v>12</v>
      </c>
      <c r="R47" s="175">
        <v>987261</v>
      </c>
      <c r="S47" s="174">
        <v>240</v>
      </c>
      <c r="T47" s="176">
        <v>1545004</v>
      </c>
    </row>
    <row r="48" spans="1:21" ht="36" customHeight="1" x14ac:dyDescent="0.3">
      <c r="B48" s="173" t="s">
        <v>453</v>
      </c>
      <c r="C48" s="174">
        <v>308</v>
      </c>
      <c r="D48" s="175">
        <v>7615867</v>
      </c>
      <c r="E48" s="174">
        <v>79</v>
      </c>
      <c r="F48" s="175">
        <v>30358089</v>
      </c>
      <c r="G48" s="174">
        <v>165</v>
      </c>
      <c r="H48" s="175">
        <v>14613998</v>
      </c>
      <c r="I48" s="174">
        <v>216</v>
      </c>
      <c r="J48" s="175">
        <v>2667577</v>
      </c>
      <c r="K48" s="174">
        <v>8</v>
      </c>
      <c r="L48" s="175">
        <v>83818</v>
      </c>
      <c r="M48" s="174">
        <v>30</v>
      </c>
      <c r="N48" s="175">
        <v>1749663</v>
      </c>
      <c r="O48" s="174">
        <v>14</v>
      </c>
      <c r="P48" s="175">
        <v>143059</v>
      </c>
      <c r="Q48" s="174">
        <v>13</v>
      </c>
      <c r="R48" s="175">
        <v>987273</v>
      </c>
      <c r="S48" s="174">
        <v>253</v>
      </c>
      <c r="T48" s="176">
        <v>1545244</v>
      </c>
    </row>
    <row r="49" spans="2:20" ht="36" customHeight="1" x14ac:dyDescent="0.3">
      <c r="B49" s="173" t="s">
        <v>454</v>
      </c>
      <c r="C49" s="174">
        <v>332</v>
      </c>
      <c r="D49" s="175">
        <v>7616175</v>
      </c>
      <c r="E49" s="174">
        <v>121</v>
      </c>
      <c r="F49" s="175">
        <v>30358168</v>
      </c>
      <c r="G49" s="174">
        <v>167</v>
      </c>
      <c r="H49" s="175">
        <v>14614163</v>
      </c>
      <c r="I49" s="174">
        <v>230</v>
      </c>
      <c r="J49" s="175">
        <v>2667793</v>
      </c>
      <c r="K49" s="174">
        <v>43</v>
      </c>
      <c r="L49" s="175">
        <v>83826</v>
      </c>
      <c r="M49" s="174">
        <v>33</v>
      </c>
      <c r="N49" s="175">
        <v>1749693</v>
      </c>
      <c r="O49" s="174">
        <v>15</v>
      </c>
      <c r="P49" s="175">
        <v>143073</v>
      </c>
      <c r="Q49" s="174">
        <v>13</v>
      </c>
      <c r="R49" s="175">
        <v>987286</v>
      </c>
      <c r="S49" s="174">
        <v>295</v>
      </c>
      <c r="T49" s="176">
        <v>1545497</v>
      </c>
    </row>
    <row r="50" spans="2:20" ht="36" customHeight="1" x14ac:dyDescent="0.3">
      <c r="B50" s="173" t="s">
        <v>455</v>
      </c>
      <c r="C50" s="174">
        <v>384</v>
      </c>
      <c r="D50" s="175">
        <v>7616507</v>
      </c>
      <c r="E50" s="174">
        <v>155</v>
      </c>
      <c r="F50" s="175">
        <v>30358289</v>
      </c>
      <c r="G50" s="174">
        <v>173</v>
      </c>
      <c r="H50" s="175">
        <v>14614330</v>
      </c>
      <c r="I50" s="174">
        <v>268</v>
      </c>
      <c r="J50" s="175">
        <v>2668023</v>
      </c>
      <c r="K50" s="174">
        <v>30</v>
      </c>
      <c r="L50" s="175">
        <v>83869</v>
      </c>
      <c r="M50" s="174">
        <v>39</v>
      </c>
      <c r="N50" s="175">
        <v>1749726</v>
      </c>
      <c r="O50" s="174">
        <v>15</v>
      </c>
      <c r="P50" s="175">
        <v>143088</v>
      </c>
      <c r="Q50" s="174">
        <v>16</v>
      </c>
      <c r="R50" s="175">
        <v>987299</v>
      </c>
      <c r="S50" s="174">
        <v>332</v>
      </c>
      <c r="T50" s="176">
        <v>1545792</v>
      </c>
    </row>
    <row r="51" spans="2:20" ht="36" customHeight="1" x14ac:dyDescent="0.3">
      <c r="B51" s="173" t="s">
        <v>456</v>
      </c>
      <c r="C51" s="174">
        <v>473</v>
      </c>
      <c r="D51" s="175">
        <v>7616891</v>
      </c>
      <c r="E51" s="174">
        <v>234</v>
      </c>
      <c r="F51" s="175">
        <v>30358444</v>
      </c>
      <c r="G51" s="174">
        <v>178</v>
      </c>
      <c r="H51" s="175">
        <v>14614503</v>
      </c>
      <c r="I51" s="174">
        <v>319</v>
      </c>
      <c r="J51" s="175">
        <v>2668291</v>
      </c>
      <c r="K51" s="174">
        <v>56</v>
      </c>
      <c r="L51" s="175">
        <v>83899</v>
      </c>
      <c r="M51" s="174">
        <v>55</v>
      </c>
      <c r="N51" s="175">
        <v>1749765</v>
      </c>
      <c r="O51" s="174">
        <v>18</v>
      </c>
      <c r="P51" s="175">
        <v>143103</v>
      </c>
      <c r="Q51" s="174">
        <v>17</v>
      </c>
      <c r="R51" s="175">
        <v>987315</v>
      </c>
      <c r="S51" s="174">
        <v>412</v>
      </c>
      <c r="T51" s="176">
        <v>1546124</v>
      </c>
    </row>
    <row r="52" spans="2:20" ht="36" customHeight="1" x14ac:dyDescent="0.3">
      <c r="B52" s="173" t="s">
        <v>457</v>
      </c>
      <c r="C52" s="174">
        <v>564</v>
      </c>
      <c r="D52" s="175">
        <v>7617364</v>
      </c>
      <c r="E52" s="174">
        <v>469</v>
      </c>
      <c r="F52" s="175">
        <v>30358678</v>
      </c>
      <c r="G52" s="174">
        <v>187</v>
      </c>
      <c r="H52" s="175">
        <v>14614681</v>
      </c>
      <c r="I52" s="174">
        <v>339</v>
      </c>
      <c r="J52" s="175">
        <v>2668610</v>
      </c>
      <c r="K52" s="174">
        <v>57</v>
      </c>
      <c r="L52" s="175">
        <v>83955</v>
      </c>
      <c r="M52" s="174">
        <v>67</v>
      </c>
      <c r="N52" s="175">
        <v>1749820</v>
      </c>
      <c r="O52" s="174">
        <v>18</v>
      </c>
      <c r="P52" s="175">
        <v>143121</v>
      </c>
      <c r="Q52" s="174">
        <v>21</v>
      </c>
      <c r="R52" s="175">
        <v>987332</v>
      </c>
      <c r="S52" s="174">
        <v>642</v>
      </c>
      <c r="T52" s="176">
        <v>1546536</v>
      </c>
    </row>
    <row r="53" spans="2:20" ht="36" customHeight="1" x14ac:dyDescent="0.3">
      <c r="B53" s="173" t="s">
        <v>458</v>
      </c>
      <c r="C53" s="174">
        <v>618</v>
      </c>
      <c r="D53" s="175">
        <v>7617928</v>
      </c>
      <c r="E53" s="174">
        <v>395</v>
      </c>
      <c r="F53" s="175">
        <v>30359147</v>
      </c>
      <c r="G53" s="174">
        <v>192</v>
      </c>
      <c r="H53" s="175">
        <v>14614868</v>
      </c>
      <c r="I53" s="174">
        <v>357</v>
      </c>
      <c r="J53" s="175">
        <v>2668949</v>
      </c>
      <c r="K53" s="174">
        <v>56</v>
      </c>
      <c r="L53" s="175">
        <v>84012</v>
      </c>
      <c r="M53" s="174">
        <v>84</v>
      </c>
      <c r="N53" s="175">
        <v>1749887</v>
      </c>
      <c r="O53" s="174">
        <v>18</v>
      </c>
      <c r="P53" s="175">
        <v>143139</v>
      </c>
      <c r="Q53" s="174">
        <v>22</v>
      </c>
      <c r="R53" s="175">
        <v>987353</v>
      </c>
      <c r="S53" s="174">
        <v>575</v>
      </c>
      <c r="T53" s="176">
        <v>1547178</v>
      </c>
    </row>
    <row r="54" spans="2:20" ht="36" customHeight="1" x14ac:dyDescent="0.3">
      <c r="B54" s="173" t="s">
        <v>459</v>
      </c>
      <c r="C54" s="174">
        <v>663</v>
      </c>
      <c r="D54" s="175">
        <v>7618546</v>
      </c>
      <c r="E54" s="174">
        <v>262</v>
      </c>
      <c r="F54" s="175">
        <v>30359542</v>
      </c>
      <c r="G54" s="174">
        <v>192</v>
      </c>
      <c r="H54" s="175">
        <v>14615060</v>
      </c>
      <c r="I54" s="174">
        <v>363</v>
      </c>
      <c r="J54" s="175">
        <v>2669306</v>
      </c>
      <c r="K54" s="174">
        <v>49</v>
      </c>
      <c r="L54" s="175">
        <v>84068</v>
      </c>
      <c r="M54" s="174">
        <v>98</v>
      </c>
      <c r="N54" s="175">
        <v>1749971</v>
      </c>
      <c r="O54" s="174">
        <v>19</v>
      </c>
      <c r="P54" s="175">
        <v>143157</v>
      </c>
      <c r="Q54" s="174">
        <v>19</v>
      </c>
      <c r="R54" s="175">
        <v>987375</v>
      </c>
      <c r="S54" s="174">
        <v>458</v>
      </c>
      <c r="T54" s="176">
        <v>1547753</v>
      </c>
    </row>
    <row r="55" spans="2:20" ht="36" customHeight="1" x14ac:dyDescent="0.3">
      <c r="B55" s="173" t="s">
        <v>460</v>
      </c>
      <c r="C55" s="174">
        <v>606</v>
      </c>
      <c r="D55" s="175">
        <v>7619209</v>
      </c>
      <c r="E55" s="174">
        <v>279</v>
      </c>
      <c r="F55" s="175">
        <v>30359804</v>
      </c>
      <c r="G55" s="174">
        <v>193</v>
      </c>
      <c r="H55" s="175">
        <v>14615252</v>
      </c>
      <c r="I55" s="174">
        <v>364</v>
      </c>
      <c r="J55" s="175">
        <v>2669669</v>
      </c>
      <c r="K55" s="174">
        <v>42</v>
      </c>
      <c r="L55" s="175">
        <v>84117</v>
      </c>
      <c r="M55" s="174">
        <v>88</v>
      </c>
      <c r="N55" s="175">
        <v>1750069</v>
      </c>
      <c r="O55" s="174">
        <v>17</v>
      </c>
      <c r="P55" s="175">
        <v>143176</v>
      </c>
      <c r="Q55" s="174">
        <v>20</v>
      </c>
      <c r="R55" s="175">
        <v>987394</v>
      </c>
      <c r="S55" s="174">
        <v>473</v>
      </c>
      <c r="T55" s="176">
        <v>1548211</v>
      </c>
    </row>
    <row r="56" spans="2:20" ht="36" customHeight="1" x14ac:dyDescent="0.3">
      <c r="B56" s="173" t="s">
        <v>461</v>
      </c>
      <c r="C56" s="174">
        <v>597</v>
      </c>
      <c r="D56" s="175">
        <v>7619815</v>
      </c>
      <c r="E56" s="174">
        <v>280</v>
      </c>
      <c r="F56" s="175">
        <v>30360083</v>
      </c>
      <c r="G56" s="174">
        <v>193</v>
      </c>
      <c r="H56" s="175">
        <v>14615445</v>
      </c>
      <c r="I56" s="174">
        <v>339</v>
      </c>
      <c r="J56" s="175">
        <v>2670033</v>
      </c>
      <c r="K56" s="174">
        <v>39</v>
      </c>
      <c r="L56" s="175">
        <v>84159</v>
      </c>
      <c r="M56" s="174">
        <v>90</v>
      </c>
      <c r="N56" s="175">
        <v>1750157</v>
      </c>
      <c r="O56" s="174">
        <v>18</v>
      </c>
      <c r="P56" s="175">
        <v>143193</v>
      </c>
      <c r="Q56" s="174">
        <v>18</v>
      </c>
      <c r="R56" s="175">
        <v>987414</v>
      </c>
      <c r="S56" s="174">
        <v>473</v>
      </c>
      <c r="T56" s="176">
        <v>1548684</v>
      </c>
    </row>
    <row r="57" spans="2:20" ht="36" customHeight="1" x14ac:dyDescent="0.3">
      <c r="B57" s="173" t="s">
        <v>462</v>
      </c>
      <c r="C57" s="174">
        <v>605</v>
      </c>
      <c r="D57" s="175">
        <v>7620412</v>
      </c>
      <c r="E57" s="174">
        <v>549</v>
      </c>
      <c r="F57" s="175">
        <v>30360363</v>
      </c>
      <c r="G57" s="174">
        <v>200</v>
      </c>
      <c r="H57" s="175">
        <v>14615638</v>
      </c>
      <c r="I57" s="174">
        <v>342</v>
      </c>
      <c r="J57" s="175">
        <v>2670372</v>
      </c>
      <c r="K57" s="174">
        <v>32</v>
      </c>
      <c r="L57" s="175">
        <v>84198</v>
      </c>
      <c r="M57" s="174">
        <v>82</v>
      </c>
      <c r="N57" s="175">
        <v>1750247</v>
      </c>
      <c r="O57" s="174">
        <v>19</v>
      </c>
      <c r="P57" s="175">
        <v>143211</v>
      </c>
      <c r="Q57" s="174">
        <v>16</v>
      </c>
      <c r="R57" s="175">
        <v>987432</v>
      </c>
      <c r="S57" s="174">
        <v>731</v>
      </c>
      <c r="T57" s="176">
        <v>1549157</v>
      </c>
    </row>
    <row r="58" spans="2:20" ht="36" customHeight="1" x14ac:dyDescent="0.3">
      <c r="B58" s="173" t="s">
        <v>463</v>
      </c>
      <c r="C58" s="174">
        <v>721</v>
      </c>
      <c r="D58" s="175">
        <v>7621017</v>
      </c>
      <c r="E58" s="174">
        <v>282</v>
      </c>
      <c r="F58" s="175">
        <v>30360912</v>
      </c>
      <c r="G58" s="174">
        <v>196</v>
      </c>
      <c r="H58" s="175">
        <v>14615838</v>
      </c>
      <c r="I58" s="174">
        <v>329</v>
      </c>
      <c r="J58" s="175">
        <v>2670714</v>
      </c>
      <c r="K58" s="174">
        <v>44</v>
      </c>
      <c r="L58" s="175">
        <v>84230</v>
      </c>
      <c r="M58" s="174">
        <v>83</v>
      </c>
      <c r="N58" s="175">
        <v>1750329</v>
      </c>
      <c r="O58" s="174">
        <v>19</v>
      </c>
      <c r="P58" s="175">
        <v>143230</v>
      </c>
      <c r="Q58" s="174">
        <v>18</v>
      </c>
      <c r="R58" s="175">
        <v>987448</v>
      </c>
      <c r="S58" s="174">
        <v>479</v>
      </c>
      <c r="T58" s="176">
        <v>1549888</v>
      </c>
    </row>
    <row r="59" spans="2:20" ht="36" customHeight="1" x14ac:dyDescent="0.3">
      <c r="B59" s="173" t="s">
        <v>464</v>
      </c>
      <c r="C59" s="174">
        <v>716</v>
      </c>
      <c r="D59" s="175">
        <v>7621738</v>
      </c>
      <c r="E59" s="174">
        <v>372</v>
      </c>
      <c r="F59" s="175">
        <v>30361194</v>
      </c>
      <c r="G59" s="174">
        <v>200</v>
      </c>
      <c r="H59" s="175">
        <v>14616034</v>
      </c>
      <c r="I59" s="174">
        <v>334</v>
      </c>
      <c r="J59" s="175">
        <v>2671043</v>
      </c>
      <c r="K59" s="174">
        <v>50</v>
      </c>
      <c r="L59" s="175">
        <v>84274</v>
      </c>
      <c r="M59" s="174">
        <v>78</v>
      </c>
      <c r="N59" s="175">
        <v>1750412</v>
      </c>
      <c r="O59" s="174">
        <v>19</v>
      </c>
      <c r="P59" s="175">
        <v>143249</v>
      </c>
      <c r="Q59" s="174">
        <v>19</v>
      </c>
      <c r="R59" s="175">
        <v>987466</v>
      </c>
      <c r="S59" s="174">
        <v>565</v>
      </c>
      <c r="T59" s="176">
        <v>1550367</v>
      </c>
    </row>
    <row r="60" spans="2:20" ht="36" customHeight="1" x14ac:dyDescent="0.3">
      <c r="B60" s="173" t="s">
        <v>465</v>
      </c>
      <c r="C60" s="174">
        <v>594</v>
      </c>
      <c r="D60" s="175">
        <v>7622454</v>
      </c>
      <c r="E60" s="174">
        <v>337</v>
      </c>
      <c r="F60" s="175">
        <v>30361566</v>
      </c>
      <c r="G60" s="174">
        <v>198</v>
      </c>
      <c r="H60" s="175">
        <v>14616234</v>
      </c>
      <c r="I60" s="174">
        <v>341</v>
      </c>
      <c r="J60" s="175">
        <v>2671377</v>
      </c>
      <c r="K60" s="174">
        <v>35</v>
      </c>
      <c r="L60" s="175">
        <v>84324</v>
      </c>
      <c r="M60" s="174">
        <v>77</v>
      </c>
      <c r="N60" s="175">
        <v>1750490</v>
      </c>
      <c r="O60" s="174">
        <v>19</v>
      </c>
      <c r="P60" s="175">
        <v>143268</v>
      </c>
      <c r="Q60" s="174">
        <v>19</v>
      </c>
      <c r="R60" s="175">
        <v>987485</v>
      </c>
      <c r="S60" s="174">
        <v>529</v>
      </c>
      <c r="T60" s="176">
        <v>1550932</v>
      </c>
    </row>
    <row r="61" spans="2:20" ht="36" customHeight="1" x14ac:dyDescent="0.3">
      <c r="B61" s="173" t="s">
        <v>466</v>
      </c>
      <c r="C61" s="174">
        <v>615</v>
      </c>
      <c r="D61" s="175">
        <v>7623048</v>
      </c>
      <c r="E61" s="174">
        <v>326</v>
      </c>
      <c r="F61" s="175">
        <v>30361903</v>
      </c>
      <c r="G61" s="174">
        <v>197</v>
      </c>
      <c r="H61" s="175">
        <v>14616432</v>
      </c>
      <c r="I61" s="174">
        <v>347</v>
      </c>
      <c r="J61" s="175">
        <v>2671718</v>
      </c>
      <c r="K61" s="174">
        <v>36</v>
      </c>
      <c r="L61" s="175">
        <v>84359</v>
      </c>
      <c r="M61" s="174">
        <v>83</v>
      </c>
      <c r="N61" s="175">
        <v>1750567</v>
      </c>
      <c r="O61" s="174">
        <v>19</v>
      </c>
      <c r="P61" s="175">
        <v>143287</v>
      </c>
      <c r="Q61" s="174">
        <v>20</v>
      </c>
      <c r="R61" s="175">
        <v>987504</v>
      </c>
      <c r="S61" s="174">
        <v>519</v>
      </c>
      <c r="T61" s="176">
        <v>1551461</v>
      </c>
    </row>
    <row r="62" spans="2:20" ht="36" customHeight="1" x14ac:dyDescent="0.3">
      <c r="B62" s="173" t="s">
        <v>467</v>
      </c>
      <c r="C62" s="174">
        <v>691</v>
      </c>
      <c r="D62" s="175">
        <v>7623663</v>
      </c>
      <c r="E62" s="174">
        <v>367</v>
      </c>
      <c r="F62" s="175">
        <v>30362229</v>
      </c>
      <c r="G62" s="174">
        <v>198</v>
      </c>
      <c r="H62" s="175">
        <v>14616629</v>
      </c>
      <c r="I62" s="174">
        <v>344</v>
      </c>
      <c r="J62" s="175">
        <v>2672065</v>
      </c>
      <c r="K62" s="174">
        <v>48</v>
      </c>
      <c r="L62" s="175">
        <v>84395</v>
      </c>
      <c r="M62" s="174">
        <v>83</v>
      </c>
      <c r="N62" s="175">
        <v>1750650</v>
      </c>
      <c r="O62" s="174">
        <v>18</v>
      </c>
      <c r="P62" s="175">
        <v>143306</v>
      </c>
      <c r="Q62" s="174">
        <v>21</v>
      </c>
      <c r="R62" s="175">
        <v>987524</v>
      </c>
      <c r="S62" s="174">
        <v>558</v>
      </c>
      <c r="T62" s="176">
        <v>1551980</v>
      </c>
    </row>
    <row r="63" spans="2:20" ht="36" customHeight="1" x14ac:dyDescent="0.3">
      <c r="B63" s="173" t="s">
        <v>468</v>
      </c>
      <c r="C63" s="174">
        <v>723</v>
      </c>
      <c r="D63" s="175">
        <v>7624354</v>
      </c>
      <c r="E63" s="174">
        <v>339</v>
      </c>
      <c r="F63" s="175">
        <v>30362596</v>
      </c>
      <c r="G63" s="174">
        <v>200</v>
      </c>
      <c r="H63" s="175">
        <v>14616827</v>
      </c>
      <c r="I63" s="174">
        <v>330</v>
      </c>
      <c r="J63" s="175">
        <v>2672409</v>
      </c>
      <c r="K63" s="174">
        <v>45</v>
      </c>
      <c r="L63" s="175">
        <v>84443</v>
      </c>
      <c r="M63" s="174">
        <v>88</v>
      </c>
      <c r="N63" s="175">
        <v>1750733</v>
      </c>
      <c r="O63" s="174">
        <v>18</v>
      </c>
      <c r="P63" s="175">
        <v>143324</v>
      </c>
      <c r="Q63" s="174">
        <v>21</v>
      </c>
      <c r="R63" s="175">
        <v>987545</v>
      </c>
      <c r="S63" s="174">
        <v>534</v>
      </c>
      <c r="T63" s="176">
        <v>1552538</v>
      </c>
    </row>
    <row r="64" spans="2:20" ht="36" customHeight="1" x14ac:dyDescent="0.3">
      <c r="B64" s="173" t="s">
        <v>469</v>
      </c>
      <c r="C64" s="174">
        <v>730</v>
      </c>
      <c r="D64" s="175">
        <v>7625077</v>
      </c>
      <c r="E64" s="174">
        <v>321</v>
      </c>
      <c r="F64" s="175">
        <v>30362935</v>
      </c>
      <c r="G64" s="174">
        <v>199</v>
      </c>
      <c r="H64" s="175">
        <v>14617027</v>
      </c>
      <c r="I64" s="174">
        <v>316</v>
      </c>
      <c r="J64" s="175">
        <v>2672739</v>
      </c>
      <c r="K64" s="174">
        <v>41</v>
      </c>
      <c r="L64" s="175">
        <v>84488</v>
      </c>
      <c r="M64" s="174">
        <v>85</v>
      </c>
      <c r="N64" s="175">
        <v>1750821</v>
      </c>
      <c r="O64" s="174">
        <v>17</v>
      </c>
      <c r="P64" s="175">
        <v>143342</v>
      </c>
      <c r="Q64" s="174">
        <v>19</v>
      </c>
      <c r="R64" s="175">
        <v>987566</v>
      </c>
      <c r="S64" s="174">
        <v>519</v>
      </c>
      <c r="T64" s="176">
        <v>1553072</v>
      </c>
    </row>
    <row r="65" spans="2:20" ht="36" customHeight="1" x14ac:dyDescent="0.3">
      <c r="B65" s="173" t="s">
        <v>470</v>
      </c>
      <c r="C65" s="174">
        <v>764</v>
      </c>
      <c r="D65" s="175">
        <v>7625807</v>
      </c>
      <c r="E65" s="174">
        <v>331</v>
      </c>
      <c r="F65" s="175">
        <v>30363256</v>
      </c>
      <c r="G65" s="174">
        <v>203</v>
      </c>
      <c r="H65" s="175">
        <v>14617226</v>
      </c>
      <c r="I65" s="174">
        <v>290</v>
      </c>
      <c r="J65" s="175">
        <v>2673055</v>
      </c>
      <c r="K65" s="174">
        <v>33</v>
      </c>
      <c r="L65" s="175">
        <v>84529</v>
      </c>
      <c r="M65" s="174">
        <v>75</v>
      </c>
      <c r="N65" s="175">
        <v>1750906</v>
      </c>
      <c r="O65" s="174">
        <v>15</v>
      </c>
      <c r="P65" s="175">
        <v>143359</v>
      </c>
      <c r="Q65" s="174">
        <v>17</v>
      </c>
      <c r="R65" s="175">
        <v>987585</v>
      </c>
      <c r="S65" s="174">
        <v>528</v>
      </c>
      <c r="T65" s="176">
        <v>1553591</v>
      </c>
    </row>
    <row r="66" spans="2:20" ht="36" customHeight="1" thickBot="1" x14ac:dyDescent="0.35">
      <c r="B66" s="177" t="s">
        <v>471</v>
      </c>
      <c r="C66" s="178">
        <v>585</v>
      </c>
      <c r="D66" s="179">
        <v>7626571</v>
      </c>
      <c r="E66" s="178">
        <v>205</v>
      </c>
      <c r="F66" s="179">
        <v>30363587</v>
      </c>
      <c r="G66" s="178">
        <v>198</v>
      </c>
      <c r="H66" s="179">
        <v>14617429</v>
      </c>
      <c r="I66" s="178">
        <v>271</v>
      </c>
      <c r="J66" s="179">
        <v>2673345</v>
      </c>
      <c r="K66" s="178">
        <v>56</v>
      </c>
      <c r="L66" s="179">
        <v>84562</v>
      </c>
      <c r="M66" s="178">
        <v>64</v>
      </c>
      <c r="N66" s="179">
        <v>1750981</v>
      </c>
      <c r="O66" s="178">
        <v>15</v>
      </c>
      <c r="P66" s="179">
        <v>143374</v>
      </c>
      <c r="Q66" s="178">
        <v>16</v>
      </c>
      <c r="R66" s="179">
        <v>987602</v>
      </c>
      <c r="S66" s="178">
        <v>408</v>
      </c>
      <c r="T66" s="180">
        <v>1554119</v>
      </c>
    </row>
    <row r="67" spans="2:20" ht="36" customHeight="1" thickTop="1" x14ac:dyDescent="0.3">
      <c r="B67" s="181" t="s">
        <v>472</v>
      </c>
      <c r="C67" s="182">
        <f t="shared" ref="C67:T67" si="2">MIN(C43:C66)</f>
        <v>308</v>
      </c>
      <c r="D67" s="182">
        <f t="shared" si="2"/>
        <v>7613896</v>
      </c>
      <c r="E67" s="182">
        <f t="shared" si="2"/>
        <v>63</v>
      </c>
      <c r="F67" s="182">
        <f t="shared" si="2"/>
        <v>30357632</v>
      </c>
      <c r="G67" s="182">
        <f t="shared" si="2"/>
        <v>165</v>
      </c>
      <c r="H67" s="182">
        <f t="shared" si="2"/>
        <v>14613101</v>
      </c>
      <c r="I67" s="182">
        <f t="shared" si="2"/>
        <v>205</v>
      </c>
      <c r="J67" s="182">
        <f t="shared" si="2"/>
        <v>2666462</v>
      </c>
      <c r="K67" s="182">
        <f t="shared" si="2"/>
        <v>8</v>
      </c>
      <c r="L67" s="182">
        <f t="shared" si="2"/>
        <v>83626</v>
      </c>
      <c r="M67" s="182">
        <f t="shared" si="2"/>
        <v>30</v>
      </c>
      <c r="N67" s="182">
        <f t="shared" si="2"/>
        <v>1749461</v>
      </c>
      <c r="O67" s="182">
        <f t="shared" si="2"/>
        <v>13</v>
      </c>
      <c r="P67" s="182">
        <f t="shared" si="2"/>
        <v>142990</v>
      </c>
      <c r="Q67" s="182">
        <f t="shared" si="2"/>
        <v>12</v>
      </c>
      <c r="R67" s="182">
        <f t="shared" si="2"/>
        <v>987206</v>
      </c>
      <c r="S67" s="182">
        <f t="shared" si="2"/>
        <v>240</v>
      </c>
      <c r="T67" s="183">
        <f t="shared" si="2"/>
        <v>1543839</v>
      </c>
    </row>
    <row r="68" spans="2:20" ht="36" customHeight="1" x14ac:dyDescent="0.3">
      <c r="B68" s="173" t="s">
        <v>473</v>
      </c>
      <c r="C68" s="182">
        <f t="shared" ref="C68:T68" si="3">MAX(C43:C66)</f>
        <v>764</v>
      </c>
      <c r="D68" s="182">
        <f t="shared" si="3"/>
        <v>7626571</v>
      </c>
      <c r="E68" s="182">
        <f t="shared" si="3"/>
        <v>549</v>
      </c>
      <c r="F68" s="182">
        <f t="shared" si="3"/>
        <v>30363587</v>
      </c>
      <c r="G68" s="182">
        <f t="shared" si="3"/>
        <v>203</v>
      </c>
      <c r="H68" s="182">
        <f t="shared" si="3"/>
        <v>14617429</v>
      </c>
      <c r="I68" s="182">
        <f t="shared" si="3"/>
        <v>364</v>
      </c>
      <c r="J68" s="182">
        <f t="shared" si="3"/>
        <v>2673345</v>
      </c>
      <c r="K68" s="182">
        <f t="shared" si="3"/>
        <v>57</v>
      </c>
      <c r="L68" s="182">
        <f t="shared" si="3"/>
        <v>84562</v>
      </c>
      <c r="M68" s="182">
        <f t="shared" si="3"/>
        <v>98</v>
      </c>
      <c r="N68" s="182">
        <f t="shared" si="3"/>
        <v>1750981</v>
      </c>
      <c r="O68" s="182">
        <f t="shared" si="3"/>
        <v>19</v>
      </c>
      <c r="P68" s="182">
        <f t="shared" si="3"/>
        <v>143374</v>
      </c>
      <c r="Q68" s="182">
        <f t="shared" si="3"/>
        <v>22</v>
      </c>
      <c r="R68" s="182">
        <f t="shared" si="3"/>
        <v>987602</v>
      </c>
      <c r="S68" s="182">
        <f t="shared" si="3"/>
        <v>731</v>
      </c>
      <c r="T68" s="183">
        <f t="shared" si="3"/>
        <v>1554119</v>
      </c>
    </row>
    <row r="69" spans="2:20" ht="36" customHeight="1" x14ac:dyDescent="0.3">
      <c r="B69" s="173" t="s">
        <v>474</v>
      </c>
      <c r="C69" s="182">
        <f>AVERAGE(C43:C66)</f>
        <v>552.5</v>
      </c>
      <c r="D69" s="184"/>
      <c r="E69" s="182">
        <f>AVERAGE(E43:E66)</f>
        <v>256.66666666666669</v>
      </c>
      <c r="F69" s="184"/>
      <c r="G69" s="182">
        <f>AVERAGE(G43:G66)</f>
        <v>188.58333333333334</v>
      </c>
      <c r="H69" s="184"/>
      <c r="I69" s="182">
        <f>AVERAGE(I43:I66)</f>
        <v>298.08333333333331</v>
      </c>
      <c r="J69" s="184"/>
      <c r="K69" s="182">
        <f>AVERAGE(K43:K66)</f>
        <v>41.333333333333336</v>
      </c>
      <c r="L69" s="184"/>
      <c r="M69" s="182">
        <f>AVERAGE(M43:M66)</f>
        <v>66</v>
      </c>
      <c r="N69" s="184"/>
      <c r="O69" s="182">
        <f>AVERAGE(O43:O66)</f>
        <v>16.625</v>
      </c>
      <c r="P69" s="184"/>
      <c r="Q69" s="182">
        <f>AVERAGE(Q43:Q66)</f>
        <v>17.166666666666668</v>
      </c>
      <c r="R69" s="184"/>
      <c r="S69" s="182">
        <f>AVERAGE(S43:S66)</f>
        <v>445.33333333333331</v>
      </c>
      <c r="T69" s="185"/>
    </row>
    <row r="70" spans="2:20" ht="36" customHeight="1" thickBot="1" x14ac:dyDescent="0.35">
      <c r="B70" s="186" t="s">
        <v>475</v>
      </c>
      <c r="C70" s="187">
        <f>SUM(C43:C66)</f>
        <v>13260</v>
      </c>
      <c r="D70" s="188"/>
      <c r="E70" s="187">
        <f>SUM(E43:E66)</f>
        <v>6160</v>
      </c>
      <c r="F70" s="188"/>
      <c r="G70" s="187">
        <f>SUM(G43:G66)</f>
        <v>4526</v>
      </c>
      <c r="H70" s="188"/>
      <c r="I70" s="187">
        <f>SUM(I43:I66)</f>
        <v>7154</v>
      </c>
      <c r="J70" s="188"/>
      <c r="K70" s="187">
        <f>SUM(K43:K66)</f>
        <v>992</v>
      </c>
      <c r="L70" s="188"/>
      <c r="M70" s="187">
        <f>SUM(M43:M66)</f>
        <v>1584</v>
      </c>
      <c r="N70" s="188"/>
      <c r="O70" s="187">
        <f>SUM(O43:O66)</f>
        <v>399</v>
      </c>
      <c r="P70" s="188"/>
      <c r="Q70" s="187">
        <f>SUM(Q43:Q66)</f>
        <v>412</v>
      </c>
      <c r="R70" s="188"/>
      <c r="S70" s="187">
        <f>SUM(S43:S66)</f>
        <v>10688</v>
      </c>
      <c r="T70" s="189"/>
    </row>
    <row r="71" spans="2:20" ht="9.9499999999999993" customHeight="1" thickBot="1" x14ac:dyDescent="0.35"/>
    <row r="72" spans="2:20" s="162" customFormat="1" ht="51.95" customHeight="1" thickBot="1" x14ac:dyDescent="0.35">
      <c r="B72" s="460" t="s">
        <v>486</v>
      </c>
      <c r="C72" s="461"/>
      <c r="D72" s="461"/>
      <c r="E72" s="461"/>
      <c r="F72" s="461"/>
      <c r="G72" s="461"/>
      <c r="H72" s="461"/>
      <c r="I72" s="461"/>
      <c r="J72" s="461"/>
      <c r="K72" s="461"/>
      <c r="L72" s="461"/>
      <c r="M72" s="461"/>
      <c r="N72" s="461"/>
      <c r="O72" s="461"/>
      <c r="P72" s="461"/>
      <c r="Q72" s="461"/>
      <c r="R72" s="461"/>
      <c r="S72" s="461"/>
      <c r="T72" s="462"/>
    </row>
    <row r="73" spans="2:20" s="164" customFormat="1" ht="36" customHeight="1" thickTop="1" x14ac:dyDescent="0.3">
      <c r="B73" s="163" t="s">
        <v>433</v>
      </c>
      <c r="C73" s="453" t="str">
        <f>C3</f>
        <v>2025년12월28일  일요일</v>
      </c>
      <c r="D73" s="453"/>
      <c r="E73" s="453"/>
      <c r="F73" s="453"/>
      <c r="G73" s="453"/>
      <c r="H73" s="453"/>
      <c r="I73" s="453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4"/>
    </row>
    <row r="74" spans="2:20" s="165" customFormat="1" ht="27.95" customHeight="1" x14ac:dyDescent="0.3">
      <c r="B74" s="455" t="s">
        <v>434</v>
      </c>
      <c r="C74" s="484" t="s">
        <v>420</v>
      </c>
      <c r="D74" s="485"/>
      <c r="E74" s="485"/>
      <c r="F74" s="485"/>
      <c r="G74" s="485"/>
      <c r="H74" s="485"/>
      <c r="I74" s="485"/>
      <c r="J74" s="486"/>
      <c r="K74" s="484" t="s">
        <v>303</v>
      </c>
      <c r="L74" s="486"/>
      <c r="M74" s="484" t="s">
        <v>515</v>
      </c>
      <c r="N74" s="485"/>
      <c r="O74" s="485"/>
      <c r="P74" s="485"/>
      <c r="Q74" s="485"/>
      <c r="R74" s="486"/>
      <c r="S74" s="448"/>
      <c r="T74" s="450"/>
    </row>
    <row r="75" spans="2:20" s="165" customFormat="1" ht="27.95" customHeight="1" x14ac:dyDescent="0.3">
      <c r="B75" s="483"/>
      <c r="C75" s="487"/>
      <c r="D75" s="488"/>
      <c r="E75" s="488"/>
      <c r="F75" s="488"/>
      <c r="G75" s="488"/>
      <c r="H75" s="488"/>
      <c r="I75" s="488"/>
      <c r="J75" s="489"/>
      <c r="K75" s="487"/>
      <c r="L75" s="489"/>
      <c r="M75" s="487"/>
      <c r="N75" s="488"/>
      <c r="O75" s="488"/>
      <c r="P75" s="488"/>
      <c r="Q75" s="488"/>
      <c r="R75" s="489"/>
      <c r="S75" s="195"/>
      <c r="T75" s="197"/>
    </row>
    <row r="76" spans="2:20" s="165" customFormat="1" ht="27.95" customHeight="1" x14ac:dyDescent="0.3">
      <c r="B76" s="483"/>
      <c r="C76" s="448" t="s">
        <v>421</v>
      </c>
      <c r="D76" s="449"/>
      <c r="E76" s="448" t="s">
        <v>423</v>
      </c>
      <c r="F76" s="449"/>
      <c r="G76" s="448" t="s">
        <v>516</v>
      </c>
      <c r="H76" s="449"/>
      <c r="I76" s="448" t="s">
        <v>517</v>
      </c>
      <c r="J76" s="449"/>
      <c r="K76" s="448" t="s">
        <v>518</v>
      </c>
      <c r="L76" s="449"/>
      <c r="M76" s="448" t="s">
        <v>519</v>
      </c>
      <c r="N76" s="449"/>
      <c r="O76" s="448" t="s">
        <v>520</v>
      </c>
      <c r="P76" s="449"/>
      <c r="Q76" s="448" t="s">
        <v>43</v>
      </c>
      <c r="R76" s="449"/>
      <c r="S76" s="195"/>
      <c r="T76" s="197"/>
    </row>
    <row r="77" spans="2:20" ht="27.95" customHeight="1" x14ac:dyDescent="0.3">
      <c r="B77" s="456"/>
      <c r="C77" s="166" t="s">
        <v>444</v>
      </c>
      <c r="D77" s="167" t="s">
        <v>445</v>
      </c>
      <c r="E77" s="166" t="s">
        <v>444</v>
      </c>
      <c r="F77" s="167" t="s">
        <v>445</v>
      </c>
      <c r="G77" s="166" t="s">
        <v>444</v>
      </c>
      <c r="H77" s="167" t="s">
        <v>445</v>
      </c>
      <c r="I77" s="166" t="s">
        <v>444</v>
      </c>
      <c r="J77" s="167" t="s">
        <v>445</v>
      </c>
      <c r="K77" s="166" t="s">
        <v>444</v>
      </c>
      <c r="L77" s="167" t="s">
        <v>445</v>
      </c>
      <c r="M77" s="166" t="s">
        <v>444</v>
      </c>
      <c r="N77" s="167" t="s">
        <v>445</v>
      </c>
      <c r="O77" s="166" t="s">
        <v>444</v>
      </c>
      <c r="P77" s="167" t="s">
        <v>445</v>
      </c>
      <c r="Q77" s="166" t="s">
        <v>444</v>
      </c>
      <c r="R77" s="167" t="s">
        <v>445</v>
      </c>
      <c r="S77" s="166" t="s">
        <v>446</v>
      </c>
      <c r="T77" s="168" t="s">
        <v>447</v>
      </c>
    </row>
    <row r="78" spans="2:20" ht="36" customHeight="1" x14ac:dyDescent="0.3">
      <c r="B78" s="169" t="s">
        <v>448</v>
      </c>
      <c r="C78" s="170">
        <v>50</v>
      </c>
      <c r="D78" s="171">
        <v>1854205</v>
      </c>
      <c r="E78" s="170">
        <v>3</v>
      </c>
      <c r="F78" s="171">
        <v>443302</v>
      </c>
      <c r="G78" s="170">
        <v>28</v>
      </c>
      <c r="H78" s="171">
        <v>111920</v>
      </c>
      <c r="I78" s="170">
        <v>22</v>
      </c>
      <c r="J78" s="171">
        <v>73334</v>
      </c>
      <c r="K78" s="170">
        <v>18</v>
      </c>
      <c r="L78" s="171">
        <v>798743</v>
      </c>
      <c r="M78" s="170">
        <v>127</v>
      </c>
      <c r="N78" s="171">
        <v>3663977</v>
      </c>
      <c r="O78" s="170">
        <v>0</v>
      </c>
      <c r="P78" s="171">
        <v>594212</v>
      </c>
      <c r="Q78" s="170">
        <v>116</v>
      </c>
      <c r="R78" s="171">
        <v>954258</v>
      </c>
      <c r="S78" s="170"/>
      <c r="T78" s="172"/>
    </row>
    <row r="79" spans="2:20" ht="36" customHeight="1" x14ac:dyDescent="0.3">
      <c r="B79" s="173" t="s">
        <v>449</v>
      </c>
      <c r="C79" s="174">
        <v>46</v>
      </c>
      <c r="D79" s="175">
        <v>1854255</v>
      </c>
      <c r="E79" s="174">
        <v>4</v>
      </c>
      <c r="F79" s="175">
        <v>443305</v>
      </c>
      <c r="G79" s="174">
        <v>17</v>
      </c>
      <c r="H79" s="175">
        <v>111948</v>
      </c>
      <c r="I79" s="174">
        <v>25</v>
      </c>
      <c r="J79" s="175">
        <v>73356</v>
      </c>
      <c r="K79" s="174">
        <v>17</v>
      </c>
      <c r="L79" s="175">
        <v>798761</v>
      </c>
      <c r="M79" s="174">
        <v>96</v>
      </c>
      <c r="N79" s="175">
        <v>3664104</v>
      </c>
      <c r="O79" s="174">
        <v>0</v>
      </c>
      <c r="P79" s="175">
        <v>594212</v>
      </c>
      <c r="Q79" s="174">
        <v>85</v>
      </c>
      <c r="R79" s="175">
        <v>954374</v>
      </c>
      <c r="S79" s="174"/>
      <c r="T79" s="176"/>
    </row>
    <row r="80" spans="2:20" ht="36" customHeight="1" x14ac:dyDescent="0.3">
      <c r="B80" s="173" t="s">
        <v>450</v>
      </c>
      <c r="C80" s="174">
        <v>44</v>
      </c>
      <c r="D80" s="175">
        <v>1854301</v>
      </c>
      <c r="E80" s="174">
        <v>3</v>
      </c>
      <c r="F80" s="175">
        <v>443309</v>
      </c>
      <c r="G80" s="174">
        <v>0</v>
      </c>
      <c r="H80" s="175">
        <v>111965</v>
      </c>
      <c r="I80" s="174">
        <v>29</v>
      </c>
      <c r="J80" s="175">
        <v>73381</v>
      </c>
      <c r="K80" s="174">
        <v>17</v>
      </c>
      <c r="L80" s="175">
        <v>798778</v>
      </c>
      <c r="M80" s="174">
        <v>11</v>
      </c>
      <c r="N80" s="175">
        <v>3664200</v>
      </c>
      <c r="O80" s="174">
        <v>0</v>
      </c>
      <c r="P80" s="175">
        <v>594212</v>
      </c>
      <c r="Q80" s="174">
        <v>4</v>
      </c>
      <c r="R80" s="175">
        <v>954459</v>
      </c>
      <c r="S80" s="174"/>
      <c r="T80" s="176"/>
    </row>
    <row r="81" spans="2:20" ht="36" customHeight="1" x14ac:dyDescent="0.3">
      <c r="B81" s="173" t="s">
        <v>451</v>
      </c>
      <c r="C81" s="174">
        <v>43</v>
      </c>
      <c r="D81" s="175">
        <v>1854345</v>
      </c>
      <c r="E81" s="174">
        <v>3</v>
      </c>
      <c r="F81" s="175">
        <v>443312</v>
      </c>
      <c r="G81" s="174">
        <v>0</v>
      </c>
      <c r="H81" s="175">
        <v>111965</v>
      </c>
      <c r="I81" s="174">
        <v>29</v>
      </c>
      <c r="J81" s="175">
        <v>73410</v>
      </c>
      <c r="K81" s="174">
        <v>16</v>
      </c>
      <c r="L81" s="175">
        <v>798795</v>
      </c>
      <c r="M81" s="174">
        <v>180</v>
      </c>
      <c r="N81" s="175">
        <v>3664211</v>
      </c>
      <c r="O81" s="174">
        <v>0</v>
      </c>
      <c r="P81" s="175">
        <v>594212</v>
      </c>
      <c r="Q81" s="174">
        <v>170</v>
      </c>
      <c r="R81" s="175">
        <v>954463</v>
      </c>
      <c r="S81" s="174"/>
      <c r="T81" s="176"/>
    </row>
    <row r="82" spans="2:20" ht="36" customHeight="1" x14ac:dyDescent="0.3">
      <c r="B82" s="173" t="s">
        <v>452</v>
      </c>
      <c r="C82" s="174">
        <v>42</v>
      </c>
      <c r="D82" s="175">
        <v>1854388</v>
      </c>
      <c r="E82" s="174">
        <v>4</v>
      </c>
      <c r="F82" s="175">
        <v>443315</v>
      </c>
      <c r="G82" s="174">
        <v>0</v>
      </c>
      <c r="H82" s="175">
        <v>111965</v>
      </c>
      <c r="I82" s="174">
        <v>28</v>
      </c>
      <c r="J82" s="175">
        <v>73439</v>
      </c>
      <c r="K82" s="174">
        <v>16</v>
      </c>
      <c r="L82" s="175">
        <v>798811</v>
      </c>
      <c r="M82" s="174">
        <v>177</v>
      </c>
      <c r="N82" s="175">
        <v>3664391</v>
      </c>
      <c r="O82" s="174">
        <v>0</v>
      </c>
      <c r="P82" s="175">
        <v>594212</v>
      </c>
      <c r="Q82" s="174">
        <v>168</v>
      </c>
      <c r="R82" s="175">
        <v>954633</v>
      </c>
      <c r="S82" s="174"/>
      <c r="T82" s="176"/>
    </row>
    <row r="83" spans="2:20" ht="36" customHeight="1" x14ac:dyDescent="0.3">
      <c r="B83" s="173" t="s">
        <v>453</v>
      </c>
      <c r="C83" s="174">
        <v>42</v>
      </c>
      <c r="D83" s="175">
        <v>1854430</v>
      </c>
      <c r="E83" s="174">
        <v>3</v>
      </c>
      <c r="F83" s="175">
        <v>443319</v>
      </c>
      <c r="G83" s="174">
        <v>0</v>
      </c>
      <c r="H83" s="175">
        <v>111965</v>
      </c>
      <c r="I83" s="174">
        <v>29</v>
      </c>
      <c r="J83" s="175">
        <v>73467</v>
      </c>
      <c r="K83" s="174">
        <v>16</v>
      </c>
      <c r="L83" s="175">
        <v>798827</v>
      </c>
      <c r="M83" s="174">
        <v>144</v>
      </c>
      <c r="N83" s="175">
        <v>3664568</v>
      </c>
      <c r="O83" s="174">
        <v>0</v>
      </c>
      <c r="P83" s="175">
        <v>594212</v>
      </c>
      <c r="Q83" s="174">
        <v>134</v>
      </c>
      <c r="R83" s="175">
        <v>954801</v>
      </c>
      <c r="S83" s="174"/>
      <c r="T83" s="176"/>
    </row>
    <row r="84" spans="2:20" ht="36" customHeight="1" x14ac:dyDescent="0.3">
      <c r="B84" s="173" t="s">
        <v>454</v>
      </c>
      <c r="C84" s="174">
        <v>44</v>
      </c>
      <c r="D84" s="175">
        <v>1854472</v>
      </c>
      <c r="E84" s="174">
        <v>3</v>
      </c>
      <c r="F84" s="175">
        <v>443322</v>
      </c>
      <c r="G84" s="174">
        <v>0</v>
      </c>
      <c r="H84" s="175">
        <v>111965</v>
      </c>
      <c r="I84" s="174">
        <v>28</v>
      </c>
      <c r="J84" s="175">
        <v>73496</v>
      </c>
      <c r="K84" s="174">
        <v>17</v>
      </c>
      <c r="L84" s="175">
        <v>798843</v>
      </c>
      <c r="M84" s="174">
        <v>9</v>
      </c>
      <c r="N84" s="175">
        <v>3664712</v>
      </c>
      <c r="O84" s="174">
        <v>0</v>
      </c>
      <c r="P84" s="175">
        <v>594212</v>
      </c>
      <c r="Q84" s="174">
        <v>1</v>
      </c>
      <c r="R84" s="175">
        <v>954935</v>
      </c>
      <c r="S84" s="174"/>
      <c r="T84" s="176"/>
    </row>
    <row r="85" spans="2:20" ht="36" customHeight="1" x14ac:dyDescent="0.3">
      <c r="B85" s="173" t="s">
        <v>455</v>
      </c>
      <c r="C85" s="174">
        <v>48</v>
      </c>
      <c r="D85" s="175">
        <v>1854516</v>
      </c>
      <c r="E85" s="174">
        <v>3</v>
      </c>
      <c r="F85" s="175">
        <v>443325</v>
      </c>
      <c r="G85" s="174">
        <v>0</v>
      </c>
      <c r="H85" s="175">
        <v>111965</v>
      </c>
      <c r="I85" s="174">
        <v>29</v>
      </c>
      <c r="J85" s="175">
        <v>73524</v>
      </c>
      <c r="K85" s="174">
        <v>18</v>
      </c>
      <c r="L85" s="175">
        <v>798860</v>
      </c>
      <c r="M85" s="174">
        <v>13</v>
      </c>
      <c r="N85" s="175">
        <v>3664721</v>
      </c>
      <c r="O85" s="174">
        <v>0</v>
      </c>
      <c r="P85" s="175">
        <v>594212</v>
      </c>
      <c r="Q85" s="174">
        <v>4</v>
      </c>
      <c r="R85" s="175">
        <v>954936</v>
      </c>
      <c r="S85" s="174"/>
      <c r="T85" s="176"/>
    </row>
    <row r="86" spans="2:20" ht="36" customHeight="1" x14ac:dyDescent="0.3">
      <c r="B86" s="173" t="s">
        <v>456</v>
      </c>
      <c r="C86" s="174">
        <v>57</v>
      </c>
      <c r="D86" s="175">
        <v>1854564</v>
      </c>
      <c r="E86" s="174">
        <v>4</v>
      </c>
      <c r="F86" s="175">
        <v>443328</v>
      </c>
      <c r="G86" s="174">
        <v>0</v>
      </c>
      <c r="H86" s="175">
        <v>111965</v>
      </c>
      <c r="I86" s="174">
        <v>29</v>
      </c>
      <c r="J86" s="175">
        <v>73553</v>
      </c>
      <c r="K86" s="174">
        <v>19</v>
      </c>
      <c r="L86" s="175">
        <v>798878</v>
      </c>
      <c r="M86" s="174">
        <v>15</v>
      </c>
      <c r="N86" s="175">
        <v>3664734</v>
      </c>
      <c r="O86" s="174">
        <v>0</v>
      </c>
      <c r="P86" s="175">
        <v>594212</v>
      </c>
      <c r="Q86" s="174">
        <v>2</v>
      </c>
      <c r="R86" s="175">
        <v>954940</v>
      </c>
      <c r="S86" s="174"/>
      <c r="T86" s="176"/>
    </row>
    <row r="87" spans="2:20" ht="36" customHeight="1" x14ac:dyDescent="0.3">
      <c r="B87" s="173" t="s">
        <v>457</v>
      </c>
      <c r="C87" s="174">
        <v>64</v>
      </c>
      <c r="D87" s="175">
        <v>1854621</v>
      </c>
      <c r="E87" s="174">
        <v>3</v>
      </c>
      <c r="F87" s="175">
        <v>443332</v>
      </c>
      <c r="G87" s="174">
        <v>0</v>
      </c>
      <c r="H87" s="175">
        <v>111965</v>
      </c>
      <c r="I87" s="174">
        <v>23</v>
      </c>
      <c r="J87" s="175">
        <v>73582</v>
      </c>
      <c r="K87" s="174">
        <v>20</v>
      </c>
      <c r="L87" s="175">
        <v>798897</v>
      </c>
      <c r="M87" s="174">
        <v>18</v>
      </c>
      <c r="N87" s="175">
        <v>3664749</v>
      </c>
      <c r="O87" s="174">
        <v>0</v>
      </c>
      <c r="P87" s="175">
        <v>594212</v>
      </c>
      <c r="Q87" s="174">
        <v>3</v>
      </c>
      <c r="R87" s="175">
        <v>954942</v>
      </c>
      <c r="S87" s="174"/>
      <c r="T87" s="176"/>
    </row>
    <row r="88" spans="2:20" ht="36" customHeight="1" x14ac:dyDescent="0.3">
      <c r="B88" s="173" t="s">
        <v>458</v>
      </c>
      <c r="C88" s="174">
        <v>69</v>
      </c>
      <c r="D88" s="175">
        <v>1854685</v>
      </c>
      <c r="E88" s="174">
        <v>3</v>
      </c>
      <c r="F88" s="175">
        <v>443335</v>
      </c>
      <c r="G88" s="174">
        <v>0</v>
      </c>
      <c r="H88" s="175">
        <v>111965</v>
      </c>
      <c r="I88" s="174">
        <v>34</v>
      </c>
      <c r="J88" s="175">
        <v>73605</v>
      </c>
      <c r="K88" s="174">
        <v>21</v>
      </c>
      <c r="L88" s="175">
        <v>798917</v>
      </c>
      <c r="M88" s="174">
        <v>24</v>
      </c>
      <c r="N88" s="175">
        <v>3664767</v>
      </c>
      <c r="O88" s="174">
        <v>0</v>
      </c>
      <c r="P88" s="175">
        <v>594212</v>
      </c>
      <c r="Q88" s="174">
        <v>4</v>
      </c>
      <c r="R88" s="175">
        <v>954945</v>
      </c>
      <c r="S88" s="174"/>
      <c r="T88" s="176"/>
    </row>
    <row r="89" spans="2:20" ht="36" customHeight="1" x14ac:dyDescent="0.3">
      <c r="B89" s="173" t="s">
        <v>459</v>
      </c>
      <c r="C89" s="174">
        <v>66</v>
      </c>
      <c r="D89" s="175">
        <v>1854754</v>
      </c>
      <c r="E89" s="174">
        <v>3</v>
      </c>
      <c r="F89" s="175">
        <v>443338</v>
      </c>
      <c r="G89" s="174">
        <v>0</v>
      </c>
      <c r="H89" s="175">
        <v>111965</v>
      </c>
      <c r="I89" s="174">
        <v>28</v>
      </c>
      <c r="J89" s="175">
        <v>73639</v>
      </c>
      <c r="K89" s="174">
        <v>22</v>
      </c>
      <c r="L89" s="175">
        <v>798938</v>
      </c>
      <c r="M89" s="174">
        <v>23</v>
      </c>
      <c r="N89" s="175">
        <v>3664791</v>
      </c>
      <c r="O89" s="174">
        <v>0</v>
      </c>
      <c r="P89" s="175">
        <v>594212</v>
      </c>
      <c r="Q89" s="174">
        <v>2</v>
      </c>
      <c r="R89" s="175">
        <v>954949</v>
      </c>
      <c r="S89" s="174"/>
      <c r="T89" s="176"/>
    </row>
    <row r="90" spans="2:20" ht="36" customHeight="1" x14ac:dyDescent="0.3">
      <c r="B90" s="173" t="s">
        <v>460</v>
      </c>
      <c r="C90" s="174">
        <v>71</v>
      </c>
      <c r="D90" s="175">
        <v>1854820</v>
      </c>
      <c r="E90" s="174">
        <v>4</v>
      </c>
      <c r="F90" s="175">
        <v>443341</v>
      </c>
      <c r="G90" s="174">
        <v>0</v>
      </c>
      <c r="H90" s="175">
        <v>111965</v>
      </c>
      <c r="I90" s="174">
        <v>29</v>
      </c>
      <c r="J90" s="175">
        <v>73667</v>
      </c>
      <c r="K90" s="174">
        <v>22</v>
      </c>
      <c r="L90" s="175">
        <v>798960</v>
      </c>
      <c r="M90" s="174">
        <v>49</v>
      </c>
      <c r="N90" s="175">
        <v>3664814</v>
      </c>
      <c r="O90" s="174">
        <v>0</v>
      </c>
      <c r="P90" s="175">
        <v>594212</v>
      </c>
      <c r="Q90" s="174">
        <v>27</v>
      </c>
      <c r="R90" s="175">
        <v>954951</v>
      </c>
      <c r="S90" s="174"/>
      <c r="T90" s="176"/>
    </row>
    <row r="91" spans="2:20" ht="36" customHeight="1" x14ac:dyDescent="0.3">
      <c r="B91" s="173" t="s">
        <v>461</v>
      </c>
      <c r="C91" s="174">
        <v>71</v>
      </c>
      <c r="D91" s="175">
        <v>1854891</v>
      </c>
      <c r="E91" s="174">
        <v>3</v>
      </c>
      <c r="F91" s="175">
        <v>443345</v>
      </c>
      <c r="G91" s="174">
        <v>0</v>
      </c>
      <c r="H91" s="175">
        <v>111965</v>
      </c>
      <c r="I91" s="174">
        <v>28</v>
      </c>
      <c r="J91" s="175">
        <v>73696</v>
      </c>
      <c r="K91" s="174">
        <v>21</v>
      </c>
      <c r="L91" s="175">
        <v>798982</v>
      </c>
      <c r="M91" s="174">
        <v>196</v>
      </c>
      <c r="N91" s="175">
        <v>3664863</v>
      </c>
      <c r="O91" s="174">
        <v>0</v>
      </c>
      <c r="P91" s="175">
        <v>594212</v>
      </c>
      <c r="Q91" s="174">
        <v>167</v>
      </c>
      <c r="R91" s="175">
        <v>954978</v>
      </c>
      <c r="S91" s="174"/>
      <c r="T91" s="176"/>
    </row>
    <row r="92" spans="2:20" ht="36" customHeight="1" x14ac:dyDescent="0.3">
      <c r="B92" s="173" t="s">
        <v>462</v>
      </c>
      <c r="C92" s="174">
        <v>66</v>
      </c>
      <c r="D92" s="175">
        <v>1854962</v>
      </c>
      <c r="E92" s="174">
        <v>3</v>
      </c>
      <c r="F92" s="175">
        <v>443348</v>
      </c>
      <c r="G92" s="174">
        <v>15</v>
      </c>
      <c r="H92" s="175">
        <v>111965</v>
      </c>
      <c r="I92" s="174">
        <v>26</v>
      </c>
      <c r="J92" s="175">
        <v>73724</v>
      </c>
      <c r="K92" s="174">
        <v>21</v>
      </c>
      <c r="L92" s="175">
        <v>799003</v>
      </c>
      <c r="M92" s="174">
        <v>195</v>
      </c>
      <c r="N92" s="175">
        <v>3665059</v>
      </c>
      <c r="O92" s="174">
        <v>0</v>
      </c>
      <c r="P92" s="175">
        <v>594212</v>
      </c>
      <c r="Q92" s="174">
        <v>165</v>
      </c>
      <c r="R92" s="175">
        <v>955145</v>
      </c>
      <c r="S92" s="174"/>
      <c r="T92" s="176"/>
    </row>
    <row r="93" spans="2:20" ht="36" customHeight="1" x14ac:dyDescent="0.3">
      <c r="B93" s="173" t="s">
        <v>463</v>
      </c>
      <c r="C93" s="174">
        <v>63</v>
      </c>
      <c r="D93" s="175">
        <v>1855028</v>
      </c>
      <c r="E93" s="174">
        <v>3</v>
      </c>
      <c r="F93" s="175">
        <v>443351</v>
      </c>
      <c r="G93" s="174">
        <v>28</v>
      </c>
      <c r="H93" s="175">
        <v>111980</v>
      </c>
      <c r="I93" s="174">
        <v>23</v>
      </c>
      <c r="J93" s="175">
        <v>73750</v>
      </c>
      <c r="K93" s="174">
        <v>21</v>
      </c>
      <c r="L93" s="175">
        <v>799024</v>
      </c>
      <c r="M93" s="174">
        <v>190</v>
      </c>
      <c r="N93" s="175">
        <v>3665254</v>
      </c>
      <c r="O93" s="174">
        <v>0</v>
      </c>
      <c r="P93" s="175">
        <v>594212</v>
      </c>
      <c r="Q93" s="174">
        <v>166</v>
      </c>
      <c r="R93" s="175">
        <v>955310</v>
      </c>
      <c r="S93" s="174"/>
      <c r="T93" s="176"/>
    </row>
    <row r="94" spans="2:20" ht="36" customHeight="1" x14ac:dyDescent="0.3">
      <c r="B94" s="173" t="s">
        <v>464</v>
      </c>
      <c r="C94" s="174">
        <v>65</v>
      </c>
      <c r="D94" s="175">
        <v>1855091</v>
      </c>
      <c r="E94" s="174">
        <v>3</v>
      </c>
      <c r="F94" s="175">
        <v>443354</v>
      </c>
      <c r="G94" s="174">
        <v>28</v>
      </c>
      <c r="H94" s="175">
        <v>112008</v>
      </c>
      <c r="I94" s="174">
        <v>23</v>
      </c>
      <c r="J94" s="175">
        <v>73773</v>
      </c>
      <c r="K94" s="174">
        <v>20</v>
      </c>
      <c r="L94" s="175">
        <v>799045</v>
      </c>
      <c r="M94" s="174">
        <v>190</v>
      </c>
      <c r="N94" s="175">
        <v>3665444</v>
      </c>
      <c r="O94" s="174">
        <v>0</v>
      </c>
      <c r="P94" s="175">
        <v>594212</v>
      </c>
      <c r="Q94" s="174">
        <v>165</v>
      </c>
      <c r="R94" s="175">
        <v>955476</v>
      </c>
      <c r="S94" s="174"/>
      <c r="T94" s="176"/>
    </row>
    <row r="95" spans="2:20" ht="36" customHeight="1" x14ac:dyDescent="0.3">
      <c r="B95" s="173" t="s">
        <v>465</v>
      </c>
      <c r="C95" s="174">
        <v>66</v>
      </c>
      <c r="D95" s="175">
        <v>1855156</v>
      </c>
      <c r="E95" s="174">
        <v>4</v>
      </c>
      <c r="F95" s="175">
        <v>443357</v>
      </c>
      <c r="G95" s="174">
        <v>28</v>
      </c>
      <c r="H95" s="175">
        <v>112036</v>
      </c>
      <c r="I95" s="174">
        <v>22</v>
      </c>
      <c r="J95" s="175">
        <v>73796</v>
      </c>
      <c r="K95" s="174">
        <v>20</v>
      </c>
      <c r="L95" s="175">
        <v>799065</v>
      </c>
      <c r="M95" s="174">
        <v>71</v>
      </c>
      <c r="N95" s="175">
        <v>3665634</v>
      </c>
      <c r="O95" s="174">
        <v>0</v>
      </c>
      <c r="P95" s="175">
        <v>594212</v>
      </c>
      <c r="Q95" s="174">
        <v>47</v>
      </c>
      <c r="R95" s="175">
        <v>955641</v>
      </c>
      <c r="S95" s="174"/>
      <c r="T95" s="176"/>
    </row>
    <row r="96" spans="2:20" ht="36" customHeight="1" x14ac:dyDescent="0.3">
      <c r="B96" s="173" t="s">
        <v>466</v>
      </c>
      <c r="C96" s="174">
        <v>65</v>
      </c>
      <c r="D96" s="175">
        <v>1855222</v>
      </c>
      <c r="E96" s="174">
        <v>3</v>
      </c>
      <c r="F96" s="175">
        <v>443361</v>
      </c>
      <c r="G96" s="174">
        <v>27</v>
      </c>
      <c r="H96" s="175">
        <v>112064</v>
      </c>
      <c r="I96" s="174">
        <v>23</v>
      </c>
      <c r="J96" s="175">
        <v>73818</v>
      </c>
      <c r="K96" s="174">
        <v>21</v>
      </c>
      <c r="L96" s="175">
        <v>799085</v>
      </c>
      <c r="M96" s="174">
        <v>25</v>
      </c>
      <c r="N96" s="175">
        <v>3665705</v>
      </c>
      <c r="O96" s="174">
        <v>0</v>
      </c>
      <c r="P96" s="175">
        <v>594212</v>
      </c>
      <c r="Q96" s="174">
        <v>2</v>
      </c>
      <c r="R96" s="175">
        <v>955688</v>
      </c>
      <c r="S96" s="174"/>
      <c r="T96" s="176"/>
    </row>
    <row r="97" spans="1:21" ht="36" customHeight="1" x14ac:dyDescent="0.3">
      <c r="B97" s="173" t="s">
        <v>467</v>
      </c>
      <c r="C97" s="174">
        <v>63</v>
      </c>
      <c r="D97" s="175">
        <v>1855287</v>
      </c>
      <c r="E97" s="174">
        <v>3</v>
      </c>
      <c r="F97" s="175">
        <v>443364</v>
      </c>
      <c r="G97" s="174">
        <v>28</v>
      </c>
      <c r="H97" s="175">
        <v>112091</v>
      </c>
      <c r="I97" s="174">
        <v>23</v>
      </c>
      <c r="J97" s="175">
        <v>73841</v>
      </c>
      <c r="K97" s="174">
        <v>22</v>
      </c>
      <c r="L97" s="175">
        <v>799106</v>
      </c>
      <c r="M97" s="174">
        <v>24</v>
      </c>
      <c r="N97" s="175">
        <v>3665730</v>
      </c>
      <c r="O97" s="174">
        <v>0</v>
      </c>
      <c r="P97" s="175">
        <v>594212</v>
      </c>
      <c r="Q97" s="174">
        <v>4</v>
      </c>
      <c r="R97" s="175">
        <v>955690</v>
      </c>
      <c r="S97" s="174"/>
      <c r="T97" s="176"/>
    </row>
    <row r="98" spans="1:21" ht="36" customHeight="1" x14ac:dyDescent="0.3">
      <c r="B98" s="173" t="s">
        <v>468</v>
      </c>
      <c r="C98" s="174">
        <v>63</v>
      </c>
      <c r="D98" s="175">
        <v>1855350</v>
      </c>
      <c r="E98" s="174">
        <v>3</v>
      </c>
      <c r="F98" s="175">
        <v>443367</v>
      </c>
      <c r="G98" s="174">
        <v>28</v>
      </c>
      <c r="H98" s="175">
        <v>112119</v>
      </c>
      <c r="I98" s="174">
        <v>23</v>
      </c>
      <c r="J98" s="175">
        <v>73864</v>
      </c>
      <c r="K98" s="174">
        <v>20</v>
      </c>
      <c r="L98" s="175">
        <v>799128</v>
      </c>
      <c r="M98" s="174">
        <v>23</v>
      </c>
      <c r="N98" s="175">
        <v>3665754</v>
      </c>
      <c r="O98" s="174">
        <v>0</v>
      </c>
      <c r="P98" s="175">
        <v>594212</v>
      </c>
      <c r="Q98" s="174">
        <v>3</v>
      </c>
      <c r="R98" s="175">
        <v>955694</v>
      </c>
      <c r="S98" s="174"/>
      <c r="T98" s="176"/>
    </row>
    <row r="99" spans="1:21" ht="36" customHeight="1" x14ac:dyDescent="0.3">
      <c r="B99" s="173" t="s">
        <v>469</v>
      </c>
      <c r="C99" s="174">
        <v>62</v>
      </c>
      <c r="D99" s="175">
        <v>1855413</v>
      </c>
      <c r="E99" s="174">
        <v>3</v>
      </c>
      <c r="F99" s="175">
        <v>443370</v>
      </c>
      <c r="G99" s="174">
        <v>7</v>
      </c>
      <c r="H99" s="175">
        <v>112147</v>
      </c>
      <c r="I99" s="174">
        <v>27</v>
      </c>
      <c r="J99" s="175">
        <v>73887</v>
      </c>
      <c r="K99" s="174">
        <v>21</v>
      </c>
      <c r="L99" s="175">
        <v>799148</v>
      </c>
      <c r="M99" s="174">
        <v>46</v>
      </c>
      <c r="N99" s="175">
        <v>3665777</v>
      </c>
      <c r="O99" s="174">
        <v>0</v>
      </c>
      <c r="P99" s="175">
        <v>594212</v>
      </c>
      <c r="Q99" s="174">
        <v>29</v>
      </c>
      <c r="R99" s="175">
        <v>955697</v>
      </c>
      <c r="S99" s="174"/>
      <c r="T99" s="176"/>
    </row>
    <row r="100" spans="1:21" ht="36" customHeight="1" x14ac:dyDescent="0.3">
      <c r="B100" s="173" t="s">
        <v>470</v>
      </c>
      <c r="C100" s="174">
        <v>65</v>
      </c>
      <c r="D100" s="175">
        <v>1855475</v>
      </c>
      <c r="E100" s="174">
        <v>3</v>
      </c>
      <c r="F100" s="175">
        <v>443373</v>
      </c>
      <c r="G100" s="174">
        <v>0</v>
      </c>
      <c r="H100" s="175">
        <v>112154</v>
      </c>
      <c r="I100" s="174">
        <v>29</v>
      </c>
      <c r="J100" s="175">
        <v>73914</v>
      </c>
      <c r="K100" s="174">
        <v>19</v>
      </c>
      <c r="L100" s="175">
        <v>799169</v>
      </c>
      <c r="M100" s="174">
        <v>186</v>
      </c>
      <c r="N100" s="175">
        <v>3665823</v>
      </c>
      <c r="O100" s="174">
        <v>0</v>
      </c>
      <c r="P100" s="175">
        <v>594212</v>
      </c>
      <c r="Q100" s="174">
        <v>169</v>
      </c>
      <c r="R100" s="175">
        <v>955726</v>
      </c>
      <c r="S100" s="174"/>
      <c r="T100" s="176"/>
    </row>
    <row r="101" spans="1:21" ht="36" customHeight="1" thickBot="1" x14ac:dyDescent="0.35">
      <c r="B101" s="177" t="s">
        <v>471</v>
      </c>
      <c r="C101" s="178">
        <v>59</v>
      </c>
      <c r="D101" s="179">
        <v>1855540</v>
      </c>
      <c r="E101" s="178">
        <v>3</v>
      </c>
      <c r="F101" s="179">
        <v>443376</v>
      </c>
      <c r="G101" s="178">
        <v>0</v>
      </c>
      <c r="H101" s="179">
        <v>112154</v>
      </c>
      <c r="I101" s="178">
        <v>28</v>
      </c>
      <c r="J101" s="179">
        <v>73943</v>
      </c>
      <c r="K101" s="178">
        <v>19</v>
      </c>
      <c r="L101" s="179">
        <v>799188</v>
      </c>
      <c r="M101" s="178">
        <v>181</v>
      </c>
      <c r="N101" s="179">
        <v>3666009</v>
      </c>
      <c r="O101" s="178">
        <v>0</v>
      </c>
      <c r="P101" s="179">
        <v>594212</v>
      </c>
      <c r="Q101" s="178">
        <v>167</v>
      </c>
      <c r="R101" s="179">
        <v>955895</v>
      </c>
      <c r="S101" s="178"/>
      <c r="T101" s="180"/>
    </row>
    <row r="102" spans="1:21" ht="36" customHeight="1" thickTop="1" x14ac:dyDescent="0.3">
      <c r="B102" s="181" t="s">
        <v>472</v>
      </c>
      <c r="C102" s="182">
        <f t="shared" ref="C102:T102" si="4">MIN(C78:C101)</f>
        <v>42</v>
      </c>
      <c r="D102" s="182">
        <f t="shared" si="4"/>
        <v>1854205</v>
      </c>
      <c r="E102" s="182">
        <f t="shared" si="4"/>
        <v>3</v>
      </c>
      <c r="F102" s="182">
        <f t="shared" si="4"/>
        <v>443302</v>
      </c>
      <c r="G102" s="182">
        <f t="shared" si="4"/>
        <v>0</v>
      </c>
      <c r="H102" s="182">
        <f t="shared" si="4"/>
        <v>111920</v>
      </c>
      <c r="I102" s="182">
        <f t="shared" si="4"/>
        <v>22</v>
      </c>
      <c r="J102" s="182">
        <f t="shared" si="4"/>
        <v>73334</v>
      </c>
      <c r="K102" s="182">
        <f t="shared" si="4"/>
        <v>16</v>
      </c>
      <c r="L102" s="182">
        <f t="shared" si="4"/>
        <v>798743</v>
      </c>
      <c r="M102" s="182">
        <f t="shared" si="4"/>
        <v>9</v>
      </c>
      <c r="N102" s="182">
        <f t="shared" si="4"/>
        <v>3663977</v>
      </c>
      <c r="O102" s="182">
        <f t="shared" si="4"/>
        <v>0</v>
      </c>
      <c r="P102" s="182">
        <f t="shared" si="4"/>
        <v>594212</v>
      </c>
      <c r="Q102" s="182">
        <f t="shared" si="4"/>
        <v>1</v>
      </c>
      <c r="R102" s="182">
        <f t="shared" si="4"/>
        <v>954258</v>
      </c>
      <c r="S102" s="182">
        <f t="shared" si="4"/>
        <v>0</v>
      </c>
      <c r="T102" s="183">
        <f t="shared" si="4"/>
        <v>0</v>
      </c>
    </row>
    <row r="103" spans="1:21" ht="36" customHeight="1" x14ac:dyDescent="0.3">
      <c r="B103" s="173" t="s">
        <v>473</v>
      </c>
      <c r="C103" s="182">
        <f t="shared" ref="C103:T103" si="5">MAX(C78:C101)</f>
        <v>71</v>
      </c>
      <c r="D103" s="182">
        <f t="shared" si="5"/>
        <v>1855540</v>
      </c>
      <c r="E103" s="182">
        <f t="shared" si="5"/>
        <v>4</v>
      </c>
      <c r="F103" s="182">
        <f t="shared" si="5"/>
        <v>443376</v>
      </c>
      <c r="G103" s="182">
        <f t="shared" si="5"/>
        <v>28</v>
      </c>
      <c r="H103" s="182">
        <f t="shared" si="5"/>
        <v>112154</v>
      </c>
      <c r="I103" s="182">
        <f t="shared" si="5"/>
        <v>34</v>
      </c>
      <c r="J103" s="182">
        <f t="shared" si="5"/>
        <v>73943</v>
      </c>
      <c r="K103" s="182">
        <f t="shared" si="5"/>
        <v>22</v>
      </c>
      <c r="L103" s="182">
        <f t="shared" si="5"/>
        <v>799188</v>
      </c>
      <c r="M103" s="182">
        <f t="shared" si="5"/>
        <v>196</v>
      </c>
      <c r="N103" s="182">
        <f t="shared" si="5"/>
        <v>3666009</v>
      </c>
      <c r="O103" s="182">
        <f t="shared" si="5"/>
        <v>0</v>
      </c>
      <c r="P103" s="182">
        <f t="shared" si="5"/>
        <v>594212</v>
      </c>
      <c r="Q103" s="182">
        <f t="shared" si="5"/>
        <v>170</v>
      </c>
      <c r="R103" s="182">
        <f t="shared" si="5"/>
        <v>955895</v>
      </c>
      <c r="S103" s="182">
        <f t="shared" si="5"/>
        <v>0</v>
      </c>
      <c r="T103" s="183">
        <f t="shared" si="5"/>
        <v>0</v>
      </c>
    </row>
    <row r="104" spans="1:21" ht="36" customHeight="1" x14ac:dyDescent="0.3">
      <c r="B104" s="173" t="s">
        <v>474</v>
      </c>
      <c r="C104" s="182">
        <f>AVERAGE(C78:C101)</f>
        <v>58.083333333333336</v>
      </c>
      <c r="D104" s="184"/>
      <c r="E104" s="182">
        <f>AVERAGE(E78:E101)</f>
        <v>3.2083333333333335</v>
      </c>
      <c r="F104" s="184"/>
      <c r="G104" s="182">
        <f>AVERAGE(G78:G101)</f>
        <v>9.75</v>
      </c>
      <c r="H104" s="184"/>
      <c r="I104" s="182">
        <f>AVERAGE(I78:I101)</f>
        <v>26.541666666666668</v>
      </c>
      <c r="J104" s="184"/>
      <c r="K104" s="182">
        <f>AVERAGE(K78:K101)</f>
        <v>19.333333333333332</v>
      </c>
      <c r="L104" s="184"/>
      <c r="M104" s="182">
        <f>AVERAGE(M78:M101)</f>
        <v>92.208333333333329</v>
      </c>
      <c r="N104" s="184"/>
      <c r="O104" s="182">
        <f>AVERAGE(O78:O101)</f>
        <v>0</v>
      </c>
      <c r="P104" s="184"/>
      <c r="Q104" s="182">
        <f>AVERAGE(Q78:Q101)</f>
        <v>75.166666666666671</v>
      </c>
      <c r="R104" s="184"/>
      <c r="S104" s="182" t="e">
        <f>AVERAGE(S78:S101)</f>
        <v>#DIV/0!</v>
      </c>
      <c r="T104" s="185"/>
    </row>
    <row r="105" spans="1:21" ht="36" customHeight="1" thickBot="1" x14ac:dyDescent="0.35">
      <c r="B105" s="186" t="s">
        <v>475</v>
      </c>
      <c r="C105" s="187">
        <f>SUM(C78:C101)</f>
        <v>1394</v>
      </c>
      <c r="D105" s="188"/>
      <c r="E105" s="187">
        <f>SUM(E78:E101)</f>
        <v>77</v>
      </c>
      <c r="F105" s="188"/>
      <c r="G105" s="187">
        <f>SUM(G78:G101)</f>
        <v>234</v>
      </c>
      <c r="H105" s="188"/>
      <c r="I105" s="187">
        <f>SUM(I78:I101)</f>
        <v>637</v>
      </c>
      <c r="J105" s="188"/>
      <c r="K105" s="187">
        <f>SUM(K78:K101)</f>
        <v>464</v>
      </c>
      <c r="L105" s="188"/>
      <c r="M105" s="187">
        <f>SUM(M78:M101)</f>
        <v>2213</v>
      </c>
      <c r="N105" s="188"/>
      <c r="O105" s="187">
        <f>SUM(O78:O101)</f>
        <v>0</v>
      </c>
      <c r="P105" s="188"/>
      <c r="Q105" s="187">
        <f>SUM(Q78:Q101)</f>
        <v>1804</v>
      </c>
      <c r="R105" s="188"/>
      <c r="S105" s="187">
        <f>SUM(S78:S101)</f>
        <v>0</v>
      </c>
      <c r="T105" s="189"/>
    </row>
    <row r="106" spans="1:21" ht="9.9499999999999993" customHeight="1" thickBot="1" x14ac:dyDescent="0.35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</row>
    <row r="107" spans="1:21" ht="51.95" customHeight="1" thickBot="1" x14ac:dyDescent="0.35">
      <c r="A107" s="162"/>
      <c r="B107" s="457" t="s">
        <v>496</v>
      </c>
      <c r="C107" s="458"/>
      <c r="D107" s="458"/>
      <c r="E107" s="458"/>
      <c r="F107" s="458"/>
      <c r="G107" s="458"/>
      <c r="H107" s="458"/>
      <c r="I107" s="458"/>
      <c r="J107" s="458"/>
      <c r="K107" s="458"/>
      <c r="L107" s="458"/>
      <c r="M107" s="458"/>
      <c r="N107" s="458"/>
      <c r="O107" s="458"/>
      <c r="P107" s="458"/>
      <c r="Q107" s="458"/>
      <c r="R107" s="458"/>
      <c r="S107" s="458"/>
      <c r="T107" s="459"/>
      <c r="U107" s="162"/>
    </row>
    <row r="108" spans="1:21" ht="36" customHeight="1" thickTop="1" x14ac:dyDescent="0.3">
      <c r="A108" s="164"/>
      <c r="B108" s="191" t="s">
        <v>433</v>
      </c>
      <c r="C108" s="453" t="str">
        <f>C3</f>
        <v>2025년12월28일  일요일</v>
      </c>
      <c r="D108" s="453"/>
      <c r="E108" s="453"/>
      <c r="F108" s="453"/>
      <c r="G108" s="453"/>
      <c r="H108" s="453"/>
      <c r="I108" s="453"/>
      <c r="J108" s="453"/>
      <c r="K108" s="453"/>
      <c r="L108" s="453"/>
      <c r="M108" s="453"/>
      <c r="N108" s="453"/>
      <c r="O108" s="453"/>
      <c r="P108" s="453"/>
      <c r="Q108" s="453"/>
      <c r="R108" s="453"/>
      <c r="S108" s="453"/>
      <c r="T108" s="454"/>
      <c r="U108" s="164"/>
    </row>
    <row r="109" spans="1:21" ht="27.95" customHeight="1" x14ac:dyDescent="0.3">
      <c r="A109" s="165"/>
      <c r="B109" s="451" t="s">
        <v>434</v>
      </c>
      <c r="C109" s="448" t="s">
        <v>497</v>
      </c>
      <c r="D109" s="449"/>
      <c r="E109" s="448" t="s">
        <v>498</v>
      </c>
      <c r="F109" s="449"/>
      <c r="G109" s="448" t="s">
        <v>499</v>
      </c>
      <c r="H109" s="449"/>
      <c r="I109" s="448" t="s">
        <v>500</v>
      </c>
      <c r="J109" s="449"/>
      <c r="K109" s="448" t="s">
        <v>501</v>
      </c>
      <c r="L109" s="449"/>
      <c r="M109" s="448" t="s">
        <v>502</v>
      </c>
      <c r="N109" s="449"/>
      <c r="O109" s="448" t="s">
        <v>503</v>
      </c>
      <c r="P109" s="449"/>
      <c r="Q109" s="448"/>
      <c r="R109" s="449"/>
      <c r="S109" s="448"/>
      <c r="T109" s="450"/>
      <c r="U109" s="165"/>
    </row>
    <row r="110" spans="1:21" ht="27.95" customHeight="1" x14ac:dyDescent="0.3">
      <c r="B110" s="452"/>
      <c r="C110" s="166" t="s">
        <v>444</v>
      </c>
      <c r="D110" s="167" t="s">
        <v>445</v>
      </c>
      <c r="E110" s="166" t="s">
        <v>444</v>
      </c>
      <c r="F110" s="167" t="s">
        <v>445</v>
      </c>
      <c r="G110" s="166" t="s">
        <v>444</v>
      </c>
      <c r="H110" s="167" t="s">
        <v>445</v>
      </c>
      <c r="I110" s="166" t="s">
        <v>444</v>
      </c>
      <c r="J110" s="167" t="s">
        <v>445</v>
      </c>
      <c r="K110" s="166" t="s">
        <v>444</v>
      </c>
      <c r="L110" s="167" t="s">
        <v>445</v>
      </c>
      <c r="M110" s="166" t="s">
        <v>444</v>
      </c>
      <c r="N110" s="167" t="s">
        <v>445</v>
      </c>
      <c r="O110" s="166" t="s">
        <v>444</v>
      </c>
      <c r="P110" s="167" t="s">
        <v>445</v>
      </c>
      <c r="Q110" s="166" t="s">
        <v>444</v>
      </c>
      <c r="R110" s="167" t="s">
        <v>445</v>
      </c>
      <c r="S110" s="166" t="s">
        <v>446</v>
      </c>
      <c r="T110" s="168" t="s">
        <v>447</v>
      </c>
    </row>
    <row r="111" spans="1:21" ht="36" customHeight="1" x14ac:dyDescent="0.3">
      <c r="B111" s="169" t="s">
        <v>448</v>
      </c>
      <c r="C111" s="170"/>
      <c r="D111" s="171"/>
      <c r="E111" s="170"/>
      <c r="F111" s="171"/>
      <c r="G111" s="170"/>
      <c r="H111" s="171"/>
      <c r="I111" s="170"/>
      <c r="J111" s="171"/>
      <c r="K111" s="170"/>
      <c r="L111" s="171"/>
      <c r="M111" s="170"/>
      <c r="N111" s="171"/>
      <c r="O111" s="170"/>
      <c r="P111" s="171"/>
      <c r="Q111" s="170"/>
      <c r="R111" s="171"/>
      <c r="S111" s="170"/>
      <c r="T111" s="172"/>
    </row>
    <row r="112" spans="1:21" ht="36" customHeight="1" x14ac:dyDescent="0.3">
      <c r="B112" s="173" t="s">
        <v>449</v>
      </c>
      <c r="C112" s="174"/>
      <c r="D112" s="175"/>
      <c r="E112" s="174"/>
      <c r="F112" s="175"/>
      <c r="G112" s="174"/>
      <c r="H112" s="175"/>
      <c r="I112" s="174"/>
      <c r="J112" s="175"/>
      <c r="K112" s="174"/>
      <c r="L112" s="175"/>
      <c r="M112" s="174"/>
      <c r="N112" s="175"/>
      <c r="O112" s="174"/>
      <c r="P112" s="175"/>
      <c r="Q112" s="174"/>
      <c r="R112" s="175"/>
      <c r="S112" s="174"/>
      <c r="T112" s="176"/>
    </row>
    <row r="113" spans="2:20" ht="36" customHeight="1" x14ac:dyDescent="0.3">
      <c r="B113" s="173" t="s">
        <v>450</v>
      </c>
      <c r="C113" s="174"/>
      <c r="D113" s="175"/>
      <c r="E113" s="174"/>
      <c r="F113" s="175"/>
      <c r="G113" s="174"/>
      <c r="H113" s="175"/>
      <c r="I113" s="174"/>
      <c r="J113" s="175"/>
      <c r="K113" s="174"/>
      <c r="L113" s="175"/>
      <c r="M113" s="174"/>
      <c r="N113" s="175"/>
      <c r="O113" s="174"/>
      <c r="P113" s="175"/>
      <c r="Q113" s="174"/>
      <c r="R113" s="175"/>
      <c r="S113" s="174"/>
      <c r="T113" s="176"/>
    </row>
    <row r="114" spans="2:20" ht="36" customHeight="1" x14ac:dyDescent="0.3">
      <c r="B114" s="173" t="s">
        <v>451</v>
      </c>
      <c r="C114" s="174"/>
      <c r="D114" s="175"/>
      <c r="E114" s="174"/>
      <c r="F114" s="175"/>
      <c r="G114" s="174"/>
      <c r="H114" s="175"/>
      <c r="I114" s="174"/>
      <c r="J114" s="175"/>
      <c r="K114" s="174"/>
      <c r="L114" s="175"/>
      <c r="M114" s="174"/>
      <c r="N114" s="175"/>
      <c r="O114" s="174"/>
      <c r="P114" s="175"/>
      <c r="Q114" s="174"/>
      <c r="R114" s="175"/>
      <c r="S114" s="174"/>
      <c r="T114" s="176"/>
    </row>
    <row r="115" spans="2:20" ht="36" customHeight="1" x14ac:dyDescent="0.3">
      <c r="B115" s="173" t="s">
        <v>452</v>
      </c>
      <c r="C115" s="174"/>
      <c r="D115" s="175"/>
      <c r="E115" s="174"/>
      <c r="F115" s="175"/>
      <c r="G115" s="174"/>
      <c r="H115" s="175"/>
      <c r="I115" s="174"/>
      <c r="J115" s="175"/>
      <c r="K115" s="174"/>
      <c r="L115" s="175"/>
      <c r="M115" s="174"/>
      <c r="N115" s="175"/>
      <c r="O115" s="174"/>
      <c r="P115" s="175"/>
      <c r="Q115" s="174"/>
      <c r="R115" s="175"/>
      <c r="S115" s="174"/>
      <c r="T115" s="176"/>
    </row>
    <row r="116" spans="2:20" ht="36" customHeight="1" x14ac:dyDescent="0.3">
      <c r="B116" s="173" t="s">
        <v>453</v>
      </c>
      <c r="C116" s="174"/>
      <c r="D116" s="175"/>
      <c r="E116" s="174"/>
      <c r="F116" s="175"/>
      <c r="G116" s="174"/>
      <c r="H116" s="175"/>
      <c r="I116" s="174"/>
      <c r="J116" s="175"/>
      <c r="K116" s="174"/>
      <c r="L116" s="175"/>
      <c r="M116" s="174"/>
      <c r="N116" s="175"/>
      <c r="O116" s="174"/>
      <c r="P116" s="175"/>
      <c r="Q116" s="174"/>
      <c r="R116" s="175"/>
      <c r="S116" s="174"/>
      <c r="T116" s="176"/>
    </row>
    <row r="117" spans="2:20" ht="36" customHeight="1" x14ac:dyDescent="0.3">
      <c r="B117" s="173" t="s">
        <v>454</v>
      </c>
      <c r="C117" s="174"/>
      <c r="D117" s="175"/>
      <c r="E117" s="174"/>
      <c r="F117" s="175"/>
      <c r="G117" s="174"/>
      <c r="H117" s="175"/>
      <c r="I117" s="174"/>
      <c r="J117" s="175"/>
      <c r="K117" s="174"/>
      <c r="L117" s="175"/>
      <c r="M117" s="174"/>
      <c r="N117" s="175"/>
      <c r="O117" s="174"/>
      <c r="P117" s="175"/>
      <c r="Q117" s="174"/>
      <c r="R117" s="175"/>
      <c r="S117" s="174"/>
      <c r="T117" s="176"/>
    </row>
    <row r="118" spans="2:20" ht="36" customHeight="1" x14ac:dyDescent="0.3">
      <c r="B118" s="173" t="s">
        <v>455</v>
      </c>
      <c r="C118" s="174"/>
      <c r="D118" s="175"/>
      <c r="E118" s="174"/>
      <c r="F118" s="175"/>
      <c r="G118" s="174"/>
      <c r="H118" s="175"/>
      <c r="I118" s="174"/>
      <c r="J118" s="175"/>
      <c r="K118" s="174"/>
      <c r="L118" s="175"/>
      <c r="M118" s="174"/>
      <c r="N118" s="175"/>
      <c r="O118" s="174"/>
      <c r="P118" s="175"/>
      <c r="Q118" s="174"/>
      <c r="R118" s="175"/>
      <c r="S118" s="174"/>
      <c r="T118" s="176"/>
    </row>
    <row r="119" spans="2:20" ht="36" customHeight="1" x14ac:dyDescent="0.3">
      <c r="B119" s="173" t="s">
        <v>456</v>
      </c>
      <c r="C119" s="174"/>
      <c r="D119" s="175"/>
      <c r="E119" s="174"/>
      <c r="F119" s="175"/>
      <c r="G119" s="174"/>
      <c r="H119" s="175"/>
      <c r="I119" s="174"/>
      <c r="J119" s="175"/>
      <c r="K119" s="174"/>
      <c r="L119" s="175"/>
      <c r="M119" s="174"/>
      <c r="N119" s="175"/>
      <c r="O119" s="174"/>
      <c r="P119" s="175"/>
      <c r="Q119" s="174"/>
      <c r="R119" s="175"/>
      <c r="S119" s="174"/>
      <c r="T119" s="176"/>
    </row>
    <row r="120" spans="2:20" ht="36" customHeight="1" x14ac:dyDescent="0.3">
      <c r="B120" s="173" t="s">
        <v>457</v>
      </c>
      <c r="C120" s="174"/>
      <c r="D120" s="175"/>
      <c r="E120" s="174"/>
      <c r="F120" s="175"/>
      <c r="G120" s="174"/>
      <c r="H120" s="175"/>
      <c r="I120" s="174"/>
      <c r="J120" s="175"/>
      <c r="K120" s="174"/>
      <c r="L120" s="175"/>
      <c r="M120" s="174"/>
      <c r="N120" s="175"/>
      <c r="O120" s="174"/>
      <c r="P120" s="175"/>
      <c r="Q120" s="174"/>
      <c r="R120" s="175"/>
      <c r="S120" s="174"/>
      <c r="T120" s="176"/>
    </row>
    <row r="121" spans="2:20" ht="36" customHeight="1" x14ac:dyDescent="0.3">
      <c r="B121" s="173" t="s">
        <v>458</v>
      </c>
      <c r="C121" s="174"/>
      <c r="D121" s="175"/>
      <c r="E121" s="174"/>
      <c r="F121" s="175"/>
      <c r="G121" s="174"/>
      <c r="H121" s="175"/>
      <c r="I121" s="174"/>
      <c r="J121" s="175"/>
      <c r="K121" s="174"/>
      <c r="L121" s="175"/>
      <c r="M121" s="174"/>
      <c r="N121" s="175"/>
      <c r="O121" s="174"/>
      <c r="P121" s="175"/>
      <c r="Q121" s="174"/>
      <c r="R121" s="175"/>
      <c r="S121" s="174"/>
      <c r="T121" s="176"/>
    </row>
    <row r="122" spans="2:20" ht="36" customHeight="1" x14ac:dyDescent="0.3">
      <c r="B122" s="173" t="s">
        <v>459</v>
      </c>
      <c r="C122" s="174"/>
      <c r="D122" s="175"/>
      <c r="E122" s="174"/>
      <c r="F122" s="175"/>
      <c r="G122" s="174"/>
      <c r="H122" s="175"/>
      <c r="I122" s="174"/>
      <c r="J122" s="175"/>
      <c r="K122" s="174"/>
      <c r="L122" s="175"/>
      <c r="M122" s="174"/>
      <c r="N122" s="175"/>
      <c r="O122" s="174"/>
      <c r="P122" s="175"/>
      <c r="Q122" s="174"/>
      <c r="R122" s="175"/>
      <c r="S122" s="174"/>
      <c r="T122" s="176"/>
    </row>
    <row r="123" spans="2:20" ht="36" customHeight="1" x14ac:dyDescent="0.3">
      <c r="B123" s="173" t="s">
        <v>460</v>
      </c>
      <c r="C123" s="174"/>
      <c r="D123" s="175"/>
      <c r="E123" s="174"/>
      <c r="F123" s="175"/>
      <c r="G123" s="174"/>
      <c r="H123" s="175"/>
      <c r="I123" s="174"/>
      <c r="J123" s="175"/>
      <c r="K123" s="174"/>
      <c r="L123" s="175"/>
      <c r="M123" s="174"/>
      <c r="N123" s="175"/>
      <c r="O123" s="174"/>
      <c r="P123" s="175"/>
      <c r="Q123" s="174"/>
      <c r="R123" s="175"/>
      <c r="S123" s="174"/>
      <c r="T123" s="176"/>
    </row>
    <row r="124" spans="2:20" ht="36" customHeight="1" x14ac:dyDescent="0.3">
      <c r="B124" s="173" t="s">
        <v>461</v>
      </c>
      <c r="C124" s="174"/>
      <c r="D124" s="175"/>
      <c r="E124" s="174"/>
      <c r="F124" s="175"/>
      <c r="G124" s="174"/>
      <c r="H124" s="175"/>
      <c r="I124" s="174"/>
      <c r="J124" s="175"/>
      <c r="K124" s="174"/>
      <c r="L124" s="175"/>
      <c r="M124" s="174"/>
      <c r="N124" s="175"/>
      <c r="O124" s="174"/>
      <c r="P124" s="175"/>
      <c r="Q124" s="174"/>
      <c r="R124" s="175"/>
      <c r="S124" s="174"/>
      <c r="T124" s="176"/>
    </row>
    <row r="125" spans="2:20" ht="36" customHeight="1" x14ac:dyDescent="0.3">
      <c r="B125" s="173" t="s">
        <v>462</v>
      </c>
      <c r="C125" s="174"/>
      <c r="D125" s="175"/>
      <c r="E125" s="174"/>
      <c r="F125" s="175"/>
      <c r="G125" s="174"/>
      <c r="H125" s="175"/>
      <c r="I125" s="174"/>
      <c r="J125" s="175"/>
      <c r="K125" s="174"/>
      <c r="L125" s="175"/>
      <c r="M125" s="174"/>
      <c r="N125" s="175"/>
      <c r="O125" s="174"/>
      <c r="P125" s="175"/>
      <c r="Q125" s="174"/>
      <c r="R125" s="175"/>
      <c r="S125" s="174"/>
      <c r="T125" s="176"/>
    </row>
    <row r="126" spans="2:20" ht="36" customHeight="1" x14ac:dyDescent="0.3">
      <c r="B126" s="173" t="s">
        <v>463</v>
      </c>
      <c r="C126" s="174"/>
      <c r="D126" s="175"/>
      <c r="E126" s="174"/>
      <c r="F126" s="175"/>
      <c r="G126" s="174"/>
      <c r="H126" s="175"/>
      <c r="I126" s="174"/>
      <c r="J126" s="175"/>
      <c r="K126" s="174"/>
      <c r="L126" s="175"/>
      <c r="M126" s="174"/>
      <c r="N126" s="175"/>
      <c r="O126" s="174"/>
      <c r="P126" s="175"/>
      <c r="Q126" s="174"/>
      <c r="R126" s="175"/>
      <c r="S126" s="174"/>
      <c r="T126" s="176"/>
    </row>
    <row r="127" spans="2:20" ht="36" customHeight="1" x14ac:dyDescent="0.3">
      <c r="B127" s="173" t="s">
        <v>464</v>
      </c>
      <c r="C127" s="174"/>
      <c r="D127" s="175"/>
      <c r="E127" s="174"/>
      <c r="F127" s="175"/>
      <c r="G127" s="174"/>
      <c r="H127" s="175"/>
      <c r="I127" s="174"/>
      <c r="J127" s="175"/>
      <c r="K127" s="174"/>
      <c r="L127" s="175"/>
      <c r="M127" s="174"/>
      <c r="N127" s="175"/>
      <c r="O127" s="174"/>
      <c r="P127" s="175"/>
      <c r="Q127" s="174"/>
      <c r="R127" s="175"/>
      <c r="S127" s="174"/>
      <c r="T127" s="176"/>
    </row>
    <row r="128" spans="2:20" ht="36" customHeight="1" x14ac:dyDescent="0.3">
      <c r="B128" s="173" t="s">
        <v>465</v>
      </c>
      <c r="C128" s="174"/>
      <c r="D128" s="175"/>
      <c r="E128" s="174"/>
      <c r="F128" s="175"/>
      <c r="G128" s="174"/>
      <c r="H128" s="175"/>
      <c r="I128" s="174"/>
      <c r="J128" s="175"/>
      <c r="K128" s="174"/>
      <c r="L128" s="175"/>
      <c r="M128" s="174"/>
      <c r="N128" s="175"/>
      <c r="O128" s="174"/>
      <c r="P128" s="175"/>
      <c r="Q128" s="174"/>
      <c r="R128" s="175"/>
      <c r="S128" s="174"/>
      <c r="T128" s="176"/>
    </row>
    <row r="129" spans="2:20" ht="36" customHeight="1" x14ac:dyDescent="0.3">
      <c r="B129" s="173" t="s">
        <v>466</v>
      </c>
      <c r="C129" s="174"/>
      <c r="D129" s="175"/>
      <c r="E129" s="174"/>
      <c r="F129" s="175"/>
      <c r="G129" s="174"/>
      <c r="H129" s="175"/>
      <c r="I129" s="174"/>
      <c r="J129" s="175"/>
      <c r="K129" s="174"/>
      <c r="L129" s="175"/>
      <c r="M129" s="174"/>
      <c r="N129" s="175"/>
      <c r="O129" s="174"/>
      <c r="P129" s="175"/>
      <c r="Q129" s="174"/>
      <c r="R129" s="175"/>
      <c r="S129" s="174"/>
      <c r="T129" s="176"/>
    </row>
    <row r="130" spans="2:20" ht="36" customHeight="1" x14ac:dyDescent="0.3">
      <c r="B130" s="173" t="s">
        <v>467</v>
      </c>
      <c r="C130" s="174"/>
      <c r="D130" s="175"/>
      <c r="E130" s="174"/>
      <c r="F130" s="175"/>
      <c r="G130" s="174"/>
      <c r="H130" s="175"/>
      <c r="I130" s="174"/>
      <c r="J130" s="175"/>
      <c r="K130" s="174"/>
      <c r="L130" s="175"/>
      <c r="M130" s="174"/>
      <c r="N130" s="175"/>
      <c r="O130" s="174"/>
      <c r="P130" s="175"/>
      <c r="Q130" s="174"/>
      <c r="R130" s="175"/>
      <c r="S130" s="174"/>
      <c r="T130" s="176"/>
    </row>
    <row r="131" spans="2:20" ht="36" customHeight="1" x14ac:dyDescent="0.3">
      <c r="B131" s="173" t="s">
        <v>468</v>
      </c>
      <c r="C131" s="174"/>
      <c r="D131" s="175"/>
      <c r="E131" s="174"/>
      <c r="F131" s="175"/>
      <c r="G131" s="174"/>
      <c r="H131" s="175"/>
      <c r="I131" s="174"/>
      <c r="J131" s="175"/>
      <c r="K131" s="174"/>
      <c r="L131" s="175"/>
      <c r="M131" s="174"/>
      <c r="N131" s="175"/>
      <c r="O131" s="174"/>
      <c r="P131" s="175"/>
      <c r="Q131" s="174"/>
      <c r="R131" s="175"/>
      <c r="S131" s="174"/>
      <c r="T131" s="176"/>
    </row>
    <row r="132" spans="2:20" ht="36" customHeight="1" x14ac:dyDescent="0.3">
      <c r="B132" s="173" t="s">
        <v>469</v>
      </c>
      <c r="C132" s="174"/>
      <c r="D132" s="175"/>
      <c r="E132" s="174"/>
      <c r="F132" s="175"/>
      <c r="G132" s="174"/>
      <c r="H132" s="175"/>
      <c r="I132" s="174"/>
      <c r="J132" s="175"/>
      <c r="K132" s="174"/>
      <c r="L132" s="175"/>
      <c r="M132" s="174"/>
      <c r="N132" s="175"/>
      <c r="O132" s="174"/>
      <c r="P132" s="175"/>
      <c r="Q132" s="174"/>
      <c r="R132" s="175"/>
      <c r="S132" s="174"/>
      <c r="T132" s="176"/>
    </row>
    <row r="133" spans="2:20" ht="36" customHeight="1" x14ac:dyDescent="0.3">
      <c r="B133" s="173" t="s">
        <v>470</v>
      </c>
      <c r="C133" s="174"/>
      <c r="D133" s="175"/>
      <c r="E133" s="174"/>
      <c r="F133" s="175"/>
      <c r="G133" s="174"/>
      <c r="H133" s="175"/>
      <c r="I133" s="174"/>
      <c r="J133" s="175"/>
      <c r="K133" s="174"/>
      <c r="L133" s="175"/>
      <c r="M133" s="174"/>
      <c r="N133" s="175"/>
      <c r="O133" s="174"/>
      <c r="P133" s="175"/>
      <c r="Q133" s="174"/>
      <c r="R133" s="175"/>
      <c r="S133" s="174"/>
      <c r="T133" s="176"/>
    </row>
    <row r="134" spans="2:20" ht="36" customHeight="1" thickBot="1" x14ac:dyDescent="0.35">
      <c r="B134" s="177" t="s">
        <v>471</v>
      </c>
      <c r="C134" s="178"/>
      <c r="D134" s="179"/>
      <c r="E134" s="178"/>
      <c r="F134" s="179"/>
      <c r="G134" s="178"/>
      <c r="H134" s="179"/>
      <c r="I134" s="178"/>
      <c r="J134" s="179"/>
      <c r="K134" s="178"/>
      <c r="L134" s="179"/>
      <c r="M134" s="178"/>
      <c r="N134" s="179"/>
      <c r="O134" s="178"/>
      <c r="P134" s="179"/>
      <c r="Q134" s="178"/>
      <c r="R134" s="179"/>
      <c r="S134" s="178"/>
      <c r="T134" s="180"/>
    </row>
    <row r="135" spans="2:20" ht="36" customHeight="1" thickTop="1" x14ac:dyDescent="0.3">
      <c r="B135" s="181" t="s">
        <v>472</v>
      </c>
      <c r="C135" s="182">
        <f t="shared" ref="C135:T135" si="6">MIN(C111:C134)</f>
        <v>0</v>
      </c>
      <c r="D135" s="182">
        <f t="shared" si="6"/>
        <v>0</v>
      </c>
      <c r="E135" s="182">
        <f t="shared" si="6"/>
        <v>0</v>
      </c>
      <c r="F135" s="182">
        <f t="shared" si="6"/>
        <v>0</v>
      </c>
      <c r="G135" s="182">
        <f t="shared" si="6"/>
        <v>0</v>
      </c>
      <c r="H135" s="182">
        <f t="shared" si="6"/>
        <v>0</v>
      </c>
      <c r="I135" s="182">
        <f t="shared" si="6"/>
        <v>0</v>
      </c>
      <c r="J135" s="182">
        <f t="shared" si="6"/>
        <v>0</v>
      </c>
      <c r="K135" s="182">
        <f t="shared" si="6"/>
        <v>0</v>
      </c>
      <c r="L135" s="182">
        <f t="shared" si="6"/>
        <v>0</v>
      </c>
      <c r="M135" s="182">
        <f t="shared" si="6"/>
        <v>0</v>
      </c>
      <c r="N135" s="182">
        <f t="shared" si="6"/>
        <v>0</v>
      </c>
      <c r="O135" s="182">
        <f t="shared" si="6"/>
        <v>0</v>
      </c>
      <c r="P135" s="182">
        <f t="shared" si="6"/>
        <v>0</v>
      </c>
      <c r="Q135" s="182">
        <f t="shared" si="6"/>
        <v>0</v>
      </c>
      <c r="R135" s="182">
        <f t="shared" si="6"/>
        <v>0</v>
      </c>
      <c r="S135" s="182">
        <f t="shared" si="6"/>
        <v>0</v>
      </c>
      <c r="T135" s="183">
        <f t="shared" si="6"/>
        <v>0</v>
      </c>
    </row>
    <row r="136" spans="2:20" ht="36" customHeight="1" x14ac:dyDescent="0.3">
      <c r="B136" s="173" t="s">
        <v>473</v>
      </c>
      <c r="C136" s="182">
        <f t="shared" ref="C136:T136" si="7">MAX(C111:C134)</f>
        <v>0</v>
      </c>
      <c r="D136" s="182">
        <f t="shared" si="7"/>
        <v>0</v>
      </c>
      <c r="E136" s="182">
        <f t="shared" si="7"/>
        <v>0</v>
      </c>
      <c r="F136" s="182">
        <f t="shared" si="7"/>
        <v>0</v>
      </c>
      <c r="G136" s="182">
        <f t="shared" si="7"/>
        <v>0</v>
      </c>
      <c r="H136" s="182">
        <f t="shared" si="7"/>
        <v>0</v>
      </c>
      <c r="I136" s="182">
        <f t="shared" si="7"/>
        <v>0</v>
      </c>
      <c r="J136" s="182">
        <f t="shared" si="7"/>
        <v>0</v>
      </c>
      <c r="K136" s="182">
        <f t="shared" si="7"/>
        <v>0</v>
      </c>
      <c r="L136" s="182">
        <f t="shared" si="7"/>
        <v>0</v>
      </c>
      <c r="M136" s="182">
        <f t="shared" si="7"/>
        <v>0</v>
      </c>
      <c r="N136" s="182">
        <f t="shared" si="7"/>
        <v>0</v>
      </c>
      <c r="O136" s="182">
        <f t="shared" si="7"/>
        <v>0</v>
      </c>
      <c r="P136" s="182">
        <f t="shared" si="7"/>
        <v>0</v>
      </c>
      <c r="Q136" s="182">
        <f t="shared" si="7"/>
        <v>0</v>
      </c>
      <c r="R136" s="182">
        <f t="shared" si="7"/>
        <v>0</v>
      </c>
      <c r="S136" s="182">
        <f t="shared" si="7"/>
        <v>0</v>
      </c>
      <c r="T136" s="183">
        <f t="shared" si="7"/>
        <v>0</v>
      </c>
    </row>
    <row r="137" spans="2:20" ht="36" customHeight="1" x14ac:dyDescent="0.3">
      <c r="B137" s="173" t="s">
        <v>474</v>
      </c>
      <c r="C137" s="182" t="e">
        <f>AVERAGE(C111:C134)</f>
        <v>#DIV/0!</v>
      </c>
      <c r="D137" s="184"/>
      <c r="E137" s="182" t="e">
        <f>AVERAGE(E111:E134)</f>
        <v>#DIV/0!</v>
      </c>
      <c r="F137" s="184"/>
      <c r="G137" s="182" t="e">
        <f>AVERAGE(G111:G134)</f>
        <v>#DIV/0!</v>
      </c>
      <c r="H137" s="184"/>
      <c r="I137" s="182" t="e">
        <f>AVERAGE(I111:I134)</f>
        <v>#DIV/0!</v>
      </c>
      <c r="J137" s="184"/>
      <c r="K137" s="182" t="e">
        <f>AVERAGE(K111:K134)</f>
        <v>#DIV/0!</v>
      </c>
      <c r="L137" s="184"/>
      <c r="M137" s="182" t="e">
        <f>AVERAGE(M111:M134)</f>
        <v>#DIV/0!</v>
      </c>
      <c r="N137" s="184"/>
      <c r="O137" s="182" t="e">
        <f>AVERAGE(O111:O134)</f>
        <v>#DIV/0!</v>
      </c>
      <c r="P137" s="184"/>
      <c r="Q137" s="182" t="e">
        <f>AVERAGE(Q111:Q134)</f>
        <v>#DIV/0!</v>
      </c>
      <c r="R137" s="184"/>
      <c r="S137" s="182" t="e">
        <f>AVERAGE(S111:S134)</f>
        <v>#DIV/0!</v>
      </c>
      <c r="T137" s="185"/>
    </row>
    <row r="138" spans="2:20" ht="36" customHeight="1" thickBot="1" x14ac:dyDescent="0.35">
      <c r="B138" s="186" t="s">
        <v>475</v>
      </c>
      <c r="C138" s="187">
        <f>SUM(C111:C134)</f>
        <v>0</v>
      </c>
      <c r="D138" s="188"/>
      <c r="E138" s="187">
        <f>SUM(E111:E134)</f>
        <v>0</v>
      </c>
      <c r="F138" s="188"/>
      <c r="G138" s="187">
        <f>SUM(G111:G134)</f>
        <v>0</v>
      </c>
      <c r="H138" s="188"/>
      <c r="I138" s="187">
        <f>SUM(I111:I134)</f>
        <v>0</v>
      </c>
      <c r="J138" s="188"/>
      <c r="K138" s="187">
        <f>SUM(K111:K134)</f>
        <v>0</v>
      </c>
      <c r="L138" s="188"/>
      <c r="M138" s="187">
        <f>SUM(M111:M134)</f>
        <v>0</v>
      </c>
      <c r="N138" s="188"/>
      <c r="O138" s="187">
        <f>SUM(O111:O134)</f>
        <v>0</v>
      </c>
      <c r="P138" s="188"/>
      <c r="Q138" s="187">
        <f>SUM(Q111:Q134)</f>
        <v>0</v>
      </c>
      <c r="R138" s="188"/>
      <c r="S138" s="187">
        <f>SUM(S111:S134)</f>
        <v>0</v>
      </c>
      <c r="T138" s="189"/>
    </row>
    <row r="139" spans="2:20" ht="9.9499999999999993" customHeight="1" x14ac:dyDescent="0.3"/>
  </sheetData>
  <mergeCells count="60">
    <mergeCell ref="S39:T40"/>
    <mergeCell ref="S41:T41"/>
    <mergeCell ref="B37:T37"/>
    <mergeCell ref="B2:T2"/>
    <mergeCell ref="C3:T3"/>
    <mergeCell ref="B4:B7"/>
    <mergeCell ref="C4:H5"/>
    <mergeCell ref="I4:L5"/>
    <mergeCell ref="M4:P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Q41:R41"/>
    <mergeCell ref="C38:T38"/>
    <mergeCell ref="B39:B42"/>
    <mergeCell ref="C39:H40"/>
    <mergeCell ref="I39:J40"/>
    <mergeCell ref="K39:N40"/>
    <mergeCell ref="O39:P40"/>
    <mergeCell ref="Q39:R40"/>
    <mergeCell ref="C41:D41"/>
    <mergeCell ref="E41:F41"/>
    <mergeCell ref="G41:H41"/>
    <mergeCell ref="I41:J41"/>
    <mergeCell ref="K41:L41"/>
    <mergeCell ref="M41:N41"/>
    <mergeCell ref="O41:P41"/>
    <mergeCell ref="B107:T107"/>
    <mergeCell ref="B72:T72"/>
    <mergeCell ref="C73:T73"/>
    <mergeCell ref="B74:B77"/>
    <mergeCell ref="C74:J75"/>
    <mergeCell ref="K74:L75"/>
    <mergeCell ref="M74:R75"/>
    <mergeCell ref="S74:T74"/>
    <mergeCell ref="C76:D76"/>
    <mergeCell ref="E76:F76"/>
    <mergeCell ref="G76:H76"/>
    <mergeCell ref="I76:J76"/>
    <mergeCell ref="K76:L76"/>
    <mergeCell ref="M76:N76"/>
    <mergeCell ref="O76:P76"/>
    <mergeCell ref="Q76:R76"/>
    <mergeCell ref="S109:T109"/>
    <mergeCell ref="C108:T108"/>
    <mergeCell ref="B109:B110"/>
    <mergeCell ref="C109:D109"/>
    <mergeCell ref="E109:F109"/>
    <mergeCell ref="G109:H109"/>
    <mergeCell ref="I109:J109"/>
    <mergeCell ref="K109:L109"/>
    <mergeCell ref="M109:N109"/>
    <mergeCell ref="O109:P109"/>
    <mergeCell ref="Q109:R109"/>
  </mergeCells>
  <phoneticPr fontId="1" type="noConversion"/>
  <printOptions horizontalCentered="1" verticalCentered="1"/>
  <pageMargins left="0.25" right="0.25" top="0.75" bottom="0.75" header="0.3" footer="0.3"/>
  <pageSetup paperSize="9" scale="39" fitToHeight="2" orientation="landscape" r:id="rId1"/>
  <rowBreaks count="3" manualBreakCount="3">
    <brk id="36" max="20" man="1"/>
    <brk id="71" max="20" man="1"/>
    <brk id="106" max="2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3016-5A77-4463-BB9C-C4DC5A4FDD35}">
  <sheetPr>
    <tabColor theme="5"/>
  </sheetPr>
  <dimension ref="A1:U133"/>
  <sheetViews>
    <sheetView view="pageBreakPreview" zoomScale="55" zoomScaleSheetLayoutView="55" workbookViewId="0">
      <selection activeCell="F51" sqref="F51"/>
    </sheetView>
  </sheetViews>
  <sheetFormatPr defaultRowHeight="16.5" x14ac:dyDescent="0.3"/>
  <cols>
    <col min="1" max="1" width="1.625" style="161" customWidth="1"/>
    <col min="2" max="2" width="9.625" style="161" customWidth="1"/>
    <col min="3" max="20" width="15.75" style="161" customWidth="1"/>
    <col min="21" max="21" width="1.625" style="161" customWidth="1"/>
    <col min="22" max="256" width="9" style="161"/>
    <col min="257" max="257" width="1.625" style="161" customWidth="1"/>
    <col min="258" max="258" width="9.625" style="161" customWidth="1"/>
    <col min="259" max="276" width="15.75" style="161" customWidth="1"/>
    <col min="277" max="277" width="1.625" style="161" customWidth="1"/>
    <col min="278" max="512" width="9" style="161"/>
    <col min="513" max="513" width="1.625" style="161" customWidth="1"/>
    <col min="514" max="514" width="9.625" style="161" customWidth="1"/>
    <col min="515" max="532" width="15.75" style="161" customWidth="1"/>
    <col min="533" max="533" width="1.625" style="161" customWidth="1"/>
    <col min="534" max="768" width="9" style="161"/>
    <col min="769" max="769" width="1.625" style="161" customWidth="1"/>
    <col min="770" max="770" width="9.625" style="161" customWidth="1"/>
    <col min="771" max="788" width="15.75" style="161" customWidth="1"/>
    <col min="789" max="789" width="1.625" style="161" customWidth="1"/>
    <col min="790" max="1024" width="9" style="161"/>
    <col min="1025" max="1025" width="1.625" style="161" customWidth="1"/>
    <col min="1026" max="1026" width="9.625" style="161" customWidth="1"/>
    <col min="1027" max="1044" width="15.75" style="161" customWidth="1"/>
    <col min="1045" max="1045" width="1.625" style="161" customWidth="1"/>
    <col min="1046" max="1280" width="9" style="161"/>
    <col min="1281" max="1281" width="1.625" style="161" customWidth="1"/>
    <col min="1282" max="1282" width="9.625" style="161" customWidth="1"/>
    <col min="1283" max="1300" width="15.75" style="161" customWidth="1"/>
    <col min="1301" max="1301" width="1.625" style="161" customWidth="1"/>
    <col min="1302" max="1536" width="9" style="161"/>
    <col min="1537" max="1537" width="1.625" style="161" customWidth="1"/>
    <col min="1538" max="1538" width="9.625" style="161" customWidth="1"/>
    <col min="1539" max="1556" width="15.75" style="161" customWidth="1"/>
    <col min="1557" max="1557" width="1.625" style="161" customWidth="1"/>
    <col min="1558" max="1792" width="9" style="161"/>
    <col min="1793" max="1793" width="1.625" style="161" customWidth="1"/>
    <col min="1794" max="1794" width="9.625" style="161" customWidth="1"/>
    <col min="1795" max="1812" width="15.75" style="161" customWidth="1"/>
    <col min="1813" max="1813" width="1.625" style="161" customWidth="1"/>
    <col min="1814" max="2048" width="9" style="161"/>
    <col min="2049" max="2049" width="1.625" style="161" customWidth="1"/>
    <col min="2050" max="2050" width="9.625" style="161" customWidth="1"/>
    <col min="2051" max="2068" width="15.75" style="161" customWidth="1"/>
    <col min="2069" max="2069" width="1.625" style="161" customWidth="1"/>
    <col min="2070" max="2304" width="9" style="161"/>
    <col min="2305" max="2305" width="1.625" style="161" customWidth="1"/>
    <col min="2306" max="2306" width="9.625" style="161" customWidth="1"/>
    <col min="2307" max="2324" width="15.75" style="161" customWidth="1"/>
    <col min="2325" max="2325" width="1.625" style="161" customWidth="1"/>
    <col min="2326" max="2560" width="9" style="161"/>
    <col min="2561" max="2561" width="1.625" style="161" customWidth="1"/>
    <col min="2562" max="2562" width="9.625" style="161" customWidth="1"/>
    <col min="2563" max="2580" width="15.75" style="161" customWidth="1"/>
    <col min="2581" max="2581" width="1.625" style="161" customWidth="1"/>
    <col min="2582" max="2816" width="9" style="161"/>
    <col min="2817" max="2817" width="1.625" style="161" customWidth="1"/>
    <col min="2818" max="2818" width="9.625" style="161" customWidth="1"/>
    <col min="2819" max="2836" width="15.75" style="161" customWidth="1"/>
    <col min="2837" max="2837" width="1.625" style="161" customWidth="1"/>
    <col min="2838" max="3072" width="9" style="161"/>
    <col min="3073" max="3073" width="1.625" style="161" customWidth="1"/>
    <col min="3074" max="3074" width="9.625" style="161" customWidth="1"/>
    <col min="3075" max="3092" width="15.75" style="161" customWidth="1"/>
    <col min="3093" max="3093" width="1.625" style="161" customWidth="1"/>
    <col min="3094" max="3328" width="9" style="161"/>
    <col min="3329" max="3329" width="1.625" style="161" customWidth="1"/>
    <col min="3330" max="3330" width="9.625" style="161" customWidth="1"/>
    <col min="3331" max="3348" width="15.75" style="161" customWidth="1"/>
    <col min="3349" max="3349" width="1.625" style="161" customWidth="1"/>
    <col min="3350" max="3584" width="9" style="161"/>
    <col min="3585" max="3585" width="1.625" style="161" customWidth="1"/>
    <col min="3586" max="3586" width="9.625" style="161" customWidth="1"/>
    <col min="3587" max="3604" width="15.75" style="161" customWidth="1"/>
    <col min="3605" max="3605" width="1.625" style="161" customWidth="1"/>
    <col min="3606" max="3840" width="9" style="161"/>
    <col min="3841" max="3841" width="1.625" style="161" customWidth="1"/>
    <col min="3842" max="3842" width="9.625" style="161" customWidth="1"/>
    <col min="3843" max="3860" width="15.75" style="161" customWidth="1"/>
    <col min="3861" max="3861" width="1.625" style="161" customWidth="1"/>
    <col min="3862" max="4096" width="9" style="161"/>
    <col min="4097" max="4097" width="1.625" style="161" customWidth="1"/>
    <col min="4098" max="4098" width="9.625" style="161" customWidth="1"/>
    <col min="4099" max="4116" width="15.75" style="161" customWidth="1"/>
    <col min="4117" max="4117" width="1.625" style="161" customWidth="1"/>
    <col min="4118" max="4352" width="9" style="161"/>
    <col min="4353" max="4353" width="1.625" style="161" customWidth="1"/>
    <col min="4354" max="4354" width="9.625" style="161" customWidth="1"/>
    <col min="4355" max="4372" width="15.75" style="161" customWidth="1"/>
    <col min="4373" max="4373" width="1.625" style="161" customWidth="1"/>
    <col min="4374" max="4608" width="9" style="161"/>
    <col min="4609" max="4609" width="1.625" style="161" customWidth="1"/>
    <col min="4610" max="4610" width="9.625" style="161" customWidth="1"/>
    <col min="4611" max="4628" width="15.75" style="161" customWidth="1"/>
    <col min="4629" max="4629" width="1.625" style="161" customWidth="1"/>
    <col min="4630" max="4864" width="9" style="161"/>
    <col min="4865" max="4865" width="1.625" style="161" customWidth="1"/>
    <col min="4866" max="4866" width="9.625" style="161" customWidth="1"/>
    <col min="4867" max="4884" width="15.75" style="161" customWidth="1"/>
    <col min="4885" max="4885" width="1.625" style="161" customWidth="1"/>
    <col min="4886" max="5120" width="9" style="161"/>
    <col min="5121" max="5121" width="1.625" style="161" customWidth="1"/>
    <col min="5122" max="5122" width="9.625" style="161" customWidth="1"/>
    <col min="5123" max="5140" width="15.75" style="161" customWidth="1"/>
    <col min="5141" max="5141" width="1.625" style="161" customWidth="1"/>
    <col min="5142" max="5376" width="9" style="161"/>
    <col min="5377" max="5377" width="1.625" style="161" customWidth="1"/>
    <col min="5378" max="5378" width="9.625" style="161" customWidth="1"/>
    <col min="5379" max="5396" width="15.75" style="161" customWidth="1"/>
    <col min="5397" max="5397" width="1.625" style="161" customWidth="1"/>
    <col min="5398" max="5632" width="9" style="161"/>
    <col min="5633" max="5633" width="1.625" style="161" customWidth="1"/>
    <col min="5634" max="5634" width="9.625" style="161" customWidth="1"/>
    <col min="5635" max="5652" width="15.75" style="161" customWidth="1"/>
    <col min="5653" max="5653" width="1.625" style="161" customWidth="1"/>
    <col min="5654" max="5888" width="9" style="161"/>
    <col min="5889" max="5889" width="1.625" style="161" customWidth="1"/>
    <col min="5890" max="5890" width="9.625" style="161" customWidth="1"/>
    <col min="5891" max="5908" width="15.75" style="161" customWidth="1"/>
    <col min="5909" max="5909" width="1.625" style="161" customWidth="1"/>
    <col min="5910" max="6144" width="9" style="161"/>
    <col min="6145" max="6145" width="1.625" style="161" customWidth="1"/>
    <col min="6146" max="6146" width="9.625" style="161" customWidth="1"/>
    <col min="6147" max="6164" width="15.75" style="161" customWidth="1"/>
    <col min="6165" max="6165" width="1.625" style="161" customWidth="1"/>
    <col min="6166" max="6400" width="9" style="161"/>
    <col min="6401" max="6401" width="1.625" style="161" customWidth="1"/>
    <col min="6402" max="6402" width="9.625" style="161" customWidth="1"/>
    <col min="6403" max="6420" width="15.75" style="161" customWidth="1"/>
    <col min="6421" max="6421" width="1.625" style="161" customWidth="1"/>
    <col min="6422" max="6656" width="9" style="161"/>
    <col min="6657" max="6657" width="1.625" style="161" customWidth="1"/>
    <col min="6658" max="6658" width="9.625" style="161" customWidth="1"/>
    <col min="6659" max="6676" width="15.75" style="161" customWidth="1"/>
    <col min="6677" max="6677" width="1.625" style="161" customWidth="1"/>
    <col min="6678" max="6912" width="9" style="161"/>
    <col min="6913" max="6913" width="1.625" style="161" customWidth="1"/>
    <col min="6914" max="6914" width="9.625" style="161" customWidth="1"/>
    <col min="6915" max="6932" width="15.75" style="161" customWidth="1"/>
    <col min="6933" max="6933" width="1.625" style="161" customWidth="1"/>
    <col min="6934" max="7168" width="9" style="161"/>
    <col min="7169" max="7169" width="1.625" style="161" customWidth="1"/>
    <col min="7170" max="7170" width="9.625" style="161" customWidth="1"/>
    <col min="7171" max="7188" width="15.75" style="161" customWidth="1"/>
    <col min="7189" max="7189" width="1.625" style="161" customWidth="1"/>
    <col min="7190" max="7424" width="9" style="161"/>
    <col min="7425" max="7425" width="1.625" style="161" customWidth="1"/>
    <col min="7426" max="7426" width="9.625" style="161" customWidth="1"/>
    <col min="7427" max="7444" width="15.75" style="161" customWidth="1"/>
    <col min="7445" max="7445" width="1.625" style="161" customWidth="1"/>
    <col min="7446" max="7680" width="9" style="161"/>
    <col min="7681" max="7681" width="1.625" style="161" customWidth="1"/>
    <col min="7682" max="7682" width="9.625" style="161" customWidth="1"/>
    <col min="7683" max="7700" width="15.75" style="161" customWidth="1"/>
    <col min="7701" max="7701" width="1.625" style="161" customWidth="1"/>
    <col min="7702" max="7936" width="9" style="161"/>
    <col min="7937" max="7937" width="1.625" style="161" customWidth="1"/>
    <col min="7938" max="7938" width="9.625" style="161" customWidth="1"/>
    <col min="7939" max="7956" width="15.75" style="161" customWidth="1"/>
    <col min="7957" max="7957" width="1.625" style="161" customWidth="1"/>
    <col min="7958" max="8192" width="9" style="161"/>
    <col min="8193" max="8193" width="1.625" style="161" customWidth="1"/>
    <col min="8194" max="8194" width="9.625" style="161" customWidth="1"/>
    <col min="8195" max="8212" width="15.75" style="161" customWidth="1"/>
    <col min="8213" max="8213" width="1.625" style="161" customWidth="1"/>
    <col min="8214" max="8448" width="9" style="161"/>
    <col min="8449" max="8449" width="1.625" style="161" customWidth="1"/>
    <col min="8450" max="8450" width="9.625" style="161" customWidth="1"/>
    <col min="8451" max="8468" width="15.75" style="161" customWidth="1"/>
    <col min="8469" max="8469" width="1.625" style="161" customWidth="1"/>
    <col min="8470" max="8704" width="9" style="161"/>
    <col min="8705" max="8705" width="1.625" style="161" customWidth="1"/>
    <col min="8706" max="8706" width="9.625" style="161" customWidth="1"/>
    <col min="8707" max="8724" width="15.75" style="161" customWidth="1"/>
    <col min="8725" max="8725" width="1.625" style="161" customWidth="1"/>
    <col min="8726" max="8960" width="9" style="161"/>
    <col min="8961" max="8961" width="1.625" style="161" customWidth="1"/>
    <col min="8962" max="8962" width="9.625" style="161" customWidth="1"/>
    <col min="8963" max="8980" width="15.75" style="161" customWidth="1"/>
    <col min="8981" max="8981" width="1.625" style="161" customWidth="1"/>
    <col min="8982" max="9216" width="9" style="161"/>
    <col min="9217" max="9217" width="1.625" style="161" customWidth="1"/>
    <col min="9218" max="9218" width="9.625" style="161" customWidth="1"/>
    <col min="9219" max="9236" width="15.75" style="161" customWidth="1"/>
    <col min="9237" max="9237" width="1.625" style="161" customWidth="1"/>
    <col min="9238" max="9472" width="9" style="161"/>
    <col min="9473" max="9473" width="1.625" style="161" customWidth="1"/>
    <col min="9474" max="9474" width="9.625" style="161" customWidth="1"/>
    <col min="9475" max="9492" width="15.75" style="161" customWidth="1"/>
    <col min="9493" max="9493" width="1.625" style="161" customWidth="1"/>
    <col min="9494" max="9728" width="9" style="161"/>
    <col min="9729" max="9729" width="1.625" style="161" customWidth="1"/>
    <col min="9730" max="9730" width="9.625" style="161" customWidth="1"/>
    <col min="9731" max="9748" width="15.75" style="161" customWidth="1"/>
    <col min="9749" max="9749" width="1.625" style="161" customWidth="1"/>
    <col min="9750" max="9984" width="9" style="161"/>
    <col min="9985" max="9985" width="1.625" style="161" customWidth="1"/>
    <col min="9986" max="9986" width="9.625" style="161" customWidth="1"/>
    <col min="9987" max="10004" width="15.75" style="161" customWidth="1"/>
    <col min="10005" max="10005" width="1.625" style="161" customWidth="1"/>
    <col min="10006" max="10240" width="9" style="161"/>
    <col min="10241" max="10241" width="1.625" style="161" customWidth="1"/>
    <col min="10242" max="10242" width="9.625" style="161" customWidth="1"/>
    <col min="10243" max="10260" width="15.75" style="161" customWidth="1"/>
    <col min="10261" max="10261" width="1.625" style="161" customWidth="1"/>
    <col min="10262" max="10496" width="9" style="161"/>
    <col min="10497" max="10497" width="1.625" style="161" customWidth="1"/>
    <col min="10498" max="10498" width="9.625" style="161" customWidth="1"/>
    <col min="10499" max="10516" width="15.75" style="161" customWidth="1"/>
    <col min="10517" max="10517" width="1.625" style="161" customWidth="1"/>
    <col min="10518" max="10752" width="9" style="161"/>
    <col min="10753" max="10753" width="1.625" style="161" customWidth="1"/>
    <col min="10754" max="10754" width="9.625" style="161" customWidth="1"/>
    <col min="10755" max="10772" width="15.75" style="161" customWidth="1"/>
    <col min="10773" max="10773" width="1.625" style="161" customWidth="1"/>
    <col min="10774" max="11008" width="9" style="161"/>
    <col min="11009" max="11009" width="1.625" style="161" customWidth="1"/>
    <col min="11010" max="11010" width="9.625" style="161" customWidth="1"/>
    <col min="11011" max="11028" width="15.75" style="161" customWidth="1"/>
    <col min="11029" max="11029" width="1.625" style="161" customWidth="1"/>
    <col min="11030" max="11264" width="9" style="161"/>
    <col min="11265" max="11265" width="1.625" style="161" customWidth="1"/>
    <col min="11266" max="11266" width="9.625" style="161" customWidth="1"/>
    <col min="11267" max="11284" width="15.75" style="161" customWidth="1"/>
    <col min="11285" max="11285" width="1.625" style="161" customWidth="1"/>
    <col min="11286" max="11520" width="9" style="161"/>
    <col min="11521" max="11521" width="1.625" style="161" customWidth="1"/>
    <col min="11522" max="11522" width="9.625" style="161" customWidth="1"/>
    <col min="11523" max="11540" width="15.75" style="161" customWidth="1"/>
    <col min="11541" max="11541" width="1.625" style="161" customWidth="1"/>
    <col min="11542" max="11776" width="9" style="161"/>
    <col min="11777" max="11777" width="1.625" style="161" customWidth="1"/>
    <col min="11778" max="11778" width="9.625" style="161" customWidth="1"/>
    <col min="11779" max="11796" width="15.75" style="161" customWidth="1"/>
    <col min="11797" max="11797" width="1.625" style="161" customWidth="1"/>
    <col min="11798" max="12032" width="9" style="161"/>
    <col min="12033" max="12033" width="1.625" style="161" customWidth="1"/>
    <col min="12034" max="12034" width="9.625" style="161" customWidth="1"/>
    <col min="12035" max="12052" width="15.75" style="161" customWidth="1"/>
    <col min="12053" max="12053" width="1.625" style="161" customWidth="1"/>
    <col min="12054" max="12288" width="9" style="161"/>
    <col min="12289" max="12289" width="1.625" style="161" customWidth="1"/>
    <col min="12290" max="12290" width="9.625" style="161" customWidth="1"/>
    <col min="12291" max="12308" width="15.75" style="161" customWidth="1"/>
    <col min="12309" max="12309" width="1.625" style="161" customWidth="1"/>
    <col min="12310" max="12544" width="9" style="161"/>
    <col min="12545" max="12545" width="1.625" style="161" customWidth="1"/>
    <col min="12546" max="12546" width="9.625" style="161" customWidth="1"/>
    <col min="12547" max="12564" width="15.75" style="161" customWidth="1"/>
    <col min="12565" max="12565" width="1.625" style="161" customWidth="1"/>
    <col min="12566" max="12800" width="9" style="161"/>
    <col min="12801" max="12801" width="1.625" style="161" customWidth="1"/>
    <col min="12802" max="12802" width="9.625" style="161" customWidth="1"/>
    <col min="12803" max="12820" width="15.75" style="161" customWidth="1"/>
    <col min="12821" max="12821" width="1.625" style="161" customWidth="1"/>
    <col min="12822" max="13056" width="9" style="161"/>
    <col min="13057" max="13057" width="1.625" style="161" customWidth="1"/>
    <col min="13058" max="13058" width="9.625" style="161" customWidth="1"/>
    <col min="13059" max="13076" width="15.75" style="161" customWidth="1"/>
    <col min="13077" max="13077" width="1.625" style="161" customWidth="1"/>
    <col min="13078" max="13312" width="9" style="161"/>
    <col min="13313" max="13313" width="1.625" style="161" customWidth="1"/>
    <col min="13314" max="13314" width="9.625" style="161" customWidth="1"/>
    <col min="13315" max="13332" width="15.75" style="161" customWidth="1"/>
    <col min="13333" max="13333" width="1.625" style="161" customWidth="1"/>
    <col min="13334" max="13568" width="9" style="161"/>
    <col min="13569" max="13569" width="1.625" style="161" customWidth="1"/>
    <col min="13570" max="13570" width="9.625" style="161" customWidth="1"/>
    <col min="13571" max="13588" width="15.75" style="161" customWidth="1"/>
    <col min="13589" max="13589" width="1.625" style="161" customWidth="1"/>
    <col min="13590" max="13824" width="9" style="161"/>
    <col min="13825" max="13825" width="1.625" style="161" customWidth="1"/>
    <col min="13826" max="13826" width="9.625" style="161" customWidth="1"/>
    <col min="13827" max="13844" width="15.75" style="161" customWidth="1"/>
    <col min="13845" max="13845" width="1.625" style="161" customWidth="1"/>
    <col min="13846" max="14080" width="9" style="161"/>
    <col min="14081" max="14081" width="1.625" style="161" customWidth="1"/>
    <col min="14082" max="14082" width="9.625" style="161" customWidth="1"/>
    <col min="14083" max="14100" width="15.75" style="161" customWidth="1"/>
    <col min="14101" max="14101" width="1.625" style="161" customWidth="1"/>
    <col min="14102" max="14336" width="9" style="161"/>
    <col min="14337" max="14337" width="1.625" style="161" customWidth="1"/>
    <col min="14338" max="14338" width="9.625" style="161" customWidth="1"/>
    <col min="14339" max="14356" width="15.75" style="161" customWidth="1"/>
    <col min="14357" max="14357" width="1.625" style="161" customWidth="1"/>
    <col min="14358" max="14592" width="9" style="161"/>
    <col min="14593" max="14593" width="1.625" style="161" customWidth="1"/>
    <col min="14594" max="14594" width="9.625" style="161" customWidth="1"/>
    <col min="14595" max="14612" width="15.75" style="161" customWidth="1"/>
    <col min="14613" max="14613" width="1.625" style="161" customWidth="1"/>
    <col min="14614" max="14848" width="9" style="161"/>
    <col min="14849" max="14849" width="1.625" style="161" customWidth="1"/>
    <col min="14850" max="14850" width="9.625" style="161" customWidth="1"/>
    <col min="14851" max="14868" width="15.75" style="161" customWidth="1"/>
    <col min="14869" max="14869" width="1.625" style="161" customWidth="1"/>
    <col min="14870" max="15104" width="9" style="161"/>
    <col min="15105" max="15105" width="1.625" style="161" customWidth="1"/>
    <col min="15106" max="15106" width="9.625" style="161" customWidth="1"/>
    <col min="15107" max="15124" width="15.75" style="161" customWidth="1"/>
    <col min="15125" max="15125" width="1.625" style="161" customWidth="1"/>
    <col min="15126" max="15360" width="9" style="161"/>
    <col min="15361" max="15361" width="1.625" style="161" customWidth="1"/>
    <col min="15362" max="15362" width="9.625" style="161" customWidth="1"/>
    <col min="15363" max="15380" width="15.75" style="161" customWidth="1"/>
    <col min="15381" max="15381" width="1.625" style="161" customWidth="1"/>
    <col min="15382" max="15616" width="9" style="161"/>
    <col min="15617" max="15617" width="1.625" style="161" customWidth="1"/>
    <col min="15618" max="15618" width="9.625" style="161" customWidth="1"/>
    <col min="15619" max="15636" width="15.75" style="161" customWidth="1"/>
    <col min="15637" max="15637" width="1.625" style="161" customWidth="1"/>
    <col min="15638" max="15872" width="9" style="161"/>
    <col min="15873" max="15873" width="1.625" style="161" customWidth="1"/>
    <col min="15874" max="15874" width="9.625" style="161" customWidth="1"/>
    <col min="15875" max="15892" width="15.75" style="161" customWidth="1"/>
    <col min="15893" max="15893" width="1.625" style="161" customWidth="1"/>
    <col min="15894" max="16128" width="9" style="161"/>
    <col min="16129" max="16129" width="1.625" style="161" customWidth="1"/>
    <col min="16130" max="16130" width="9.625" style="161" customWidth="1"/>
    <col min="16131" max="16148" width="15.75" style="161" customWidth="1"/>
    <col min="16149" max="16149" width="1.625" style="161" customWidth="1"/>
    <col min="16150" max="16384" width="9" style="161"/>
  </cols>
  <sheetData>
    <row r="1" spans="2:20" ht="9.9499999999999993" customHeight="1" thickBot="1" x14ac:dyDescent="0.35"/>
    <row r="2" spans="2:20" s="162" customFormat="1" ht="51.95" customHeight="1" thickBot="1" x14ac:dyDescent="0.35">
      <c r="B2" s="460" t="s">
        <v>432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2"/>
    </row>
    <row r="3" spans="2:20" s="164" customFormat="1" ht="36" customHeight="1" thickTop="1" x14ac:dyDescent="0.3">
      <c r="B3" s="163" t="s">
        <v>433</v>
      </c>
      <c r="C3" s="463" t="s">
        <v>726</v>
      </c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4"/>
    </row>
    <row r="4" spans="2:20" s="165" customFormat="1" ht="27.95" customHeight="1" x14ac:dyDescent="0.3">
      <c r="B4" s="455" t="s">
        <v>434</v>
      </c>
      <c r="C4" s="448" t="s">
        <v>479</v>
      </c>
      <c r="D4" s="449"/>
      <c r="E4" s="448" t="s">
        <v>480</v>
      </c>
      <c r="F4" s="449"/>
      <c r="G4" s="448" t="s">
        <v>481</v>
      </c>
      <c r="H4" s="449"/>
      <c r="I4" s="448" t="s">
        <v>482</v>
      </c>
      <c r="J4" s="449"/>
      <c r="K4" s="448" t="s">
        <v>483</v>
      </c>
      <c r="L4" s="449"/>
      <c r="M4" s="448" t="s">
        <v>484</v>
      </c>
      <c r="N4" s="449"/>
      <c r="O4" s="448" t="s">
        <v>485</v>
      </c>
      <c r="P4" s="449"/>
      <c r="Q4" s="448" t="s">
        <v>521</v>
      </c>
      <c r="R4" s="449"/>
      <c r="S4" s="448"/>
      <c r="T4" s="450"/>
    </row>
    <row r="5" spans="2:20" ht="27.95" customHeight="1" x14ac:dyDescent="0.3">
      <c r="B5" s="456"/>
      <c r="C5" s="166" t="s">
        <v>444</v>
      </c>
      <c r="D5" s="167" t="s">
        <v>445</v>
      </c>
      <c r="E5" s="166" t="s">
        <v>444</v>
      </c>
      <c r="F5" s="167" t="s">
        <v>445</v>
      </c>
      <c r="G5" s="166" t="s">
        <v>444</v>
      </c>
      <c r="H5" s="167" t="s">
        <v>445</v>
      </c>
      <c r="I5" s="166" t="s">
        <v>444</v>
      </c>
      <c r="J5" s="167" t="s">
        <v>445</v>
      </c>
      <c r="K5" s="166" t="s">
        <v>444</v>
      </c>
      <c r="L5" s="167" t="s">
        <v>445</v>
      </c>
      <c r="M5" s="166" t="s">
        <v>444</v>
      </c>
      <c r="N5" s="167" t="s">
        <v>445</v>
      </c>
      <c r="O5" s="166" t="s">
        <v>444</v>
      </c>
      <c r="P5" s="167" t="s">
        <v>445</v>
      </c>
      <c r="Q5" s="166" t="s">
        <v>444</v>
      </c>
      <c r="R5" s="167" t="s">
        <v>445</v>
      </c>
      <c r="S5" s="166" t="s">
        <v>446</v>
      </c>
      <c r="T5" s="168" t="s">
        <v>447</v>
      </c>
    </row>
    <row r="6" spans="2:20" ht="36" customHeight="1" x14ac:dyDescent="0.3">
      <c r="B6" s="169" t="s">
        <v>448</v>
      </c>
      <c r="C6" s="170">
        <v>73</v>
      </c>
      <c r="D6" s="171">
        <v>1920497</v>
      </c>
      <c r="E6" s="170">
        <v>21</v>
      </c>
      <c r="F6" s="171">
        <v>358717</v>
      </c>
      <c r="G6" s="170">
        <v>126</v>
      </c>
      <c r="H6" s="171">
        <v>2092163</v>
      </c>
      <c r="I6" s="170">
        <v>73</v>
      </c>
      <c r="J6" s="171">
        <v>3834893</v>
      </c>
      <c r="K6" s="170">
        <v>134</v>
      </c>
      <c r="L6" s="171">
        <v>2114805</v>
      </c>
      <c r="M6" s="170">
        <v>158</v>
      </c>
      <c r="N6" s="171">
        <v>2234395</v>
      </c>
      <c r="O6" s="170">
        <v>87</v>
      </c>
      <c r="P6" s="171">
        <v>1479299</v>
      </c>
      <c r="Q6" s="170">
        <v>110</v>
      </c>
      <c r="R6" s="171">
        <v>1929565</v>
      </c>
      <c r="S6" s="170"/>
      <c r="T6" s="172"/>
    </row>
    <row r="7" spans="2:20" ht="36" customHeight="1" x14ac:dyDescent="0.3">
      <c r="B7" s="173" t="s">
        <v>449</v>
      </c>
      <c r="C7" s="174">
        <v>62</v>
      </c>
      <c r="D7" s="175">
        <v>1920570</v>
      </c>
      <c r="E7" s="174">
        <v>18</v>
      </c>
      <c r="F7" s="175">
        <v>358738</v>
      </c>
      <c r="G7" s="174">
        <v>67</v>
      </c>
      <c r="H7" s="175">
        <v>2092289</v>
      </c>
      <c r="I7" s="174">
        <v>169</v>
      </c>
      <c r="J7" s="175">
        <v>3834966</v>
      </c>
      <c r="K7" s="174">
        <v>118</v>
      </c>
      <c r="L7" s="175">
        <v>2114939</v>
      </c>
      <c r="M7" s="174">
        <v>102</v>
      </c>
      <c r="N7" s="175">
        <v>2234553</v>
      </c>
      <c r="O7" s="174">
        <v>80</v>
      </c>
      <c r="P7" s="175">
        <v>1479386</v>
      </c>
      <c r="Q7" s="174">
        <v>103</v>
      </c>
      <c r="R7" s="175">
        <v>1929675</v>
      </c>
      <c r="S7" s="174"/>
      <c r="T7" s="176"/>
    </row>
    <row r="8" spans="2:20" ht="36" customHeight="1" x14ac:dyDescent="0.3">
      <c r="B8" s="173" t="s">
        <v>450</v>
      </c>
      <c r="C8" s="174">
        <v>57</v>
      </c>
      <c r="D8" s="175">
        <v>1920632</v>
      </c>
      <c r="E8" s="174">
        <v>17</v>
      </c>
      <c r="F8" s="175">
        <v>358756</v>
      </c>
      <c r="G8" s="174">
        <v>46</v>
      </c>
      <c r="H8" s="175">
        <v>2092356</v>
      </c>
      <c r="I8" s="174">
        <v>69</v>
      </c>
      <c r="J8" s="175">
        <v>3835135</v>
      </c>
      <c r="K8" s="174">
        <v>101</v>
      </c>
      <c r="L8" s="175">
        <v>2115057</v>
      </c>
      <c r="M8" s="174">
        <v>66</v>
      </c>
      <c r="N8" s="175">
        <v>2234655</v>
      </c>
      <c r="O8" s="174">
        <v>77</v>
      </c>
      <c r="P8" s="175">
        <v>1479466</v>
      </c>
      <c r="Q8" s="174">
        <v>86</v>
      </c>
      <c r="R8" s="175">
        <v>1929778</v>
      </c>
      <c r="S8" s="174"/>
      <c r="T8" s="176"/>
    </row>
    <row r="9" spans="2:20" ht="36" customHeight="1" x14ac:dyDescent="0.3">
      <c r="B9" s="173" t="s">
        <v>451</v>
      </c>
      <c r="C9" s="174">
        <v>53</v>
      </c>
      <c r="D9" s="175">
        <v>1920689</v>
      </c>
      <c r="E9" s="174">
        <v>16</v>
      </c>
      <c r="F9" s="175">
        <v>358773</v>
      </c>
      <c r="G9" s="174">
        <v>40</v>
      </c>
      <c r="H9" s="175">
        <v>2092402</v>
      </c>
      <c r="I9" s="174">
        <v>43</v>
      </c>
      <c r="J9" s="175">
        <v>3835204</v>
      </c>
      <c r="K9" s="174">
        <v>89</v>
      </c>
      <c r="L9" s="175">
        <v>2115158</v>
      </c>
      <c r="M9" s="174">
        <v>77</v>
      </c>
      <c r="N9" s="175">
        <v>2234721</v>
      </c>
      <c r="O9" s="174">
        <v>69</v>
      </c>
      <c r="P9" s="175">
        <v>1479543</v>
      </c>
      <c r="Q9" s="174">
        <v>80</v>
      </c>
      <c r="R9" s="175">
        <v>1929864</v>
      </c>
      <c r="S9" s="174"/>
      <c r="T9" s="176"/>
    </row>
    <row r="10" spans="2:20" ht="36" customHeight="1" x14ac:dyDescent="0.3">
      <c r="B10" s="173" t="s">
        <v>452</v>
      </c>
      <c r="C10" s="174">
        <v>50</v>
      </c>
      <c r="D10" s="175">
        <v>1920742</v>
      </c>
      <c r="E10" s="174">
        <v>16</v>
      </c>
      <c r="F10" s="175">
        <v>358789</v>
      </c>
      <c r="G10" s="174">
        <v>38</v>
      </c>
      <c r="H10" s="175">
        <v>2092442</v>
      </c>
      <c r="I10" s="174">
        <v>49</v>
      </c>
      <c r="J10" s="175">
        <v>3835247</v>
      </c>
      <c r="K10" s="174">
        <v>81</v>
      </c>
      <c r="L10" s="175">
        <v>2115247</v>
      </c>
      <c r="M10" s="174">
        <v>53</v>
      </c>
      <c r="N10" s="175">
        <v>2234798</v>
      </c>
      <c r="O10" s="174">
        <v>75</v>
      </c>
      <c r="P10" s="175">
        <v>1479612</v>
      </c>
      <c r="Q10" s="174">
        <v>87</v>
      </c>
      <c r="R10" s="175">
        <v>1929944</v>
      </c>
      <c r="S10" s="174"/>
      <c r="T10" s="176"/>
    </row>
    <row r="11" spans="2:20" ht="36" customHeight="1" x14ac:dyDescent="0.3">
      <c r="B11" s="173" t="s">
        <v>453</v>
      </c>
      <c r="C11" s="174">
        <v>54</v>
      </c>
      <c r="D11" s="175">
        <v>1920792</v>
      </c>
      <c r="E11" s="174">
        <v>22</v>
      </c>
      <c r="F11" s="175">
        <v>358805</v>
      </c>
      <c r="G11" s="174">
        <v>40</v>
      </c>
      <c r="H11" s="175">
        <v>2092480</v>
      </c>
      <c r="I11" s="174">
        <v>43</v>
      </c>
      <c r="J11" s="175">
        <v>3835296</v>
      </c>
      <c r="K11" s="174">
        <v>87</v>
      </c>
      <c r="L11" s="175">
        <v>2115328</v>
      </c>
      <c r="M11" s="174">
        <v>59</v>
      </c>
      <c r="N11" s="175">
        <v>2234851</v>
      </c>
      <c r="O11" s="174">
        <v>70</v>
      </c>
      <c r="P11" s="175">
        <v>1479687</v>
      </c>
      <c r="Q11" s="174">
        <v>64</v>
      </c>
      <c r="R11" s="175">
        <v>1930031</v>
      </c>
      <c r="S11" s="174"/>
      <c r="T11" s="176"/>
    </row>
    <row r="12" spans="2:20" ht="36" customHeight="1" x14ac:dyDescent="0.3">
      <c r="B12" s="173" t="s">
        <v>454</v>
      </c>
      <c r="C12" s="174">
        <v>59</v>
      </c>
      <c r="D12" s="175">
        <v>1920846</v>
      </c>
      <c r="E12" s="174">
        <v>21</v>
      </c>
      <c r="F12" s="175">
        <v>358827</v>
      </c>
      <c r="G12" s="174">
        <v>43</v>
      </c>
      <c r="H12" s="175">
        <v>2092520</v>
      </c>
      <c r="I12" s="174">
        <v>47</v>
      </c>
      <c r="J12" s="175">
        <v>3835339</v>
      </c>
      <c r="K12" s="174">
        <v>60</v>
      </c>
      <c r="L12" s="175">
        <v>2115415</v>
      </c>
      <c r="M12" s="174">
        <v>81</v>
      </c>
      <c r="N12" s="175">
        <v>2234910</v>
      </c>
      <c r="O12" s="174">
        <v>61</v>
      </c>
      <c r="P12" s="175">
        <v>1479757</v>
      </c>
      <c r="Q12" s="174">
        <v>71</v>
      </c>
      <c r="R12" s="175">
        <v>1930095</v>
      </c>
      <c r="S12" s="174"/>
      <c r="T12" s="176"/>
    </row>
    <row r="13" spans="2:20" ht="36" customHeight="1" x14ac:dyDescent="0.3">
      <c r="B13" s="173" t="s">
        <v>455</v>
      </c>
      <c r="C13" s="174">
        <v>68</v>
      </c>
      <c r="D13" s="175">
        <v>1920905</v>
      </c>
      <c r="E13" s="174">
        <v>20</v>
      </c>
      <c r="F13" s="175">
        <v>358848</v>
      </c>
      <c r="G13" s="174">
        <v>56</v>
      </c>
      <c r="H13" s="175">
        <v>2092563</v>
      </c>
      <c r="I13" s="174">
        <v>56</v>
      </c>
      <c r="J13" s="175">
        <v>3835386</v>
      </c>
      <c r="K13" s="174">
        <v>64</v>
      </c>
      <c r="L13" s="175">
        <v>2115475</v>
      </c>
      <c r="M13" s="174">
        <v>72</v>
      </c>
      <c r="N13" s="175">
        <v>2234991</v>
      </c>
      <c r="O13" s="174">
        <v>54</v>
      </c>
      <c r="P13" s="175">
        <v>1479818</v>
      </c>
      <c r="Q13" s="174">
        <v>86</v>
      </c>
      <c r="R13" s="175">
        <v>1930166</v>
      </c>
      <c r="S13" s="174"/>
      <c r="T13" s="176"/>
    </row>
    <row r="14" spans="2:20" ht="36" customHeight="1" x14ac:dyDescent="0.3">
      <c r="B14" s="173" t="s">
        <v>456</v>
      </c>
      <c r="C14" s="174">
        <v>83</v>
      </c>
      <c r="D14" s="175">
        <v>1920973</v>
      </c>
      <c r="E14" s="174">
        <v>23</v>
      </c>
      <c r="F14" s="175">
        <v>358868</v>
      </c>
      <c r="G14" s="174">
        <v>68</v>
      </c>
      <c r="H14" s="175">
        <v>2092619</v>
      </c>
      <c r="I14" s="174">
        <v>282</v>
      </c>
      <c r="J14" s="175">
        <v>3835442</v>
      </c>
      <c r="K14" s="174">
        <v>81</v>
      </c>
      <c r="L14" s="175">
        <v>2115539</v>
      </c>
      <c r="M14" s="174">
        <v>70</v>
      </c>
      <c r="N14" s="175">
        <v>2235063</v>
      </c>
      <c r="O14" s="174">
        <v>54</v>
      </c>
      <c r="P14" s="175">
        <v>1479872</v>
      </c>
      <c r="Q14" s="174">
        <v>86</v>
      </c>
      <c r="R14" s="175">
        <v>1930252</v>
      </c>
      <c r="S14" s="174"/>
      <c r="T14" s="176"/>
    </row>
    <row r="15" spans="2:20" ht="36" customHeight="1" x14ac:dyDescent="0.3">
      <c r="B15" s="173" t="s">
        <v>457</v>
      </c>
      <c r="C15" s="174">
        <v>104</v>
      </c>
      <c r="D15" s="175">
        <v>1921056</v>
      </c>
      <c r="E15" s="174">
        <v>28</v>
      </c>
      <c r="F15" s="175">
        <v>358891</v>
      </c>
      <c r="G15" s="174">
        <v>100</v>
      </c>
      <c r="H15" s="175">
        <v>2092687</v>
      </c>
      <c r="I15" s="174">
        <v>161</v>
      </c>
      <c r="J15" s="175">
        <v>3835724</v>
      </c>
      <c r="K15" s="174">
        <v>101</v>
      </c>
      <c r="L15" s="175">
        <v>2115620</v>
      </c>
      <c r="M15" s="174">
        <v>90</v>
      </c>
      <c r="N15" s="175">
        <v>2235133</v>
      </c>
      <c r="O15" s="174">
        <v>59</v>
      </c>
      <c r="P15" s="175">
        <v>1479926</v>
      </c>
      <c r="Q15" s="174">
        <v>77</v>
      </c>
      <c r="R15" s="175">
        <v>1930338</v>
      </c>
      <c r="S15" s="174"/>
      <c r="T15" s="176"/>
    </row>
    <row r="16" spans="2:20" ht="36" customHeight="1" x14ac:dyDescent="0.3">
      <c r="B16" s="173" t="s">
        <v>458</v>
      </c>
      <c r="C16" s="174">
        <v>115</v>
      </c>
      <c r="D16" s="175">
        <v>1921160</v>
      </c>
      <c r="E16" s="174">
        <v>25</v>
      </c>
      <c r="F16" s="175">
        <v>358919</v>
      </c>
      <c r="G16" s="174">
        <v>113</v>
      </c>
      <c r="H16" s="175">
        <v>2092787</v>
      </c>
      <c r="I16" s="174">
        <v>316</v>
      </c>
      <c r="J16" s="175">
        <v>3835885</v>
      </c>
      <c r="K16" s="174">
        <v>150</v>
      </c>
      <c r="L16" s="175">
        <v>2115721</v>
      </c>
      <c r="M16" s="174">
        <v>137</v>
      </c>
      <c r="N16" s="175">
        <v>2235223</v>
      </c>
      <c r="O16" s="174">
        <v>69</v>
      </c>
      <c r="P16" s="175">
        <v>1479985</v>
      </c>
      <c r="Q16" s="174">
        <v>101</v>
      </c>
      <c r="R16" s="175">
        <v>1930415</v>
      </c>
      <c r="S16" s="174"/>
      <c r="T16" s="176"/>
    </row>
    <row r="17" spans="2:20" ht="36" customHeight="1" x14ac:dyDescent="0.3">
      <c r="B17" s="173" t="s">
        <v>459</v>
      </c>
      <c r="C17" s="174">
        <v>128</v>
      </c>
      <c r="D17" s="175">
        <v>1921275</v>
      </c>
      <c r="E17" s="174">
        <v>25</v>
      </c>
      <c r="F17" s="175">
        <v>358944</v>
      </c>
      <c r="G17" s="174">
        <v>117</v>
      </c>
      <c r="H17" s="175">
        <v>2092900</v>
      </c>
      <c r="I17" s="174">
        <v>294</v>
      </c>
      <c r="J17" s="175">
        <v>3836201</v>
      </c>
      <c r="K17" s="174">
        <v>122</v>
      </c>
      <c r="L17" s="175">
        <v>2115871</v>
      </c>
      <c r="M17" s="174">
        <v>169</v>
      </c>
      <c r="N17" s="175">
        <v>2235360</v>
      </c>
      <c r="O17" s="174">
        <v>69</v>
      </c>
      <c r="P17" s="175">
        <v>1480054</v>
      </c>
      <c r="Q17" s="174">
        <v>102</v>
      </c>
      <c r="R17" s="175">
        <v>1930516</v>
      </c>
      <c r="S17" s="174"/>
      <c r="T17" s="176"/>
    </row>
    <row r="18" spans="2:20" ht="36" customHeight="1" x14ac:dyDescent="0.3">
      <c r="B18" s="173" t="s">
        <v>460</v>
      </c>
      <c r="C18" s="174">
        <v>122</v>
      </c>
      <c r="D18" s="175">
        <v>1921403</v>
      </c>
      <c r="E18" s="174">
        <v>26</v>
      </c>
      <c r="F18" s="175">
        <v>358969</v>
      </c>
      <c r="G18" s="174">
        <v>108</v>
      </c>
      <c r="H18" s="175">
        <v>2093017</v>
      </c>
      <c r="I18" s="174">
        <v>217</v>
      </c>
      <c r="J18" s="175">
        <v>3836495</v>
      </c>
      <c r="K18" s="174">
        <v>110</v>
      </c>
      <c r="L18" s="175">
        <v>2115993</v>
      </c>
      <c r="M18" s="174">
        <v>134</v>
      </c>
      <c r="N18" s="175">
        <v>2235529</v>
      </c>
      <c r="O18" s="174">
        <v>85</v>
      </c>
      <c r="P18" s="175">
        <v>1480123</v>
      </c>
      <c r="Q18" s="174">
        <v>87</v>
      </c>
      <c r="R18" s="175">
        <v>1930618</v>
      </c>
      <c r="S18" s="174"/>
      <c r="T18" s="176"/>
    </row>
    <row r="19" spans="2:20" ht="36" customHeight="1" x14ac:dyDescent="0.3">
      <c r="B19" s="173" t="s">
        <v>461</v>
      </c>
      <c r="C19" s="174">
        <v>119</v>
      </c>
      <c r="D19" s="175">
        <v>1921525</v>
      </c>
      <c r="E19" s="174">
        <v>26</v>
      </c>
      <c r="F19" s="175">
        <v>358995</v>
      </c>
      <c r="G19" s="174">
        <v>99</v>
      </c>
      <c r="H19" s="175">
        <v>2093125</v>
      </c>
      <c r="I19" s="174">
        <v>234</v>
      </c>
      <c r="J19" s="175">
        <v>3836712</v>
      </c>
      <c r="K19" s="174">
        <v>139</v>
      </c>
      <c r="L19" s="175">
        <v>2116103</v>
      </c>
      <c r="M19" s="174">
        <v>120</v>
      </c>
      <c r="N19" s="175">
        <v>2235663</v>
      </c>
      <c r="O19" s="174">
        <v>80</v>
      </c>
      <c r="P19" s="175">
        <v>1480208</v>
      </c>
      <c r="Q19" s="174">
        <v>98</v>
      </c>
      <c r="R19" s="175">
        <v>1930705</v>
      </c>
      <c r="S19" s="174"/>
      <c r="T19" s="176"/>
    </row>
    <row r="20" spans="2:20" ht="36" customHeight="1" x14ac:dyDescent="0.3">
      <c r="B20" s="173" t="s">
        <v>462</v>
      </c>
      <c r="C20" s="174">
        <v>109</v>
      </c>
      <c r="D20" s="175">
        <v>1921644</v>
      </c>
      <c r="E20" s="174">
        <v>24</v>
      </c>
      <c r="F20" s="175">
        <v>359021</v>
      </c>
      <c r="G20" s="174">
        <v>103</v>
      </c>
      <c r="H20" s="175">
        <v>2093224</v>
      </c>
      <c r="I20" s="174">
        <v>226</v>
      </c>
      <c r="J20" s="175">
        <v>3836946</v>
      </c>
      <c r="K20" s="174">
        <v>113</v>
      </c>
      <c r="L20" s="175">
        <v>2116242</v>
      </c>
      <c r="M20" s="174">
        <v>104</v>
      </c>
      <c r="N20" s="175">
        <v>2235783</v>
      </c>
      <c r="O20" s="174">
        <v>80</v>
      </c>
      <c r="P20" s="175">
        <v>1480288</v>
      </c>
      <c r="Q20" s="174">
        <v>85</v>
      </c>
      <c r="R20" s="175">
        <v>1930803</v>
      </c>
      <c r="S20" s="174"/>
      <c r="T20" s="176"/>
    </row>
    <row r="21" spans="2:20" ht="36" customHeight="1" x14ac:dyDescent="0.3">
      <c r="B21" s="173" t="s">
        <v>463</v>
      </c>
      <c r="C21" s="174">
        <v>102</v>
      </c>
      <c r="D21" s="175">
        <v>1921753</v>
      </c>
      <c r="E21" s="174">
        <v>25</v>
      </c>
      <c r="F21" s="175">
        <v>359045</v>
      </c>
      <c r="G21" s="174">
        <v>115</v>
      </c>
      <c r="H21" s="175">
        <v>2093327</v>
      </c>
      <c r="I21" s="174">
        <v>300</v>
      </c>
      <c r="J21" s="175">
        <v>3837172</v>
      </c>
      <c r="K21" s="174">
        <v>102</v>
      </c>
      <c r="L21" s="175">
        <v>2116355</v>
      </c>
      <c r="M21" s="174">
        <v>97</v>
      </c>
      <c r="N21" s="175">
        <v>2235887</v>
      </c>
      <c r="O21" s="174">
        <v>88</v>
      </c>
      <c r="P21" s="175">
        <v>1480368</v>
      </c>
      <c r="Q21" s="174">
        <v>93</v>
      </c>
      <c r="R21" s="175">
        <v>1930888</v>
      </c>
      <c r="S21" s="174"/>
      <c r="T21" s="176"/>
    </row>
    <row r="22" spans="2:20" ht="36" customHeight="1" x14ac:dyDescent="0.3">
      <c r="B22" s="173" t="s">
        <v>464</v>
      </c>
      <c r="C22" s="174">
        <v>107</v>
      </c>
      <c r="D22" s="175">
        <v>1921855</v>
      </c>
      <c r="E22" s="174">
        <v>24</v>
      </c>
      <c r="F22" s="175">
        <v>359070</v>
      </c>
      <c r="G22" s="174">
        <v>107</v>
      </c>
      <c r="H22" s="175">
        <v>2093442</v>
      </c>
      <c r="I22" s="174">
        <v>134</v>
      </c>
      <c r="J22" s="175">
        <v>3837472</v>
      </c>
      <c r="K22" s="174">
        <v>132</v>
      </c>
      <c r="L22" s="175">
        <v>2116457</v>
      </c>
      <c r="M22" s="174">
        <v>97</v>
      </c>
      <c r="N22" s="175">
        <v>2235984</v>
      </c>
      <c r="O22" s="174">
        <v>90</v>
      </c>
      <c r="P22" s="175">
        <v>1480456</v>
      </c>
      <c r="Q22" s="174">
        <v>105</v>
      </c>
      <c r="R22" s="175">
        <v>1930981</v>
      </c>
      <c r="S22" s="174"/>
      <c r="T22" s="176"/>
    </row>
    <row r="23" spans="2:20" ht="36" customHeight="1" x14ac:dyDescent="0.3">
      <c r="B23" s="173" t="s">
        <v>465</v>
      </c>
      <c r="C23" s="174">
        <v>114</v>
      </c>
      <c r="D23" s="175">
        <v>1921962</v>
      </c>
      <c r="E23" s="174">
        <v>23</v>
      </c>
      <c r="F23" s="175">
        <v>359094</v>
      </c>
      <c r="G23" s="174">
        <v>243</v>
      </c>
      <c r="H23" s="175">
        <v>2093549</v>
      </c>
      <c r="I23" s="174">
        <v>98</v>
      </c>
      <c r="J23" s="175">
        <v>3837606</v>
      </c>
      <c r="K23" s="174">
        <v>140</v>
      </c>
      <c r="L23" s="175">
        <v>2116589</v>
      </c>
      <c r="M23" s="174">
        <v>128</v>
      </c>
      <c r="N23" s="175">
        <v>2236081</v>
      </c>
      <c r="O23" s="174">
        <v>87</v>
      </c>
      <c r="P23" s="175">
        <v>1480546</v>
      </c>
      <c r="Q23" s="174">
        <v>115</v>
      </c>
      <c r="R23" s="175">
        <v>1931086</v>
      </c>
      <c r="S23" s="174"/>
      <c r="T23" s="176"/>
    </row>
    <row r="24" spans="2:20" ht="36" customHeight="1" x14ac:dyDescent="0.3">
      <c r="B24" s="173" t="s">
        <v>466</v>
      </c>
      <c r="C24" s="174">
        <v>117</v>
      </c>
      <c r="D24" s="175">
        <v>1922076</v>
      </c>
      <c r="E24" s="174">
        <v>25</v>
      </c>
      <c r="F24" s="175">
        <v>359117</v>
      </c>
      <c r="G24" s="174">
        <v>252</v>
      </c>
      <c r="H24" s="175">
        <v>2093792</v>
      </c>
      <c r="I24" s="174">
        <v>196</v>
      </c>
      <c r="J24" s="175">
        <v>3837704</v>
      </c>
      <c r="K24" s="174">
        <v>126</v>
      </c>
      <c r="L24" s="175">
        <v>2116729</v>
      </c>
      <c r="M24" s="174">
        <v>182</v>
      </c>
      <c r="N24" s="175">
        <v>2236209</v>
      </c>
      <c r="O24" s="174">
        <v>85</v>
      </c>
      <c r="P24" s="175">
        <v>1480633</v>
      </c>
      <c r="Q24" s="174">
        <v>138</v>
      </c>
      <c r="R24" s="175">
        <v>1931201</v>
      </c>
      <c r="S24" s="174"/>
      <c r="T24" s="176"/>
    </row>
    <row r="25" spans="2:20" ht="36" customHeight="1" x14ac:dyDescent="0.3">
      <c r="B25" s="173" t="s">
        <v>467</v>
      </c>
      <c r="C25" s="174">
        <v>118</v>
      </c>
      <c r="D25" s="175">
        <v>1922193</v>
      </c>
      <c r="E25" s="174">
        <v>23</v>
      </c>
      <c r="F25" s="175">
        <v>359142</v>
      </c>
      <c r="G25" s="174">
        <v>108</v>
      </c>
      <c r="H25" s="175">
        <v>2094044</v>
      </c>
      <c r="I25" s="174">
        <v>186</v>
      </c>
      <c r="J25" s="175">
        <v>3837900</v>
      </c>
      <c r="K25" s="174">
        <v>151</v>
      </c>
      <c r="L25" s="175">
        <v>2116855</v>
      </c>
      <c r="M25" s="174">
        <v>135</v>
      </c>
      <c r="N25" s="175">
        <v>2236391</v>
      </c>
      <c r="O25" s="174">
        <v>90</v>
      </c>
      <c r="P25" s="175">
        <v>1480718</v>
      </c>
      <c r="Q25" s="174">
        <v>141</v>
      </c>
      <c r="R25" s="175">
        <v>1931339</v>
      </c>
      <c r="S25" s="174"/>
      <c r="T25" s="176"/>
    </row>
    <row r="26" spans="2:20" ht="36" customHeight="1" x14ac:dyDescent="0.3">
      <c r="B26" s="173" t="s">
        <v>468</v>
      </c>
      <c r="C26" s="174">
        <v>117</v>
      </c>
      <c r="D26" s="175">
        <v>1922311</v>
      </c>
      <c r="E26" s="174">
        <v>22</v>
      </c>
      <c r="F26" s="175">
        <v>359165</v>
      </c>
      <c r="G26" s="174">
        <v>109</v>
      </c>
      <c r="H26" s="175">
        <v>2094152</v>
      </c>
      <c r="I26" s="174">
        <v>124</v>
      </c>
      <c r="J26" s="175">
        <v>3838086</v>
      </c>
      <c r="K26" s="174">
        <v>146</v>
      </c>
      <c r="L26" s="175">
        <v>2117006</v>
      </c>
      <c r="M26" s="174">
        <v>135</v>
      </c>
      <c r="N26" s="175">
        <v>2236526</v>
      </c>
      <c r="O26" s="174">
        <v>91</v>
      </c>
      <c r="P26" s="175">
        <v>1480808</v>
      </c>
      <c r="Q26" s="174">
        <v>137</v>
      </c>
      <c r="R26" s="175">
        <v>1931480</v>
      </c>
      <c r="S26" s="174"/>
      <c r="T26" s="176"/>
    </row>
    <row r="27" spans="2:20" ht="36" customHeight="1" x14ac:dyDescent="0.3">
      <c r="B27" s="173" t="s">
        <v>469</v>
      </c>
      <c r="C27" s="174">
        <v>111</v>
      </c>
      <c r="D27" s="175">
        <v>1922428</v>
      </c>
      <c r="E27" s="174">
        <v>22</v>
      </c>
      <c r="F27" s="175">
        <v>359187</v>
      </c>
      <c r="G27" s="174">
        <v>100</v>
      </c>
      <c r="H27" s="175">
        <v>2094261</v>
      </c>
      <c r="I27" s="174">
        <v>225</v>
      </c>
      <c r="J27" s="175">
        <v>3838210</v>
      </c>
      <c r="K27" s="174">
        <v>150</v>
      </c>
      <c r="L27" s="175">
        <v>2117152</v>
      </c>
      <c r="M27" s="174">
        <v>146</v>
      </c>
      <c r="N27" s="175">
        <v>2236661</v>
      </c>
      <c r="O27" s="174">
        <v>93</v>
      </c>
      <c r="P27" s="175">
        <v>1480899</v>
      </c>
      <c r="Q27" s="174">
        <v>157</v>
      </c>
      <c r="R27" s="175">
        <v>1931617</v>
      </c>
      <c r="S27" s="174"/>
      <c r="T27" s="176"/>
    </row>
    <row r="28" spans="2:20" ht="36" customHeight="1" x14ac:dyDescent="0.3">
      <c r="B28" s="173" t="s">
        <v>470</v>
      </c>
      <c r="C28" s="174">
        <v>101</v>
      </c>
      <c r="D28" s="175">
        <v>1922539</v>
      </c>
      <c r="E28" s="174">
        <v>21</v>
      </c>
      <c r="F28" s="175">
        <v>359209</v>
      </c>
      <c r="G28" s="174">
        <v>88</v>
      </c>
      <c r="H28" s="175">
        <v>2094361</v>
      </c>
      <c r="I28" s="174">
        <v>298</v>
      </c>
      <c r="J28" s="175">
        <v>3838435</v>
      </c>
      <c r="K28" s="174">
        <v>157</v>
      </c>
      <c r="L28" s="175">
        <v>2117302</v>
      </c>
      <c r="M28" s="174">
        <v>131</v>
      </c>
      <c r="N28" s="175">
        <v>2236807</v>
      </c>
      <c r="O28" s="174">
        <v>99</v>
      </c>
      <c r="P28" s="175">
        <v>1480992</v>
      </c>
      <c r="Q28" s="174">
        <v>148</v>
      </c>
      <c r="R28" s="175">
        <v>1931774</v>
      </c>
      <c r="S28" s="174"/>
      <c r="T28" s="176"/>
    </row>
    <row r="29" spans="2:20" ht="36" customHeight="1" thickBot="1" x14ac:dyDescent="0.35">
      <c r="B29" s="177" t="s">
        <v>471</v>
      </c>
      <c r="C29" s="178">
        <v>86</v>
      </c>
      <c r="D29" s="179">
        <v>1922640</v>
      </c>
      <c r="E29" s="178">
        <v>19</v>
      </c>
      <c r="F29" s="179">
        <v>359230</v>
      </c>
      <c r="G29" s="178">
        <v>73</v>
      </c>
      <c r="H29" s="179">
        <v>2094449</v>
      </c>
      <c r="I29" s="178">
        <v>355</v>
      </c>
      <c r="J29" s="179">
        <v>3838733</v>
      </c>
      <c r="K29" s="178">
        <v>149</v>
      </c>
      <c r="L29" s="179">
        <v>2117459</v>
      </c>
      <c r="M29" s="178">
        <v>158</v>
      </c>
      <c r="N29" s="179">
        <v>2236938</v>
      </c>
      <c r="O29" s="178">
        <v>106</v>
      </c>
      <c r="P29" s="179">
        <v>1481091</v>
      </c>
      <c r="Q29" s="178">
        <v>115</v>
      </c>
      <c r="R29" s="179">
        <v>1931922</v>
      </c>
      <c r="S29" s="178"/>
      <c r="T29" s="180"/>
    </row>
    <row r="30" spans="2:20" ht="36" customHeight="1" thickTop="1" x14ac:dyDescent="0.3">
      <c r="B30" s="181" t="s">
        <v>472</v>
      </c>
      <c r="C30" s="182">
        <f t="shared" ref="C30:T30" si="0">MIN(C6:C29)</f>
        <v>50</v>
      </c>
      <c r="D30" s="182">
        <f t="shared" si="0"/>
        <v>1920497</v>
      </c>
      <c r="E30" s="182">
        <f t="shared" si="0"/>
        <v>16</v>
      </c>
      <c r="F30" s="182">
        <f t="shared" si="0"/>
        <v>358717</v>
      </c>
      <c r="G30" s="182">
        <f t="shared" si="0"/>
        <v>38</v>
      </c>
      <c r="H30" s="182">
        <f t="shared" si="0"/>
        <v>2092163</v>
      </c>
      <c r="I30" s="182">
        <f t="shared" si="0"/>
        <v>43</v>
      </c>
      <c r="J30" s="182">
        <f t="shared" si="0"/>
        <v>3834893</v>
      </c>
      <c r="K30" s="182">
        <f t="shared" si="0"/>
        <v>60</v>
      </c>
      <c r="L30" s="182">
        <f t="shared" si="0"/>
        <v>2114805</v>
      </c>
      <c r="M30" s="182">
        <f t="shared" si="0"/>
        <v>53</v>
      </c>
      <c r="N30" s="182">
        <f t="shared" si="0"/>
        <v>2234395</v>
      </c>
      <c r="O30" s="182">
        <f t="shared" si="0"/>
        <v>54</v>
      </c>
      <c r="P30" s="182">
        <f t="shared" si="0"/>
        <v>1479299</v>
      </c>
      <c r="Q30" s="182">
        <f t="shared" si="0"/>
        <v>64</v>
      </c>
      <c r="R30" s="182">
        <f t="shared" si="0"/>
        <v>1929565</v>
      </c>
      <c r="S30" s="182">
        <f t="shared" si="0"/>
        <v>0</v>
      </c>
      <c r="T30" s="183">
        <f t="shared" si="0"/>
        <v>0</v>
      </c>
    </row>
    <row r="31" spans="2:20" ht="36" customHeight="1" x14ac:dyDescent="0.3">
      <c r="B31" s="173" t="s">
        <v>473</v>
      </c>
      <c r="C31" s="182">
        <f t="shared" ref="C31:T31" si="1">MAX(C6:C29)</f>
        <v>128</v>
      </c>
      <c r="D31" s="182">
        <f t="shared" si="1"/>
        <v>1922640</v>
      </c>
      <c r="E31" s="182">
        <f t="shared" si="1"/>
        <v>28</v>
      </c>
      <c r="F31" s="182">
        <f t="shared" si="1"/>
        <v>359230</v>
      </c>
      <c r="G31" s="182">
        <f t="shared" si="1"/>
        <v>252</v>
      </c>
      <c r="H31" s="182">
        <f t="shared" si="1"/>
        <v>2094449</v>
      </c>
      <c r="I31" s="182">
        <f t="shared" si="1"/>
        <v>355</v>
      </c>
      <c r="J31" s="182">
        <f t="shared" si="1"/>
        <v>3838733</v>
      </c>
      <c r="K31" s="182">
        <f t="shared" si="1"/>
        <v>157</v>
      </c>
      <c r="L31" s="182">
        <f t="shared" si="1"/>
        <v>2117459</v>
      </c>
      <c r="M31" s="182">
        <f t="shared" si="1"/>
        <v>182</v>
      </c>
      <c r="N31" s="182">
        <f t="shared" si="1"/>
        <v>2236938</v>
      </c>
      <c r="O31" s="182">
        <f t="shared" si="1"/>
        <v>106</v>
      </c>
      <c r="P31" s="182">
        <f t="shared" si="1"/>
        <v>1481091</v>
      </c>
      <c r="Q31" s="182">
        <f t="shared" si="1"/>
        <v>157</v>
      </c>
      <c r="R31" s="182">
        <f t="shared" si="1"/>
        <v>1931922</v>
      </c>
      <c r="S31" s="182">
        <f t="shared" si="1"/>
        <v>0</v>
      </c>
      <c r="T31" s="183">
        <f t="shared" si="1"/>
        <v>0</v>
      </c>
    </row>
    <row r="32" spans="2:20" ht="36" customHeight="1" x14ac:dyDescent="0.3">
      <c r="B32" s="173" t="s">
        <v>474</v>
      </c>
      <c r="C32" s="182">
        <f>AVERAGE(C6:C29)</f>
        <v>92.875</v>
      </c>
      <c r="D32" s="184"/>
      <c r="E32" s="182">
        <f>AVERAGE(E6:E29)</f>
        <v>22.166666666666668</v>
      </c>
      <c r="F32" s="184"/>
      <c r="G32" s="182">
        <f>AVERAGE(G6:G29)</f>
        <v>98.291666666666671</v>
      </c>
      <c r="H32" s="184"/>
      <c r="I32" s="182">
        <f>AVERAGE(I6:I29)</f>
        <v>174.79166666666666</v>
      </c>
      <c r="J32" s="184"/>
      <c r="K32" s="182">
        <f>AVERAGE(K6:K29)</f>
        <v>116.79166666666667</v>
      </c>
      <c r="L32" s="184"/>
      <c r="M32" s="182">
        <f>AVERAGE(M6:M29)</f>
        <v>112.54166666666667</v>
      </c>
      <c r="N32" s="184"/>
      <c r="O32" s="182">
        <f>AVERAGE(O6:O29)</f>
        <v>79.083333333333329</v>
      </c>
      <c r="P32" s="184"/>
      <c r="Q32" s="182">
        <f>AVERAGE(Q6:Q29)</f>
        <v>103</v>
      </c>
      <c r="R32" s="184"/>
      <c r="S32" s="182" t="e">
        <f>AVERAGE(S6:S29)</f>
        <v>#DIV/0!</v>
      </c>
      <c r="T32" s="185"/>
    </row>
    <row r="33" spans="2:20" ht="36" customHeight="1" thickBot="1" x14ac:dyDescent="0.35">
      <c r="B33" s="186" t="s">
        <v>475</v>
      </c>
      <c r="C33" s="187">
        <f>SUM(C6:C29)</f>
        <v>2229</v>
      </c>
      <c r="D33" s="188"/>
      <c r="E33" s="187">
        <f>SUM(E6:E29)</f>
        <v>532</v>
      </c>
      <c r="F33" s="188"/>
      <c r="G33" s="187">
        <f>SUM(G6:G29)</f>
        <v>2359</v>
      </c>
      <c r="H33" s="188"/>
      <c r="I33" s="187">
        <f>SUM(I6:I29)</f>
        <v>4195</v>
      </c>
      <c r="J33" s="188"/>
      <c r="K33" s="187">
        <f>SUM(K6:K29)</f>
        <v>2803</v>
      </c>
      <c r="L33" s="188"/>
      <c r="M33" s="187">
        <f>SUM(M6:M29)</f>
        <v>2701</v>
      </c>
      <c r="N33" s="188"/>
      <c r="O33" s="187">
        <f>SUM(O6:O29)</f>
        <v>1898</v>
      </c>
      <c r="P33" s="188"/>
      <c r="Q33" s="187">
        <f>SUM(Q6:Q29)</f>
        <v>2472</v>
      </c>
      <c r="R33" s="188"/>
      <c r="S33" s="187">
        <f>SUM(S6:S29)</f>
        <v>0</v>
      </c>
      <c r="T33" s="189"/>
    </row>
    <row r="34" spans="2:20" ht="9.9499999999999993" customHeight="1" thickBot="1" x14ac:dyDescent="0.35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2:20" s="162" customFormat="1" ht="51.95" customHeight="1" thickBot="1" x14ac:dyDescent="0.35">
      <c r="B35" s="460" t="s">
        <v>432</v>
      </c>
      <c r="C35" s="461"/>
      <c r="D35" s="461"/>
      <c r="E35" s="461"/>
      <c r="F35" s="461"/>
      <c r="G35" s="461"/>
      <c r="H35" s="461"/>
      <c r="I35" s="461"/>
      <c r="J35" s="461"/>
      <c r="K35" s="461"/>
      <c r="L35" s="461"/>
      <c r="M35" s="461"/>
      <c r="N35" s="461"/>
      <c r="O35" s="461"/>
      <c r="P35" s="461"/>
      <c r="Q35" s="461"/>
      <c r="R35" s="461"/>
      <c r="S35" s="461"/>
      <c r="T35" s="462"/>
    </row>
    <row r="36" spans="2:20" s="164" customFormat="1" ht="36" customHeight="1" thickTop="1" x14ac:dyDescent="0.3">
      <c r="B36" s="163" t="s">
        <v>433</v>
      </c>
      <c r="C36" s="463"/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3"/>
      <c r="S36" s="463"/>
      <c r="T36" s="464"/>
    </row>
    <row r="37" spans="2:20" s="165" customFormat="1" ht="27.95" customHeight="1" x14ac:dyDescent="0.3">
      <c r="B37" s="455" t="s">
        <v>434</v>
      </c>
      <c r="C37" s="448" t="s">
        <v>442</v>
      </c>
      <c r="D37" s="449"/>
      <c r="E37" s="448" t="s">
        <v>443</v>
      </c>
      <c r="F37" s="449"/>
      <c r="G37" s="448" t="s">
        <v>522</v>
      </c>
      <c r="H37" s="449"/>
      <c r="I37" s="448" t="s">
        <v>478</v>
      </c>
      <c r="J37" s="449"/>
      <c r="K37" s="448" t="s">
        <v>659</v>
      </c>
      <c r="L37" s="449"/>
      <c r="M37" s="448"/>
      <c r="N37" s="449"/>
      <c r="O37" s="448"/>
      <c r="P37" s="449"/>
      <c r="Q37" s="448"/>
      <c r="R37" s="449"/>
      <c r="S37" s="448"/>
      <c r="T37" s="450"/>
    </row>
    <row r="38" spans="2:20" ht="27.95" customHeight="1" x14ac:dyDescent="0.3">
      <c r="B38" s="456"/>
      <c r="C38" s="166" t="s">
        <v>444</v>
      </c>
      <c r="D38" s="167" t="s">
        <v>445</v>
      </c>
      <c r="E38" s="166" t="s">
        <v>444</v>
      </c>
      <c r="F38" s="167" t="s">
        <v>445</v>
      </c>
      <c r="G38" s="166" t="s">
        <v>444</v>
      </c>
      <c r="H38" s="167" t="s">
        <v>445</v>
      </c>
      <c r="I38" s="166" t="s">
        <v>444</v>
      </c>
      <c r="J38" s="167" t="s">
        <v>445</v>
      </c>
      <c r="K38" s="166" t="s">
        <v>444</v>
      </c>
      <c r="L38" s="167" t="s">
        <v>445</v>
      </c>
      <c r="M38" s="166" t="s">
        <v>444</v>
      </c>
      <c r="N38" s="167" t="s">
        <v>445</v>
      </c>
      <c r="O38" s="166" t="s">
        <v>444</v>
      </c>
      <c r="P38" s="167" t="s">
        <v>445</v>
      </c>
      <c r="Q38" s="166" t="s">
        <v>444</v>
      </c>
      <c r="R38" s="167" t="s">
        <v>445</v>
      </c>
      <c r="S38" s="166" t="s">
        <v>446</v>
      </c>
      <c r="T38" s="168" t="s">
        <v>447</v>
      </c>
    </row>
    <row r="39" spans="2:20" ht="36" customHeight="1" x14ac:dyDescent="0.3">
      <c r="B39" s="169" t="s">
        <v>448</v>
      </c>
      <c r="C39" s="170">
        <v>57</v>
      </c>
      <c r="D39" s="171">
        <v>1624553</v>
      </c>
      <c r="E39" s="170">
        <v>60</v>
      </c>
      <c r="F39" s="171">
        <v>2002791</v>
      </c>
      <c r="G39" s="170">
        <v>70</v>
      </c>
      <c r="H39" s="171">
        <v>2021147</v>
      </c>
      <c r="I39" s="170">
        <v>52</v>
      </c>
      <c r="J39" s="171">
        <v>894900</v>
      </c>
      <c r="K39" s="170">
        <f>'1. 공급량(서부)'!G39</f>
        <v>31</v>
      </c>
      <c r="L39" s="171">
        <f>'1. 공급량(서부)'!H39</f>
        <v>403980</v>
      </c>
      <c r="M39" s="170"/>
      <c r="N39" s="171"/>
      <c r="O39" s="170"/>
      <c r="P39" s="171"/>
      <c r="Q39" s="170"/>
      <c r="R39" s="171"/>
      <c r="S39" s="170"/>
      <c r="T39" s="172"/>
    </row>
    <row r="40" spans="2:20" ht="36" customHeight="1" x14ac:dyDescent="0.3">
      <c r="B40" s="173" t="s">
        <v>449</v>
      </c>
      <c r="C40" s="174">
        <v>57</v>
      </c>
      <c r="D40" s="175">
        <v>1624610</v>
      </c>
      <c r="E40" s="174">
        <v>46</v>
      </c>
      <c r="F40" s="175">
        <v>2002851</v>
      </c>
      <c r="G40" s="174">
        <v>61</v>
      </c>
      <c r="H40" s="175">
        <v>2021217</v>
      </c>
      <c r="I40" s="174">
        <v>45</v>
      </c>
      <c r="J40" s="175">
        <v>894952</v>
      </c>
      <c r="K40" s="174">
        <f>'1. 공급량(서부)'!G40</f>
        <v>28</v>
      </c>
      <c r="L40" s="175">
        <f>'1. 공급량(서부)'!H40</f>
        <v>404011</v>
      </c>
      <c r="M40" s="174"/>
      <c r="N40" s="175"/>
      <c r="O40" s="174"/>
      <c r="P40" s="175"/>
      <c r="Q40" s="174"/>
      <c r="R40" s="175"/>
      <c r="S40" s="174"/>
      <c r="T40" s="176"/>
    </row>
    <row r="41" spans="2:20" ht="36" customHeight="1" x14ac:dyDescent="0.3">
      <c r="B41" s="173" t="s">
        <v>450</v>
      </c>
      <c r="C41" s="174">
        <v>37</v>
      </c>
      <c r="D41" s="175">
        <v>1624667</v>
      </c>
      <c r="E41" s="174">
        <v>37</v>
      </c>
      <c r="F41" s="175">
        <v>2002897</v>
      </c>
      <c r="G41" s="174">
        <v>54</v>
      </c>
      <c r="H41" s="175">
        <v>2021278</v>
      </c>
      <c r="I41" s="174">
        <v>37</v>
      </c>
      <c r="J41" s="175">
        <v>894997</v>
      </c>
      <c r="K41" s="174">
        <f>'1. 공급량(서부)'!G41</f>
        <v>24</v>
      </c>
      <c r="L41" s="175">
        <f>'1. 공급량(서부)'!H41</f>
        <v>404039</v>
      </c>
      <c r="M41" s="174"/>
      <c r="N41" s="175"/>
      <c r="O41" s="174"/>
      <c r="P41" s="175"/>
      <c r="Q41" s="174"/>
      <c r="R41" s="175"/>
      <c r="S41" s="174"/>
      <c r="T41" s="176"/>
    </row>
    <row r="42" spans="2:20" ht="36" customHeight="1" x14ac:dyDescent="0.3">
      <c r="B42" s="173" t="s">
        <v>451</v>
      </c>
      <c r="C42" s="174">
        <v>31</v>
      </c>
      <c r="D42" s="175">
        <v>1624704</v>
      </c>
      <c r="E42" s="174">
        <v>35</v>
      </c>
      <c r="F42" s="175">
        <v>2002934</v>
      </c>
      <c r="G42" s="174">
        <v>52</v>
      </c>
      <c r="H42" s="175">
        <v>2021332</v>
      </c>
      <c r="I42" s="174">
        <v>31</v>
      </c>
      <c r="J42" s="175">
        <v>895034</v>
      </c>
      <c r="K42" s="174">
        <f>'1. 공급량(서부)'!G42</f>
        <v>20</v>
      </c>
      <c r="L42" s="175">
        <f>'1. 공급량(서부)'!H42</f>
        <v>404063</v>
      </c>
      <c r="M42" s="174"/>
      <c r="N42" s="175"/>
      <c r="O42" s="174"/>
      <c r="P42" s="175"/>
      <c r="Q42" s="174"/>
      <c r="R42" s="175"/>
      <c r="S42" s="174"/>
      <c r="T42" s="176"/>
    </row>
    <row r="43" spans="2:20" ht="36" customHeight="1" x14ac:dyDescent="0.3">
      <c r="B43" s="173" t="s">
        <v>452</v>
      </c>
      <c r="C43" s="174">
        <v>33</v>
      </c>
      <c r="D43" s="175">
        <v>1624735</v>
      </c>
      <c r="E43" s="174">
        <v>34</v>
      </c>
      <c r="F43" s="175">
        <v>2002969</v>
      </c>
      <c r="G43" s="174">
        <v>49</v>
      </c>
      <c r="H43" s="175">
        <v>2021384</v>
      </c>
      <c r="I43" s="174">
        <v>29</v>
      </c>
      <c r="J43" s="175">
        <v>895065</v>
      </c>
      <c r="K43" s="174">
        <f>'1. 공급량(서부)'!G43</f>
        <v>19</v>
      </c>
      <c r="L43" s="175">
        <f>'1. 공급량(서부)'!H43</f>
        <v>404083</v>
      </c>
      <c r="M43" s="174"/>
      <c r="N43" s="175"/>
      <c r="O43" s="174"/>
      <c r="P43" s="175"/>
      <c r="Q43" s="174"/>
      <c r="R43" s="175"/>
      <c r="S43" s="174"/>
      <c r="T43" s="176"/>
    </row>
    <row r="44" spans="2:20" ht="36" customHeight="1" x14ac:dyDescent="0.3">
      <c r="B44" s="173" t="s">
        <v>453</v>
      </c>
      <c r="C44" s="174">
        <v>34</v>
      </c>
      <c r="D44" s="175">
        <v>1624768</v>
      </c>
      <c r="E44" s="174">
        <v>35</v>
      </c>
      <c r="F44" s="175">
        <v>2003003</v>
      </c>
      <c r="G44" s="174">
        <v>50</v>
      </c>
      <c r="H44" s="175">
        <v>2021433</v>
      </c>
      <c r="I44" s="174">
        <v>27</v>
      </c>
      <c r="J44" s="175">
        <v>895094</v>
      </c>
      <c r="K44" s="174">
        <f>'1. 공급량(서부)'!G44</f>
        <v>19</v>
      </c>
      <c r="L44" s="175">
        <f>'1. 공급량(서부)'!H44</f>
        <v>404102</v>
      </c>
      <c r="M44" s="174"/>
      <c r="N44" s="175"/>
      <c r="O44" s="174"/>
      <c r="P44" s="175"/>
      <c r="Q44" s="174"/>
      <c r="R44" s="175"/>
      <c r="S44" s="174"/>
      <c r="T44" s="176"/>
    </row>
    <row r="45" spans="2:20" ht="36" customHeight="1" x14ac:dyDescent="0.3">
      <c r="B45" s="173" t="s">
        <v>454</v>
      </c>
      <c r="C45" s="174">
        <v>83</v>
      </c>
      <c r="D45" s="175">
        <v>1624802</v>
      </c>
      <c r="E45" s="174">
        <v>39</v>
      </c>
      <c r="F45" s="175">
        <v>2003038</v>
      </c>
      <c r="G45" s="174">
        <v>55</v>
      </c>
      <c r="H45" s="175">
        <v>2021483</v>
      </c>
      <c r="I45" s="174">
        <v>31</v>
      </c>
      <c r="J45" s="175">
        <v>895121</v>
      </c>
      <c r="K45" s="174">
        <f>'1. 공급량(서부)'!G45</f>
        <v>18</v>
      </c>
      <c r="L45" s="175">
        <f>'1. 공급량(서부)'!H45</f>
        <v>404121</v>
      </c>
      <c r="M45" s="174"/>
      <c r="N45" s="175"/>
      <c r="O45" s="174"/>
      <c r="P45" s="175"/>
      <c r="Q45" s="174"/>
      <c r="R45" s="175"/>
      <c r="S45" s="174"/>
      <c r="T45" s="176"/>
    </row>
    <row r="46" spans="2:20" ht="36" customHeight="1" x14ac:dyDescent="0.3">
      <c r="B46" s="173" t="s">
        <v>455</v>
      </c>
      <c r="C46" s="174">
        <v>54</v>
      </c>
      <c r="D46" s="175">
        <v>1624885</v>
      </c>
      <c r="E46" s="174">
        <v>54</v>
      </c>
      <c r="F46" s="175">
        <v>2003077</v>
      </c>
      <c r="G46" s="174">
        <v>63</v>
      </c>
      <c r="H46" s="175">
        <v>2021538</v>
      </c>
      <c r="I46" s="174">
        <v>31</v>
      </c>
      <c r="J46" s="175">
        <v>895152</v>
      </c>
      <c r="K46" s="174">
        <f>'1. 공급량(서부)'!G46</f>
        <v>19</v>
      </c>
      <c r="L46" s="175">
        <f>'1. 공급량(서부)'!H46</f>
        <v>404139</v>
      </c>
      <c r="M46" s="174"/>
      <c r="N46" s="175"/>
      <c r="O46" s="174"/>
      <c r="P46" s="175"/>
      <c r="Q46" s="174"/>
      <c r="R46" s="175"/>
      <c r="S46" s="174"/>
      <c r="T46" s="176"/>
    </row>
    <row r="47" spans="2:20" ht="36" customHeight="1" x14ac:dyDescent="0.3">
      <c r="B47" s="173" t="s">
        <v>456</v>
      </c>
      <c r="C47" s="174">
        <v>55</v>
      </c>
      <c r="D47" s="175">
        <v>1624939</v>
      </c>
      <c r="E47" s="174">
        <v>76</v>
      </c>
      <c r="F47" s="175">
        <v>2003131</v>
      </c>
      <c r="G47" s="174">
        <v>82</v>
      </c>
      <c r="H47" s="175">
        <v>2021601</v>
      </c>
      <c r="I47" s="174">
        <v>40</v>
      </c>
      <c r="J47" s="175">
        <v>895183</v>
      </c>
      <c r="K47" s="174">
        <f>'1. 공급량(서부)'!G47</f>
        <v>25</v>
      </c>
      <c r="L47" s="175">
        <f>'1. 공급량(서부)'!H47</f>
        <v>404158</v>
      </c>
      <c r="M47" s="174"/>
      <c r="N47" s="175"/>
      <c r="O47" s="174"/>
      <c r="P47" s="175"/>
      <c r="Q47" s="174"/>
      <c r="R47" s="175"/>
      <c r="S47" s="174"/>
      <c r="T47" s="176"/>
    </row>
    <row r="48" spans="2:20" ht="36" customHeight="1" x14ac:dyDescent="0.3">
      <c r="B48" s="173" t="s">
        <v>457</v>
      </c>
      <c r="C48" s="174">
        <v>80</v>
      </c>
      <c r="D48" s="175">
        <v>1624994</v>
      </c>
      <c r="E48" s="174">
        <v>88</v>
      </c>
      <c r="F48" s="175">
        <v>2003207</v>
      </c>
      <c r="G48" s="174">
        <v>99</v>
      </c>
      <c r="H48" s="175">
        <v>2021683</v>
      </c>
      <c r="I48" s="174">
        <v>51</v>
      </c>
      <c r="J48" s="175">
        <v>895223</v>
      </c>
      <c r="K48" s="174">
        <f>'1. 공급량(서부)'!G48</f>
        <v>32</v>
      </c>
      <c r="L48" s="175">
        <f>'1. 공급량(서부)'!H48</f>
        <v>404183</v>
      </c>
      <c r="M48" s="174"/>
      <c r="N48" s="175"/>
      <c r="O48" s="174"/>
      <c r="P48" s="175"/>
      <c r="Q48" s="174"/>
      <c r="R48" s="175"/>
      <c r="S48" s="174"/>
      <c r="T48" s="176"/>
    </row>
    <row r="49" spans="2:20" ht="36" customHeight="1" x14ac:dyDescent="0.3">
      <c r="B49" s="173" t="s">
        <v>458</v>
      </c>
      <c r="C49" s="174">
        <v>91</v>
      </c>
      <c r="D49" s="175">
        <v>1625074</v>
      </c>
      <c r="E49" s="174">
        <v>99</v>
      </c>
      <c r="F49" s="175">
        <v>2003295</v>
      </c>
      <c r="G49" s="174">
        <v>113</v>
      </c>
      <c r="H49" s="175">
        <v>2021782</v>
      </c>
      <c r="I49" s="174">
        <v>61</v>
      </c>
      <c r="J49" s="175">
        <v>895274</v>
      </c>
      <c r="K49" s="174">
        <f>'1. 공급량(서부)'!G49</f>
        <v>42</v>
      </c>
      <c r="L49" s="175">
        <f>'1. 공급량(서부)'!H49</f>
        <v>404215</v>
      </c>
      <c r="M49" s="174"/>
      <c r="N49" s="175"/>
      <c r="O49" s="174"/>
      <c r="P49" s="175"/>
      <c r="Q49" s="174"/>
      <c r="R49" s="175"/>
      <c r="S49" s="174"/>
      <c r="T49" s="176"/>
    </row>
    <row r="50" spans="2:20" ht="36" customHeight="1" x14ac:dyDescent="0.3">
      <c r="B50" s="173" t="s">
        <v>459</v>
      </c>
      <c r="C50" s="174">
        <v>78</v>
      </c>
      <c r="D50" s="175">
        <v>1625165</v>
      </c>
      <c r="E50" s="174">
        <v>100</v>
      </c>
      <c r="F50" s="175">
        <v>2003394</v>
      </c>
      <c r="G50" s="174">
        <v>112</v>
      </c>
      <c r="H50" s="175">
        <v>2021895</v>
      </c>
      <c r="I50" s="174">
        <v>65</v>
      </c>
      <c r="J50" s="175">
        <v>895335</v>
      </c>
      <c r="K50" s="174">
        <f>'1. 공급량(서부)'!G50</f>
        <v>47</v>
      </c>
      <c r="L50" s="175">
        <f>'1. 공급량(서부)'!H50</f>
        <v>404257</v>
      </c>
      <c r="M50" s="174"/>
      <c r="N50" s="175"/>
      <c r="O50" s="174"/>
      <c r="P50" s="175"/>
      <c r="Q50" s="174"/>
      <c r="R50" s="175"/>
      <c r="S50" s="174"/>
      <c r="T50" s="176"/>
    </row>
    <row r="51" spans="2:20" ht="36" customHeight="1" x14ac:dyDescent="0.3">
      <c r="B51" s="173" t="s">
        <v>460</v>
      </c>
      <c r="C51" s="174">
        <v>69</v>
      </c>
      <c r="D51" s="175">
        <v>1625243</v>
      </c>
      <c r="E51" s="174">
        <v>97</v>
      </c>
      <c r="F51" s="175">
        <v>2003494</v>
      </c>
      <c r="G51" s="174">
        <v>114</v>
      </c>
      <c r="H51" s="175">
        <v>2022007</v>
      </c>
      <c r="I51" s="174">
        <v>69</v>
      </c>
      <c r="J51" s="175">
        <v>895400</v>
      </c>
      <c r="K51" s="174">
        <f>'1. 공급량(서부)'!G51</f>
        <v>43</v>
      </c>
      <c r="L51" s="175">
        <f>'1. 공급량(서부)'!H51</f>
        <v>404304</v>
      </c>
      <c r="M51" s="174"/>
      <c r="N51" s="175"/>
      <c r="O51" s="174"/>
      <c r="P51" s="175"/>
      <c r="Q51" s="174"/>
      <c r="R51" s="175"/>
      <c r="S51" s="174"/>
      <c r="T51" s="176"/>
    </row>
    <row r="52" spans="2:20" ht="36" customHeight="1" x14ac:dyDescent="0.3">
      <c r="B52" s="173" t="s">
        <v>461</v>
      </c>
      <c r="C52" s="174">
        <v>66</v>
      </c>
      <c r="D52" s="175">
        <v>1625312</v>
      </c>
      <c r="E52" s="174">
        <v>97</v>
      </c>
      <c r="F52" s="175">
        <v>2003591</v>
      </c>
      <c r="G52" s="174">
        <v>109</v>
      </c>
      <c r="H52" s="175">
        <v>2022121</v>
      </c>
      <c r="I52" s="174">
        <v>68</v>
      </c>
      <c r="J52" s="175">
        <v>895469</v>
      </c>
      <c r="K52" s="174">
        <f>'1. 공급량(서부)'!G52</f>
        <v>43</v>
      </c>
      <c r="L52" s="175">
        <f>'1. 공급량(서부)'!H52</f>
        <v>404347</v>
      </c>
      <c r="M52" s="174"/>
      <c r="N52" s="175"/>
      <c r="O52" s="174"/>
      <c r="P52" s="175"/>
      <c r="Q52" s="174"/>
      <c r="R52" s="175"/>
      <c r="S52" s="174"/>
      <c r="T52" s="176"/>
    </row>
    <row r="53" spans="2:20" ht="36" customHeight="1" x14ac:dyDescent="0.3">
      <c r="B53" s="173" t="s">
        <v>462</v>
      </c>
      <c r="C53" s="174">
        <v>65</v>
      </c>
      <c r="D53" s="175">
        <v>1625378</v>
      </c>
      <c r="E53" s="174">
        <v>96</v>
      </c>
      <c r="F53" s="175">
        <v>2003688</v>
      </c>
      <c r="G53" s="174">
        <v>103</v>
      </c>
      <c r="H53" s="175">
        <v>2022230</v>
      </c>
      <c r="I53" s="174">
        <v>67</v>
      </c>
      <c r="J53" s="175">
        <v>895537</v>
      </c>
      <c r="K53" s="174">
        <f>'1. 공급량(서부)'!G53</f>
        <v>40</v>
      </c>
      <c r="L53" s="175">
        <f>'1. 공급량(서부)'!H53</f>
        <v>404390</v>
      </c>
      <c r="M53" s="174"/>
      <c r="N53" s="175"/>
      <c r="O53" s="174"/>
      <c r="P53" s="175"/>
      <c r="Q53" s="174"/>
      <c r="R53" s="175"/>
      <c r="S53" s="174"/>
      <c r="T53" s="176"/>
    </row>
    <row r="54" spans="2:20" ht="36" customHeight="1" x14ac:dyDescent="0.3">
      <c r="B54" s="173" t="s">
        <v>463</v>
      </c>
      <c r="C54" s="174">
        <v>75</v>
      </c>
      <c r="D54" s="175">
        <v>1625443</v>
      </c>
      <c r="E54" s="174">
        <v>88</v>
      </c>
      <c r="F54" s="175">
        <v>2003784</v>
      </c>
      <c r="G54" s="174">
        <v>103</v>
      </c>
      <c r="H54" s="175">
        <v>2022333</v>
      </c>
      <c r="I54" s="174">
        <v>64</v>
      </c>
      <c r="J54" s="175">
        <v>895604</v>
      </c>
      <c r="K54" s="174">
        <f>'1. 공급량(서부)'!G54</f>
        <v>39</v>
      </c>
      <c r="L54" s="175">
        <f>'1. 공급량(서부)'!H54</f>
        <v>404430</v>
      </c>
      <c r="M54" s="174"/>
      <c r="N54" s="175"/>
      <c r="O54" s="174"/>
      <c r="P54" s="175"/>
      <c r="Q54" s="174"/>
      <c r="R54" s="175"/>
      <c r="S54" s="174"/>
      <c r="T54" s="176"/>
    </row>
    <row r="55" spans="2:20" ht="36" customHeight="1" x14ac:dyDescent="0.3">
      <c r="B55" s="173" t="s">
        <v>464</v>
      </c>
      <c r="C55" s="174">
        <v>72</v>
      </c>
      <c r="D55" s="175">
        <v>1625518</v>
      </c>
      <c r="E55" s="174">
        <v>88</v>
      </c>
      <c r="F55" s="175">
        <v>2003872</v>
      </c>
      <c r="G55" s="174">
        <v>105</v>
      </c>
      <c r="H55" s="175">
        <v>2022436</v>
      </c>
      <c r="I55" s="174">
        <v>63</v>
      </c>
      <c r="J55" s="175">
        <v>895668</v>
      </c>
      <c r="K55" s="174">
        <f>'1. 공급량(서부)'!G55</f>
        <v>42</v>
      </c>
      <c r="L55" s="175">
        <f>'1. 공급량(서부)'!H55</f>
        <v>404469</v>
      </c>
      <c r="M55" s="174"/>
      <c r="N55" s="175"/>
      <c r="O55" s="174"/>
      <c r="P55" s="175"/>
      <c r="Q55" s="174"/>
      <c r="R55" s="175"/>
      <c r="S55" s="174"/>
      <c r="T55" s="176"/>
    </row>
    <row r="56" spans="2:20" ht="36" customHeight="1" x14ac:dyDescent="0.3">
      <c r="B56" s="173" t="s">
        <v>465</v>
      </c>
      <c r="C56" s="174">
        <v>68</v>
      </c>
      <c r="D56" s="175">
        <v>1625590</v>
      </c>
      <c r="E56" s="174">
        <v>95</v>
      </c>
      <c r="F56" s="175">
        <v>2003960</v>
      </c>
      <c r="G56" s="174">
        <v>104</v>
      </c>
      <c r="H56" s="175">
        <v>2022541</v>
      </c>
      <c r="I56" s="174">
        <v>65</v>
      </c>
      <c r="J56" s="175">
        <v>895731</v>
      </c>
      <c r="K56" s="174">
        <f>'1. 공급량(서부)'!G56</f>
        <v>53</v>
      </c>
      <c r="L56" s="175">
        <f>'1. 공급량(서부)'!H56</f>
        <v>404511</v>
      </c>
      <c r="M56" s="174"/>
      <c r="N56" s="175"/>
      <c r="O56" s="174"/>
      <c r="P56" s="175"/>
      <c r="Q56" s="174"/>
      <c r="R56" s="175"/>
      <c r="S56" s="174"/>
      <c r="T56" s="176"/>
    </row>
    <row r="57" spans="2:20" ht="36" customHeight="1" x14ac:dyDescent="0.3">
      <c r="B57" s="173" t="s">
        <v>466</v>
      </c>
      <c r="C57" s="174">
        <v>86</v>
      </c>
      <c r="D57" s="175">
        <v>1625658</v>
      </c>
      <c r="E57" s="174">
        <v>100</v>
      </c>
      <c r="F57" s="175">
        <v>2004055</v>
      </c>
      <c r="G57" s="174">
        <v>104</v>
      </c>
      <c r="H57" s="175">
        <v>2022645</v>
      </c>
      <c r="I57" s="174">
        <v>75</v>
      </c>
      <c r="J57" s="175">
        <v>895796</v>
      </c>
      <c r="K57" s="174">
        <f>'1. 공급량(서부)'!G57</f>
        <v>50</v>
      </c>
      <c r="L57" s="175">
        <f>'1. 공급량(서부)'!H57</f>
        <v>404564</v>
      </c>
      <c r="M57" s="174"/>
      <c r="N57" s="175"/>
      <c r="O57" s="174"/>
      <c r="P57" s="175"/>
      <c r="Q57" s="174"/>
      <c r="R57" s="175"/>
      <c r="S57" s="174"/>
      <c r="T57" s="176"/>
    </row>
    <row r="58" spans="2:20" ht="36" customHeight="1" x14ac:dyDescent="0.3">
      <c r="B58" s="173" t="s">
        <v>467</v>
      </c>
      <c r="C58" s="174">
        <v>94</v>
      </c>
      <c r="D58" s="175">
        <v>1625744</v>
      </c>
      <c r="E58" s="174">
        <v>106</v>
      </c>
      <c r="F58" s="175">
        <v>2004155</v>
      </c>
      <c r="G58" s="174">
        <v>107</v>
      </c>
      <c r="H58" s="175">
        <v>2022749</v>
      </c>
      <c r="I58" s="174">
        <v>75</v>
      </c>
      <c r="J58" s="175">
        <v>895871</v>
      </c>
      <c r="K58" s="174">
        <f>'1. 공급량(서부)'!G58</f>
        <v>46</v>
      </c>
      <c r="L58" s="175">
        <f>'1. 공급량(서부)'!H58</f>
        <v>404614</v>
      </c>
      <c r="M58" s="174"/>
      <c r="N58" s="175"/>
      <c r="O58" s="174"/>
      <c r="P58" s="175"/>
      <c r="Q58" s="174"/>
      <c r="R58" s="175"/>
      <c r="S58" s="174"/>
      <c r="T58" s="176"/>
    </row>
    <row r="59" spans="2:20" ht="36" customHeight="1" x14ac:dyDescent="0.3">
      <c r="B59" s="173" t="s">
        <v>468</v>
      </c>
      <c r="C59" s="174">
        <v>101</v>
      </c>
      <c r="D59" s="175">
        <v>1625838</v>
      </c>
      <c r="E59" s="174">
        <v>97</v>
      </c>
      <c r="F59" s="175">
        <v>2004261</v>
      </c>
      <c r="G59" s="174">
        <v>98</v>
      </c>
      <c r="H59" s="175">
        <v>2022856</v>
      </c>
      <c r="I59" s="174">
        <v>72</v>
      </c>
      <c r="J59" s="175">
        <v>895946</v>
      </c>
      <c r="K59" s="174">
        <f>'1. 공급량(서부)'!G59</f>
        <v>48</v>
      </c>
      <c r="L59" s="175">
        <f>'1. 공급량(서부)'!H59</f>
        <v>404660</v>
      </c>
      <c r="M59" s="174"/>
      <c r="N59" s="175"/>
      <c r="O59" s="174"/>
      <c r="P59" s="175"/>
      <c r="Q59" s="174"/>
      <c r="R59" s="175"/>
      <c r="S59" s="174"/>
      <c r="T59" s="176"/>
    </row>
    <row r="60" spans="2:20" ht="36" customHeight="1" x14ac:dyDescent="0.3">
      <c r="B60" s="173" t="s">
        <v>469</v>
      </c>
      <c r="C60" s="174">
        <v>126</v>
      </c>
      <c r="D60" s="175">
        <v>1625939</v>
      </c>
      <c r="E60" s="174">
        <v>97</v>
      </c>
      <c r="F60" s="175">
        <v>2004358</v>
      </c>
      <c r="G60" s="174">
        <v>93</v>
      </c>
      <c r="H60" s="175">
        <v>2022954</v>
      </c>
      <c r="I60" s="174">
        <v>69</v>
      </c>
      <c r="J60" s="175">
        <v>896018</v>
      </c>
      <c r="K60" s="174">
        <f>'1. 공급량(서부)'!G60</f>
        <v>48</v>
      </c>
      <c r="L60" s="175">
        <f>'1. 공급량(서부)'!H60</f>
        <v>404708</v>
      </c>
      <c r="M60" s="174"/>
      <c r="N60" s="175"/>
      <c r="O60" s="174"/>
      <c r="P60" s="175"/>
      <c r="Q60" s="174"/>
      <c r="R60" s="175"/>
      <c r="S60" s="174"/>
      <c r="T60" s="176"/>
    </row>
    <row r="61" spans="2:20" ht="36" customHeight="1" x14ac:dyDescent="0.3">
      <c r="B61" s="173" t="s">
        <v>470</v>
      </c>
      <c r="C61" s="174">
        <v>81</v>
      </c>
      <c r="D61" s="175">
        <v>1626065</v>
      </c>
      <c r="E61" s="174">
        <v>81</v>
      </c>
      <c r="F61" s="175">
        <v>2004455</v>
      </c>
      <c r="G61" s="174">
        <v>87</v>
      </c>
      <c r="H61" s="175">
        <v>2023047</v>
      </c>
      <c r="I61" s="174">
        <v>67</v>
      </c>
      <c r="J61" s="175">
        <v>896087</v>
      </c>
      <c r="K61" s="174">
        <f>'1. 공급량(서부)'!G61</f>
        <v>45</v>
      </c>
      <c r="L61" s="175">
        <f>'1. 공급량(서부)'!H61</f>
        <v>404756</v>
      </c>
      <c r="M61" s="174"/>
      <c r="N61" s="175"/>
      <c r="O61" s="174"/>
      <c r="P61" s="175"/>
      <c r="Q61" s="174"/>
      <c r="R61" s="175"/>
      <c r="S61" s="174"/>
      <c r="T61" s="176"/>
    </row>
    <row r="62" spans="2:20" ht="36" customHeight="1" thickBot="1" x14ac:dyDescent="0.35">
      <c r="B62" s="177" t="s">
        <v>471</v>
      </c>
      <c r="C62" s="178">
        <v>71</v>
      </c>
      <c r="D62" s="179">
        <v>1626146</v>
      </c>
      <c r="E62" s="178">
        <v>71</v>
      </c>
      <c r="F62" s="179">
        <v>2004536</v>
      </c>
      <c r="G62" s="178">
        <v>78</v>
      </c>
      <c r="H62" s="179">
        <v>2023134</v>
      </c>
      <c r="I62" s="178">
        <v>61</v>
      </c>
      <c r="J62" s="179">
        <v>896154</v>
      </c>
      <c r="K62" s="178">
        <f>'1. 공급량(서부)'!G62</f>
        <v>41</v>
      </c>
      <c r="L62" s="179">
        <f>'1. 공급량(서부)'!H62</f>
        <v>404801</v>
      </c>
      <c r="M62" s="178"/>
      <c r="N62" s="179"/>
      <c r="O62" s="178"/>
      <c r="P62" s="179"/>
      <c r="Q62" s="178"/>
      <c r="R62" s="179"/>
      <c r="S62" s="178"/>
      <c r="T62" s="180"/>
    </row>
    <row r="63" spans="2:20" ht="36" customHeight="1" thickTop="1" x14ac:dyDescent="0.3">
      <c r="B63" s="181" t="s">
        <v>472</v>
      </c>
      <c r="C63" s="182">
        <f t="shared" ref="C63:T63" si="2">MIN(C39:C62)</f>
        <v>31</v>
      </c>
      <c r="D63" s="182">
        <f t="shared" si="2"/>
        <v>1624553</v>
      </c>
      <c r="E63" s="182">
        <f t="shared" si="2"/>
        <v>34</v>
      </c>
      <c r="F63" s="182">
        <f t="shared" si="2"/>
        <v>2002791</v>
      </c>
      <c r="G63" s="182">
        <f t="shared" si="2"/>
        <v>49</v>
      </c>
      <c r="H63" s="182">
        <f t="shared" si="2"/>
        <v>2021147</v>
      </c>
      <c r="I63" s="182">
        <f t="shared" si="2"/>
        <v>27</v>
      </c>
      <c r="J63" s="182">
        <f t="shared" si="2"/>
        <v>894900</v>
      </c>
      <c r="K63" s="182">
        <f t="shared" si="2"/>
        <v>18</v>
      </c>
      <c r="L63" s="182">
        <f t="shared" si="2"/>
        <v>403980</v>
      </c>
      <c r="M63" s="182">
        <f t="shared" si="2"/>
        <v>0</v>
      </c>
      <c r="N63" s="182">
        <f t="shared" si="2"/>
        <v>0</v>
      </c>
      <c r="O63" s="182">
        <f t="shared" si="2"/>
        <v>0</v>
      </c>
      <c r="P63" s="182">
        <f t="shared" si="2"/>
        <v>0</v>
      </c>
      <c r="Q63" s="182">
        <f t="shared" si="2"/>
        <v>0</v>
      </c>
      <c r="R63" s="182">
        <f t="shared" si="2"/>
        <v>0</v>
      </c>
      <c r="S63" s="182">
        <f t="shared" si="2"/>
        <v>0</v>
      </c>
      <c r="T63" s="183">
        <f t="shared" si="2"/>
        <v>0</v>
      </c>
    </row>
    <row r="64" spans="2:20" ht="36" customHeight="1" x14ac:dyDescent="0.3">
      <c r="B64" s="173" t="s">
        <v>473</v>
      </c>
      <c r="C64" s="182">
        <f t="shared" ref="C64:T64" si="3">MAX(C39:C62)</f>
        <v>126</v>
      </c>
      <c r="D64" s="182">
        <f t="shared" si="3"/>
        <v>1626146</v>
      </c>
      <c r="E64" s="182">
        <f t="shared" si="3"/>
        <v>106</v>
      </c>
      <c r="F64" s="182">
        <f t="shared" si="3"/>
        <v>2004536</v>
      </c>
      <c r="G64" s="182">
        <f t="shared" si="3"/>
        <v>114</v>
      </c>
      <c r="H64" s="182">
        <f t="shared" si="3"/>
        <v>2023134</v>
      </c>
      <c r="I64" s="182">
        <f t="shared" si="3"/>
        <v>75</v>
      </c>
      <c r="J64" s="182">
        <f t="shared" si="3"/>
        <v>896154</v>
      </c>
      <c r="K64" s="182">
        <f t="shared" si="3"/>
        <v>53</v>
      </c>
      <c r="L64" s="182">
        <f t="shared" si="3"/>
        <v>404801</v>
      </c>
      <c r="M64" s="182">
        <f t="shared" si="3"/>
        <v>0</v>
      </c>
      <c r="N64" s="182">
        <f t="shared" si="3"/>
        <v>0</v>
      </c>
      <c r="O64" s="182">
        <f t="shared" si="3"/>
        <v>0</v>
      </c>
      <c r="P64" s="182">
        <f t="shared" si="3"/>
        <v>0</v>
      </c>
      <c r="Q64" s="182">
        <f t="shared" si="3"/>
        <v>0</v>
      </c>
      <c r="R64" s="182">
        <f t="shared" si="3"/>
        <v>0</v>
      </c>
      <c r="S64" s="182">
        <f t="shared" si="3"/>
        <v>0</v>
      </c>
      <c r="T64" s="183">
        <f t="shared" si="3"/>
        <v>0</v>
      </c>
    </row>
    <row r="65" spans="1:21" ht="36" customHeight="1" x14ac:dyDescent="0.3">
      <c r="B65" s="173" t="s">
        <v>474</v>
      </c>
      <c r="C65" s="182">
        <f>AVERAGE(C39:C62)</f>
        <v>69.333333333333329</v>
      </c>
      <c r="D65" s="184"/>
      <c r="E65" s="182">
        <f>AVERAGE(E39:E62)</f>
        <v>75.666666666666671</v>
      </c>
      <c r="F65" s="184"/>
      <c r="G65" s="182">
        <f>AVERAGE(G39:G62)</f>
        <v>86.041666666666671</v>
      </c>
      <c r="H65" s="184"/>
      <c r="I65" s="182">
        <f>AVERAGE(I39:I62)</f>
        <v>54.791666666666664</v>
      </c>
      <c r="J65" s="184"/>
      <c r="K65" s="182">
        <f>AVERAGE(K39:K62)</f>
        <v>35.916666666666664</v>
      </c>
      <c r="L65" s="184"/>
      <c r="M65" s="182" t="e">
        <f>AVERAGE(M39:M62)</f>
        <v>#DIV/0!</v>
      </c>
      <c r="N65" s="184"/>
      <c r="O65" s="182" t="e">
        <f>AVERAGE(O39:O62)</f>
        <v>#DIV/0!</v>
      </c>
      <c r="P65" s="184"/>
      <c r="Q65" s="182" t="e">
        <f>AVERAGE(Q39:Q62)</f>
        <v>#DIV/0!</v>
      </c>
      <c r="R65" s="184"/>
      <c r="S65" s="182" t="e">
        <f>AVERAGE(S39:S62)</f>
        <v>#DIV/0!</v>
      </c>
      <c r="T65" s="185"/>
    </row>
    <row r="66" spans="1:21" ht="36" customHeight="1" thickBot="1" x14ac:dyDescent="0.35">
      <c r="B66" s="186" t="s">
        <v>475</v>
      </c>
      <c r="C66" s="187">
        <f>SUM(C39:C62)</f>
        <v>1664</v>
      </c>
      <c r="D66" s="188"/>
      <c r="E66" s="187">
        <f>SUM(E39:E62)</f>
        <v>1816</v>
      </c>
      <c r="F66" s="188"/>
      <c r="G66" s="187">
        <f>SUM(G39:G62)</f>
        <v>2065</v>
      </c>
      <c r="H66" s="188"/>
      <c r="I66" s="187">
        <f>SUM(I39:I62)</f>
        <v>1315</v>
      </c>
      <c r="J66" s="188"/>
      <c r="K66" s="187">
        <f>SUM(K39:K62)</f>
        <v>862</v>
      </c>
      <c r="L66" s="188"/>
      <c r="M66" s="187">
        <f>SUM(M39:M62)</f>
        <v>0</v>
      </c>
      <c r="N66" s="188"/>
      <c r="O66" s="187">
        <f>SUM(O39:O62)</f>
        <v>0</v>
      </c>
      <c r="P66" s="188"/>
      <c r="Q66" s="187">
        <f>SUM(Q39:Q62)</f>
        <v>0</v>
      </c>
      <c r="R66" s="188"/>
      <c r="S66" s="187">
        <f>SUM(S39:S62)</f>
        <v>0</v>
      </c>
      <c r="T66" s="189"/>
    </row>
    <row r="67" spans="1:21" ht="9.9499999999999993" customHeight="1" thickBot="1" x14ac:dyDescent="0.35"/>
    <row r="68" spans="1:21" ht="51.95" customHeight="1" thickBot="1" x14ac:dyDescent="0.35">
      <c r="A68" s="162"/>
      <c r="B68" s="457" t="s">
        <v>476</v>
      </c>
      <c r="C68" s="458"/>
      <c r="D68" s="458"/>
      <c r="E68" s="458"/>
      <c r="F68" s="458"/>
      <c r="G68" s="458"/>
      <c r="H68" s="458"/>
      <c r="I68" s="458"/>
      <c r="J68" s="458"/>
      <c r="K68" s="458"/>
      <c r="L68" s="458"/>
      <c r="M68" s="458"/>
      <c r="N68" s="458"/>
      <c r="O68" s="458"/>
      <c r="P68" s="458"/>
      <c r="Q68" s="458"/>
      <c r="R68" s="458"/>
      <c r="S68" s="458"/>
      <c r="T68" s="459"/>
      <c r="U68" s="162"/>
    </row>
    <row r="69" spans="1:21" ht="36" customHeight="1" thickTop="1" x14ac:dyDescent="0.3">
      <c r="A69" s="164"/>
      <c r="B69" s="191" t="s">
        <v>433</v>
      </c>
      <c r="C69" s="453" t="str">
        <f>C3</f>
        <v>2025년12월28일  일요일</v>
      </c>
      <c r="D69" s="453"/>
      <c r="E69" s="453"/>
      <c r="F69" s="453"/>
      <c r="G69" s="453"/>
      <c r="H69" s="453"/>
      <c r="I69" s="453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4"/>
      <c r="U69" s="164"/>
    </row>
    <row r="70" spans="1:21" ht="27.95" customHeight="1" x14ac:dyDescent="0.3">
      <c r="A70" s="165"/>
      <c r="B70" s="451" t="s">
        <v>434</v>
      </c>
      <c r="C70" s="448" t="s">
        <v>523</v>
      </c>
      <c r="D70" s="449"/>
      <c r="E70" s="448" t="s">
        <v>489</v>
      </c>
      <c r="F70" s="449"/>
      <c r="G70" s="448" t="s">
        <v>490</v>
      </c>
      <c r="H70" s="449"/>
      <c r="I70" s="448" t="s">
        <v>491</v>
      </c>
      <c r="J70" s="449"/>
      <c r="K70" s="448" t="s">
        <v>492</v>
      </c>
      <c r="L70" s="449"/>
      <c r="M70" s="448" t="s">
        <v>493</v>
      </c>
      <c r="N70" s="449"/>
      <c r="O70" s="448" t="s">
        <v>494</v>
      </c>
      <c r="P70" s="449"/>
      <c r="Q70" s="448" t="s">
        <v>495</v>
      </c>
      <c r="R70" s="449"/>
      <c r="S70" s="448" t="s">
        <v>497</v>
      </c>
      <c r="T70" s="450"/>
      <c r="U70" s="165"/>
    </row>
    <row r="71" spans="1:21" ht="27.95" customHeight="1" x14ac:dyDescent="0.3">
      <c r="B71" s="452"/>
      <c r="C71" s="166" t="s">
        <v>444</v>
      </c>
      <c r="D71" s="167" t="s">
        <v>445</v>
      </c>
      <c r="E71" s="166" t="s">
        <v>444</v>
      </c>
      <c r="F71" s="167" t="s">
        <v>445</v>
      </c>
      <c r="G71" s="166" t="s">
        <v>444</v>
      </c>
      <c r="H71" s="167" t="s">
        <v>445</v>
      </c>
      <c r="I71" s="166" t="s">
        <v>444</v>
      </c>
      <c r="J71" s="167" t="s">
        <v>445</v>
      </c>
      <c r="K71" s="166" t="s">
        <v>444</v>
      </c>
      <c r="L71" s="167" t="s">
        <v>445</v>
      </c>
      <c r="M71" s="166" t="s">
        <v>444</v>
      </c>
      <c r="N71" s="167" t="s">
        <v>445</v>
      </c>
      <c r="O71" s="166" t="s">
        <v>444</v>
      </c>
      <c r="P71" s="167" t="s">
        <v>445</v>
      </c>
      <c r="Q71" s="166" t="s">
        <v>444</v>
      </c>
      <c r="R71" s="167" t="s">
        <v>445</v>
      </c>
      <c r="S71" s="166" t="s">
        <v>446</v>
      </c>
      <c r="T71" s="168" t="s">
        <v>447</v>
      </c>
    </row>
    <row r="72" spans="1:21" ht="36" customHeight="1" x14ac:dyDescent="0.3">
      <c r="B72" s="169" t="s">
        <v>448</v>
      </c>
      <c r="C72" s="170">
        <v>224</v>
      </c>
      <c r="D72" s="171">
        <v>4770252</v>
      </c>
      <c r="E72" s="170">
        <v>68</v>
      </c>
      <c r="F72" s="171">
        <v>1047587</v>
      </c>
      <c r="G72" s="170">
        <v>26</v>
      </c>
      <c r="H72" s="171">
        <v>559039</v>
      </c>
      <c r="I72" s="170">
        <v>47</v>
      </c>
      <c r="J72" s="171">
        <v>1373158</v>
      </c>
      <c r="K72" s="170">
        <v>101</v>
      </c>
      <c r="L72" s="171">
        <v>2222605</v>
      </c>
      <c r="M72" s="170">
        <v>135</v>
      </c>
      <c r="N72" s="171">
        <v>3754044</v>
      </c>
      <c r="O72" s="170">
        <v>111</v>
      </c>
      <c r="P72" s="171">
        <v>2907713</v>
      </c>
      <c r="Q72" s="170">
        <v>66</v>
      </c>
      <c r="R72" s="171">
        <v>1270164</v>
      </c>
      <c r="S72" s="170">
        <v>48</v>
      </c>
      <c r="T72" s="172">
        <v>1338171</v>
      </c>
    </row>
    <row r="73" spans="1:21" ht="36" customHeight="1" x14ac:dyDescent="0.3">
      <c r="B73" s="173" t="s">
        <v>449</v>
      </c>
      <c r="C73" s="174">
        <v>200</v>
      </c>
      <c r="D73" s="175">
        <v>4770476</v>
      </c>
      <c r="E73" s="174">
        <v>60</v>
      </c>
      <c r="F73" s="175">
        <v>1047655</v>
      </c>
      <c r="G73" s="174">
        <v>24</v>
      </c>
      <c r="H73" s="175">
        <v>559065</v>
      </c>
      <c r="I73" s="174">
        <v>40</v>
      </c>
      <c r="J73" s="175">
        <v>1373205</v>
      </c>
      <c r="K73" s="174">
        <v>95</v>
      </c>
      <c r="L73" s="175">
        <v>2222706</v>
      </c>
      <c r="M73" s="174">
        <v>122</v>
      </c>
      <c r="N73" s="175">
        <v>3754179</v>
      </c>
      <c r="O73" s="174">
        <v>94</v>
      </c>
      <c r="P73" s="175">
        <v>2907824</v>
      </c>
      <c r="Q73" s="174">
        <v>58</v>
      </c>
      <c r="R73" s="175">
        <v>1270230</v>
      </c>
      <c r="S73" s="174">
        <v>45</v>
      </c>
      <c r="T73" s="176">
        <v>1338219</v>
      </c>
    </row>
    <row r="74" spans="1:21" ht="36" customHeight="1" x14ac:dyDescent="0.3">
      <c r="B74" s="173" t="s">
        <v>450</v>
      </c>
      <c r="C74" s="174">
        <v>141</v>
      </c>
      <c r="D74" s="175">
        <v>4770676</v>
      </c>
      <c r="E74" s="174">
        <v>55</v>
      </c>
      <c r="F74" s="175">
        <v>1047715</v>
      </c>
      <c r="G74" s="174">
        <v>22</v>
      </c>
      <c r="H74" s="175">
        <v>559089</v>
      </c>
      <c r="I74" s="174">
        <v>35</v>
      </c>
      <c r="J74" s="175">
        <v>1373245</v>
      </c>
      <c r="K74" s="174">
        <v>88</v>
      </c>
      <c r="L74" s="175">
        <v>2222801</v>
      </c>
      <c r="M74" s="174">
        <v>112</v>
      </c>
      <c r="N74" s="175">
        <v>3754301</v>
      </c>
      <c r="O74" s="174">
        <v>82</v>
      </c>
      <c r="P74" s="175">
        <v>2907918</v>
      </c>
      <c r="Q74" s="174">
        <v>53</v>
      </c>
      <c r="R74" s="175">
        <v>1270288</v>
      </c>
      <c r="S74" s="174">
        <v>41</v>
      </c>
      <c r="T74" s="176">
        <v>1338264</v>
      </c>
    </row>
    <row r="75" spans="1:21" ht="36" customHeight="1" x14ac:dyDescent="0.3">
      <c r="B75" s="173" t="s">
        <v>451</v>
      </c>
      <c r="C75" s="174">
        <v>168</v>
      </c>
      <c r="D75" s="175">
        <v>4770817</v>
      </c>
      <c r="E75" s="174">
        <v>53</v>
      </c>
      <c r="F75" s="175">
        <v>1047770</v>
      </c>
      <c r="G75" s="174">
        <v>20</v>
      </c>
      <c r="H75" s="175">
        <v>559111</v>
      </c>
      <c r="I75" s="174">
        <v>32</v>
      </c>
      <c r="J75" s="175">
        <v>1373280</v>
      </c>
      <c r="K75" s="174">
        <v>83</v>
      </c>
      <c r="L75" s="175">
        <v>2222889</v>
      </c>
      <c r="M75" s="174">
        <v>105</v>
      </c>
      <c r="N75" s="175">
        <v>3754413</v>
      </c>
      <c r="O75" s="174">
        <v>73</v>
      </c>
      <c r="P75" s="175">
        <v>2908000</v>
      </c>
      <c r="Q75" s="174">
        <v>46</v>
      </c>
      <c r="R75" s="175">
        <v>1270341</v>
      </c>
      <c r="S75" s="174">
        <v>40</v>
      </c>
      <c r="T75" s="176">
        <v>1338305</v>
      </c>
    </row>
    <row r="76" spans="1:21" ht="36" customHeight="1" x14ac:dyDescent="0.3">
      <c r="B76" s="173" t="s">
        <v>452</v>
      </c>
      <c r="C76" s="174">
        <v>138</v>
      </c>
      <c r="D76" s="175">
        <v>4770985</v>
      </c>
      <c r="E76" s="174">
        <v>51</v>
      </c>
      <c r="F76" s="175">
        <v>1047823</v>
      </c>
      <c r="G76" s="174">
        <v>21</v>
      </c>
      <c r="H76" s="175">
        <v>559131</v>
      </c>
      <c r="I76" s="174">
        <v>31</v>
      </c>
      <c r="J76" s="175">
        <v>1373312</v>
      </c>
      <c r="K76" s="174">
        <v>81</v>
      </c>
      <c r="L76" s="175">
        <v>2222972</v>
      </c>
      <c r="M76" s="174">
        <v>103</v>
      </c>
      <c r="N76" s="175">
        <v>3754518</v>
      </c>
      <c r="O76" s="174">
        <v>67</v>
      </c>
      <c r="P76" s="175">
        <v>2908073</v>
      </c>
      <c r="Q76" s="174">
        <v>42</v>
      </c>
      <c r="R76" s="175">
        <v>1270387</v>
      </c>
      <c r="S76" s="174">
        <v>40</v>
      </c>
      <c r="T76" s="176">
        <v>1338345</v>
      </c>
    </row>
    <row r="77" spans="1:21" ht="36" customHeight="1" x14ac:dyDescent="0.3">
      <c r="B77" s="173" t="s">
        <v>453</v>
      </c>
      <c r="C77" s="174">
        <v>110</v>
      </c>
      <c r="D77" s="175">
        <v>4771123</v>
      </c>
      <c r="E77" s="174">
        <v>53</v>
      </c>
      <c r="F77" s="175">
        <v>1047874</v>
      </c>
      <c r="G77" s="174">
        <v>21</v>
      </c>
      <c r="H77" s="175">
        <v>559152</v>
      </c>
      <c r="I77" s="174">
        <v>32</v>
      </c>
      <c r="J77" s="175">
        <v>1373343</v>
      </c>
      <c r="K77" s="174">
        <v>79</v>
      </c>
      <c r="L77" s="175">
        <v>2223053</v>
      </c>
      <c r="M77" s="174">
        <v>115</v>
      </c>
      <c r="N77" s="175">
        <v>3754621</v>
      </c>
      <c r="O77" s="174">
        <v>69</v>
      </c>
      <c r="P77" s="175">
        <v>2908140</v>
      </c>
      <c r="Q77" s="174">
        <v>42</v>
      </c>
      <c r="R77" s="175">
        <v>1270429</v>
      </c>
      <c r="S77" s="174">
        <v>41</v>
      </c>
      <c r="T77" s="176">
        <v>1338385</v>
      </c>
    </row>
    <row r="78" spans="1:21" ht="36" customHeight="1" x14ac:dyDescent="0.3">
      <c r="B78" s="173" t="s">
        <v>454</v>
      </c>
      <c r="C78" s="174">
        <v>119</v>
      </c>
      <c r="D78" s="175">
        <v>4771233</v>
      </c>
      <c r="E78" s="174">
        <v>60</v>
      </c>
      <c r="F78" s="175">
        <v>1047927</v>
      </c>
      <c r="G78" s="174">
        <v>23</v>
      </c>
      <c r="H78" s="175">
        <v>559173</v>
      </c>
      <c r="I78" s="174">
        <v>35</v>
      </c>
      <c r="J78" s="175">
        <v>1373375</v>
      </c>
      <c r="K78" s="174">
        <v>84</v>
      </c>
      <c r="L78" s="175">
        <v>2223132</v>
      </c>
      <c r="M78" s="174">
        <v>148</v>
      </c>
      <c r="N78" s="175">
        <v>3754736</v>
      </c>
      <c r="O78" s="174">
        <v>77</v>
      </c>
      <c r="P78" s="175">
        <v>2908209</v>
      </c>
      <c r="Q78" s="174">
        <v>42</v>
      </c>
      <c r="R78" s="175">
        <v>1270471</v>
      </c>
      <c r="S78" s="174">
        <v>46</v>
      </c>
      <c r="T78" s="176">
        <v>1338426</v>
      </c>
    </row>
    <row r="79" spans="1:21" ht="36" customHeight="1" x14ac:dyDescent="0.3">
      <c r="B79" s="173" t="s">
        <v>455</v>
      </c>
      <c r="C79" s="174">
        <v>139</v>
      </c>
      <c r="D79" s="175">
        <v>4771352</v>
      </c>
      <c r="E79" s="174">
        <v>70</v>
      </c>
      <c r="F79" s="175">
        <v>1047987</v>
      </c>
      <c r="G79" s="174">
        <v>25</v>
      </c>
      <c r="H79" s="175">
        <v>559196</v>
      </c>
      <c r="I79" s="174">
        <v>44</v>
      </c>
      <c r="J79" s="175">
        <v>1373410</v>
      </c>
      <c r="K79" s="174">
        <v>92</v>
      </c>
      <c r="L79" s="175">
        <v>2223216</v>
      </c>
      <c r="M79" s="174">
        <v>171</v>
      </c>
      <c r="N79" s="175">
        <v>3754884</v>
      </c>
      <c r="O79" s="174">
        <v>84</v>
      </c>
      <c r="P79" s="175">
        <v>2908286</v>
      </c>
      <c r="Q79" s="174">
        <v>44</v>
      </c>
      <c r="R79" s="175">
        <v>1270513</v>
      </c>
      <c r="S79" s="174">
        <v>53</v>
      </c>
      <c r="T79" s="176">
        <v>1338472</v>
      </c>
    </row>
    <row r="80" spans="1:21" ht="36" customHeight="1" x14ac:dyDescent="0.3">
      <c r="B80" s="173" t="s">
        <v>456</v>
      </c>
      <c r="C80" s="174">
        <v>172</v>
      </c>
      <c r="D80" s="175">
        <v>4771491</v>
      </c>
      <c r="E80" s="174">
        <v>85</v>
      </c>
      <c r="F80" s="175">
        <v>1048057</v>
      </c>
      <c r="G80" s="174">
        <v>31</v>
      </c>
      <c r="H80" s="175">
        <v>559221</v>
      </c>
      <c r="I80" s="174">
        <v>57</v>
      </c>
      <c r="J80" s="175">
        <v>1373454</v>
      </c>
      <c r="K80" s="174">
        <v>113</v>
      </c>
      <c r="L80" s="175">
        <v>2223308</v>
      </c>
      <c r="M80" s="174">
        <v>200</v>
      </c>
      <c r="N80" s="175">
        <v>3755055</v>
      </c>
      <c r="O80" s="174">
        <v>110</v>
      </c>
      <c r="P80" s="175">
        <v>2908370</v>
      </c>
      <c r="Q80" s="174">
        <v>53</v>
      </c>
      <c r="R80" s="175">
        <v>1270557</v>
      </c>
      <c r="S80" s="174">
        <v>78</v>
      </c>
      <c r="T80" s="176">
        <v>1338525</v>
      </c>
    </row>
    <row r="81" spans="2:20" ht="36" customHeight="1" x14ac:dyDescent="0.3">
      <c r="B81" s="173" t="s">
        <v>457</v>
      </c>
      <c r="C81" s="174">
        <v>214</v>
      </c>
      <c r="D81" s="175">
        <v>4771663</v>
      </c>
      <c r="E81" s="174">
        <v>101</v>
      </c>
      <c r="F81" s="175">
        <v>1048142</v>
      </c>
      <c r="G81" s="174">
        <v>37</v>
      </c>
      <c r="H81" s="175">
        <v>559252</v>
      </c>
      <c r="I81" s="174">
        <v>74</v>
      </c>
      <c r="J81" s="175">
        <v>1373511</v>
      </c>
      <c r="K81" s="174">
        <v>124</v>
      </c>
      <c r="L81" s="175">
        <v>2223421</v>
      </c>
      <c r="M81" s="174">
        <v>397</v>
      </c>
      <c r="N81" s="175">
        <v>3755255</v>
      </c>
      <c r="O81" s="174">
        <v>126</v>
      </c>
      <c r="P81" s="175">
        <v>2908480</v>
      </c>
      <c r="Q81" s="174">
        <v>69</v>
      </c>
      <c r="R81" s="175">
        <v>1270610</v>
      </c>
      <c r="S81" s="174">
        <v>95</v>
      </c>
      <c r="T81" s="176">
        <v>1338603</v>
      </c>
    </row>
    <row r="82" spans="2:20" ht="36" customHeight="1" x14ac:dyDescent="0.3">
      <c r="B82" s="173" t="s">
        <v>458</v>
      </c>
      <c r="C82" s="174">
        <v>242</v>
      </c>
      <c r="D82" s="175">
        <v>4771877</v>
      </c>
      <c r="E82" s="174">
        <v>107</v>
      </c>
      <c r="F82" s="175">
        <v>1048243</v>
      </c>
      <c r="G82" s="174">
        <v>40</v>
      </c>
      <c r="H82" s="175">
        <v>559289</v>
      </c>
      <c r="I82" s="174">
        <v>81</v>
      </c>
      <c r="J82" s="175">
        <v>1373585</v>
      </c>
      <c r="K82" s="174">
        <v>130</v>
      </c>
      <c r="L82" s="175">
        <v>2223545</v>
      </c>
      <c r="M82" s="174">
        <v>268</v>
      </c>
      <c r="N82" s="175">
        <v>3755652</v>
      </c>
      <c r="O82" s="174">
        <v>171</v>
      </c>
      <c r="P82" s="175">
        <v>2908606</v>
      </c>
      <c r="Q82" s="174">
        <v>79</v>
      </c>
      <c r="R82" s="175">
        <v>1270679</v>
      </c>
      <c r="S82" s="174">
        <v>99</v>
      </c>
      <c r="T82" s="176">
        <v>1338698</v>
      </c>
    </row>
    <row r="83" spans="2:20" ht="36" customHeight="1" x14ac:dyDescent="0.3">
      <c r="B83" s="173" t="s">
        <v>459</v>
      </c>
      <c r="C83" s="174">
        <v>249</v>
      </c>
      <c r="D83" s="175">
        <v>4772119</v>
      </c>
      <c r="E83" s="174">
        <v>108</v>
      </c>
      <c r="F83" s="175">
        <v>1048350</v>
      </c>
      <c r="G83" s="174">
        <v>38</v>
      </c>
      <c r="H83" s="175">
        <v>559329</v>
      </c>
      <c r="I83" s="174">
        <v>126</v>
      </c>
      <c r="J83" s="175">
        <v>1373666</v>
      </c>
      <c r="K83" s="174">
        <v>124</v>
      </c>
      <c r="L83" s="175">
        <v>2223675</v>
      </c>
      <c r="M83" s="174">
        <v>153</v>
      </c>
      <c r="N83" s="175">
        <v>3755920</v>
      </c>
      <c r="O83" s="174">
        <v>154</v>
      </c>
      <c r="P83" s="175">
        <v>2908777</v>
      </c>
      <c r="Q83" s="174">
        <v>81</v>
      </c>
      <c r="R83" s="175">
        <v>1270758</v>
      </c>
      <c r="S83" s="174">
        <v>103</v>
      </c>
      <c r="T83" s="176">
        <v>1338797</v>
      </c>
    </row>
    <row r="84" spans="2:20" ht="36" customHeight="1" x14ac:dyDescent="0.3">
      <c r="B84" s="173" t="s">
        <v>460</v>
      </c>
      <c r="C84" s="174">
        <v>247</v>
      </c>
      <c r="D84" s="175">
        <v>4772368</v>
      </c>
      <c r="E84" s="174">
        <v>107</v>
      </c>
      <c r="F84" s="175">
        <v>1048458</v>
      </c>
      <c r="G84" s="174">
        <v>35</v>
      </c>
      <c r="H84" s="175">
        <v>559367</v>
      </c>
      <c r="I84" s="174">
        <v>79</v>
      </c>
      <c r="J84" s="175">
        <v>1373792</v>
      </c>
      <c r="K84" s="174">
        <v>124</v>
      </c>
      <c r="L84" s="175">
        <v>2223799</v>
      </c>
      <c r="M84" s="174">
        <v>158</v>
      </c>
      <c r="N84" s="175">
        <v>3756073</v>
      </c>
      <c r="O84" s="174">
        <v>149</v>
      </c>
      <c r="P84" s="175">
        <v>2908931</v>
      </c>
      <c r="Q84" s="174">
        <v>97</v>
      </c>
      <c r="R84" s="175">
        <v>1270839</v>
      </c>
      <c r="S84" s="174">
        <v>102</v>
      </c>
      <c r="T84" s="176">
        <v>1338900</v>
      </c>
    </row>
    <row r="85" spans="2:20" ht="36" customHeight="1" x14ac:dyDescent="0.3">
      <c r="B85" s="173" t="s">
        <v>461</v>
      </c>
      <c r="C85" s="174">
        <v>245</v>
      </c>
      <c r="D85" s="175">
        <v>4772615</v>
      </c>
      <c r="E85" s="174">
        <v>97</v>
      </c>
      <c r="F85" s="175">
        <v>1048565</v>
      </c>
      <c r="G85" s="174">
        <v>37</v>
      </c>
      <c r="H85" s="175">
        <v>559402</v>
      </c>
      <c r="I85" s="174">
        <v>78</v>
      </c>
      <c r="J85" s="175">
        <v>1373871</v>
      </c>
      <c r="K85" s="174">
        <v>123</v>
      </c>
      <c r="L85" s="175">
        <v>2223923</v>
      </c>
      <c r="M85" s="174">
        <v>161</v>
      </c>
      <c r="N85" s="175">
        <v>3756231</v>
      </c>
      <c r="O85" s="174">
        <v>147</v>
      </c>
      <c r="P85" s="175">
        <v>2909080</v>
      </c>
      <c r="Q85" s="174">
        <v>102</v>
      </c>
      <c r="R85" s="175">
        <v>1270936</v>
      </c>
      <c r="S85" s="174">
        <v>99</v>
      </c>
      <c r="T85" s="176">
        <v>1339002</v>
      </c>
    </row>
    <row r="86" spans="2:20" ht="36" customHeight="1" x14ac:dyDescent="0.3">
      <c r="B86" s="173" t="s">
        <v>462</v>
      </c>
      <c r="C86" s="174">
        <v>272</v>
      </c>
      <c r="D86" s="175">
        <v>4772860</v>
      </c>
      <c r="E86" s="174">
        <v>94</v>
      </c>
      <c r="F86" s="175">
        <v>1048662</v>
      </c>
      <c r="G86" s="174">
        <v>34</v>
      </c>
      <c r="H86" s="175">
        <v>559439</v>
      </c>
      <c r="I86" s="174">
        <v>71</v>
      </c>
      <c r="J86" s="175">
        <v>1373949</v>
      </c>
      <c r="K86" s="174">
        <v>120</v>
      </c>
      <c r="L86" s="175">
        <v>2224046</v>
      </c>
      <c r="M86" s="174">
        <v>461</v>
      </c>
      <c r="N86" s="175">
        <v>3756392</v>
      </c>
      <c r="O86" s="174">
        <v>146</v>
      </c>
      <c r="P86" s="175">
        <v>2909227</v>
      </c>
      <c r="Q86" s="174">
        <v>82</v>
      </c>
      <c r="R86" s="175">
        <v>1271038</v>
      </c>
      <c r="S86" s="174">
        <v>92</v>
      </c>
      <c r="T86" s="176">
        <v>1339101</v>
      </c>
    </row>
    <row r="87" spans="2:20" ht="36" customHeight="1" x14ac:dyDescent="0.3">
      <c r="B87" s="173" t="s">
        <v>463</v>
      </c>
      <c r="C87" s="174">
        <v>389</v>
      </c>
      <c r="D87" s="175">
        <v>4773132</v>
      </c>
      <c r="E87" s="174">
        <v>94</v>
      </c>
      <c r="F87" s="175">
        <v>1048756</v>
      </c>
      <c r="G87" s="174">
        <v>36</v>
      </c>
      <c r="H87" s="175">
        <v>559473</v>
      </c>
      <c r="I87" s="174">
        <v>74</v>
      </c>
      <c r="J87" s="175">
        <v>1374020</v>
      </c>
      <c r="K87" s="174">
        <v>113</v>
      </c>
      <c r="L87" s="175">
        <v>2224166</v>
      </c>
      <c r="M87" s="174">
        <v>189</v>
      </c>
      <c r="N87" s="175">
        <v>3756853</v>
      </c>
      <c r="O87" s="174">
        <v>140</v>
      </c>
      <c r="P87" s="175">
        <v>2909373</v>
      </c>
      <c r="Q87" s="174">
        <v>89</v>
      </c>
      <c r="R87" s="175">
        <v>1271120</v>
      </c>
      <c r="S87" s="174">
        <v>88</v>
      </c>
      <c r="T87" s="176">
        <v>1339193</v>
      </c>
    </row>
    <row r="88" spans="2:20" ht="36" customHeight="1" x14ac:dyDescent="0.3">
      <c r="B88" s="173" t="s">
        <v>464</v>
      </c>
      <c r="C88" s="174">
        <v>382</v>
      </c>
      <c r="D88" s="175">
        <v>4773521</v>
      </c>
      <c r="E88" s="174">
        <v>91</v>
      </c>
      <c r="F88" s="175">
        <v>1048850</v>
      </c>
      <c r="G88" s="174">
        <v>34</v>
      </c>
      <c r="H88" s="175">
        <v>559509</v>
      </c>
      <c r="I88" s="174">
        <v>72</v>
      </c>
      <c r="J88" s="175">
        <v>1374094</v>
      </c>
      <c r="K88" s="174">
        <v>119</v>
      </c>
      <c r="L88" s="175">
        <v>2224279</v>
      </c>
      <c r="M88" s="174">
        <v>283</v>
      </c>
      <c r="N88" s="175">
        <v>3757042</v>
      </c>
      <c r="O88" s="174">
        <v>142</v>
      </c>
      <c r="P88" s="175">
        <v>2909513</v>
      </c>
      <c r="Q88" s="174">
        <v>84</v>
      </c>
      <c r="R88" s="175">
        <v>1271209</v>
      </c>
      <c r="S88" s="174">
        <v>87</v>
      </c>
      <c r="T88" s="176">
        <v>1339281</v>
      </c>
    </row>
    <row r="89" spans="2:20" ht="36" customHeight="1" x14ac:dyDescent="0.3">
      <c r="B89" s="173" t="s">
        <v>465</v>
      </c>
      <c r="C89" s="174">
        <v>243</v>
      </c>
      <c r="D89" s="175">
        <v>4773903</v>
      </c>
      <c r="E89" s="174">
        <v>96</v>
      </c>
      <c r="F89" s="175">
        <v>1048941</v>
      </c>
      <c r="G89" s="174">
        <v>36</v>
      </c>
      <c r="H89" s="175">
        <v>559543</v>
      </c>
      <c r="I89" s="174">
        <v>81</v>
      </c>
      <c r="J89" s="175">
        <v>1374166</v>
      </c>
      <c r="K89" s="174">
        <v>123</v>
      </c>
      <c r="L89" s="175">
        <v>2224398</v>
      </c>
      <c r="M89" s="174">
        <v>228</v>
      </c>
      <c r="N89" s="175">
        <v>3757325</v>
      </c>
      <c r="O89" s="174">
        <v>157</v>
      </c>
      <c r="P89" s="175">
        <v>2909655</v>
      </c>
      <c r="Q89" s="174">
        <v>89</v>
      </c>
      <c r="R89" s="175">
        <v>1271293</v>
      </c>
      <c r="S89" s="174">
        <v>89</v>
      </c>
      <c r="T89" s="176">
        <v>1339368</v>
      </c>
    </row>
    <row r="90" spans="2:20" ht="36" customHeight="1" x14ac:dyDescent="0.3">
      <c r="B90" s="173" t="s">
        <v>466</v>
      </c>
      <c r="C90" s="174">
        <v>265</v>
      </c>
      <c r="D90" s="175">
        <v>4774146</v>
      </c>
      <c r="E90" s="174">
        <v>98</v>
      </c>
      <c r="F90" s="175">
        <v>1049037</v>
      </c>
      <c r="G90" s="174">
        <v>36</v>
      </c>
      <c r="H90" s="175">
        <v>559579</v>
      </c>
      <c r="I90" s="174">
        <v>78</v>
      </c>
      <c r="J90" s="175">
        <v>1374247</v>
      </c>
      <c r="K90" s="174">
        <v>121</v>
      </c>
      <c r="L90" s="175">
        <v>2224521</v>
      </c>
      <c r="M90" s="174">
        <v>208</v>
      </c>
      <c r="N90" s="175">
        <v>3757553</v>
      </c>
      <c r="O90" s="174">
        <v>164</v>
      </c>
      <c r="P90" s="175">
        <v>2909812</v>
      </c>
      <c r="Q90" s="174">
        <v>86</v>
      </c>
      <c r="R90" s="175">
        <v>1271382</v>
      </c>
      <c r="S90" s="174">
        <v>92</v>
      </c>
      <c r="T90" s="176">
        <v>1339457</v>
      </c>
    </row>
    <row r="91" spans="2:20" ht="36" customHeight="1" x14ac:dyDescent="0.3">
      <c r="B91" s="173" t="s">
        <v>467</v>
      </c>
      <c r="C91" s="174">
        <v>335</v>
      </c>
      <c r="D91" s="175">
        <v>4774411</v>
      </c>
      <c r="E91" s="174">
        <v>100</v>
      </c>
      <c r="F91" s="175">
        <v>1049135</v>
      </c>
      <c r="G91" s="174">
        <v>39</v>
      </c>
      <c r="H91" s="175">
        <v>559615</v>
      </c>
      <c r="I91" s="174">
        <v>78</v>
      </c>
      <c r="J91" s="175">
        <v>1374325</v>
      </c>
      <c r="K91" s="174">
        <v>122</v>
      </c>
      <c r="L91" s="175">
        <v>2224642</v>
      </c>
      <c r="M91" s="174">
        <v>249</v>
      </c>
      <c r="N91" s="175">
        <v>3757761</v>
      </c>
      <c r="O91" s="174">
        <v>169</v>
      </c>
      <c r="P91" s="175">
        <v>2909976</v>
      </c>
      <c r="Q91" s="174">
        <v>90</v>
      </c>
      <c r="R91" s="175">
        <v>1271468</v>
      </c>
      <c r="S91" s="174">
        <v>84</v>
      </c>
      <c r="T91" s="176">
        <v>1339549</v>
      </c>
    </row>
    <row r="92" spans="2:20" ht="36" customHeight="1" x14ac:dyDescent="0.3">
      <c r="B92" s="173" t="s">
        <v>468</v>
      </c>
      <c r="C92" s="174">
        <v>357</v>
      </c>
      <c r="D92" s="175">
        <v>4774746</v>
      </c>
      <c r="E92" s="174">
        <v>101</v>
      </c>
      <c r="F92" s="175">
        <v>1049235</v>
      </c>
      <c r="G92" s="174">
        <v>39</v>
      </c>
      <c r="H92" s="175">
        <v>559654</v>
      </c>
      <c r="I92" s="174">
        <v>81</v>
      </c>
      <c r="J92" s="175">
        <v>1374403</v>
      </c>
      <c r="K92" s="174">
        <v>127</v>
      </c>
      <c r="L92" s="175">
        <v>2224764</v>
      </c>
      <c r="M92" s="174">
        <v>237</v>
      </c>
      <c r="N92" s="175">
        <v>3758010</v>
      </c>
      <c r="O92" s="174">
        <v>169</v>
      </c>
      <c r="P92" s="175">
        <v>2910145</v>
      </c>
      <c r="Q92" s="174">
        <v>91</v>
      </c>
      <c r="R92" s="175">
        <v>1271558</v>
      </c>
      <c r="S92" s="174">
        <v>72</v>
      </c>
      <c r="T92" s="176">
        <v>1339633</v>
      </c>
    </row>
    <row r="93" spans="2:20" ht="36" customHeight="1" x14ac:dyDescent="0.3">
      <c r="B93" s="173" t="s">
        <v>469</v>
      </c>
      <c r="C93" s="174">
        <v>374</v>
      </c>
      <c r="D93" s="175">
        <v>4775103</v>
      </c>
      <c r="E93" s="174">
        <v>101</v>
      </c>
      <c r="F93" s="175">
        <v>1049336</v>
      </c>
      <c r="G93" s="174">
        <v>37</v>
      </c>
      <c r="H93" s="175">
        <v>559693</v>
      </c>
      <c r="I93" s="174">
        <v>78</v>
      </c>
      <c r="J93" s="175">
        <v>1374484</v>
      </c>
      <c r="K93" s="174">
        <v>123</v>
      </c>
      <c r="L93" s="175">
        <v>2224891</v>
      </c>
      <c r="M93" s="174">
        <v>205</v>
      </c>
      <c r="N93" s="175">
        <v>3758247</v>
      </c>
      <c r="O93" s="174">
        <v>166</v>
      </c>
      <c r="P93" s="175">
        <v>2910314</v>
      </c>
      <c r="Q93" s="174">
        <v>120</v>
      </c>
      <c r="R93" s="175">
        <v>1271649</v>
      </c>
      <c r="S93" s="174">
        <v>67</v>
      </c>
      <c r="T93" s="176">
        <v>1339705</v>
      </c>
    </row>
    <row r="94" spans="2:20" ht="36" customHeight="1" x14ac:dyDescent="0.3">
      <c r="B94" s="173" t="s">
        <v>470</v>
      </c>
      <c r="C94" s="174">
        <v>435</v>
      </c>
      <c r="D94" s="175">
        <v>4775477</v>
      </c>
      <c r="E94" s="174">
        <v>90</v>
      </c>
      <c r="F94" s="175">
        <v>1049437</v>
      </c>
      <c r="G94" s="174">
        <v>34</v>
      </c>
      <c r="H94" s="175">
        <v>559730</v>
      </c>
      <c r="I94" s="174">
        <v>67</v>
      </c>
      <c r="J94" s="175">
        <v>1374562</v>
      </c>
      <c r="K94" s="174">
        <v>121</v>
      </c>
      <c r="L94" s="175">
        <v>2225014</v>
      </c>
      <c r="M94" s="174">
        <v>214</v>
      </c>
      <c r="N94" s="175">
        <v>3758452</v>
      </c>
      <c r="O94" s="174">
        <v>176</v>
      </c>
      <c r="P94" s="175">
        <v>2910480</v>
      </c>
      <c r="Q94" s="174">
        <v>116</v>
      </c>
      <c r="R94" s="175">
        <v>1271769</v>
      </c>
      <c r="S94" s="174">
        <v>60</v>
      </c>
      <c r="T94" s="176">
        <v>1339772</v>
      </c>
    </row>
    <row r="95" spans="2:20" ht="36" customHeight="1" thickBot="1" x14ac:dyDescent="0.35">
      <c r="B95" s="177" t="s">
        <v>471</v>
      </c>
      <c r="C95" s="178">
        <v>287</v>
      </c>
      <c r="D95" s="179">
        <v>4775912</v>
      </c>
      <c r="E95" s="178">
        <v>80</v>
      </c>
      <c r="F95" s="179">
        <v>1049527</v>
      </c>
      <c r="G95" s="178">
        <v>31</v>
      </c>
      <c r="H95" s="179">
        <v>559764</v>
      </c>
      <c r="I95" s="178">
        <v>61</v>
      </c>
      <c r="J95" s="179">
        <v>1374629</v>
      </c>
      <c r="K95" s="178">
        <v>108</v>
      </c>
      <c r="L95" s="179">
        <v>2225135</v>
      </c>
      <c r="M95" s="178">
        <v>153</v>
      </c>
      <c r="N95" s="179">
        <v>3758666</v>
      </c>
      <c r="O95" s="178">
        <v>133</v>
      </c>
      <c r="P95" s="179">
        <v>2910656</v>
      </c>
      <c r="Q95" s="178">
        <v>97</v>
      </c>
      <c r="R95" s="179">
        <v>1271885</v>
      </c>
      <c r="S95" s="178">
        <v>56</v>
      </c>
      <c r="T95" s="180">
        <v>1339832</v>
      </c>
    </row>
    <row r="96" spans="2:20" ht="36" customHeight="1" thickTop="1" x14ac:dyDescent="0.3">
      <c r="B96" s="181" t="s">
        <v>472</v>
      </c>
      <c r="C96" s="182">
        <f t="shared" ref="C96:T96" si="4">MIN(C72:C95)</f>
        <v>110</v>
      </c>
      <c r="D96" s="182">
        <f t="shared" si="4"/>
        <v>4770252</v>
      </c>
      <c r="E96" s="182">
        <f t="shared" si="4"/>
        <v>51</v>
      </c>
      <c r="F96" s="182">
        <f t="shared" si="4"/>
        <v>1047587</v>
      </c>
      <c r="G96" s="182">
        <f t="shared" si="4"/>
        <v>20</v>
      </c>
      <c r="H96" s="182">
        <f t="shared" si="4"/>
        <v>559039</v>
      </c>
      <c r="I96" s="182">
        <f t="shared" si="4"/>
        <v>31</v>
      </c>
      <c r="J96" s="182">
        <f t="shared" si="4"/>
        <v>1373158</v>
      </c>
      <c r="K96" s="182">
        <f t="shared" si="4"/>
        <v>79</v>
      </c>
      <c r="L96" s="182">
        <f t="shared" si="4"/>
        <v>2222605</v>
      </c>
      <c r="M96" s="182">
        <f t="shared" si="4"/>
        <v>103</v>
      </c>
      <c r="N96" s="182">
        <f t="shared" si="4"/>
        <v>3754044</v>
      </c>
      <c r="O96" s="182">
        <f t="shared" si="4"/>
        <v>67</v>
      </c>
      <c r="P96" s="182">
        <f t="shared" si="4"/>
        <v>2907713</v>
      </c>
      <c r="Q96" s="182">
        <f t="shared" si="4"/>
        <v>42</v>
      </c>
      <c r="R96" s="182">
        <f t="shared" si="4"/>
        <v>1270164</v>
      </c>
      <c r="S96" s="182">
        <f t="shared" si="4"/>
        <v>40</v>
      </c>
      <c r="T96" s="183">
        <f t="shared" si="4"/>
        <v>1338171</v>
      </c>
    </row>
    <row r="97" spans="2:20" ht="36" customHeight="1" x14ac:dyDescent="0.3">
      <c r="B97" s="173" t="s">
        <v>473</v>
      </c>
      <c r="C97" s="182">
        <f t="shared" ref="C97:T97" si="5">MAX(C72:C95)</f>
        <v>435</v>
      </c>
      <c r="D97" s="182">
        <f t="shared" si="5"/>
        <v>4775912</v>
      </c>
      <c r="E97" s="182">
        <f t="shared" si="5"/>
        <v>108</v>
      </c>
      <c r="F97" s="182">
        <f t="shared" si="5"/>
        <v>1049527</v>
      </c>
      <c r="G97" s="182">
        <f t="shared" si="5"/>
        <v>40</v>
      </c>
      <c r="H97" s="182">
        <f t="shared" si="5"/>
        <v>559764</v>
      </c>
      <c r="I97" s="182">
        <f t="shared" si="5"/>
        <v>126</v>
      </c>
      <c r="J97" s="182">
        <f t="shared" si="5"/>
        <v>1374629</v>
      </c>
      <c r="K97" s="182">
        <f t="shared" si="5"/>
        <v>130</v>
      </c>
      <c r="L97" s="182">
        <f t="shared" si="5"/>
        <v>2225135</v>
      </c>
      <c r="M97" s="182">
        <f t="shared" si="5"/>
        <v>461</v>
      </c>
      <c r="N97" s="182">
        <f t="shared" si="5"/>
        <v>3758666</v>
      </c>
      <c r="O97" s="182">
        <f t="shared" si="5"/>
        <v>176</v>
      </c>
      <c r="P97" s="182">
        <f t="shared" si="5"/>
        <v>2910656</v>
      </c>
      <c r="Q97" s="182">
        <f t="shared" si="5"/>
        <v>120</v>
      </c>
      <c r="R97" s="182">
        <f t="shared" si="5"/>
        <v>1271885</v>
      </c>
      <c r="S97" s="182">
        <f t="shared" si="5"/>
        <v>103</v>
      </c>
      <c r="T97" s="183">
        <f t="shared" si="5"/>
        <v>1339832</v>
      </c>
    </row>
    <row r="98" spans="2:20" ht="36" customHeight="1" x14ac:dyDescent="0.3">
      <c r="B98" s="173" t="s">
        <v>474</v>
      </c>
      <c r="C98" s="182">
        <f>AVERAGE(C72:C95)</f>
        <v>247.79166666666666</v>
      </c>
      <c r="D98" s="184"/>
      <c r="E98" s="182">
        <f>AVERAGE(E72:E95)</f>
        <v>84.166666666666671</v>
      </c>
      <c r="F98" s="184"/>
      <c r="G98" s="182">
        <f>AVERAGE(G72:G95)</f>
        <v>31.5</v>
      </c>
      <c r="H98" s="184"/>
      <c r="I98" s="182">
        <f>AVERAGE(I72:I95)</f>
        <v>63.833333333333336</v>
      </c>
      <c r="J98" s="184"/>
      <c r="K98" s="182">
        <f>AVERAGE(K72:K95)</f>
        <v>109.91666666666667</v>
      </c>
      <c r="L98" s="184"/>
      <c r="M98" s="182">
        <f>AVERAGE(M72:M95)</f>
        <v>198.95833333333334</v>
      </c>
      <c r="N98" s="184"/>
      <c r="O98" s="182">
        <f>AVERAGE(O72:O95)</f>
        <v>128.16666666666666</v>
      </c>
      <c r="P98" s="184"/>
      <c r="Q98" s="182">
        <f>AVERAGE(Q72:Q95)</f>
        <v>75.75</v>
      </c>
      <c r="R98" s="184"/>
      <c r="S98" s="182">
        <f>AVERAGE(S72:S95)</f>
        <v>71.541666666666671</v>
      </c>
      <c r="T98" s="185"/>
    </row>
    <row r="99" spans="2:20" ht="36" customHeight="1" thickBot="1" x14ac:dyDescent="0.35">
      <c r="B99" s="186" t="s">
        <v>475</v>
      </c>
      <c r="C99" s="187">
        <f>SUM(C72:C95)</f>
        <v>5947</v>
      </c>
      <c r="D99" s="188"/>
      <c r="E99" s="187">
        <f>SUM(E72:E95)</f>
        <v>2020</v>
      </c>
      <c r="F99" s="188"/>
      <c r="G99" s="187">
        <f>SUM(G72:G95)</f>
        <v>756</v>
      </c>
      <c r="H99" s="188"/>
      <c r="I99" s="187">
        <f>SUM(I72:I95)</f>
        <v>1532</v>
      </c>
      <c r="J99" s="188"/>
      <c r="K99" s="187">
        <f>SUM(K72:K95)</f>
        <v>2638</v>
      </c>
      <c r="L99" s="188"/>
      <c r="M99" s="187">
        <f>SUM(M72:M95)</f>
        <v>4775</v>
      </c>
      <c r="N99" s="188"/>
      <c r="O99" s="187">
        <f>SUM(O72:O95)</f>
        <v>3076</v>
      </c>
      <c r="P99" s="188"/>
      <c r="Q99" s="187">
        <f>SUM(Q72:Q95)</f>
        <v>1818</v>
      </c>
      <c r="R99" s="188"/>
      <c r="S99" s="187">
        <f>SUM(S72:S95)</f>
        <v>1717</v>
      </c>
      <c r="T99" s="189"/>
    </row>
    <row r="100" spans="2:20" ht="9.9499999999999993" customHeight="1" thickBot="1" x14ac:dyDescent="0.35"/>
    <row r="101" spans="2:20" s="162" customFormat="1" ht="51.95" customHeight="1" thickBot="1" x14ac:dyDescent="0.35">
      <c r="B101" s="460" t="s">
        <v>486</v>
      </c>
      <c r="C101" s="461"/>
      <c r="D101" s="461"/>
      <c r="E101" s="461"/>
      <c r="F101" s="461"/>
      <c r="G101" s="461"/>
      <c r="H101" s="461"/>
      <c r="I101" s="461"/>
      <c r="J101" s="461"/>
      <c r="K101" s="461"/>
      <c r="L101" s="461"/>
      <c r="M101" s="461"/>
      <c r="N101" s="461"/>
      <c r="O101" s="461"/>
      <c r="P101" s="461"/>
      <c r="Q101" s="461"/>
      <c r="R101" s="461"/>
      <c r="S101" s="461"/>
      <c r="T101" s="462"/>
    </row>
    <row r="102" spans="2:20" s="164" customFormat="1" ht="36" customHeight="1" thickTop="1" x14ac:dyDescent="0.3">
      <c r="B102" s="163" t="s">
        <v>433</v>
      </c>
      <c r="C102" s="453" t="str">
        <f>C3</f>
        <v>2025년12월28일  일요일</v>
      </c>
      <c r="D102" s="453"/>
      <c r="E102" s="453"/>
      <c r="F102" s="453"/>
      <c r="G102" s="453"/>
      <c r="H102" s="453"/>
      <c r="I102" s="453"/>
      <c r="J102" s="453"/>
      <c r="K102" s="453"/>
      <c r="L102" s="453"/>
      <c r="M102" s="453"/>
      <c r="N102" s="453"/>
      <c r="O102" s="453"/>
      <c r="P102" s="453"/>
      <c r="Q102" s="453"/>
      <c r="R102" s="453"/>
      <c r="S102" s="453"/>
      <c r="T102" s="454"/>
    </row>
    <row r="103" spans="2:20" s="165" customFormat="1" ht="27.95" customHeight="1" x14ac:dyDescent="0.3">
      <c r="B103" s="455" t="s">
        <v>434</v>
      </c>
      <c r="C103" s="448" t="s">
        <v>524</v>
      </c>
      <c r="D103" s="449"/>
      <c r="E103" s="448" t="s">
        <v>500</v>
      </c>
      <c r="F103" s="449"/>
      <c r="G103" s="448" t="s">
        <v>501</v>
      </c>
      <c r="H103" s="449"/>
      <c r="I103" s="448" t="s">
        <v>502</v>
      </c>
      <c r="J103" s="449"/>
      <c r="K103" s="448"/>
      <c r="L103" s="449"/>
      <c r="M103" s="448"/>
      <c r="N103" s="449"/>
      <c r="O103" s="448"/>
      <c r="P103" s="449"/>
      <c r="Q103" s="448"/>
      <c r="R103" s="449"/>
      <c r="S103" s="448"/>
      <c r="T103" s="450"/>
    </row>
    <row r="104" spans="2:20" ht="27.95" customHeight="1" x14ac:dyDescent="0.3">
      <c r="B104" s="456"/>
      <c r="C104" s="166" t="s">
        <v>444</v>
      </c>
      <c r="D104" s="167" t="s">
        <v>445</v>
      </c>
      <c r="E104" s="166" t="s">
        <v>444</v>
      </c>
      <c r="F104" s="167" t="s">
        <v>445</v>
      </c>
      <c r="G104" s="166" t="s">
        <v>444</v>
      </c>
      <c r="H104" s="167" t="s">
        <v>445</v>
      </c>
      <c r="I104" s="166" t="s">
        <v>444</v>
      </c>
      <c r="J104" s="167" t="s">
        <v>445</v>
      </c>
      <c r="K104" s="166" t="s">
        <v>444</v>
      </c>
      <c r="L104" s="167" t="s">
        <v>445</v>
      </c>
      <c r="M104" s="166" t="s">
        <v>444</v>
      </c>
      <c r="N104" s="167" t="s">
        <v>445</v>
      </c>
      <c r="O104" s="166" t="s">
        <v>444</v>
      </c>
      <c r="P104" s="167" t="s">
        <v>445</v>
      </c>
      <c r="Q104" s="166" t="s">
        <v>444</v>
      </c>
      <c r="R104" s="167" t="s">
        <v>445</v>
      </c>
      <c r="S104" s="166" t="s">
        <v>446</v>
      </c>
      <c r="T104" s="168" t="s">
        <v>447</v>
      </c>
    </row>
    <row r="105" spans="2:20" ht="36" customHeight="1" x14ac:dyDescent="0.3">
      <c r="B105" s="169" t="s">
        <v>448</v>
      </c>
      <c r="C105" s="170">
        <v>34</v>
      </c>
      <c r="D105" s="171">
        <v>2558918</v>
      </c>
      <c r="E105" s="170">
        <v>52</v>
      </c>
      <c r="F105" s="171">
        <v>7013504</v>
      </c>
      <c r="G105" s="170">
        <v>61</v>
      </c>
      <c r="H105" s="171">
        <v>6284809</v>
      </c>
      <c r="I105" s="170">
        <v>122</v>
      </c>
      <c r="J105" s="171">
        <v>3141679</v>
      </c>
      <c r="K105" s="170"/>
      <c r="L105" s="171"/>
      <c r="M105" s="170"/>
      <c r="N105" s="171"/>
      <c r="O105" s="170"/>
      <c r="P105" s="171"/>
      <c r="Q105" s="170"/>
      <c r="R105" s="171"/>
      <c r="S105" s="170"/>
      <c r="T105" s="172"/>
    </row>
    <row r="106" spans="2:20" ht="36" customHeight="1" x14ac:dyDescent="0.3">
      <c r="B106" s="173" t="s">
        <v>449</v>
      </c>
      <c r="C106" s="174">
        <v>31</v>
      </c>
      <c r="D106" s="175">
        <v>2558952</v>
      </c>
      <c r="E106" s="174">
        <v>42</v>
      </c>
      <c r="F106" s="175">
        <v>7013556</v>
      </c>
      <c r="G106" s="174">
        <v>57</v>
      </c>
      <c r="H106" s="175">
        <v>6284870</v>
      </c>
      <c r="I106" s="174">
        <v>117</v>
      </c>
      <c r="J106" s="175">
        <v>3141801</v>
      </c>
      <c r="K106" s="174"/>
      <c r="L106" s="175"/>
      <c r="M106" s="174"/>
      <c r="N106" s="175"/>
      <c r="O106" s="174"/>
      <c r="P106" s="175"/>
      <c r="Q106" s="174"/>
      <c r="R106" s="175"/>
      <c r="S106" s="174"/>
      <c r="T106" s="176"/>
    </row>
    <row r="107" spans="2:20" ht="36" customHeight="1" x14ac:dyDescent="0.3">
      <c r="B107" s="173" t="s">
        <v>450</v>
      </c>
      <c r="C107" s="174">
        <v>29</v>
      </c>
      <c r="D107" s="175">
        <v>2558983</v>
      </c>
      <c r="E107" s="174">
        <v>37</v>
      </c>
      <c r="F107" s="175">
        <v>7013598</v>
      </c>
      <c r="G107" s="174">
        <v>55</v>
      </c>
      <c r="H107" s="175">
        <v>6284927</v>
      </c>
      <c r="I107" s="174">
        <v>115</v>
      </c>
      <c r="J107" s="175">
        <v>3141918</v>
      </c>
      <c r="K107" s="174"/>
      <c r="L107" s="175"/>
      <c r="M107" s="174"/>
      <c r="N107" s="175"/>
      <c r="O107" s="174"/>
      <c r="P107" s="175"/>
      <c r="Q107" s="174"/>
      <c r="R107" s="175"/>
      <c r="S107" s="174"/>
      <c r="T107" s="176"/>
    </row>
    <row r="108" spans="2:20" ht="36" customHeight="1" x14ac:dyDescent="0.3">
      <c r="B108" s="173" t="s">
        <v>451</v>
      </c>
      <c r="C108" s="174">
        <v>28</v>
      </c>
      <c r="D108" s="175">
        <v>2559012</v>
      </c>
      <c r="E108" s="174">
        <v>31</v>
      </c>
      <c r="F108" s="175">
        <v>7013635</v>
      </c>
      <c r="G108" s="174">
        <v>54</v>
      </c>
      <c r="H108" s="175">
        <v>6284982</v>
      </c>
      <c r="I108" s="174">
        <v>114</v>
      </c>
      <c r="J108" s="175">
        <v>3142033</v>
      </c>
      <c r="K108" s="174"/>
      <c r="L108" s="175"/>
      <c r="M108" s="174"/>
      <c r="N108" s="175"/>
      <c r="O108" s="174"/>
      <c r="P108" s="175"/>
      <c r="Q108" s="174"/>
      <c r="R108" s="175"/>
      <c r="S108" s="174"/>
      <c r="T108" s="176"/>
    </row>
    <row r="109" spans="2:20" ht="36" customHeight="1" x14ac:dyDescent="0.3">
      <c r="B109" s="173" t="s">
        <v>452</v>
      </c>
      <c r="C109" s="174">
        <v>28</v>
      </c>
      <c r="D109" s="175">
        <v>2559040</v>
      </c>
      <c r="E109" s="174">
        <v>27</v>
      </c>
      <c r="F109" s="175">
        <v>7013666</v>
      </c>
      <c r="G109" s="174">
        <v>54</v>
      </c>
      <c r="H109" s="175">
        <v>6285036</v>
      </c>
      <c r="I109" s="174">
        <v>115</v>
      </c>
      <c r="J109" s="175">
        <v>3142147</v>
      </c>
      <c r="K109" s="174"/>
      <c r="L109" s="175"/>
      <c r="M109" s="174"/>
      <c r="N109" s="175"/>
      <c r="O109" s="174"/>
      <c r="P109" s="175"/>
      <c r="Q109" s="174"/>
      <c r="R109" s="175"/>
      <c r="S109" s="174"/>
      <c r="T109" s="176"/>
    </row>
    <row r="110" spans="2:20" ht="36" customHeight="1" x14ac:dyDescent="0.3">
      <c r="B110" s="173" t="s">
        <v>453</v>
      </c>
      <c r="C110" s="174">
        <v>30</v>
      </c>
      <c r="D110" s="175">
        <v>2559068</v>
      </c>
      <c r="E110" s="174">
        <v>30</v>
      </c>
      <c r="F110" s="175">
        <v>7013693</v>
      </c>
      <c r="G110" s="174">
        <v>56</v>
      </c>
      <c r="H110" s="175">
        <v>6285090</v>
      </c>
      <c r="I110" s="174">
        <v>117</v>
      </c>
      <c r="J110" s="175">
        <v>3142262</v>
      </c>
      <c r="K110" s="174"/>
      <c r="L110" s="175"/>
      <c r="M110" s="174"/>
      <c r="N110" s="175"/>
      <c r="O110" s="174"/>
      <c r="P110" s="175"/>
      <c r="Q110" s="174"/>
      <c r="R110" s="175"/>
      <c r="S110" s="174"/>
      <c r="T110" s="176"/>
    </row>
    <row r="111" spans="2:20" ht="36" customHeight="1" x14ac:dyDescent="0.3">
      <c r="B111" s="173" t="s">
        <v>454</v>
      </c>
      <c r="C111" s="174">
        <v>32</v>
      </c>
      <c r="D111" s="175">
        <v>2559098</v>
      </c>
      <c r="E111" s="174">
        <v>37</v>
      </c>
      <c r="F111" s="175">
        <v>7013723</v>
      </c>
      <c r="G111" s="174">
        <v>59</v>
      </c>
      <c r="H111" s="175">
        <v>6285146</v>
      </c>
      <c r="I111" s="174">
        <v>120</v>
      </c>
      <c r="J111" s="175">
        <v>3142379</v>
      </c>
      <c r="K111" s="174"/>
      <c r="L111" s="175"/>
      <c r="M111" s="174"/>
      <c r="N111" s="175"/>
      <c r="O111" s="174"/>
      <c r="P111" s="175"/>
      <c r="Q111" s="174"/>
      <c r="R111" s="175"/>
      <c r="S111" s="174"/>
      <c r="T111" s="176"/>
    </row>
    <row r="112" spans="2:20" ht="36" customHeight="1" x14ac:dyDescent="0.3">
      <c r="B112" s="173" t="s">
        <v>455</v>
      </c>
      <c r="C112" s="174">
        <v>38</v>
      </c>
      <c r="D112" s="175">
        <v>2559130</v>
      </c>
      <c r="E112" s="174">
        <v>51</v>
      </c>
      <c r="F112" s="175">
        <v>7013760</v>
      </c>
      <c r="G112" s="174">
        <v>77</v>
      </c>
      <c r="H112" s="175">
        <v>6285205</v>
      </c>
      <c r="I112" s="174">
        <v>127</v>
      </c>
      <c r="J112" s="175">
        <v>3142499</v>
      </c>
      <c r="K112" s="174"/>
      <c r="L112" s="175"/>
      <c r="M112" s="174"/>
      <c r="N112" s="175"/>
      <c r="O112" s="174"/>
      <c r="P112" s="175"/>
      <c r="Q112" s="174"/>
      <c r="R112" s="175"/>
      <c r="S112" s="174"/>
      <c r="T112" s="176"/>
    </row>
    <row r="113" spans="2:20" ht="36" customHeight="1" x14ac:dyDescent="0.3">
      <c r="B113" s="173" t="s">
        <v>456</v>
      </c>
      <c r="C113" s="174">
        <v>50</v>
      </c>
      <c r="D113" s="175">
        <v>2559168</v>
      </c>
      <c r="E113" s="174">
        <v>71</v>
      </c>
      <c r="F113" s="175">
        <v>7013811</v>
      </c>
      <c r="G113" s="174">
        <v>92</v>
      </c>
      <c r="H113" s="175">
        <v>6285282</v>
      </c>
      <c r="I113" s="174">
        <v>136</v>
      </c>
      <c r="J113" s="175">
        <v>3142626</v>
      </c>
      <c r="K113" s="174"/>
      <c r="L113" s="175"/>
      <c r="M113" s="174"/>
      <c r="N113" s="175"/>
      <c r="O113" s="174"/>
      <c r="P113" s="175"/>
      <c r="Q113" s="174"/>
      <c r="R113" s="175"/>
      <c r="S113" s="174"/>
      <c r="T113" s="176"/>
    </row>
    <row r="114" spans="2:20" ht="36" customHeight="1" x14ac:dyDescent="0.3">
      <c r="B114" s="173" t="s">
        <v>457</v>
      </c>
      <c r="C114" s="174">
        <v>59</v>
      </c>
      <c r="D114" s="175">
        <v>2559218</v>
      </c>
      <c r="E114" s="174">
        <v>79</v>
      </c>
      <c r="F114" s="175">
        <v>7013882</v>
      </c>
      <c r="G114" s="174">
        <v>103</v>
      </c>
      <c r="H114" s="175">
        <v>6285374</v>
      </c>
      <c r="I114" s="174">
        <v>142</v>
      </c>
      <c r="J114" s="175">
        <v>3142762</v>
      </c>
      <c r="K114" s="174"/>
      <c r="L114" s="175"/>
      <c r="M114" s="174"/>
      <c r="N114" s="175"/>
      <c r="O114" s="174"/>
      <c r="P114" s="175"/>
      <c r="Q114" s="174"/>
      <c r="R114" s="175"/>
      <c r="S114" s="174"/>
      <c r="T114" s="176"/>
    </row>
    <row r="115" spans="2:20" ht="36" customHeight="1" x14ac:dyDescent="0.3">
      <c r="B115" s="173" t="s">
        <v>458</v>
      </c>
      <c r="C115" s="174">
        <v>63</v>
      </c>
      <c r="D115" s="175">
        <v>2559277</v>
      </c>
      <c r="E115" s="174">
        <v>84</v>
      </c>
      <c r="F115" s="175">
        <v>7013961</v>
      </c>
      <c r="G115" s="174">
        <v>104</v>
      </c>
      <c r="H115" s="175">
        <v>6285477</v>
      </c>
      <c r="I115" s="174">
        <v>146</v>
      </c>
      <c r="J115" s="175">
        <v>3142904</v>
      </c>
      <c r="K115" s="174"/>
      <c r="L115" s="175"/>
      <c r="M115" s="174"/>
      <c r="N115" s="175"/>
      <c r="O115" s="174"/>
      <c r="P115" s="175"/>
      <c r="Q115" s="174"/>
      <c r="R115" s="175"/>
      <c r="S115" s="174"/>
      <c r="T115" s="176"/>
    </row>
    <row r="116" spans="2:20" ht="36" customHeight="1" x14ac:dyDescent="0.3">
      <c r="B116" s="173" t="s">
        <v>459</v>
      </c>
      <c r="C116" s="174">
        <v>59</v>
      </c>
      <c r="D116" s="175">
        <v>2559340</v>
      </c>
      <c r="E116" s="174">
        <v>99</v>
      </c>
      <c r="F116" s="175">
        <v>7014045</v>
      </c>
      <c r="G116" s="174">
        <v>93</v>
      </c>
      <c r="H116" s="175">
        <v>6285581</v>
      </c>
      <c r="I116" s="174">
        <v>142</v>
      </c>
      <c r="J116" s="175">
        <v>3143050</v>
      </c>
      <c r="K116" s="174"/>
      <c r="L116" s="175"/>
      <c r="M116" s="174"/>
      <c r="N116" s="175"/>
      <c r="O116" s="174"/>
      <c r="P116" s="175"/>
      <c r="Q116" s="174"/>
      <c r="R116" s="175"/>
      <c r="S116" s="174"/>
      <c r="T116" s="176"/>
    </row>
    <row r="117" spans="2:20" ht="36" customHeight="1" x14ac:dyDescent="0.3">
      <c r="B117" s="173" t="s">
        <v>460</v>
      </c>
      <c r="C117" s="174">
        <v>58</v>
      </c>
      <c r="D117" s="175">
        <v>2559399</v>
      </c>
      <c r="E117" s="174">
        <v>101</v>
      </c>
      <c r="F117" s="175">
        <v>7014144</v>
      </c>
      <c r="G117" s="174">
        <v>111</v>
      </c>
      <c r="H117" s="175">
        <v>6285674</v>
      </c>
      <c r="I117" s="174">
        <v>140</v>
      </c>
      <c r="J117" s="175">
        <v>3143192</v>
      </c>
      <c r="K117" s="174"/>
      <c r="L117" s="175"/>
      <c r="M117" s="174"/>
      <c r="N117" s="175"/>
      <c r="O117" s="174"/>
      <c r="P117" s="175"/>
      <c r="Q117" s="174"/>
      <c r="R117" s="175"/>
      <c r="S117" s="174"/>
      <c r="T117" s="176"/>
    </row>
    <row r="118" spans="2:20" ht="36" customHeight="1" x14ac:dyDescent="0.3">
      <c r="B118" s="173" t="s">
        <v>461</v>
      </c>
      <c r="C118" s="174">
        <v>56</v>
      </c>
      <c r="D118" s="175">
        <v>2559457</v>
      </c>
      <c r="E118" s="174">
        <v>81</v>
      </c>
      <c r="F118" s="175">
        <v>7014245</v>
      </c>
      <c r="G118" s="174">
        <v>116</v>
      </c>
      <c r="H118" s="175">
        <v>6285785</v>
      </c>
      <c r="I118" s="174">
        <v>138</v>
      </c>
      <c r="J118" s="175">
        <v>3143332</v>
      </c>
      <c r="K118" s="174"/>
      <c r="L118" s="175"/>
      <c r="M118" s="174"/>
      <c r="N118" s="175"/>
      <c r="O118" s="174"/>
      <c r="P118" s="175"/>
      <c r="Q118" s="174"/>
      <c r="R118" s="175"/>
      <c r="S118" s="174"/>
      <c r="T118" s="176"/>
    </row>
    <row r="119" spans="2:20" ht="36" customHeight="1" x14ac:dyDescent="0.3">
      <c r="B119" s="173" t="s">
        <v>462</v>
      </c>
      <c r="C119" s="174">
        <v>56</v>
      </c>
      <c r="D119" s="175">
        <v>2559513</v>
      </c>
      <c r="E119" s="174">
        <v>84</v>
      </c>
      <c r="F119" s="175">
        <v>7014326</v>
      </c>
      <c r="G119" s="174">
        <v>108</v>
      </c>
      <c r="H119" s="175">
        <v>6285901</v>
      </c>
      <c r="I119" s="174">
        <v>137</v>
      </c>
      <c r="J119" s="175">
        <v>3143470</v>
      </c>
      <c r="K119" s="174"/>
      <c r="L119" s="175"/>
      <c r="M119" s="174"/>
      <c r="N119" s="175"/>
      <c r="O119" s="174"/>
      <c r="P119" s="175"/>
      <c r="Q119" s="174"/>
      <c r="R119" s="175"/>
      <c r="S119" s="174"/>
      <c r="T119" s="176"/>
    </row>
    <row r="120" spans="2:20" ht="36" customHeight="1" x14ac:dyDescent="0.3">
      <c r="B120" s="173" t="s">
        <v>463</v>
      </c>
      <c r="C120" s="174">
        <v>55</v>
      </c>
      <c r="D120" s="175">
        <v>2559569</v>
      </c>
      <c r="E120" s="174">
        <v>80</v>
      </c>
      <c r="F120" s="175">
        <v>7014410</v>
      </c>
      <c r="G120" s="174">
        <v>102</v>
      </c>
      <c r="H120" s="175">
        <v>6286009</v>
      </c>
      <c r="I120" s="174">
        <v>136</v>
      </c>
      <c r="J120" s="175">
        <v>3143607</v>
      </c>
      <c r="K120" s="174"/>
      <c r="L120" s="175"/>
      <c r="M120" s="174"/>
      <c r="N120" s="175"/>
      <c r="O120" s="174"/>
      <c r="P120" s="175"/>
      <c r="Q120" s="174"/>
      <c r="R120" s="175"/>
      <c r="S120" s="174"/>
      <c r="T120" s="176"/>
    </row>
    <row r="121" spans="2:20" ht="36" customHeight="1" x14ac:dyDescent="0.3">
      <c r="B121" s="173" t="s">
        <v>464</v>
      </c>
      <c r="C121" s="174">
        <v>56</v>
      </c>
      <c r="D121" s="175">
        <v>2559624</v>
      </c>
      <c r="E121" s="174">
        <v>83</v>
      </c>
      <c r="F121" s="175">
        <v>7014490</v>
      </c>
      <c r="G121" s="174">
        <v>103</v>
      </c>
      <c r="H121" s="175">
        <v>6286111</v>
      </c>
      <c r="I121" s="174">
        <v>133</v>
      </c>
      <c r="J121" s="175">
        <v>3143743</v>
      </c>
      <c r="K121" s="174"/>
      <c r="L121" s="175"/>
      <c r="M121" s="174"/>
      <c r="N121" s="175"/>
      <c r="O121" s="174"/>
      <c r="P121" s="175"/>
      <c r="Q121" s="174"/>
      <c r="R121" s="175"/>
      <c r="S121" s="174"/>
      <c r="T121" s="176"/>
    </row>
    <row r="122" spans="2:20" ht="36" customHeight="1" x14ac:dyDescent="0.3">
      <c r="B122" s="173" t="s">
        <v>465</v>
      </c>
      <c r="C122" s="174">
        <v>59</v>
      </c>
      <c r="D122" s="175">
        <v>2559680</v>
      </c>
      <c r="E122" s="174">
        <v>90</v>
      </c>
      <c r="F122" s="175">
        <v>7014573</v>
      </c>
      <c r="G122" s="174">
        <v>96</v>
      </c>
      <c r="H122" s="175">
        <v>6286214</v>
      </c>
      <c r="I122" s="174">
        <v>136</v>
      </c>
      <c r="J122" s="175">
        <v>3143876</v>
      </c>
      <c r="K122" s="174"/>
      <c r="L122" s="175"/>
      <c r="M122" s="174"/>
      <c r="N122" s="175"/>
      <c r="O122" s="174"/>
      <c r="P122" s="175"/>
      <c r="Q122" s="174"/>
      <c r="R122" s="175"/>
      <c r="S122" s="174"/>
      <c r="T122" s="176"/>
    </row>
    <row r="123" spans="2:20" ht="36" customHeight="1" x14ac:dyDescent="0.3">
      <c r="B123" s="173" t="s">
        <v>466</v>
      </c>
      <c r="C123" s="174">
        <v>59</v>
      </c>
      <c r="D123" s="175">
        <v>2559739</v>
      </c>
      <c r="E123" s="174">
        <v>96</v>
      </c>
      <c r="F123" s="175">
        <v>7014663</v>
      </c>
      <c r="G123" s="174">
        <v>93</v>
      </c>
      <c r="H123" s="175">
        <v>6286310</v>
      </c>
      <c r="I123" s="174">
        <v>137</v>
      </c>
      <c r="J123" s="175">
        <v>3144012</v>
      </c>
      <c r="K123" s="174"/>
      <c r="L123" s="175"/>
      <c r="M123" s="174"/>
      <c r="N123" s="175"/>
      <c r="O123" s="174"/>
      <c r="P123" s="175"/>
      <c r="Q123" s="174"/>
      <c r="R123" s="175"/>
      <c r="S123" s="174"/>
      <c r="T123" s="176"/>
    </row>
    <row r="124" spans="2:20" ht="36" customHeight="1" x14ac:dyDescent="0.3">
      <c r="B124" s="173" t="s">
        <v>467</v>
      </c>
      <c r="C124" s="174">
        <v>55</v>
      </c>
      <c r="D124" s="175">
        <v>2559798</v>
      </c>
      <c r="E124" s="174">
        <v>89</v>
      </c>
      <c r="F124" s="175">
        <v>7014759</v>
      </c>
      <c r="G124" s="174">
        <v>88</v>
      </c>
      <c r="H124" s="175">
        <v>6286403</v>
      </c>
      <c r="I124" s="174">
        <v>138</v>
      </c>
      <c r="J124" s="175">
        <v>3144149</v>
      </c>
      <c r="K124" s="174"/>
      <c r="L124" s="175"/>
      <c r="M124" s="174"/>
      <c r="N124" s="175"/>
      <c r="O124" s="174"/>
      <c r="P124" s="175"/>
      <c r="Q124" s="174"/>
      <c r="R124" s="175"/>
      <c r="S124" s="174"/>
      <c r="T124" s="176"/>
    </row>
    <row r="125" spans="2:20" ht="36" customHeight="1" x14ac:dyDescent="0.3">
      <c r="B125" s="173" t="s">
        <v>468</v>
      </c>
      <c r="C125" s="174">
        <v>50</v>
      </c>
      <c r="D125" s="175">
        <v>2559853</v>
      </c>
      <c r="E125" s="174">
        <v>86</v>
      </c>
      <c r="F125" s="175">
        <v>7014848</v>
      </c>
      <c r="G125" s="174">
        <v>79</v>
      </c>
      <c r="H125" s="175">
        <v>6286491</v>
      </c>
      <c r="I125" s="174">
        <v>138</v>
      </c>
      <c r="J125" s="175">
        <v>3144287</v>
      </c>
      <c r="K125" s="174"/>
      <c r="L125" s="175"/>
      <c r="M125" s="174"/>
      <c r="N125" s="175"/>
      <c r="O125" s="174"/>
      <c r="P125" s="175"/>
      <c r="Q125" s="174"/>
      <c r="R125" s="175"/>
      <c r="S125" s="174"/>
      <c r="T125" s="176"/>
    </row>
    <row r="126" spans="2:20" ht="36" customHeight="1" x14ac:dyDescent="0.3">
      <c r="B126" s="173" t="s">
        <v>469</v>
      </c>
      <c r="C126" s="174">
        <v>47</v>
      </c>
      <c r="D126" s="175">
        <v>2559903</v>
      </c>
      <c r="E126" s="174">
        <v>76</v>
      </c>
      <c r="F126" s="175">
        <v>7014934</v>
      </c>
      <c r="G126" s="174">
        <v>76</v>
      </c>
      <c r="H126" s="175">
        <v>6286570</v>
      </c>
      <c r="I126" s="174">
        <v>135</v>
      </c>
      <c r="J126" s="175">
        <v>3144425</v>
      </c>
      <c r="K126" s="174"/>
      <c r="L126" s="175"/>
      <c r="M126" s="174"/>
      <c r="N126" s="175"/>
      <c r="O126" s="174"/>
      <c r="P126" s="175"/>
      <c r="Q126" s="174"/>
      <c r="R126" s="175"/>
      <c r="S126" s="174"/>
      <c r="T126" s="176"/>
    </row>
    <row r="127" spans="2:20" ht="36" customHeight="1" x14ac:dyDescent="0.3">
      <c r="B127" s="173" t="s">
        <v>470</v>
      </c>
      <c r="C127" s="174">
        <v>43</v>
      </c>
      <c r="D127" s="175">
        <v>2559950</v>
      </c>
      <c r="E127" s="174">
        <v>67</v>
      </c>
      <c r="F127" s="175">
        <v>7015010</v>
      </c>
      <c r="G127" s="174">
        <v>67</v>
      </c>
      <c r="H127" s="175">
        <v>6286646</v>
      </c>
      <c r="I127" s="174">
        <v>130</v>
      </c>
      <c r="J127" s="175">
        <v>3144560</v>
      </c>
      <c r="K127" s="174"/>
      <c r="L127" s="175"/>
      <c r="M127" s="174"/>
      <c r="N127" s="175"/>
      <c r="O127" s="174"/>
      <c r="P127" s="175"/>
      <c r="Q127" s="174"/>
      <c r="R127" s="175"/>
      <c r="S127" s="174"/>
      <c r="T127" s="176"/>
    </row>
    <row r="128" spans="2:20" ht="36" customHeight="1" thickBot="1" x14ac:dyDescent="0.35">
      <c r="B128" s="177" t="s">
        <v>471</v>
      </c>
      <c r="C128" s="178">
        <v>39</v>
      </c>
      <c r="D128" s="179">
        <v>2559993</v>
      </c>
      <c r="E128" s="178">
        <v>63</v>
      </c>
      <c r="F128" s="179">
        <v>7015077</v>
      </c>
      <c r="G128" s="178">
        <v>62</v>
      </c>
      <c r="H128" s="179">
        <v>6286713</v>
      </c>
      <c r="I128" s="178">
        <v>124</v>
      </c>
      <c r="J128" s="179">
        <v>3144690</v>
      </c>
      <c r="K128" s="178"/>
      <c r="L128" s="179"/>
      <c r="M128" s="178"/>
      <c r="N128" s="179"/>
      <c r="O128" s="178"/>
      <c r="P128" s="179"/>
      <c r="Q128" s="178"/>
      <c r="R128" s="179"/>
      <c r="S128" s="178"/>
      <c r="T128" s="180"/>
    </row>
    <row r="129" spans="2:20" ht="36" customHeight="1" thickTop="1" x14ac:dyDescent="0.3">
      <c r="B129" s="181" t="s">
        <v>472</v>
      </c>
      <c r="C129" s="182">
        <f t="shared" ref="C129:T129" si="6">MIN(C105:C128)</f>
        <v>28</v>
      </c>
      <c r="D129" s="182">
        <f t="shared" si="6"/>
        <v>2558918</v>
      </c>
      <c r="E129" s="182">
        <f t="shared" si="6"/>
        <v>27</v>
      </c>
      <c r="F129" s="182">
        <f t="shared" si="6"/>
        <v>7013504</v>
      </c>
      <c r="G129" s="182">
        <f t="shared" si="6"/>
        <v>54</v>
      </c>
      <c r="H129" s="182">
        <f t="shared" si="6"/>
        <v>6284809</v>
      </c>
      <c r="I129" s="182">
        <f t="shared" si="6"/>
        <v>114</v>
      </c>
      <c r="J129" s="182">
        <f t="shared" si="6"/>
        <v>3141679</v>
      </c>
      <c r="K129" s="182">
        <f t="shared" si="6"/>
        <v>0</v>
      </c>
      <c r="L129" s="182">
        <f t="shared" si="6"/>
        <v>0</v>
      </c>
      <c r="M129" s="182">
        <f t="shared" si="6"/>
        <v>0</v>
      </c>
      <c r="N129" s="182">
        <f t="shared" si="6"/>
        <v>0</v>
      </c>
      <c r="O129" s="182">
        <f t="shared" si="6"/>
        <v>0</v>
      </c>
      <c r="P129" s="182">
        <f t="shared" si="6"/>
        <v>0</v>
      </c>
      <c r="Q129" s="182">
        <f t="shared" si="6"/>
        <v>0</v>
      </c>
      <c r="R129" s="182">
        <f t="shared" si="6"/>
        <v>0</v>
      </c>
      <c r="S129" s="182">
        <f t="shared" si="6"/>
        <v>0</v>
      </c>
      <c r="T129" s="183">
        <f t="shared" si="6"/>
        <v>0</v>
      </c>
    </row>
    <row r="130" spans="2:20" ht="36" customHeight="1" x14ac:dyDescent="0.3">
      <c r="B130" s="173" t="s">
        <v>473</v>
      </c>
      <c r="C130" s="182">
        <f t="shared" ref="C130:T130" si="7">MAX(C105:C128)</f>
        <v>63</v>
      </c>
      <c r="D130" s="182">
        <f t="shared" si="7"/>
        <v>2559993</v>
      </c>
      <c r="E130" s="182">
        <f t="shared" si="7"/>
        <v>101</v>
      </c>
      <c r="F130" s="182">
        <f t="shared" si="7"/>
        <v>7015077</v>
      </c>
      <c r="G130" s="182">
        <f t="shared" si="7"/>
        <v>116</v>
      </c>
      <c r="H130" s="182">
        <f t="shared" si="7"/>
        <v>6286713</v>
      </c>
      <c r="I130" s="182">
        <f t="shared" si="7"/>
        <v>146</v>
      </c>
      <c r="J130" s="182">
        <f t="shared" si="7"/>
        <v>3144690</v>
      </c>
      <c r="K130" s="182">
        <f t="shared" si="7"/>
        <v>0</v>
      </c>
      <c r="L130" s="182">
        <f t="shared" si="7"/>
        <v>0</v>
      </c>
      <c r="M130" s="182">
        <f t="shared" si="7"/>
        <v>0</v>
      </c>
      <c r="N130" s="182">
        <f t="shared" si="7"/>
        <v>0</v>
      </c>
      <c r="O130" s="182">
        <f t="shared" si="7"/>
        <v>0</v>
      </c>
      <c r="P130" s="182">
        <f t="shared" si="7"/>
        <v>0</v>
      </c>
      <c r="Q130" s="182">
        <f t="shared" si="7"/>
        <v>0</v>
      </c>
      <c r="R130" s="182">
        <f t="shared" si="7"/>
        <v>0</v>
      </c>
      <c r="S130" s="182">
        <f t="shared" si="7"/>
        <v>0</v>
      </c>
      <c r="T130" s="183">
        <f t="shared" si="7"/>
        <v>0</v>
      </c>
    </row>
    <row r="131" spans="2:20" ht="36" customHeight="1" x14ac:dyDescent="0.3">
      <c r="B131" s="173" t="s">
        <v>474</v>
      </c>
      <c r="C131" s="182">
        <f>AVERAGE(C105:C128)</f>
        <v>46.416666666666664</v>
      </c>
      <c r="D131" s="184"/>
      <c r="E131" s="182">
        <f>AVERAGE(E105:E128)</f>
        <v>68.166666666666671</v>
      </c>
      <c r="F131" s="184"/>
      <c r="G131" s="182">
        <f>AVERAGE(G105:G128)</f>
        <v>81.916666666666671</v>
      </c>
      <c r="H131" s="184"/>
      <c r="I131" s="182">
        <f>AVERAGE(I105:I128)</f>
        <v>130.625</v>
      </c>
      <c r="J131" s="184"/>
      <c r="K131" s="182" t="e">
        <f>AVERAGE(K105:K128)</f>
        <v>#DIV/0!</v>
      </c>
      <c r="L131" s="184"/>
      <c r="M131" s="182" t="e">
        <f>AVERAGE(M105:M128)</f>
        <v>#DIV/0!</v>
      </c>
      <c r="N131" s="184"/>
      <c r="O131" s="182" t="e">
        <f>AVERAGE(O105:O128)</f>
        <v>#DIV/0!</v>
      </c>
      <c r="P131" s="184"/>
      <c r="Q131" s="182" t="e">
        <f>AVERAGE(Q105:Q128)</f>
        <v>#DIV/0!</v>
      </c>
      <c r="R131" s="184"/>
      <c r="S131" s="182" t="e">
        <f>AVERAGE(S105:S128)</f>
        <v>#DIV/0!</v>
      </c>
      <c r="T131" s="185"/>
    </row>
    <row r="132" spans="2:20" ht="36" customHeight="1" thickBot="1" x14ac:dyDescent="0.35">
      <c r="B132" s="186" t="s">
        <v>475</v>
      </c>
      <c r="C132" s="187">
        <f>SUM(C105:C128)</f>
        <v>1114</v>
      </c>
      <c r="D132" s="188"/>
      <c r="E132" s="187">
        <f>SUM(E105:E128)</f>
        <v>1636</v>
      </c>
      <c r="F132" s="188"/>
      <c r="G132" s="187">
        <f>SUM(G105:G128)</f>
        <v>1966</v>
      </c>
      <c r="H132" s="188"/>
      <c r="I132" s="187">
        <f>SUM(I105:I128)</f>
        <v>3135</v>
      </c>
      <c r="J132" s="188"/>
      <c r="K132" s="187">
        <f>SUM(K105:K128)</f>
        <v>0</v>
      </c>
      <c r="L132" s="188"/>
      <c r="M132" s="187">
        <f>SUM(M105:M128)</f>
        <v>0</v>
      </c>
      <c r="N132" s="188"/>
      <c r="O132" s="187">
        <f>SUM(O105:O128)</f>
        <v>0</v>
      </c>
      <c r="P132" s="188"/>
      <c r="Q132" s="187">
        <f>SUM(Q105:Q128)</f>
        <v>0</v>
      </c>
      <c r="R132" s="188"/>
      <c r="S132" s="187">
        <f>SUM(S105:S128)</f>
        <v>0</v>
      </c>
      <c r="T132" s="189"/>
    </row>
    <row r="133" spans="2:20" ht="9.9499999999999993" customHeight="1" x14ac:dyDescent="0.3"/>
  </sheetData>
  <mergeCells count="48">
    <mergeCell ref="B2:T2"/>
    <mergeCell ref="C3:T3"/>
    <mergeCell ref="B4:B5"/>
    <mergeCell ref="C4:D4"/>
    <mergeCell ref="E4:F4"/>
    <mergeCell ref="G4:H4"/>
    <mergeCell ref="I4:J4"/>
    <mergeCell ref="K4:L4"/>
    <mergeCell ref="M4:N4"/>
    <mergeCell ref="O4:P4"/>
    <mergeCell ref="C69:T69"/>
    <mergeCell ref="Q4:R4"/>
    <mergeCell ref="S4:T4"/>
    <mergeCell ref="B35:T35"/>
    <mergeCell ref="C36:T36"/>
    <mergeCell ref="B37:B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B68:T68"/>
    <mergeCell ref="C102:T102"/>
    <mergeCell ref="B70:B71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B101:T101"/>
    <mergeCell ref="M103:N103"/>
    <mergeCell ref="O103:P103"/>
    <mergeCell ref="Q103:R103"/>
    <mergeCell ref="S103:T103"/>
    <mergeCell ref="B103:B104"/>
    <mergeCell ref="C103:D103"/>
    <mergeCell ref="E103:F103"/>
    <mergeCell ref="G103:H103"/>
    <mergeCell ref="I103:J103"/>
    <mergeCell ref="K103:L103"/>
  </mergeCells>
  <phoneticPr fontId="1" type="noConversion"/>
  <printOptions horizontalCentered="1" verticalCentered="1"/>
  <pageMargins left="0.25" right="0.25" top="0.75" bottom="0.75" header="0.3" footer="0.3"/>
  <pageSetup paperSize="9" scale="38" fitToHeight="2" orientation="landscape" r:id="rId1"/>
  <rowBreaks count="3" manualBreakCount="3">
    <brk id="34" max="20" man="1"/>
    <brk id="67" max="20" man="1"/>
    <brk id="100" max="2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9AC6-484E-40EE-AF67-7FD6ACE7F234}">
  <sheetPr>
    <tabColor theme="5"/>
  </sheetPr>
  <dimension ref="A1:DC7"/>
  <sheetViews>
    <sheetView view="pageBreakPreview" topLeftCell="AR1" zoomScale="55" zoomScaleNormal="55" zoomScaleSheetLayoutView="55" workbookViewId="0">
      <selection activeCell="BI5" sqref="BI5"/>
    </sheetView>
  </sheetViews>
  <sheetFormatPr defaultColWidth="9" defaultRowHeight="16.5" x14ac:dyDescent="0.3"/>
  <cols>
    <col min="1" max="1" width="32.375" style="161" bestFit="1" customWidth="1"/>
    <col min="2" max="2" width="22" style="161" bestFit="1" customWidth="1"/>
    <col min="3" max="107" width="20.625" style="161" customWidth="1"/>
    <col min="108" max="251" width="9" style="161"/>
    <col min="252" max="252" width="1.625" style="161" customWidth="1"/>
    <col min="253" max="253" width="9.625" style="161" customWidth="1"/>
    <col min="254" max="271" width="15.75" style="161" customWidth="1"/>
    <col min="272" max="272" width="1.625" style="161" customWidth="1"/>
    <col min="273" max="507" width="9" style="161"/>
    <col min="508" max="508" width="1.625" style="161" customWidth="1"/>
    <col min="509" max="509" width="9.625" style="161" customWidth="1"/>
    <col min="510" max="527" width="15.75" style="161" customWidth="1"/>
    <col min="528" max="528" width="1.625" style="161" customWidth="1"/>
    <col min="529" max="763" width="9" style="161"/>
    <col min="764" max="764" width="1.625" style="161" customWidth="1"/>
    <col min="765" max="765" width="9.625" style="161" customWidth="1"/>
    <col min="766" max="783" width="15.75" style="161" customWidth="1"/>
    <col min="784" max="784" width="1.625" style="161" customWidth="1"/>
    <col min="785" max="1019" width="9" style="161"/>
    <col min="1020" max="1020" width="1.625" style="161" customWidth="1"/>
    <col min="1021" max="1021" width="9.625" style="161" customWidth="1"/>
    <col min="1022" max="1039" width="15.75" style="161" customWidth="1"/>
    <col min="1040" max="1040" width="1.625" style="161" customWidth="1"/>
    <col min="1041" max="1275" width="9" style="161"/>
    <col min="1276" max="1276" width="1.625" style="161" customWidth="1"/>
    <col min="1277" max="1277" width="9.625" style="161" customWidth="1"/>
    <col min="1278" max="1295" width="15.75" style="161" customWidth="1"/>
    <col min="1296" max="1296" width="1.625" style="161" customWidth="1"/>
    <col min="1297" max="1531" width="9" style="161"/>
    <col min="1532" max="1532" width="1.625" style="161" customWidth="1"/>
    <col min="1533" max="1533" width="9.625" style="161" customWidth="1"/>
    <col min="1534" max="1551" width="15.75" style="161" customWidth="1"/>
    <col min="1552" max="1552" width="1.625" style="161" customWidth="1"/>
    <col min="1553" max="1787" width="9" style="161"/>
    <col min="1788" max="1788" width="1.625" style="161" customWidth="1"/>
    <col min="1789" max="1789" width="9.625" style="161" customWidth="1"/>
    <col min="1790" max="1807" width="15.75" style="161" customWidth="1"/>
    <col min="1808" max="1808" width="1.625" style="161" customWidth="1"/>
    <col min="1809" max="2043" width="9" style="161"/>
    <col min="2044" max="2044" width="1.625" style="161" customWidth="1"/>
    <col min="2045" max="2045" width="9.625" style="161" customWidth="1"/>
    <col min="2046" max="2063" width="15.75" style="161" customWidth="1"/>
    <col min="2064" max="2064" width="1.625" style="161" customWidth="1"/>
    <col min="2065" max="2299" width="9" style="161"/>
    <col min="2300" max="2300" width="1.625" style="161" customWidth="1"/>
    <col min="2301" max="2301" width="9.625" style="161" customWidth="1"/>
    <col min="2302" max="2319" width="15.75" style="161" customWidth="1"/>
    <col min="2320" max="2320" width="1.625" style="161" customWidth="1"/>
    <col min="2321" max="2555" width="9" style="161"/>
    <col min="2556" max="2556" width="1.625" style="161" customWidth="1"/>
    <col min="2557" max="2557" width="9.625" style="161" customWidth="1"/>
    <col min="2558" max="2575" width="15.75" style="161" customWidth="1"/>
    <col min="2576" max="2576" width="1.625" style="161" customWidth="1"/>
    <col min="2577" max="2811" width="9" style="161"/>
    <col min="2812" max="2812" width="1.625" style="161" customWidth="1"/>
    <col min="2813" max="2813" width="9.625" style="161" customWidth="1"/>
    <col min="2814" max="2831" width="15.75" style="161" customWidth="1"/>
    <col min="2832" max="2832" width="1.625" style="161" customWidth="1"/>
    <col min="2833" max="3067" width="9" style="161"/>
    <col min="3068" max="3068" width="1.625" style="161" customWidth="1"/>
    <col min="3069" max="3069" width="9.625" style="161" customWidth="1"/>
    <col min="3070" max="3087" width="15.75" style="161" customWidth="1"/>
    <col min="3088" max="3088" width="1.625" style="161" customWidth="1"/>
    <col min="3089" max="3323" width="9" style="161"/>
    <col min="3324" max="3324" width="1.625" style="161" customWidth="1"/>
    <col min="3325" max="3325" width="9.625" style="161" customWidth="1"/>
    <col min="3326" max="3343" width="15.75" style="161" customWidth="1"/>
    <col min="3344" max="3344" width="1.625" style="161" customWidth="1"/>
    <col min="3345" max="3579" width="9" style="161"/>
    <col min="3580" max="3580" width="1.625" style="161" customWidth="1"/>
    <col min="3581" max="3581" width="9.625" style="161" customWidth="1"/>
    <col min="3582" max="3599" width="15.75" style="161" customWidth="1"/>
    <col min="3600" max="3600" width="1.625" style="161" customWidth="1"/>
    <col min="3601" max="3835" width="9" style="161"/>
    <col min="3836" max="3836" width="1.625" style="161" customWidth="1"/>
    <col min="3837" max="3837" width="9.625" style="161" customWidth="1"/>
    <col min="3838" max="3855" width="15.75" style="161" customWidth="1"/>
    <col min="3856" max="3856" width="1.625" style="161" customWidth="1"/>
    <col min="3857" max="4091" width="9" style="161"/>
    <col min="4092" max="4092" width="1.625" style="161" customWidth="1"/>
    <col min="4093" max="4093" width="9.625" style="161" customWidth="1"/>
    <col min="4094" max="4111" width="15.75" style="161" customWidth="1"/>
    <col min="4112" max="4112" width="1.625" style="161" customWidth="1"/>
    <col min="4113" max="4347" width="9" style="161"/>
    <col min="4348" max="4348" width="1.625" style="161" customWidth="1"/>
    <col min="4349" max="4349" width="9.625" style="161" customWidth="1"/>
    <col min="4350" max="4367" width="15.75" style="161" customWidth="1"/>
    <col min="4368" max="4368" width="1.625" style="161" customWidth="1"/>
    <col min="4369" max="4603" width="9" style="161"/>
    <col min="4604" max="4604" width="1.625" style="161" customWidth="1"/>
    <col min="4605" max="4605" width="9.625" style="161" customWidth="1"/>
    <col min="4606" max="4623" width="15.75" style="161" customWidth="1"/>
    <col min="4624" max="4624" width="1.625" style="161" customWidth="1"/>
    <col min="4625" max="4859" width="9" style="161"/>
    <col min="4860" max="4860" width="1.625" style="161" customWidth="1"/>
    <col min="4861" max="4861" width="9.625" style="161" customWidth="1"/>
    <col min="4862" max="4879" width="15.75" style="161" customWidth="1"/>
    <col min="4880" max="4880" width="1.625" style="161" customWidth="1"/>
    <col min="4881" max="5115" width="9" style="161"/>
    <col min="5116" max="5116" width="1.625" style="161" customWidth="1"/>
    <col min="5117" max="5117" width="9.625" style="161" customWidth="1"/>
    <col min="5118" max="5135" width="15.75" style="161" customWidth="1"/>
    <col min="5136" max="5136" width="1.625" style="161" customWidth="1"/>
    <col min="5137" max="5371" width="9" style="161"/>
    <col min="5372" max="5372" width="1.625" style="161" customWidth="1"/>
    <col min="5373" max="5373" width="9.625" style="161" customWidth="1"/>
    <col min="5374" max="5391" width="15.75" style="161" customWidth="1"/>
    <col min="5392" max="5392" width="1.625" style="161" customWidth="1"/>
    <col min="5393" max="5627" width="9" style="161"/>
    <col min="5628" max="5628" width="1.625" style="161" customWidth="1"/>
    <col min="5629" max="5629" width="9.625" style="161" customWidth="1"/>
    <col min="5630" max="5647" width="15.75" style="161" customWidth="1"/>
    <col min="5648" max="5648" width="1.625" style="161" customWidth="1"/>
    <col min="5649" max="5883" width="9" style="161"/>
    <col min="5884" max="5884" width="1.625" style="161" customWidth="1"/>
    <col min="5885" max="5885" width="9.625" style="161" customWidth="1"/>
    <col min="5886" max="5903" width="15.75" style="161" customWidth="1"/>
    <col min="5904" max="5904" width="1.625" style="161" customWidth="1"/>
    <col min="5905" max="6139" width="9" style="161"/>
    <col min="6140" max="6140" width="1.625" style="161" customWidth="1"/>
    <col min="6141" max="6141" width="9.625" style="161" customWidth="1"/>
    <col min="6142" max="6159" width="15.75" style="161" customWidth="1"/>
    <col min="6160" max="6160" width="1.625" style="161" customWidth="1"/>
    <col min="6161" max="6395" width="9" style="161"/>
    <col min="6396" max="6396" width="1.625" style="161" customWidth="1"/>
    <col min="6397" max="6397" width="9.625" style="161" customWidth="1"/>
    <col min="6398" max="6415" width="15.75" style="161" customWidth="1"/>
    <col min="6416" max="6416" width="1.625" style="161" customWidth="1"/>
    <col min="6417" max="6651" width="9" style="161"/>
    <col min="6652" max="6652" width="1.625" style="161" customWidth="1"/>
    <col min="6653" max="6653" width="9.625" style="161" customWidth="1"/>
    <col min="6654" max="6671" width="15.75" style="161" customWidth="1"/>
    <col min="6672" max="6672" width="1.625" style="161" customWidth="1"/>
    <col min="6673" max="6907" width="9" style="161"/>
    <col min="6908" max="6908" width="1.625" style="161" customWidth="1"/>
    <col min="6909" max="6909" width="9.625" style="161" customWidth="1"/>
    <col min="6910" max="6927" width="15.75" style="161" customWidth="1"/>
    <col min="6928" max="6928" width="1.625" style="161" customWidth="1"/>
    <col min="6929" max="7163" width="9" style="161"/>
    <col min="7164" max="7164" width="1.625" style="161" customWidth="1"/>
    <col min="7165" max="7165" width="9.625" style="161" customWidth="1"/>
    <col min="7166" max="7183" width="15.75" style="161" customWidth="1"/>
    <col min="7184" max="7184" width="1.625" style="161" customWidth="1"/>
    <col min="7185" max="7419" width="9" style="161"/>
    <col min="7420" max="7420" width="1.625" style="161" customWidth="1"/>
    <col min="7421" max="7421" width="9.625" style="161" customWidth="1"/>
    <col min="7422" max="7439" width="15.75" style="161" customWidth="1"/>
    <col min="7440" max="7440" width="1.625" style="161" customWidth="1"/>
    <col min="7441" max="7675" width="9" style="161"/>
    <col min="7676" max="7676" width="1.625" style="161" customWidth="1"/>
    <col min="7677" max="7677" width="9.625" style="161" customWidth="1"/>
    <col min="7678" max="7695" width="15.75" style="161" customWidth="1"/>
    <col min="7696" max="7696" width="1.625" style="161" customWidth="1"/>
    <col min="7697" max="7931" width="9" style="161"/>
    <col min="7932" max="7932" width="1.625" style="161" customWidth="1"/>
    <col min="7933" max="7933" width="9.625" style="161" customWidth="1"/>
    <col min="7934" max="7951" width="15.75" style="161" customWidth="1"/>
    <col min="7952" max="7952" width="1.625" style="161" customWidth="1"/>
    <col min="7953" max="8187" width="9" style="161"/>
    <col min="8188" max="8188" width="1.625" style="161" customWidth="1"/>
    <col min="8189" max="8189" width="9.625" style="161" customWidth="1"/>
    <col min="8190" max="8207" width="15.75" style="161" customWidth="1"/>
    <col min="8208" max="8208" width="1.625" style="161" customWidth="1"/>
    <col min="8209" max="8443" width="9" style="161"/>
    <col min="8444" max="8444" width="1.625" style="161" customWidth="1"/>
    <col min="8445" max="8445" width="9.625" style="161" customWidth="1"/>
    <col min="8446" max="8463" width="15.75" style="161" customWidth="1"/>
    <col min="8464" max="8464" width="1.625" style="161" customWidth="1"/>
    <col min="8465" max="8699" width="9" style="161"/>
    <col min="8700" max="8700" width="1.625" style="161" customWidth="1"/>
    <col min="8701" max="8701" width="9.625" style="161" customWidth="1"/>
    <col min="8702" max="8719" width="15.75" style="161" customWidth="1"/>
    <col min="8720" max="8720" width="1.625" style="161" customWidth="1"/>
    <col min="8721" max="8955" width="9" style="161"/>
    <col min="8956" max="8956" width="1.625" style="161" customWidth="1"/>
    <col min="8957" max="8957" width="9.625" style="161" customWidth="1"/>
    <col min="8958" max="8975" width="15.75" style="161" customWidth="1"/>
    <col min="8976" max="8976" width="1.625" style="161" customWidth="1"/>
    <col min="8977" max="9211" width="9" style="161"/>
    <col min="9212" max="9212" width="1.625" style="161" customWidth="1"/>
    <col min="9213" max="9213" width="9.625" style="161" customWidth="1"/>
    <col min="9214" max="9231" width="15.75" style="161" customWidth="1"/>
    <col min="9232" max="9232" width="1.625" style="161" customWidth="1"/>
    <col min="9233" max="9467" width="9" style="161"/>
    <col min="9468" max="9468" width="1.625" style="161" customWidth="1"/>
    <col min="9469" max="9469" width="9.625" style="161" customWidth="1"/>
    <col min="9470" max="9487" width="15.75" style="161" customWidth="1"/>
    <col min="9488" max="9488" width="1.625" style="161" customWidth="1"/>
    <col min="9489" max="9723" width="9" style="161"/>
    <col min="9724" max="9724" width="1.625" style="161" customWidth="1"/>
    <col min="9725" max="9725" width="9.625" style="161" customWidth="1"/>
    <col min="9726" max="9743" width="15.75" style="161" customWidth="1"/>
    <col min="9744" max="9744" width="1.625" style="161" customWidth="1"/>
    <col min="9745" max="9979" width="9" style="161"/>
    <col min="9980" max="9980" width="1.625" style="161" customWidth="1"/>
    <col min="9981" max="9981" width="9.625" style="161" customWidth="1"/>
    <col min="9982" max="9999" width="15.75" style="161" customWidth="1"/>
    <col min="10000" max="10000" width="1.625" style="161" customWidth="1"/>
    <col min="10001" max="10235" width="9" style="161"/>
    <col min="10236" max="10236" width="1.625" style="161" customWidth="1"/>
    <col min="10237" max="10237" width="9.625" style="161" customWidth="1"/>
    <col min="10238" max="10255" width="15.75" style="161" customWidth="1"/>
    <col min="10256" max="10256" width="1.625" style="161" customWidth="1"/>
    <col min="10257" max="10491" width="9" style="161"/>
    <col min="10492" max="10492" width="1.625" style="161" customWidth="1"/>
    <col min="10493" max="10493" width="9.625" style="161" customWidth="1"/>
    <col min="10494" max="10511" width="15.75" style="161" customWidth="1"/>
    <col min="10512" max="10512" width="1.625" style="161" customWidth="1"/>
    <col min="10513" max="10747" width="9" style="161"/>
    <col min="10748" max="10748" width="1.625" style="161" customWidth="1"/>
    <col min="10749" max="10749" width="9.625" style="161" customWidth="1"/>
    <col min="10750" max="10767" width="15.75" style="161" customWidth="1"/>
    <col min="10768" max="10768" width="1.625" style="161" customWidth="1"/>
    <col min="10769" max="11003" width="9" style="161"/>
    <col min="11004" max="11004" width="1.625" style="161" customWidth="1"/>
    <col min="11005" max="11005" width="9.625" style="161" customWidth="1"/>
    <col min="11006" max="11023" width="15.75" style="161" customWidth="1"/>
    <col min="11024" max="11024" width="1.625" style="161" customWidth="1"/>
    <col min="11025" max="11259" width="9" style="161"/>
    <col min="11260" max="11260" width="1.625" style="161" customWidth="1"/>
    <col min="11261" max="11261" width="9.625" style="161" customWidth="1"/>
    <col min="11262" max="11279" width="15.75" style="161" customWidth="1"/>
    <col min="11280" max="11280" width="1.625" style="161" customWidth="1"/>
    <col min="11281" max="11515" width="9" style="161"/>
    <col min="11516" max="11516" width="1.625" style="161" customWidth="1"/>
    <col min="11517" max="11517" width="9.625" style="161" customWidth="1"/>
    <col min="11518" max="11535" width="15.75" style="161" customWidth="1"/>
    <col min="11536" max="11536" width="1.625" style="161" customWidth="1"/>
    <col min="11537" max="11771" width="9" style="161"/>
    <col min="11772" max="11772" width="1.625" style="161" customWidth="1"/>
    <col min="11773" max="11773" width="9.625" style="161" customWidth="1"/>
    <col min="11774" max="11791" width="15.75" style="161" customWidth="1"/>
    <col min="11792" max="11792" width="1.625" style="161" customWidth="1"/>
    <col min="11793" max="12027" width="9" style="161"/>
    <col min="12028" max="12028" width="1.625" style="161" customWidth="1"/>
    <col min="12029" max="12029" width="9.625" style="161" customWidth="1"/>
    <col min="12030" max="12047" width="15.75" style="161" customWidth="1"/>
    <col min="12048" max="12048" width="1.625" style="161" customWidth="1"/>
    <col min="12049" max="12283" width="9" style="161"/>
    <col min="12284" max="12284" width="1.625" style="161" customWidth="1"/>
    <col min="12285" max="12285" width="9.625" style="161" customWidth="1"/>
    <col min="12286" max="12303" width="15.75" style="161" customWidth="1"/>
    <col min="12304" max="12304" width="1.625" style="161" customWidth="1"/>
    <col min="12305" max="12539" width="9" style="161"/>
    <col min="12540" max="12540" width="1.625" style="161" customWidth="1"/>
    <col min="12541" max="12541" width="9.625" style="161" customWidth="1"/>
    <col min="12542" max="12559" width="15.75" style="161" customWidth="1"/>
    <col min="12560" max="12560" width="1.625" style="161" customWidth="1"/>
    <col min="12561" max="12795" width="9" style="161"/>
    <col min="12796" max="12796" width="1.625" style="161" customWidth="1"/>
    <col min="12797" max="12797" width="9.625" style="161" customWidth="1"/>
    <col min="12798" max="12815" width="15.75" style="161" customWidth="1"/>
    <col min="12816" max="12816" width="1.625" style="161" customWidth="1"/>
    <col min="12817" max="13051" width="9" style="161"/>
    <col min="13052" max="13052" width="1.625" style="161" customWidth="1"/>
    <col min="13053" max="13053" width="9.625" style="161" customWidth="1"/>
    <col min="13054" max="13071" width="15.75" style="161" customWidth="1"/>
    <col min="13072" max="13072" width="1.625" style="161" customWidth="1"/>
    <col min="13073" max="13307" width="9" style="161"/>
    <col min="13308" max="13308" width="1.625" style="161" customWidth="1"/>
    <col min="13309" max="13309" width="9.625" style="161" customWidth="1"/>
    <col min="13310" max="13327" width="15.75" style="161" customWidth="1"/>
    <col min="13328" max="13328" width="1.625" style="161" customWidth="1"/>
    <col min="13329" max="13563" width="9" style="161"/>
    <col min="13564" max="13564" width="1.625" style="161" customWidth="1"/>
    <col min="13565" max="13565" width="9.625" style="161" customWidth="1"/>
    <col min="13566" max="13583" width="15.75" style="161" customWidth="1"/>
    <col min="13584" max="13584" width="1.625" style="161" customWidth="1"/>
    <col min="13585" max="13819" width="9" style="161"/>
    <col min="13820" max="13820" width="1.625" style="161" customWidth="1"/>
    <col min="13821" max="13821" width="9.625" style="161" customWidth="1"/>
    <col min="13822" max="13839" width="15.75" style="161" customWidth="1"/>
    <col min="13840" max="13840" width="1.625" style="161" customWidth="1"/>
    <col min="13841" max="14075" width="9" style="161"/>
    <col min="14076" max="14076" width="1.625" style="161" customWidth="1"/>
    <col min="14077" max="14077" width="9.625" style="161" customWidth="1"/>
    <col min="14078" max="14095" width="15.75" style="161" customWidth="1"/>
    <col min="14096" max="14096" width="1.625" style="161" customWidth="1"/>
    <col min="14097" max="14331" width="9" style="161"/>
    <col min="14332" max="14332" width="1.625" style="161" customWidth="1"/>
    <col min="14333" max="14333" width="9.625" style="161" customWidth="1"/>
    <col min="14334" max="14351" width="15.75" style="161" customWidth="1"/>
    <col min="14352" max="14352" width="1.625" style="161" customWidth="1"/>
    <col min="14353" max="14587" width="9" style="161"/>
    <col min="14588" max="14588" width="1.625" style="161" customWidth="1"/>
    <col min="14589" max="14589" width="9.625" style="161" customWidth="1"/>
    <col min="14590" max="14607" width="15.75" style="161" customWidth="1"/>
    <col min="14608" max="14608" width="1.625" style="161" customWidth="1"/>
    <col min="14609" max="14843" width="9" style="161"/>
    <col min="14844" max="14844" width="1.625" style="161" customWidth="1"/>
    <col min="14845" max="14845" width="9.625" style="161" customWidth="1"/>
    <col min="14846" max="14863" width="15.75" style="161" customWidth="1"/>
    <col min="14864" max="14864" width="1.625" style="161" customWidth="1"/>
    <col min="14865" max="15099" width="9" style="161"/>
    <col min="15100" max="15100" width="1.625" style="161" customWidth="1"/>
    <col min="15101" max="15101" width="9.625" style="161" customWidth="1"/>
    <col min="15102" max="15119" width="15.75" style="161" customWidth="1"/>
    <col min="15120" max="15120" width="1.625" style="161" customWidth="1"/>
    <col min="15121" max="15355" width="9" style="161"/>
    <col min="15356" max="15356" width="1.625" style="161" customWidth="1"/>
    <col min="15357" max="15357" width="9.625" style="161" customWidth="1"/>
    <col min="15358" max="15375" width="15.75" style="161" customWidth="1"/>
    <col min="15376" max="15376" width="1.625" style="161" customWidth="1"/>
    <col min="15377" max="15611" width="9" style="161"/>
    <col min="15612" max="15612" width="1.625" style="161" customWidth="1"/>
    <col min="15613" max="15613" width="9.625" style="161" customWidth="1"/>
    <col min="15614" max="15631" width="15.75" style="161" customWidth="1"/>
    <col min="15632" max="15632" width="1.625" style="161" customWidth="1"/>
    <col min="15633" max="15867" width="9" style="161"/>
    <col min="15868" max="15868" width="1.625" style="161" customWidth="1"/>
    <col min="15869" max="15869" width="9.625" style="161" customWidth="1"/>
    <col min="15870" max="15887" width="15.75" style="161" customWidth="1"/>
    <col min="15888" max="15888" width="1.625" style="161" customWidth="1"/>
    <col min="15889" max="16123" width="9" style="161"/>
    <col min="16124" max="16124" width="1.625" style="161" customWidth="1"/>
    <col min="16125" max="16125" width="9.625" style="161" customWidth="1"/>
    <col min="16126" max="16143" width="15.75" style="161" customWidth="1"/>
    <col min="16144" max="16144" width="1.625" style="161" customWidth="1"/>
    <col min="16145" max="16384" width="9" style="161"/>
  </cols>
  <sheetData>
    <row r="1" spans="1:107" ht="9.9499999999999993" customHeight="1" x14ac:dyDescent="0.3"/>
    <row r="2" spans="1:107" s="164" customFormat="1" ht="36" customHeight="1" x14ac:dyDescent="0.3">
      <c r="B2" s="560" t="s">
        <v>650</v>
      </c>
      <c r="C2" s="561" t="s">
        <v>651</v>
      </c>
      <c r="D2" s="563" t="s">
        <v>167</v>
      </c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  <c r="R2" s="563"/>
      <c r="S2" s="563"/>
      <c r="T2" s="563"/>
      <c r="U2" s="563"/>
      <c r="V2" s="563"/>
      <c r="W2" s="554" t="s">
        <v>168</v>
      </c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  <c r="AM2" s="555"/>
      <c r="AN2" s="555"/>
      <c r="AO2" s="555"/>
      <c r="AP2" s="555"/>
      <c r="AQ2" s="556"/>
      <c r="AR2" s="551" t="s">
        <v>172</v>
      </c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41" t="s">
        <v>663</v>
      </c>
      <c r="BT2" s="541"/>
      <c r="BU2" s="541"/>
      <c r="BV2" s="541"/>
      <c r="BW2" s="541"/>
      <c r="BX2" s="541"/>
      <c r="BY2" s="541"/>
      <c r="BZ2" s="541"/>
      <c r="CA2" s="541"/>
      <c r="CB2" s="541"/>
      <c r="CC2" s="541"/>
      <c r="CD2" s="541"/>
      <c r="CE2" s="541"/>
      <c r="CF2" s="541"/>
      <c r="CG2" s="542" t="s">
        <v>303</v>
      </c>
      <c r="CH2" s="543"/>
      <c r="CI2" s="537" t="s">
        <v>180</v>
      </c>
      <c r="CJ2" s="537"/>
      <c r="CK2" s="537"/>
      <c r="CL2" s="537"/>
      <c r="CM2" s="543" t="s">
        <v>184</v>
      </c>
      <c r="CN2" s="543"/>
      <c r="CO2" s="541" t="s">
        <v>301</v>
      </c>
      <c r="CP2" s="541"/>
      <c r="CQ2" s="541"/>
      <c r="CR2" s="541"/>
      <c r="CS2" s="537" t="s">
        <v>304</v>
      </c>
      <c r="CT2" s="537"/>
      <c r="CU2" s="538" t="s">
        <v>420</v>
      </c>
      <c r="CV2" s="539"/>
      <c r="CW2" s="539"/>
      <c r="CX2" s="539"/>
      <c r="CY2" s="539"/>
      <c r="CZ2" s="539"/>
      <c r="DA2" s="539"/>
      <c r="DB2" s="539"/>
      <c r="DC2" s="540"/>
    </row>
    <row r="3" spans="1:107" s="165" customFormat="1" ht="27.95" customHeight="1" x14ac:dyDescent="0.3">
      <c r="B3" s="560"/>
      <c r="C3" s="561"/>
      <c r="D3" s="562" t="s">
        <v>504</v>
      </c>
      <c r="E3" s="564" t="s">
        <v>37</v>
      </c>
      <c r="F3" s="564"/>
      <c r="G3" s="553" t="s">
        <v>76</v>
      </c>
      <c r="H3" s="553"/>
      <c r="I3" s="553" t="s">
        <v>653</v>
      </c>
      <c r="J3" s="553"/>
      <c r="K3" s="553" t="s">
        <v>186</v>
      </c>
      <c r="L3" s="553"/>
      <c r="M3" s="553" t="s">
        <v>187</v>
      </c>
      <c r="N3" s="553"/>
      <c r="O3" s="564" t="s">
        <v>0</v>
      </c>
      <c r="P3" s="564"/>
      <c r="Q3" s="553" t="s">
        <v>395</v>
      </c>
      <c r="R3" s="553"/>
      <c r="S3" s="553" t="s">
        <v>396</v>
      </c>
      <c r="T3" s="553"/>
      <c r="U3" s="553" t="s">
        <v>654</v>
      </c>
      <c r="V3" s="553"/>
      <c r="W3" s="557" t="s">
        <v>505</v>
      </c>
      <c r="X3" s="559" t="s">
        <v>169</v>
      </c>
      <c r="Y3" s="559"/>
      <c r="Z3" s="553" t="s">
        <v>398</v>
      </c>
      <c r="AA3" s="553"/>
      <c r="AB3" s="553" t="s">
        <v>399</v>
      </c>
      <c r="AC3" s="553"/>
      <c r="AD3" s="553" t="s">
        <v>400</v>
      </c>
      <c r="AE3" s="553"/>
      <c r="AF3" s="559" t="s">
        <v>170</v>
      </c>
      <c r="AG3" s="559"/>
      <c r="AH3" s="506" t="s">
        <v>79</v>
      </c>
      <c r="AI3" s="507"/>
      <c r="AJ3" s="553" t="s">
        <v>136</v>
      </c>
      <c r="AK3" s="553"/>
      <c r="AL3" s="553" t="s">
        <v>81</v>
      </c>
      <c r="AM3" s="553"/>
      <c r="AN3" s="553" t="s">
        <v>82</v>
      </c>
      <c r="AO3" s="553"/>
      <c r="AP3" s="553" t="s">
        <v>83</v>
      </c>
      <c r="AQ3" s="553"/>
      <c r="AR3" s="504" t="s">
        <v>507</v>
      </c>
      <c r="AS3" s="533" t="s">
        <v>173</v>
      </c>
      <c r="AT3" s="534"/>
      <c r="AU3" s="514" t="s">
        <v>174</v>
      </c>
      <c r="AV3" s="515"/>
      <c r="AW3" s="510" t="s">
        <v>87</v>
      </c>
      <c r="AX3" s="511"/>
      <c r="AY3" s="510" t="s">
        <v>88</v>
      </c>
      <c r="AZ3" s="511"/>
      <c r="BA3" s="510" t="s">
        <v>89</v>
      </c>
      <c r="BB3" s="511"/>
      <c r="BC3" s="510" t="s">
        <v>90</v>
      </c>
      <c r="BD3" s="511"/>
      <c r="BE3" s="510" t="s">
        <v>91</v>
      </c>
      <c r="BF3" s="511"/>
      <c r="BG3" s="514" t="s">
        <v>176</v>
      </c>
      <c r="BH3" s="515"/>
      <c r="BI3" s="514" t="s">
        <v>720</v>
      </c>
      <c r="BJ3" s="515"/>
      <c r="BK3" s="510" t="s">
        <v>212</v>
      </c>
      <c r="BL3" s="511"/>
      <c r="BM3" s="510" t="s">
        <v>93</v>
      </c>
      <c r="BN3" s="511"/>
      <c r="BO3" s="510" t="s">
        <v>94</v>
      </c>
      <c r="BP3" s="511"/>
      <c r="BQ3" s="510" t="s">
        <v>95</v>
      </c>
      <c r="BR3" s="525"/>
      <c r="BS3" s="522" t="s">
        <v>508</v>
      </c>
      <c r="BT3" s="518" t="s">
        <v>178</v>
      </c>
      <c r="BU3" s="519"/>
      <c r="BV3" s="518" t="s">
        <v>179</v>
      </c>
      <c r="BW3" s="519"/>
      <c r="BX3" s="510" t="s">
        <v>96</v>
      </c>
      <c r="BY3" s="511"/>
      <c r="BZ3" s="510" t="s">
        <v>97</v>
      </c>
      <c r="CA3" s="511"/>
      <c r="CB3" s="510" t="s">
        <v>98</v>
      </c>
      <c r="CC3" s="511"/>
      <c r="CD3" s="510" t="s">
        <v>99</v>
      </c>
      <c r="CE3" s="511"/>
      <c r="CF3" s="531" t="s">
        <v>662</v>
      </c>
      <c r="CG3" s="514" t="s">
        <v>303</v>
      </c>
      <c r="CH3" s="515"/>
      <c r="CI3" s="527" t="s">
        <v>109</v>
      </c>
      <c r="CJ3" s="528"/>
      <c r="CK3" s="510" t="s">
        <v>182</v>
      </c>
      <c r="CL3" s="511"/>
      <c r="CM3" s="514" t="s">
        <v>110</v>
      </c>
      <c r="CN3" s="515"/>
      <c r="CO3" s="518" t="s">
        <v>302</v>
      </c>
      <c r="CP3" s="519"/>
      <c r="CQ3" s="510" t="s">
        <v>43</v>
      </c>
      <c r="CR3" s="511"/>
      <c r="CS3" s="527" t="s">
        <v>308</v>
      </c>
      <c r="CT3" s="528"/>
      <c r="CU3" s="548" t="s">
        <v>420</v>
      </c>
      <c r="CV3" s="544" t="s">
        <v>422</v>
      </c>
      <c r="CW3" s="545"/>
      <c r="CX3" s="544" t="s">
        <v>424</v>
      </c>
      <c r="CY3" s="545"/>
      <c r="CZ3" s="544" t="s">
        <v>428</v>
      </c>
      <c r="DA3" s="545"/>
      <c r="DB3" s="544" t="s">
        <v>426</v>
      </c>
      <c r="DC3" s="545"/>
    </row>
    <row r="4" spans="1:107" ht="27.95" customHeight="1" x14ac:dyDescent="0.3">
      <c r="B4" s="560"/>
      <c r="C4" s="561"/>
      <c r="D4" s="562"/>
      <c r="E4" s="564"/>
      <c r="F4" s="564"/>
      <c r="G4" s="553"/>
      <c r="H4" s="553"/>
      <c r="I4" s="553"/>
      <c r="J4" s="553"/>
      <c r="K4" s="553"/>
      <c r="L4" s="553"/>
      <c r="M4" s="553"/>
      <c r="N4" s="553"/>
      <c r="O4" s="564"/>
      <c r="P4" s="564"/>
      <c r="Q4" s="553"/>
      <c r="R4" s="553"/>
      <c r="S4" s="553"/>
      <c r="T4" s="553"/>
      <c r="U4" s="553"/>
      <c r="V4" s="553"/>
      <c r="W4" s="558"/>
      <c r="X4" s="559"/>
      <c r="Y4" s="559"/>
      <c r="Z4" s="553"/>
      <c r="AA4" s="553"/>
      <c r="AB4" s="553"/>
      <c r="AC4" s="553"/>
      <c r="AD4" s="553"/>
      <c r="AE4" s="553"/>
      <c r="AF4" s="559"/>
      <c r="AG4" s="559"/>
      <c r="AH4" s="508"/>
      <c r="AI4" s="509"/>
      <c r="AJ4" s="553"/>
      <c r="AK4" s="553"/>
      <c r="AL4" s="553"/>
      <c r="AM4" s="553"/>
      <c r="AN4" s="553"/>
      <c r="AO4" s="553"/>
      <c r="AP4" s="553"/>
      <c r="AQ4" s="553"/>
      <c r="AR4" s="505"/>
      <c r="AS4" s="535"/>
      <c r="AT4" s="536"/>
      <c r="AU4" s="516"/>
      <c r="AV4" s="517"/>
      <c r="AW4" s="512"/>
      <c r="AX4" s="513"/>
      <c r="AY4" s="512"/>
      <c r="AZ4" s="513"/>
      <c r="BA4" s="512"/>
      <c r="BB4" s="513"/>
      <c r="BC4" s="512"/>
      <c r="BD4" s="513"/>
      <c r="BE4" s="512"/>
      <c r="BF4" s="513"/>
      <c r="BG4" s="516"/>
      <c r="BH4" s="517"/>
      <c r="BI4" s="516"/>
      <c r="BJ4" s="517"/>
      <c r="BK4" s="512"/>
      <c r="BL4" s="513"/>
      <c r="BM4" s="512"/>
      <c r="BN4" s="513"/>
      <c r="BO4" s="512"/>
      <c r="BP4" s="513"/>
      <c r="BQ4" s="512"/>
      <c r="BR4" s="526"/>
      <c r="BS4" s="523"/>
      <c r="BT4" s="520"/>
      <c r="BU4" s="521"/>
      <c r="BV4" s="520"/>
      <c r="BW4" s="521"/>
      <c r="BX4" s="512"/>
      <c r="BY4" s="513"/>
      <c r="BZ4" s="512"/>
      <c r="CA4" s="513"/>
      <c r="CB4" s="512"/>
      <c r="CC4" s="513"/>
      <c r="CD4" s="512"/>
      <c r="CE4" s="513"/>
      <c r="CF4" s="532"/>
      <c r="CG4" s="516"/>
      <c r="CH4" s="517"/>
      <c r="CI4" s="529"/>
      <c r="CJ4" s="530"/>
      <c r="CK4" s="512"/>
      <c r="CL4" s="513"/>
      <c r="CM4" s="516"/>
      <c r="CN4" s="517"/>
      <c r="CO4" s="520"/>
      <c r="CP4" s="521"/>
      <c r="CQ4" s="512"/>
      <c r="CR4" s="513"/>
      <c r="CS4" s="529"/>
      <c r="CT4" s="530"/>
      <c r="CU4" s="549"/>
      <c r="CV4" s="546"/>
      <c r="CW4" s="547"/>
      <c r="CX4" s="546"/>
      <c r="CY4" s="547"/>
      <c r="CZ4" s="546"/>
      <c r="DA4" s="547"/>
      <c r="DB4" s="546"/>
      <c r="DC4" s="547"/>
    </row>
    <row r="5" spans="1:107" ht="27.95" customHeight="1" x14ac:dyDescent="0.3">
      <c r="B5" s="560"/>
      <c r="C5" s="561"/>
      <c r="D5" s="562"/>
      <c r="E5" s="198" t="s">
        <v>655</v>
      </c>
      <c r="F5" s="198" t="s">
        <v>652</v>
      </c>
      <c r="G5" s="198" t="s">
        <v>655</v>
      </c>
      <c r="H5" s="198" t="s">
        <v>652</v>
      </c>
      <c r="I5" s="198" t="s">
        <v>655</v>
      </c>
      <c r="J5" s="198" t="s">
        <v>652</v>
      </c>
      <c r="K5" s="198" t="s">
        <v>655</v>
      </c>
      <c r="L5" s="198" t="s">
        <v>652</v>
      </c>
      <c r="M5" s="198" t="s">
        <v>655</v>
      </c>
      <c r="N5" s="198" t="s">
        <v>652</v>
      </c>
      <c r="O5" s="198" t="s">
        <v>655</v>
      </c>
      <c r="P5" s="198" t="s">
        <v>652</v>
      </c>
      <c r="Q5" s="198" t="s">
        <v>655</v>
      </c>
      <c r="R5" s="198" t="s">
        <v>652</v>
      </c>
      <c r="S5" s="198" t="s">
        <v>655</v>
      </c>
      <c r="T5" s="198" t="s">
        <v>652</v>
      </c>
      <c r="U5" s="198" t="s">
        <v>655</v>
      </c>
      <c r="V5" s="198" t="s">
        <v>652</v>
      </c>
      <c r="W5" s="558"/>
      <c r="X5" s="198" t="s">
        <v>655</v>
      </c>
      <c r="Y5" s="198" t="s">
        <v>652</v>
      </c>
      <c r="Z5" s="198" t="s">
        <v>655</v>
      </c>
      <c r="AA5" s="198" t="s">
        <v>652</v>
      </c>
      <c r="AB5" s="198" t="s">
        <v>655</v>
      </c>
      <c r="AC5" s="198" t="s">
        <v>652</v>
      </c>
      <c r="AD5" s="198" t="s">
        <v>655</v>
      </c>
      <c r="AE5" s="198" t="s">
        <v>652</v>
      </c>
      <c r="AF5" s="198" t="s">
        <v>655</v>
      </c>
      <c r="AG5" s="198" t="s">
        <v>652</v>
      </c>
      <c r="AH5" s="198" t="s">
        <v>655</v>
      </c>
      <c r="AI5" s="198" t="s">
        <v>652</v>
      </c>
      <c r="AJ5" s="198" t="s">
        <v>655</v>
      </c>
      <c r="AK5" s="198" t="s">
        <v>652</v>
      </c>
      <c r="AL5" s="198" t="s">
        <v>655</v>
      </c>
      <c r="AM5" s="198" t="s">
        <v>652</v>
      </c>
      <c r="AN5" s="198" t="s">
        <v>655</v>
      </c>
      <c r="AO5" s="198" t="s">
        <v>652</v>
      </c>
      <c r="AP5" s="198" t="s">
        <v>655</v>
      </c>
      <c r="AQ5" s="198" t="s">
        <v>652</v>
      </c>
      <c r="AR5" s="505"/>
      <c r="AS5" s="198" t="s">
        <v>655</v>
      </c>
      <c r="AT5" s="198" t="s">
        <v>652</v>
      </c>
      <c r="AU5" s="198" t="s">
        <v>655</v>
      </c>
      <c r="AV5" s="198" t="s">
        <v>652</v>
      </c>
      <c r="AW5" s="198" t="s">
        <v>655</v>
      </c>
      <c r="AX5" s="198" t="s">
        <v>652</v>
      </c>
      <c r="AY5" s="198" t="s">
        <v>655</v>
      </c>
      <c r="AZ5" s="198" t="s">
        <v>652</v>
      </c>
      <c r="BA5" s="198" t="s">
        <v>655</v>
      </c>
      <c r="BB5" s="198" t="s">
        <v>652</v>
      </c>
      <c r="BC5" s="198" t="s">
        <v>655</v>
      </c>
      <c r="BD5" s="198" t="s">
        <v>652</v>
      </c>
      <c r="BE5" s="198" t="s">
        <v>655</v>
      </c>
      <c r="BF5" s="198" t="s">
        <v>652</v>
      </c>
      <c r="BG5" s="198" t="s">
        <v>655</v>
      </c>
      <c r="BH5" s="198" t="s">
        <v>652</v>
      </c>
      <c r="BI5" s="198" t="s">
        <v>655</v>
      </c>
      <c r="BJ5" s="198" t="s">
        <v>652</v>
      </c>
      <c r="BK5" s="198" t="s">
        <v>655</v>
      </c>
      <c r="BL5" s="198" t="s">
        <v>652</v>
      </c>
      <c r="BM5" s="198" t="s">
        <v>655</v>
      </c>
      <c r="BN5" s="198" t="s">
        <v>652</v>
      </c>
      <c r="BO5" s="198" t="s">
        <v>655</v>
      </c>
      <c r="BP5" s="198" t="s">
        <v>652</v>
      </c>
      <c r="BQ5" s="198" t="s">
        <v>655</v>
      </c>
      <c r="BR5" s="262" t="s">
        <v>652</v>
      </c>
      <c r="BS5" s="524"/>
      <c r="BT5" s="198" t="s">
        <v>655</v>
      </c>
      <c r="BU5" s="262" t="s">
        <v>652</v>
      </c>
      <c r="BV5" s="198" t="s">
        <v>655</v>
      </c>
      <c r="BW5" s="262" t="s">
        <v>652</v>
      </c>
      <c r="BX5" s="198" t="s">
        <v>655</v>
      </c>
      <c r="BY5" s="262" t="s">
        <v>652</v>
      </c>
      <c r="BZ5" s="198" t="s">
        <v>655</v>
      </c>
      <c r="CA5" s="262" t="s">
        <v>652</v>
      </c>
      <c r="CB5" s="198" t="s">
        <v>655</v>
      </c>
      <c r="CC5" s="262" t="s">
        <v>652</v>
      </c>
      <c r="CD5" s="198" t="s">
        <v>655</v>
      </c>
      <c r="CE5" s="262" t="s">
        <v>652</v>
      </c>
      <c r="CF5" s="198" t="s">
        <v>655</v>
      </c>
      <c r="CG5" s="262" t="s">
        <v>652</v>
      </c>
      <c r="CH5" s="198" t="s">
        <v>655</v>
      </c>
      <c r="CI5" s="262" t="s">
        <v>652</v>
      </c>
      <c r="CJ5" s="198" t="s">
        <v>655</v>
      </c>
      <c r="CK5" s="262" t="s">
        <v>652</v>
      </c>
      <c r="CL5" s="198" t="s">
        <v>655</v>
      </c>
      <c r="CM5" s="262" t="s">
        <v>652</v>
      </c>
      <c r="CN5" s="198" t="s">
        <v>655</v>
      </c>
      <c r="CO5" s="262" t="s">
        <v>652</v>
      </c>
      <c r="CP5" s="198" t="s">
        <v>655</v>
      </c>
      <c r="CQ5" s="262" t="s">
        <v>652</v>
      </c>
      <c r="CR5" s="198" t="s">
        <v>655</v>
      </c>
      <c r="CS5" s="262" t="s">
        <v>652</v>
      </c>
      <c r="CT5" s="198" t="s">
        <v>655</v>
      </c>
      <c r="CU5" s="550"/>
      <c r="CV5" s="198" t="s">
        <v>655</v>
      </c>
      <c r="CW5" s="262" t="s">
        <v>652</v>
      </c>
      <c r="CX5" s="198" t="s">
        <v>655</v>
      </c>
      <c r="CY5" s="262" t="s">
        <v>652</v>
      </c>
      <c r="CZ5" s="198" t="s">
        <v>655</v>
      </c>
      <c r="DA5" s="262" t="s">
        <v>652</v>
      </c>
      <c r="DB5" s="198" t="s">
        <v>655</v>
      </c>
      <c r="DC5" s="262" t="s">
        <v>652</v>
      </c>
    </row>
    <row r="6" spans="1:107" s="228" customFormat="1" ht="36" customHeight="1" x14ac:dyDescent="0.3">
      <c r="A6" s="229">
        <f ca="1">TODAY()</f>
        <v>46029</v>
      </c>
      <c r="B6" s="227">
        <f>D6+W6</f>
        <v>194.14623641967773</v>
      </c>
      <c r="C6" s="227">
        <f>AR6+BS6+CH6+CJ6+CN6+CP6+CT6+CU6</f>
        <v>776.89999961853027</v>
      </c>
      <c r="D6" s="227">
        <f>F6+V6-L6-N6</f>
        <v>45.478069305419922</v>
      </c>
      <c r="E6" s="227">
        <f>MNF산정!CD440</f>
        <v>332.46124877929685</v>
      </c>
      <c r="F6" s="227">
        <f>MNF산정!CD374</f>
        <v>328.04800415039063</v>
      </c>
      <c r="G6" s="227">
        <f>MNF산정!CE440</f>
        <v>29.284590752919517</v>
      </c>
      <c r="H6" s="227">
        <f>MNF산정!CE374</f>
        <v>27.816596984863281</v>
      </c>
      <c r="I6" s="227">
        <f>MNF산정!CF440</f>
        <v>16.682582251230876</v>
      </c>
      <c r="J6" s="227">
        <f>MNF산정!CF374</f>
        <v>15.823856353759766</v>
      </c>
      <c r="K6" s="227">
        <f>MNF산정!CG440</f>
        <v>35.338191986083984</v>
      </c>
      <c r="L6" s="227">
        <f>MNF산정!CG374</f>
        <v>35.338191986083984</v>
      </c>
      <c r="M6" s="227">
        <f>MNF산정!CH440</f>
        <v>271.51519063313805</v>
      </c>
      <c r="N6" s="227">
        <f>MNF산정!CH374</f>
        <v>269.5987548828125</v>
      </c>
      <c r="O6" s="227">
        <f>MNF산정!CI440</f>
        <v>77.171879704793298</v>
      </c>
      <c r="P6" s="227">
        <f>MNF산정!CI374</f>
        <v>73.235694885253906</v>
      </c>
      <c r="Q6" s="227">
        <f>MNF산정!CJ440</f>
        <v>32.77827132542928</v>
      </c>
      <c r="R6" s="227">
        <f>MNF산정!CJ374</f>
        <v>30.516239166259766</v>
      </c>
      <c r="S6" s="227">
        <f>MNF산정!CK440</f>
        <v>47.314433924357097</v>
      </c>
      <c r="T6" s="227">
        <f>MNF산정!CK374</f>
        <v>45.846733093261719</v>
      </c>
      <c r="U6" s="227">
        <f>MNF산정!CL440</f>
        <v>24.062316449483237</v>
      </c>
      <c r="V6" s="227">
        <f>MNF산정!CL374</f>
        <v>22.367012023925781</v>
      </c>
      <c r="W6" s="227">
        <f>Y6+AG6</f>
        <v>148.66816711425781</v>
      </c>
      <c r="X6" s="227">
        <f>MNF산정!CM440</f>
        <v>164.21879196166992</v>
      </c>
      <c r="Y6" s="227">
        <f>MNF산정!CM374</f>
        <v>148.66816711425781</v>
      </c>
      <c r="Z6" s="227">
        <f>MNF산정!CN440</f>
        <v>52.666149711608888</v>
      </c>
      <c r="AA6" s="227">
        <f>MNF산정!CN374</f>
        <v>43.129104614257813</v>
      </c>
      <c r="AB6" s="227">
        <f>MNF산정!CO440</f>
        <v>49.302287928263347</v>
      </c>
      <c r="AC6" s="227">
        <f>MNF산정!CO374</f>
        <v>47.820472717285156</v>
      </c>
      <c r="AD6" s="227">
        <f>MNF산정!CP440</f>
        <v>55.324314626057941</v>
      </c>
      <c r="AE6" s="227">
        <f>MNF산정!CP374</f>
        <v>53.268089294433594</v>
      </c>
      <c r="AF6" s="227">
        <f>MNF산정!CQ440</f>
        <v>0</v>
      </c>
      <c r="AG6" s="227">
        <f>MNF산정!CQ374</f>
        <v>0</v>
      </c>
      <c r="AH6" s="227">
        <f>MNF산정!CR440</f>
        <v>48.088500849405925</v>
      </c>
      <c r="AI6" s="227">
        <f>MNF산정!CR374</f>
        <v>46.845706939697266</v>
      </c>
      <c r="AJ6" s="227">
        <f>MNF산정!CS440</f>
        <v>7.9165302832921345</v>
      </c>
      <c r="AK6" s="227">
        <f>MNF산정!CS374</f>
        <v>7.2832536697387695</v>
      </c>
      <c r="AL6" s="227">
        <f>MNF산정!CT440</f>
        <v>29.929259618123371</v>
      </c>
      <c r="AM6" s="227">
        <f>MNF산정!CT374</f>
        <v>27.760635375976563</v>
      </c>
      <c r="AN6" s="227">
        <f>MNF산정!CU440</f>
        <v>39.337095642089842</v>
      </c>
      <c r="AO6" s="227">
        <f>MNF산정!CU374</f>
        <v>36.934169769287109</v>
      </c>
      <c r="AP6" s="227">
        <f>MNF산정!CV440</f>
        <v>52.239985020955402</v>
      </c>
      <c r="AQ6" s="227">
        <f>MNF산정!CV374</f>
        <v>47.024112701416016</v>
      </c>
      <c r="AR6" s="227">
        <f>AT6+AV6+BH6+BJ6</f>
        <v>495</v>
      </c>
      <c r="AS6" s="227">
        <f>MNF산정!CW440</f>
        <v>3.1333333333333333</v>
      </c>
      <c r="AT6" s="227">
        <f>MNF산정!CW374</f>
        <v>0</v>
      </c>
      <c r="AU6" s="227">
        <f>MNF산정!CX440</f>
        <v>293.14999999999998</v>
      </c>
      <c r="AV6" s="227">
        <f>MNF산정!CX374</f>
        <v>289</v>
      </c>
      <c r="AW6" s="227">
        <f>MNF산정!CY440</f>
        <v>107.92376073201497</v>
      </c>
      <c r="AX6" s="227">
        <f>MNF산정!CY374</f>
        <v>105.94806671142578</v>
      </c>
      <c r="AY6" s="227">
        <f>MNF산정!CZ440</f>
        <v>47.088481267293297</v>
      </c>
      <c r="AZ6" s="227">
        <f>MNF산정!CZ374</f>
        <v>45.536918640136719</v>
      </c>
      <c r="BA6" s="227">
        <f>MNF산정!DA440</f>
        <v>19.65365810394287</v>
      </c>
      <c r="BB6" s="227">
        <f>MNF산정!DA374</f>
        <v>18.999847412109375</v>
      </c>
      <c r="BC6" s="227">
        <f>MNF산정!DB440</f>
        <v>30.203117815653481</v>
      </c>
      <c r="BD6" s="227">
        <f>MNF산정!DB374</f>
        <v>28.31574821472168</v>
      </c>
      <c r="BE6" s="227">
        <f>MNF산정!DC440</f>
        <v>70.221483612060553</v>
      </c>
      <c r="BF6" s="227">
        <f>MNF산정!DC374</f>
        <v>68.3629150390625</v>
      </c>
      <c r="BG6" s="227">
        <f>MNF산정!DD440</f>
        <v>44.85</v>
      </c>
      <c r="BH6" s="227">
        <f>MNF산정!DD374</f>
        <v>39</v>
      </c>
      <c r="BI6" s="227">
        <f>MNF산정!DE440</f>
        <v>168.36666666666667</v>
      </c>
      <c r="BJ6" s="227">
        <f>MNF산정!DE374</f>
        <v>167</v>
      </c>
      <c r="BK6" s="227">
        <f>MNF산정!DF440</f>
        <v>97.251313527425125</v>
      </c>
      <c r="BL6" s="227">
        <f>MNF산정!DF374</f>
        <v>95.637275695800781</v>
      </c>
      <c r="BM6" s="227">
        <f>MNF산정!DG440</f>
        <v>62.650705464680989</v>
      </c>
      <c r="BN6" s="227">
        <f>MNF산정!DG374</f>
        <v>60.926010131835938</v>
      </c>
      <c r="BO6" s="227">
        <f>MNF산정!DH440</f>
        <v>40.525480016072592</v>
      </c>
      <c r="BP6" s="227">
        <f>MNF산정!DH374</f>
        <v>39.259891510009766</v>
      </c>
      <c r="BQ6" s="227">
        <f>MNF산정!DI440</f>
        <v>36.665082041422529</v>
      </c>
      <c r="BR6" s="227">
        <f>MNF산정!DI374</f>
        <v>35.574756622314453</v>
      </c>
      <c r="BS6" s="227">
        <f>BU6-CF6</f>
        <v>199</v>
      </c>
      <c r="BT6" s="227">
        <f>MNF산정!DJ440</f>
        <v>203.26666666666668</v>
      </c>
      <c r="BU6" s="227">
        <f>MNF산정!DJ374</f>
        <v>199</v>
      </c>
      <c r="BV6" s="227">
        <f>MNF산정!DK440</f>
        <v>102.43179918924967</v>
      </c>
      <c r="BW6" s="227">
        <f>MNF산정!DK374</f>
        <v>100.26000213623047</v>
      </c>
      <c r="BX6" s="227">
        <f>MNF산정!DL440</f>
        <v>24.160816733042399</v>
      </c>
      <c r="BY6" s="227">
        <f>MNF산정!DL374</f>
        <v>22.506000518798828</v>
      </c>
      <c r="BZ6" s="227">
        <f>MNF산정!DM440</f>
        <v>24.362550036112467</v>
      </c>
      <c r="CA6" s="227">
        <f>MNF산정!DM374</f>
        <v>22.618999481201172</v>
      </c>
      <c r="CB6" s="227">
        <f>MNF산정!DN440</f>
        <v>48.560600026448569</v>
      </c>
      <c r="CC6" s="227">
        <f>MNF산정!DN374</f>
        <v>47.006000518798828</v>
      </c>
      <c r="CD6" s="227">
        <f>MNF산정!DO440</f>
        <v>111.10856959025065</v>
      </c>
      <c r="CE6" s="227">
        <f>MNF산정!DO374</f>
        <v>109.40978240966797</v>
      </c>
      <c r="CF6" s="227"/>
      <c r="CG6" s="227">
        <f>MNF산정!DP440</f>
        <v>15.202566719055175</v>
      </c>
      <c r="CH6" s="227">
        <f>MNF산정!DP374</f>
        <v>14.899999618530273</v>
      </c>
      <c r="CI6" s="227">
        <f>MNF산정!DR440</f>
        <v>8.9499999999999993</v>
      </c>
      <c r="CJ6" s="227">
        <f>MNF산정!DR374</f>
        <v>0</v>
      </c>
      <c r="CK6" s="227">
        <f>MNF산정!DS440</f>
        <v>28.444999853769939</v>
      </c>
      <c r="CL6" s="227">
        <f>MNF산정!DS374</f>
        <v>26.899999618530273</v>
      </c>
      <c r="CM6" s="227">
        <f>MNF산정!DT440</f>
        <v>12.066666666666666</v>
      </c>
      <c r="CN6" s="227">
        <f>MNF산정!DT374</f>
        <v>12</v>
      </c>
      <c r="CO6" s="227">
        <f>MNF산정!DV440</f>
        <v>7.75</v>
      </c>
      <c r="CP6" s="227">
        <f>MNF산정!DV374</f>
        <v>0</v>
      </c>
      <c r="CQ6" s="227">
        <f>MNF산정!DW440</f>
        <v>1.3532158315181733</v>
      </c>
      <c r="CR6" s="227">
        <f>MNF산정!DW374</f>
        <v>1.2227957248687744</v>
      </c>
      <c r="CS6" s="227">
        <f>MNF산정!DX440</f>
        <v>9.9833333333333325</v>
      </c>
      <c r="CT6" s="227">
        <f>MNF산정!DX374</f>
        <v>9</v>
      </c>
      <c r="CU6" s="227">
        <f>CW6+CY6+DA6+DC6</f>
        <v>47</v>
      </c>
      <c r="CV6" s="227">
        <f>MNF산정!DZ440</f>
        <v>44.43333333333333</v>
      </c>
      <c r="CW6" s="227">
        <f>MNF산정!DZ374</f>
        <v>43</v>
      </c>
      <c r="CX6" s="227">
        <f>MNF산정!EA440</f>
        <v>3</v>
      </c>
      <c r="CY6" s="227">
        <f>MNF산정!EA374</f>
        <v>3</v>
      </c>
      <c r="CZ6" s="227">
        <f>MNF산정!EB440</f>
        <v>0</v>
      </c>
      <c r="DA6" s="227">
        <f>MNF산정!EB374</f>
        <v>0</v>
      </c>
      <c r="DB6" s="227">
        <f>MNF산정!EC440</f>
        <v>1.0166666666666666</v>
      </c>
      <c r="DC6" s="227">
        <f>MNF산정!EC374</f>
        <v>1</v>
      </c>
    </row>
    <row r="7" spans="1:107" ht="15" customHeight="1" x14ac:dyDescent="0.3"/>
  </sheetData>
  <mergeCells count="67">
    <mergeCell ref="G3:H4"/>
    <mergeCell ref="I3:J4"/>
    <mergeCell ref="K3:L4"/>
    <mergeCell ref="B2:B5"/>
    <mergeCell ref="C2:C5"/>
    <mergeCell ref="D3:D5"/>
    <mergeCell ref="D2:V2"/>
    <mergeCell ref="E3:F4"/>
    <mergeCell ref="M3:N4"/>
    <mergeCell ref="O3:P4"/>
    <mergeCell ref="Q3:R4"/>
    <mergeCell ref="S3:T4"/>
    <mergeCell ref="U3:V4"/>
    <mergeCell ref="AR2:BR2"/>
    <mergeCell ref="AJ3:AK4"/>
    <mergeCell ref="AL3:AM4"/>
    <mergeCell ref="AN3:AO4"/>
    <mergeCell ref="AP3:AQ4"/>
    <mergeCell ref="W2:AQ2"/>
    <mergeCell ref="W3:W5"/>
    <mergeCell ref="X3:Y4"/>
    <mergeCell ref="Z3:AA4"/>
    <mergeCell ref="AB3:AC4"/>
    <mergeCell ref="AD3:AE4"/>
    <mergeCell ref="AF3:AG4"/>
    <mergeCell ref="BA3:BB4"/>
    <mergeCell ref="BC3:BD4"/>
    <mergeCell ref="BE3:BF4"/>
    <mergeCell ref="BG3:BH4"/>
    <mergeCell ref="AS3:AT4"/>
    <mergeCell ref="AU3:AV4"/>
    <mergeCell ref="AW3:AX4"/>
    <mergeCell ref="CS2:CT2"/>
    <mergeCell ref="CU2:DC2"/>
    <mergeCell ref="BS2:CF2"/>
    <mergeCell ref="CG2:CH2"/>
    <mergeCell ref="CI2:CL2"/>
    <mergeCell ref="CM2:CN2"/>
    <mergeCell ref="CO2:CR2"/>
    <mergeCell ref="CV3:CW4"/>
    <mergeCell ref="CU3:CU5"/>
    <mergeCell ref="CX3:CY4"/>
    <mergeCell ref="CZ3:DA4"/>
    <mergeCell ref="DB3:DC4"/>
    <mergeCell ref="CQ3:CR4"/>
    <mergeCell ref="CS3:CT4"/>
    <mergeCell ref="CB3:CC4"/>
    <mergeCell ref="CD3:CE4"/>
    <mergeCell ref="CF3:CF4"/>
    <mergeCell ref="CG3:CH4"/>
    <mergeCell ref="CI3:CJ4"/>
    <mergeCell ref="AR3:AR5"/>
    <mergeCell ref="AH3:AI4"/>
    <mergeCell ref="CK3:CL4"/>
    <mergeCell ref="CM3:CN4"/>
    <mergeCell ref="CO3:CP4"/>
    <mergeCell ref="BS3:BS5"/>
    <mergeCell ref="BT3:BU4"/>
    <mergeCell ref="BV3:BW4"/>
    <mergeCell ref="BX3:BY4"/>
    <mergeCell ref="BZ3:CA4"/>
    <mergeCell ref="BI3:BJ4"/>
    <mergeCell ref="BK3:BL4"/>
    <mergeCell ref="BM3:BN4"/>
    <mergeCell ref="BO3:BP4"/>
    <mergeCell ref="BQ3:BR4"/>
    <mergeCell ref="AY3:AZ4"/>
  </mergeCells>
  <phoneticPr fontId="1" type="noConversion"/>
  <printOptions horizontalCentered="1" verticalCentered="1"/>
  <pageMargins left="0.25" right="0.25" top="0.75" bottom="0.75" header="0.3" footer="0.3"/>
  <pageSetup paperSize="9" scale="15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주간운영</vt:lpstr>
      <vt:lpstr>운영일보</vt:lpstr>
      <vt:lpstr>MNF산정</vt:lpstr>
      <vt:lpstr>1. 중블록 공급량 합산(동부)</vt:lpstr>
      <vt:lpstr>2. 중블록 공급량(동부)</vt:lpstr>
      <vt:lpstr>3. 공급량(동부)</vt:lpstr>
      <vt:lpstr>4. 공급량 수압(동부)</vt:lpstr>
      <vt:lpstr>1. 공급량(서부)</vt:lpstr>
      <vt:lpstr>2. 중블록 공급량(서부)</vt:lpstr>
      <vt:lpstr>3. 소블록 공급량(서부)</vt:lpstr>
      <vt:lpstr>4. MNF(서부)</vt:lpstr>
      <vt:lpstr>'1. 공급량(서부)'!Print_Area</vt:lpstr>
      <vt:lpstr>'1. 중블록 공급량 합산(동부)'!Print_Area</vt:lpstr>
      <vt:lpstr>'2. 중블록 공급량(동부)'!Print_Area</vt:lpstr>
      <vt:lpstr>'2. 중블록 공급량(서부)'!Print_Area</vt:lpstr>
      <vt:lpstr>'3. 공급량(동부)'!Print_Area</vt:lpstr>
      <vt:lpstr>'3. 소블록 공급량(서부)'!Print_Area</vt:lpstr>
      <vt:lpstr>'4. MNF(서부)'!Print_Area</vt:lpstr>
      <vt:lpstr>'4. 공급량 수압(동부)'!Print_Area</vt:lpstr>
      <vt:lpstr>운영일보!Print_Area</vt:lpstr>
      <vt:lpstr>주간운영!Print_Area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kwater</cp:lastModifiedBy>
  <cp:lastPrinted>2024-01-18T07:00:40Z</cp:lastPrinted>
  <dcterms:created xsi:type="dcterms:W3CDTF">2024-01-18T05:42:06Z</dcterms:created>
  <dcterms:modified xsi:type="dcterms:W3CDTF">2026-01-07T04:07:43Z</dcterms:modified>
</cp:coreProperties>
</file>